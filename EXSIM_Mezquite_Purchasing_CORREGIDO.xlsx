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dc407a335d7300f/Documentos/GitHub/BusinessSim/"/>
    </mc:Choice>
  </mc:AlternateContent>
  <xr:revisionPtr revIDLastSave="497" documentId="11_300C377E292435E26BC7E9727970CF20457E0EE2" xr6:coauthVersionLast="47" xr6:coauthVersionMax="47" xr10:uidLastSave="{040BF187-44CC-4C0F-B0E1-D589DF8C14E2}"/>
  <bookViews>
    <workbookView xWindow="-108" yWindow="-108" windowWidth="23256" windowHeight="12456" tabRatio="500" xr2:uid="{00000000-000D-0000-FFFF-FFFF00000000}"/>
  </bookViews>
  <sheets>
    <sheet name="Inputs" sheetId="1" r:id="rId1"/>
    <sheet name="BOM_Consumo" sheetId="2" r:id="rId2"/>
    <sheet name="Inventario_Dinamico" sheetId="3" r:id="rId3"/>
    <sheet name="Compras_y_Lotes" sheetId="4" r:id="rId4"/>
    <sheet name="Costos" sheetId="5" r:id="rId5"/>
    <sheet name="Cashflow_Compras" sheetId="6" r:id="rId6"/>
    <sheet name="Escenarios" sheetId="7" r:id="rId7"/>
    <sheet name="Analisis_Proveedores" sheetId="8" r:id="rId8"/>
    <sheet name="Dashboard" sheetId="9" r:id="rId9"/>
    <sheet name="Riesgo_Proveedor_B" sheetId="10" r:id="rId10"/>
    <sheet name="Cashflow_Integrado" sheetId="11" r:id="rId11"/>
    <sheet name="EXSIM_Upload" sheetId="12" r:id="rId12"/>
    <sheet name="Multi_Planta" sheetId="13" r:id="rId13"/>
    <sheet name="MRP_LeadTimes" sheetId="14" r:id="rId14"/>
    <sheet name="Reconciliacion" sheetId="15" r:id="rId15"/>
    <sheet name="ESG_CO2" sheetId="16" r:id="rId1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9" i="3" l="1"/>
  <c r="B43" i="3"/>
  <c r="B37" i="3"/>
  <c r="B31" i="3"/>
  <c r="B25" i="3"/>
  <c r="B19" i="3"/>
  <c r="B13" i="3"/>
  <c r="B7" i="3"/>
  <c r="G7" i="4"/>
  <c r="G8" i="4"/>
  <c r="G9" i="4"/>
  <c r="G10" i="4"/>
  <c r="G11" i="4"/>
  <c r="G12" i="4"/>
  <c r="B6" i="2"/>
  <c r="B7" i="2"/>
  <c r="B8" i="2"/>
  <c r="B9" i="2"/>
  <c r="B10" i="2"/>
  <c r="J10" i="2" s="1"/>
  <c r="I33" i="3" s="1"/>
  <c r="B11" i="2"/>
  <c r="B12" i="2"/>
  <c r="B13" i="2"/>
  <c r="B101" i="1"/>
  <c r="C14" i="14" s="1"/>
  <c r="D15" i="2" s="1"/>
  <c r="B32" i="10"/>
  <c r="C32" i="10"/>
  <c r="B33" i="10"/>
  <c r="C33" i="10"/>
  <c r="B34" i="10"/>
  <c r="C34" i="10"/>
  <c r="B35" i="10"/>
  <c r="C35" i="10"/>
  <c r="B36" i="10"/>
  <c r="C36" i="10"/>
  <c r="B37" i="10"/>
  <c r="C37" i="10"/>
  <c r="B38" i="10"/>
  <c r="C38" i="10"/>
  <c r="B39" i="10"/>
  <c r="C39" i="10"/>
  <c r="B40" i="10"/>
  <c r="C40" i="10"/>
  <c r="B41" i="10"/>
  <c r="C41" i="10"/>
  <c r="B42" i="10"/>
  <c r="C42" i="10"/>
  <c r="B43" i="10"/>
  <c r="C43" i="10"/>
  <c r="B44" i="10"/>
  <c r="C44" i="10"/>
  <c r="B45" i="10"/>
  <c r="C45" i="10"/>
  <c r="B46" i="10"/>
  <c r="C46" i="10"/>
  <c r="B47" i="10"/>
  <c r="C47" i="10"/>
  <c r="B48" i="10"/>
  <c r="C48" i="10"/>
  <c r="B49" i="10"/>
  <c r="C49" i="10"/>
  <c r="B50" i="10"/>
  <c r="C50" i="10"/>
  <c r="B51" i="10"/>
  <c r="C51" i="10"/>
  <c r="B52" i="10"/>
  <c r="C52" i="10"/>
  <c r="B53" i="10"/>
  <c r="C53" i="10"/>
  <c r="B54" i="10"/>
  <c r="C54" i="10"/>
  <c r="B55" i="10"/>
  <c r="C55" i="10"/>
  <c r="B56" i="10"/>
  <c r="C56" i="10"/>
  <c r="B57" i="10"/>
  <c r="C57" i="10"/>
  <c r="B58" i="10"/>
  <c r="C58" i="10"/>
  <c r="B59" i="10"/>
  <c r="C59" i="10"/>
  <c r="B60" i="10"/>
  <c r="C60" i="10"/>
  <c r="B61" i="10"/>
  <c r="C61" i="10"/>
  <c r="B62" i="10"/>
  <c r="C62" i="10"/>
  <c r="B63" i="10"/>
  <c r="C63" i="10"/>
  <c r="B64" i="10"/>
  <c r="C64" i="10"/>
  <c r="B65" i="10"/>
  <c r="C65" i="10"/>
  <c r="B66" i="10"/>
  <c r="C66" i="10"/>
  <c r="B67" i="10"/>
  <c r="C67" i="10"/>
  <c r="B68" i="10"/>
  <c r="C68" i="10"/>
  <c r="B69" i="10"/>
  <c r="C69" i="10"/>
  <c r="B70" i="10"/>
  <c r="C70" i="10"/>
  <c r="B71" i="10"/>
  <c r="C71" i="10"/>
  <c r="B72" i="10"/>
  <c r="C72" i="10"/>
  <c r="B73" i="10"/>
  <c r="C73" i="10"/>
  <c r="B74" i="10"/>
  <c r="C74" i="10"/>
  <c r="B75" i="10"/>
  <c r="C75" i="10"/>
  <c r="B76" i="10"/>
  <c r="C76" i="10"/>
  <c r="B77" i="10"/>
  <c r="C77" i="10"/>
  <c r="B78" i="10"/>
  <c r="C78" i="10"/>
  <c r="B79" i="10"/>
  <c r="C79" i="10"/>
  <c r="B80" i="10"/>
  <c r="C80" i="10"/>
  <c r="B81" i="10"/>
  <c r="C81" i="10"/>
  <c r="B82" i="10"/>
  <c r="C82" i="10"/>
  <c r="B83" i="10"/>
  <c r="C83" i="10"/>
  <c r="B84" i="10"/>
  <c r="C84" i="10"/>
  <c r="B85" i="10"/>
  <c r="C85" i="10"/>
  <c r="B86" i="10"/>
  <c r="C86" i="10"/>
  <c r="B87" i="10"/>
  <c r="C87" i="10"/>
  <c r="B88" i="10"/>
  <c r="C88" i="10"/>
  <c r="B89" i="10"/>
  <c r="C89" i="10"/>
  <c r="B90" i="10"/>
  <c r="C90" i="10"/>
  <c r="B91" i="10"/>
  <c r="C91" i="10"/>
  <c r="B92" i="10"/>
  <c r="C92" i="10"/>
  <c r="B93" i="10"/>
  <c r="C93" i="10"/>
  <c r="B94" i="10"/>
  <c r="C94" i="10"/>
  <c r="B95" i="10"/>
  <c r="C95" i="10"/>
  <c r="B96" i="10"/>
  <c r="C96" i="10"/>
  <c r="B97" i="10"/>
  <c r="C97" i="10"/>
  <c r="B98" i="10"/>
  <c r="C98" i="10"/>
  <c r="B99" i="10"/>
  <c r="C99" i="10"/>
  <c r="B100" i="10"/>
  <c r="C100" i="10"/>
  <c r="B101" i="10"/>
  <c r="C101" i="10"/>
  <c r="B102" i="10"/>
  <c r="C102" i="10"/>
  <c r="B103" i="10"/>
  <c r="C103" i="10"/>
  <c r="B104" i="10"/>
  <c r="C104" i="10"/>
  <c r="B105" i="10"/>
  <c r="C105" i="10"/>
  <c r="B106" i="10"/>
  <c r="C106" i="10"/>
  <c r="B107" i="10"/>
  <c r="C107" i="10"/>
  <c r="B108" i="10"/>
  <c r="C108" i="10"/>
  <c r="B109" i="10"/>
  <c r="C109" i="10"/>
  <c r="B110" i="10"/>
  <c r="C110" i="10"/>
  <c r="B111" i="10"/>
  <c r="C111" i="10"/>
  <c r="B112" i="10"/>
  <c r="C112" i="10"/>
  <c r="B113" i="10"/>
  <c r="C113" i="10"/>
  <c r="B114" i="10"/>
  <c r="C114" i="10"/>
  <c r="B115" i="10"/>
  <c r="C115" i="10"/>
  <c r="B116" i="10"/>
  <c r="C116" i="10"/>
  <c r="B117" i="10"/>
  <c r="C117" i="10"/>
  <c r="B118" i="10"/>
  <c r="C118" i="10"/>
  <c r="B119" i="10"/>
  <c r="C119" i="10"/>
  <c r="B120" i="10"/>
  <c r="C120" i="10"/>
  <c r="B121" i="10"/>
  <c r="C121" i="10"/>
  <c r="B122" i="10"/>
  <c r="C122" i="10"/>
  <c r="B123" i="10"/>
  <c r="C123" i="10"/>
  <c r="B124" i="10"/>
  <c r="C124" i="10"/>
  <c r="B125" i="10"/>
  <c r="C125" i="10"/>
  <c r="B126" i="10"/>
  <c r="C126" i="10"/>
  <c r="B127" i="10"/>
  <c r="C127" i="10"/>
  <c r="B128" i="10"/>
  <c r="C128" i="10"/>
  <c r="B129" i="10"/>
  <c r="C129" i="10"/>
  <c r="B130" i="10"/>
  <c r="C130" i="10"/>
  <c r="C31" i="10"/>
  <c r="B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31" i="10"/>
  <c r="B28" i="10"/>
  <c r="B27" i="10"/>
  <c r="G15" i="10"/>
  <c r="G14" i="10"/>
  <c r="B15" i="10"/>
  <c r="B14" i="10"/>
  <c r="K37" i="15"/>
  <c r="J37" i="15"/>
  <c r="K30" i="15"/>
  <c r="K31" i="15"/>
  <c r="K32" i="15"/>
  <c r="K33" i="15"/>
  <c r="K34" i="15"/>
  <c r="K35" i="15"/>
  <c r="K36" i="15"/>
  <c r="K29" i="15"/>
  <c r="J30" i="15"/>
  <c r="J31" i="15"/>
  <c r="J32" i="15"/>
  <c r="J33" i="15"/>
  <c r="J34" i="15"/>
  <c r="J35" i="15"/>
  <c r="J36" i="15"/>
  <c r="J29" i="15"/>
  <c r="F18" i="14"/>
  <c r="G18" i="14"/>
  <c r="H18" i="14"/>
  <c r="I18" i="14"/>
  <c r="G17" i="14"/>
  <c r="H17" i="14"/>
  <c r="I17" i="14"/>
  <c r="H16" i="14"/>
  <c r="I16" i="14"/>
  <c r="I15" i="14"/>
  <c r="D26" i="12"/>
  <c r="D27" i="12"/>
  <c r="D28" i="12"/>
  <c r="D29" i="12"/>
  <c r="D30" i="12"/>
  <c r="D31" i="12"/>
  <c r="D32" i="12"/>
  <c r="D33" i="12"/>
  <c r="D15" i="12"/>
  <c r="D16" i="12"/>
  <c r="D17" i="12"/>
  <c r="D18" i="12"/>
  <c r="D19" i="12"/>
  <c r="D20" i="12"/>
  <c r="D21" i="12"/>
  <c r="D22" i="12"/>
  <c r="I20" i="8"/>
  <c r="I19" i="8"/>
  <c r="I18" i="8"/>
  <c r="E19" i="8"/>
  <c r="E9" i="8"/>
  <c r="F19" i="8"/>
  <c r="F9" i="8"/>
  <c r="I9" i="8" s="1"/>
  <c r="B15" i="11"/>
  <c r="C15" i="11"/>
  <c r="D15" i="11"/>
  <c r="E15" i="11"/>
  <c r="F15" i="11"/>
  <c r="G15" i="11"/>
  <c r="H15" i="11"/>
  <c r="I15" i="11"/>
  <c r="B14" i="11"/>
  <c r="C14" i="11"/>
  <c r="D14" i="11"/>
  <c r="E14" i="11"/>
  <c r="F14" i="11"/>
  <c r="G14" i="11"/>
  <c r="H14" i="11"/>
  <c r="I14" i="11"/>
  <c r="E7" i="16"/>
  <c r="E6" i="16"/>
  <c r="H18" i="8"/>
  <c r="H19" i="8"/>
  <c r="H20" i="8"/>
  <c r="G18" i="8"/>
  <c r="G19" i="8"/>
  <c r="G20" i="8"/>
  <c r="D18" i="8"/>
  <c r="D19" i="8"/>
  <c r="D20" i="8"/>
  <c r="C18" i="8"/>
  <c r="C19" i="8"/>
  <c r="C20" i="8"/>
  <c r="B18" i="8"/>
  <c r="B19" i="8"/>
  <c r="B20" i="8"/>
  <c r="E20" i="8" s="1"/>
  <c r="F20" i="8" s="1"/>
  <c r="B15" i="8"/>
  <c r="H8" i="8"/>
  <c r="H9" i="8"/>
  <c r="H10" i="8"/>
  <c r="G8" i="8"/>
  <c r="G9" i="8"/>
  <c r="G10" i="8"/>
  <c r="D8" i="8"/>
  <c r="D9" i="8"/>
  <c r="D10" i="8"/>
  <c r="C8" i="8"/>
  <c r="C9" i="8"/>
  <c r="C10" i="8"/>
  <c r="B8" i="8"/>
  <c r="B9" i="8"/>
  <c r="B10" i="8"/>
  <c r="B5" i="8"/>
  <c r="H26" i="4"/>
  <c r="H27" i="4"/>
  <c r="H28" i="4"/>
  <c r="H29" i="4"/>
  <c r="H30" i="4"/>
  <c r="I30" i="4" s="1"/>
  <c r="H31" i="4"/>
  <c r="I31" i="4" s="1"/>
  <c r="H32" i="4"/>
  <c r="I32" i="4" s="1"/>
  <c r="H33" i="4"/>
  <c r="I33" i="4" s="1"/>
  <c r="H18" i="4"/>
  <c r="H19" i="4"/>
  <c r="H20" i="4"/>
  <c r="H21" i="4"/>
  <c r="H22" i="4"/>
  <c r="H23" i="4"/>
  <c r="H24" i="4"/>
  <c r="H25" i="4"/>
  <c r="I25" i="4" s="1"/>
  <c r="K26" i="4"/>
  <c r="K27" i="4"/>
  <c r="K28" i="4"/>
  <c r="K29" i="4"/>
  <c r="K30" i="4"/>
  <c r="K31" i="4"/>
  <c r="K32" i="4"/>
  <c r="K33" i="4"/>
  <c r="B8" i="11" s="1"/>
  <c r="K18" i="4"/>
  <c r="K19" i="4"/>
  <c r="K20" i="4"/>
  <c r="K21" i="4"/>
  <c r="B7" i="11" s="1"/>
  <c r="K22" i="4"/>
  <c r="K23" i="4"/>
  <c r="K24" i="4"/>
  <c r="K25" i="4"/>
  <c r="J26" i="4"/>
  <c r="J27" i="4"/>
  <c r="J28" i="4"/>
  <c r="J29" i="4"/>
  <c r="J30" i="4"/>
  <c r="J31" i="4"/>
  <c r="J32" i="4"/>
  <c r="J33" i="4"/>
  <c r="J18" i="4"/>
  <c r="J19" i="4"/>
  <c r="J20" i="4"/>
  <c r="J21" i="4"/>
  <c r="J22" i="4"/>
  <c r="J23" i="4"/>
  <c r="J24" i="4"/>
  <c r="J25" i="4"/>
  <c r="D12" i="5"/>
  <c r="D11" i="5"/>
  <c r="E13" i="13"/>
  <c r="E12" i="13"/>
  <c r="E11" i="13"/>
  <c r="E10" i="13"/>
  <c r="E9" i="13"/>
  <c r="E8" i="13"/>
  <c r="E7" i="13"/>
  <c r="E6" i="13"/>
  <c r="E33" i="12"/>
  <c r="C33" i="12"/>
  <c r="C32" i="12"/>
  <c r="E32" i="12" s="1"/>
  <c r="C31" i="12"/>
  <c r="E31" i="12" s="1"/>
  <c r="E30" i="12"/>
  <c r="C30" i="12"/>
  <c r="C29" i="12"/>
  <c r="E29" i="12" s="1"/>
  <c r="C28" i="12"/>
  <c r="E28" i="12" s="1"/>
  <c r="E27" i="12"/>
  <c r="C27" i="12"/>
  <c r="E26" i="12"/>
  <c r="C26" i="12"/>
  <c r="E22" i="12"/>
  <c r="C22" i="12"/>
  <c r="C21" i="12"/>
  <c r="E21" i="12" s="1"/>
  <c r="C20" i="12"/>
  <c r="E20" i="12" s="1"/>
  <c r="E19" i="12"/>
  <c r="C19" i="12"/>
  <c r="C18" i="12"/>
  <c r="E18" i="12" s="1"/>
  <c r="C17" i="12"/>
  <c r="E17" i="12" s="1"/>
  <c r="E16" i="12"/>
  <c r="C16" i="12"/>
  <c r="E15" i="12"/>
  <c r="C15" i="12"/>
  <c r="C16" i="11"/>
  <c r="B16" i="11"/>
  <c r="D15" i="10"/>
  <c r="C15" i="10"/>
  <c r="D14" i="10"/>
  <c r="C14" i="10"/>
  <c r="B29" i="9"/>
  <c r="B28" i="9"/>
  <c r="B18" i="9"/>
  <c r="B17" i="9"/>
  <c r="B16" i="9"/>
  <c r="E18" i="8"/>
  <c r="F18" i="8" s="1"/>
  <c r="E10" i="8"/>
  <c r="F10" i="8" s="1"/>
  <c r="I10" i="8" s="1"/>
  <c r="E8" i="8"/>
  <c r="F8" i="8" s="1"/>
  <c r="I8" i="8" s="1"/>
  <c r="F27" i="7"/>
  <c r="E27" i="7"/>
  <c r="F25" i="7"/>
  <c r="E25" i="7"/>
  <c r="D24" i="7"/>
  <c r="C24" i="7"/>
  <c r="B24" i="7"/>
  <c r="F24" i="7" s="1"/>
  <c r="E23" i="7"/>
  <c r="D23" i="7"/>
  <c r="C23" i="7"/>
  <c r="B23" i="7"/>
  <c r="F23" i="7" s="1"/>
  <c r="I9" i="6"/>
  <c r="H9" i="6"/>
  <c r="G9" i="6"/>
  <c r="F9" i="6"/>
  <c r="E9" i="6"/>
  <c r="D9" i="6"/>
  <c r="C9" i="6"/>
  <c r="J8" i="6"/>
  <c r="J7" i="6"/>
  <c r="C13" i="5"/>
  <c r="C12" i="5"/>
  <c r="C11" i="5"/>
  <c r="D33" i="4"/>
  <c r="G33" i="4" s="1"/>
  <c r="D32" i="4"/>
  <c r="G32" i="4" s="1"/>
  <c r="D31" i="4"/>
  <c r="G31" i="4" s="1"/>
  <c r="D30" i="4"/>
  <c r="G30" i="4" s="1"/>
  <c r="I29" i="4"/>
  <c r="G29" i="4"/>
  <c r="D29" i="4"/>
  <c r="I28" i="4"/>
  <c r="D28" i="4"/>
  <c r="G28" i="4" s="1"/>
  <c r="I27" i="4"/>
  <c r="G27" i="4"/>
  <c r="D27" i="4"/>
  <c r="I26" i="4"/>
  <c r="G26" i="4"/>
  <c r="D26" i="4"/>
  <c r="D25" i="4"/>
  <c r="G25" i="4" s="1"/>
  <c r="I24" i="4"/>
  <c r="G24" i="4"/>
  <c r="D24" i="4"/>
  <c r="I23" i="4"/>
  <c r="D23" i="4"/>
  <c r="G23" i="4" s="1"/>
  <c r="I22" i="4"/>
  <c r="G22" i="4"/>
  <c r="D22" i="4"/>
  <c r="I21" i="4"/>
  <c r="G21" i="4"/>
  <c r="D21" i="4"/>
  <c r="I20" i="4"/>
  <c r="D20" i="4"/>
  <c r="G20" i="4" s="1"/>
  <c r="I19" i="4"/>
  <c r="G19" i="4"/>
  <c r="D19" i="4"/>
  <c r="I18" i="4"/>
  <c r="G18" i="4"/>
  <c r="D18" i="4"/>
  <c r="C12" i="4"/>
  <c r="C11" i="4"/>
  <c r="C10" i="4"/>
  <c r="C9" i="4"/>
  <c r="C8" i="4"/>
  <c r="C7" i="4"/>
  <c r="J62" i="3"/>
  <c r="I62" i="3"/>
  <c r="H62" i="3"/>
  <c r="G62" i="3"/>
  <c r="F62" i="3"/>
  <c r="E62" i="3"/>
  <c r="D62" i="3"/>
  <c r="C62" i="3"/>
  <c r="B62" i="3"/>
  <c r="J59" i="3"/>
  <c r="J58" i="3"/>
  <c r="J56" i="3"/>
  <c r="J15" i="2"/>
  <c r="J13" i="2"/>
  <c r="I51" i="3" s="1"/>
  <c r="J8" i="2"/>
  <c r="I21" i="3" s="1"/>
  <c r="J6" i="2"/>
  <c r="E98" i="1"/>
  <c r="E97" i="1"/>
  <c r="E96" i="1"/>
  <c r="E95" i="1"/>
  <c r="E94" i="1"/>
  <c r="E93" i="1"/>
  <c r="E92" i="1"/>
  <c r="E91" i="1"/>
  <c r="C54" i="1"/>
  <c r="C53" i="1"/>
  <c r="C52" i="1"/>
  <c r="C51" i="1"/>
  <c r="C50" i="1"/>
  <c r="C49" i="1"/>
  <c r="C48" i="1"/>
  <c r="C47" i="1"/>
  <c r="C46" i="1"/>
  <c r="C44" i="1"/>
  <c r="C43" i="1"/>
  <c r="J6" i="1"/>
  <c r="B14" i="14" l="1"/>
  <c r="C15" i="2" s="1"/>
  <c r="I14" i="14"/>
  <c r="H15" i="14" s="1"/>
  <c r="G16" i="14" s="1"/>
  <c r="F17" i="14" s="1"/>
  <c r="E18" i="14" s="1"/>
  <c r="H14" i="14"/>
  <c r="G14" i="14"/>
  <c r="F15" i="14" s="1"/>
  <c r="E16" i="14" s="1"/>
  <c r="D17" i="14" s="1"/>
  <c r="C18" i="14" s="1"/>
  <c r="E14" i="14"/>
  <c r="F14" i="14"/>
  <c r="G15" i="2" s="1"/>
  <c r="D14" i="14"/>
  <c r="E15" i="2" s="1"/>
  <c r="E15" i="14"/>
  <c r="D16" i="14" s="1"/>
  <c r="C17" i="14" s="1"/>
  <c r="B18" i="14" s="1"/>
  <c r="C6" i="2" s="1"/>
  <c r="B15" i="14"/>
  <c r="E15" i="10"/>
  <c r="F15" i="10" s="1"/>
  <c r="E14" i="10"/>
  <c r="F14" i="10" s="1"/>
  <c r="B21" i="8"/>
  <c r="B11" i="8"/>
  <c r="E16" i="11"/>
  <c r="D16" i="11"/>
  <c r="I8" i="11"/>
  <c r="H8" i="11"/>
  <c r="H9" i="11" s="1"/>
  <c r="G8" i="11"/>
  <c r="F8" i="11"/>
  <c r="E8" i="11"/>
  <c r="D8" i="11"/>
  <c r="C8" i="11"/>
  <c r="I7" i="11"/>
  <c r="H7" i="11"/>
  <c r="G7" i="11"/>
  <c r="E7" i="11"/>
  <c r="F7" i="11"/>
  <c r="D7" i="11"/>
  <c r="C7" i="11"/>
  <c r="F16" i="11"/>
  <c r="G16" i="11"/>
  <c r="H16" i="11"/>
  <c r="I16" i="11"/>
  <c r="B12" i="5"/>
  <c r="C22" i="10"/>
  <c r="C20" i="10"/>
  <c r="B11" i="5"/>
  <c r="F6" i="16"/>
  <c r="G6" i="16" s="1"/>
  <c r="J12" i="2"/>
  <c r="I45" i="3" s="1"/>
  <c r="J7" i="2"/>
  <c r="J9" i="2"/>
  <c r="I27" i="3" s="1"/>
  <c r="J11" i="2"/>
  <c r="I39" i="3" s="1"/>
  <c r="J14" i="11"/>
  <c r="J15" i="11"/>
  <c r="F7" i="16"/>
  <c r="G7" i="16" s="1"/>
  <c r="B7" i="9"/>
  <c r="C25" i="4"/>
  <c r="E25" i="4" s="1"/>
  <c r="I9" i="3"/>
  <c r="E24" i="7"/>
  <c r="D13" i="5"/>
  <c r="I15" i="2" l="1"/>
  <c r="G15" i="14"/>
  <c r="F16" i="14" s="1"/>
  <c r="E17" i="14" s="1"/>
  <c r="D18" i="14" s="1"/>
  <c r="H15" i="2"/>
  <c r="C15" i="14"/>
  <c r="F15" i="2"/>
  <c r="K15" i="2" s="1"/>
  <c r="D15" i="14"/>
  <c r="C16" i="14" s="1"/>
  <c r="B17" i="14" s="1"/>
  <c r="C7" i="2" s="1"/>
  <c r="D7" i="2" s="1"/>
  <c r="E7" i="2" s="1"/>
  <c r="F7" i="2" s="1"/>
  <c r="G7" i="2" s="1"/>
  <c r="H7" i="2" s="1"/>
  <c r="I7" i="2" s="1"/>
  <c r="D6" i="2"/>
  <c r="C13" i="2"/>
  <c r="B51" i="3" s="1"/>
  <c r="B52" i="3" s="1"/>
  <c r="C9" i="2"/>
  <c r="C8" i="2"/>
  <c r="C10" i="2"/>
  <c r="B33" i="3" s="1"/>
  <c r="B34" i="3" s="1"/>
  <c r="B22" i="15" s="1"/>
  <c r="B33" i="15" s="1"/>
  <c r="C11" i="2"/>
  <c r="D11" i="2" s="1"/>
  <c r="C12" i="2"/>
  <c r="B45" i="3" s="1"/>
  <c r="B16" i="14"/>
  <c r="E6" i="2"/>
  <c r="F6" i="2" s="1"/>
  <c r="G6" i="2" s="1"/>
  <c r="H6" i="2" s="1"/>
  <c r="I6" i="2" s="1"/>
  <c r="H15" i="10"/>
  <c r="I15" i="10" s="1"/>
  <c r="F23" i="10" s="1"/>
  <c r="H14" i="10"/>
  <c r="I14" i="10" s="1"/>
  <c r="B9" i="3"/>
  <c r="B10" i="3" s="1"/>
  <c r="B18" i="15" s="1"/>
  <c r="B29" i="15" s="1"/>
  <c r="C18" i="4"/>
  <c r="E18" i="4" s="1"/>
  <c r="I9" i="11"/>
  <c r="J8" i="11"/>
  <c r="J7" i="11"/>
  <c r="F9" i="11"/>
  <c r="D9" i="11"/>
  <c r="E9" i="11"/>
  <c r="G9" i="11"/>
  <c r="C9" i="11"/>
  <c r="J16" i="11"/>
  <c r="C23" i="10"/>
  <c r="G22" i="10"/>
  <c r="E23" i="10"/>
  <c r="C21" i="10"/>
  <c r="G20" i="10"/>
  <c r="C33" i="4"/>
  <c r="E33" i="4" s="1"/>
  <c r="I15" i="3"/>
  <c r="D12" i="2" l="1"/>
  <c r="B15" i="3"/>
  <c r="D8" i="2"/>
  <c r="E8" i="2" s="1"/>
  <c r="D9" i="2"/>
  <c r="E9" i="2" s="1"/>
  <c r="F9" i="2" s="1"/>
  <c r="G9" i="2" s="1"/>
  <c r="H9" i="2" s="1"/>
  <c r="D13" i="2"/>
  <c r="E12" i="2"/>
  <c r="F12" i="2" s="1"/>
  <c r="G12" i="2" s="1"/>
  <c r="H12" i="2" s="1"/>
  <c r="I12" i="2" s="1"/>
  <c r="B27" i="3"/>
  <c r="B28" i="3" s="1"/>
  <c r="B21" i="15" s="1"/>
  <c r="B32" i="15" s="1"/>
  <c r="C27" i="3"/>
  <c r="B21" i="3"/>
  <c r="B22" i="3" s="1"/>
  <c r="B20" i="15" s="1"/>
  <c r="B31" i="15" s="1"/>
  <c r="E11" i="2"/>
  <c r="F11" i="2" s="1"/>
  <c r="G11" i="2" s="1"/>
  <c r="H11" i="2" s="1"/>
  <c r="I11" i="2" s="1"/>
  <c r="C26" i="4"/>
  <c r="E26" i="4" s="1"/>
  <c r="C31" i="3"/>
  <c r="C39" i="3"/>
  <c r="C45" i="3"/>
  <c r="D10" i="2"/>
  <c r="F27" i="3"/>
  <c r="C51" i="3"/>
  <c r="E13" i="2"/>
  <c r="B39" i="3"/>
  <c r="B40" i="3" s="1"/>
  <c r="B23" i="15" s="1"/>
  <c r="B34" i="15" s="1"/>
  <c r="B25" i="15"/>
  <c r="B36" i="15" s="1"/>
  <c r="C49" i="3"/>
  <c r="G23" i="10"/>
  <c r="B26" i="7"/>
  <c r="C26" i="7"/>
  <c r="D26" i="7"/>
  <c r="F21" i="10"/>
  <c r="G21" i="10"/>
  <c r="C9" i="3"/>
  <c r="C19" i="4"/>
  <c r="E19" i="4" s="1"/>
  <c r="C27" i="4"/>
  <c r="E27" i="4" s="1"/>
  <c r="C15" i="3"/>
  <c r="B21" i="11"/>
  <c r="B46" i="3"/>
  <c r="B24" i="15" s="1"/>
  <c r="B35" i="15" s="1"/>
  <c r="E21" i="10"/>
  <c r="C7" i="3"/>
  <c r="B16" i="3"/>
  <c r="B19" i="15" s="1"/>
  <c r="B30" i="15" s="1"/>
  <c r="C25" i="3" l="1"/>
  <c r="C28" i="3" s="1"/>
  <c r="C21" i="3"/>
  <c r="D27" i="3"/>
  <c r="E27" i="3"/>
  <c r="E45" i="3"/>
  <c r="D45" i="3"/>
  <c r="C19" i="3"/>
  <c r="C22" i="3" s="1"/>
  <c r="C20" i="15" s="1"/>
  <c r="C31" i="15" s="1"/>
  <c r="D39" i="3"/>
  <c r="E39" i="3"/>
  <c r="C52" i="3"/>
  <c r="F8" i="2"/>
  <c r="D21" i="3"/>
  <c r="F13" i="2"/>
  <c r="D51" i="3"/>
  <c r="I9" i="2"/>
  <c r="H27" i="3" s="1"/>
  <c r="G27" i="3"/>
  <c r="E10" i="2"/>
  <c r="C33" i="3"/>
  <c r="C34" i="3" s="1"/>
  <c r="F26" i="7"/>
  <c r="E26" i="7"/>
  <c r="F45" i="3"/>
  <c r="F39" i="3"/>
  <c r="C43" i="3"/>
  <c r="C46" i="3" s="1"/>
  <c r="C24" i="15" s="1"/>
  <c r="C35" i="15" s="1"/>
  <c r="C20" i="4"/>
  <c r="E20" i="4" s="1"/>
  <c r="D9" i="3"/>
  <c r="C28" i="4"/>
  <c r="E28" i="4" s="1"/>
  <c r="D15" i="3"/>
  <c r="B22" i="11"/>
  <c r="B23" i="11" s="1"/>
  <c r="C10" i="3"/>
  <c r="C18" i="15" s="1"/>
  <c r="C29" i="15" s="1"/>
  <c r="C37" i="3"/>
  <c r="C40" i="3" s="1"/>
  <c r="C23" i="15" s="1"/>
  <c r="C34" i="15" s="1"/>
  <c r="C13" i="3"/>
  <c r="C21" i="15" l="1"/>
  <c r="C32" i="15" s="1"/>
  <c r="D25" i="3"/>
  <c r="D28" i="3" s="1"/>
  <c r="D21" i="15" s="1"/>
  <c r="D32" i="15" s="1"/>
  <c r="D19" i="3"/>
  <c r="D22" i="3"/>
  <c r="D20" i="15" s="1"/>
  <c r="D31" i="15" s="1"/>
  <c r="G13" i="2"/>
  <c r="E51" i="3"/>
  <c r="K9" i="2"/>
  <c r="C22" i="15"/>
  <c r="C33" i="15" s="1"/>
  <c r="D31" i="3"/>
  <c r="D34" i="3" s="1"/>
  <c r="G8" i="2"/>
  <c r="E21" i="3"/>
  <c r="F10" i="2"/>
  <c r="D33" i="3"/>
  <c r="C25" i="15"/>
  <c r="C36" i="15" s="1"/>
  <c r="D49" i="3"/>
  <c r="D52" i="3" s="1"/>
  <c r="H45" i="3"/>
  <c r="G45" i="3"/>
  <c r="K12" i="2"/>
  <c r="D37" i="3"/>
  <c r="D40" i="3" s="1"/>
  <c r="D23" i="15" s="1"/>
  <c r="D34" i="15" s="1"/>
  <c r="D43" i="3"/>
  <c r="D46" i="3" s="1"/>
  <c r="D24" i="15" s="1"/>
  <c r="D35" i="15" s="1"/>
  <c r="C29" i="4"/>
  <c r="E29" i="4" s="1"/>
  <c r="E15" i="3"/>
  <c r="G39" i="3"/>
  <c r="D7" i="3"/>
  <c r="D10" i="3" s="1"/>
  <c r="D18" i="15" s="1"/>
  <c r="D29" i="15" s="1"/>
  <c r="E25" i="3"/>
  <c r="E28" i="3" s="1"/>
  <c r="E21" i="15" s="1"/>
  <c r="E32" i="15" s="1"/>
  <c r="E9" i="3"/>
  <c r="C21" i="4"/>
  <c r="E21" i="4" s="1"/>
  <c r="C21" i="11"/>
  <c r="C16" i="3"/>
  <c r="C19" i="15" s="1"/>
  <c r="C30" i="15" s="1"/>
  <c r="E19" i="3" l="1"/>
  <c r="E22" i="3" s="1"/>
  <c r="E20" i="15" s="1"/>
  <c r="E31" i="15" s="1"/>
  <c r="H8" i="2"/>
  <c r="F21" i="3"/>
  <c r="D22" i="15"/>
  <c r="D33" i="15" s="1"/>
  <c r="E31" i="3"/>
  <c r="D25" i="15"/>
  <c r="D36" i="15" s="1"/>
  <c r="E49" i="3"/>
  <c r="E52" i="3" s="1"/>
  <c r="B8" i="4"/>
  <c r="D8" i="4" s="1"/>
  <c r="E8" i="4" s="1"/>
  <c r="C94" i="1"/>
  <c r="G10" i="2"/>
  <c r="E33" i="3"/>
  <c r="H13" i="2"/>
  <c r="F51" i="3"/>
  <c r="C97" i="1"/>
  <c r="D97" i="1" s="1"/>
  <c r="B11" i="4"/>
  <c r="D11" i="4" s="1"/>
  <c r="E11" i="4" s="1"/>
  <c r="F9" i="3"/>
  <c r="C22" i="4"/>
  <c r="E22" i="4" s="1"/>
  <c r="H39" i="3"/>
  <c r="K11" i="2"/>
  <c r="C96" i="1" s="1"/>
  <c r="E43" i="3"/>
  <c r="E46" i="3" s="1"/>
  <c r="E24" i="15" s="1"/>
  <c r="E35" i="15" s="1"/>
  <c r="D13" i="3"/>
  <c r="D16" i="3" s="1"/>
  <c r="D19" i="15" s="1"/>
  <c r="D30" i="15" s="1"/>
  <c r="F15" i="3"/>
  <c r="C30" i="4"/>
  <c r="E30" i="4" s="1"/>
  <c r="E37" i="3"/>
  <c r="E40" i="3" s="1"/>
  <c r="E23" i="15" s="1"/>
  <c r="E34" i="15" s="1"/>
  <c r="F25" i="3"/>
  <c r="F28" i="3" s="1"/>
  <c r="F21" i="15" s="1"/>
  <c r="F32" i="15" s="1"/>
  <c r="C22" i="11"/>
  <c r="C23" i="11" s="1"/>
  <c r="C26" i="11" s="1"/>
  <c r="E7" i="3"/>
  <c r="E10" i="3" s="1"/>
  <c r="E18" i="15" s="1"/>
  <c r="E29" i="15" s="1"/>
  <c r="D21" i="11"/>
  <c r="F19" i="3" l="1"/>
  <c r="F22" i="3" s="1"/>
  <c r="F20" i="15" s="1"/>
  <c r="F31" i="15" s="1"/>
  <c r="E34" i="3"/>
  <c r="E60" i="3" s="1"/>
  <c r="D94" i="1"/>
  <c r="E57" i="3" s="1"/>
  <c r="E22" i="15"/>
  <c r="E33" i="15" s="1"/>
  <c r="F31" i="3"/>
  <c r="F8" i="4"/>
  <c r="I8" i="4" s="1"/>
  <c r="H8" i="4"/>
  <c r="B6" i="5" s="1"/>
  <c r="F6" i="5" s="1"/>
  <c r="C7" i="12"/>
  <c r="E7" i="12" s="1"/>
  <c r="I13" i="2"/>
  <c r="H51" i="3" s="1"/>
  <c r="G51" i="3"/>
  <c r="H10" i="2"/>
  <c r="F33" i="3"/>
  <c r="C57" i="3"/>
  <c r="D57" i="3"/>
  <c r="E25" i="15"/>
  <c r="E36" i="15" s="1"/>
  <c r="F49" i="3"/>
  <c r="F52" i="3" s="1"/>
  <c r="I8" i="2"/>
  <c r="H21" i="3" s="1"/>
  <c r="G21" i="3"/>
  <c r="H11" i="4"/>
  <c r="B9" i="5" s="1"/>
  <c r="F9" i="5" s="1"/>
  <c r="C10" i="12"/>
  <c r="E10" i="12" s="1"/>
  <c r="F11" i="4"/>
  <c r="I11" i="4" s="1"/>
  <c r="D60" i="3"/>
  <c r="B60" i="3"/>
  <c r="C60" i="3"/>
  <c r="G19" i="3"/>
  <c r="G15" i="3"/>
  <c r="C31" i="4"/>
  <c r="E31" i="4" s="1"/>
  <c r="C23" i="4"/>
  <c r="E23" i="4" s="1"/>
  <c r="G9" i="3"/>
  <c r="F37" i="3"/>
  <c r="F40" i="3" s="1"/>
  <c r="F23" i="15" s="1"/>
  <c r="F34" i="15" s="1"/>
  <c r="E13" i="3"/>
  <c r="E16" i="3" s="1"/>
  <c r="E19" i="15" s="1"/>
  <c r="E30" i="15" s="1"/>
  <c r="F43" i="3"/>
  <c r="F46" i="3" s="1"/>
  <c r="F24" i="15" s="1"/>
  <c r="F35" i="15" s="1"/>
  <c r="D96" i="1"/>
  <c r="B10" i="4"/>
  <c r="D10" i="4" s="1"/>
  <c r="E10" i="4" s="1"/>
  <c r="J61" i="3"/>
  <c r="G25" i="3"/>
  <c r="G28" i="3" s="1"/>
  <c r="G21" i="15" s="1"/>
  <c r="G32" i="15" s="1"/>
  <c r="F7" i="3"/>
  <c r="F10" i="3" s="1"/>
  <c r="F18" i="15" s="1"/>
  <c r="F29" i="15" s="1"/>
  <c r="D22" i="11"/>
  <c r="D23" i="11" s="1"/>
  <c r="D26" i="11" s="1"/>
  <c r="E21" i="11"/>
  <c r="B57" i="3" l="1"/>
  <c r="F34" i="3"/>
  <c r="F60" i="3" s="1"/>
  <c r="G57" i="3"/>
  <c r="F57" i="3"/>
  <c r="K8" i="2"/>
  <c r="C93" i="1" s="1"/>
  <c r="D93" i="1" s="1"/>
  <c r="I10" i="2"/>
  <c r="H33" i="3" s="1"/>
  <c r="G33" i="3"/>
  <c r="F25" i="15"/>
  <c r="F36" i="15" s="1"/>
  <c r="G49" i="3"/>
  <c r="G52" i="3" s="1"/>
  <c r="F22" i="15"/>
  <c r="F33" i="15" s="1"/>
  <c r="G31" i="3"/>
  <c r="K13" i="2"/>
  <c r="G22" i="3"/>
  <c r="G20" i="15" s="1"/>
  <c r="G31" i="15" s="1"/>
  <c r="H9" i="3"/>
  <c r="J55" i="3" s="1"/>
  <c r="C24" i="4"/>
  <c r="E24" i="4" s="1"/>
  <c r="G7" i="3"/>
  <c r="G10" i="3" s="1"/>
  <c r="G18" i="15" s="1"/>
  <c r="G29" i="15" s="1"/>
  <c r="C9" i="12"/>
  <c r="E9" i="12" s="1"/>
  <c r="F10" i="4"/>
  <c r="I10" i="4" s="1"/>
  <c r="H10" i="4"/>
  <c r="F13" i="3"/>
  <c r="F16" i="3" s="1"/>
  <c r="F19" i="15" s="1"/>
  <c r="F30" i="15" s="1"/>
  <c r="H25" i="3"/>
  <c r="H28" i="3" s="1"/>
  <c r="H21" i="15" s="1"/>
  <c r="H32" i="15" s="1"/>
  <c r="D59" i="3"/>
  <c r="E59" i="3"/>
  <c r="F59" i="3"/>
  <c r="I59" i="3"/>
  <c r="G59" i="3"/>
  <c r="H59" i="3"/>
  <c r="C59" i="3"/>
  <c r="B59" i="3"/>
  <c r="C32" i="4"/>
  <c r="E32" i="4" s="1"/>
  <c r="H15" i="3"/>
  <c r="K7" i="2"/>
  <c r="C92" i="1" s="1"/>
  <c r="D92" i="1" s="1"/>
  <c r="G55" i="3" s="1"/>
  <c r="G37" i="3"/>
  <c r="G40" i="3" s="1"/>
  <c r="G23" i="15" s="1"/>
  <c r="G34" i="15" s="1"/>
  <c r="G43" i="3"/>
  <c r="G46" i="3" s="1"/>
  <c r="G24" i="15" s="1"/>
  <c r="G35" i="15" s="1"/>
  <c r="K6" i="2"/>
  <c r="C91" i="1" s="1"/>
  <c r="D91" i="1" s="1"/>
  <c r="E22" i="11"/>
  <c r="E23" i="11" s="1"/>
  <c r="E26" i="11" s="1"/>
  <c r="F21" i="11"/>
  <c r="B7" i="4" l="1"/>
  <c r="D7" i="4" s="1"/>
  <c r="E7" i="4" s="1"/>
  <c r="G34" i="3"/>
  <c r="G22" i="15" s="1"/>
  <c r="G33" i="15" s="1"/>
  <c r="K10" i="2"/>
  <c r="C95" i="1" s="1"/>
  <c r="D95" i="1" s="1"/>
  <c r="G56" i="3"/>
  <c r="F56" i="3"/>
  <c r="D56" i="3"/>
  <c r="H56" i="3"/>
  <c r="B56" i="3"/>
  <c r="C56" i="3"/>
  <c r="E56" i="3"/>
  <c r="I56" i="3"/>
  <c r="G25" i="15"/>
  <c r="G36" i="15" s="1"/>
  <c r="H49" i="3"/>
  <c r="H52" i="3" s="1"/>
  <c r="H19" i="3"/>
  <c r="H22" i="3" s="1"/>
  <c r="H20" i="15" s="1"/>
  <c r="H31" i="15" s="1"/>
  <c r="B12" i="4"/>
  <c r="D12" i="4" s="1"/>
  <c r="E12" i="4" s="1"/>
  <c r="C98" i="1"/>
  <c r="D98" i="1" s="1"/>
  <c r="G60" i="3"/>
  <c r="B9" i="4"/>
  <c r="D9" i="4" s="1"/>
  <c r="E9" i="4" s="1"/>
  <c r="H7" i="4"/>
  <c r="B5" i="5" s="1"/>
  <c r="F5" i="5" s="1"/>
  <c r="F7" i="4"/>
  <c r="I7" i="4" s="1"/>
  <c r="C6" i="12"/>
  <c r="E6" i="12" s="1"/>
  <c r="I25" i="3"/>
  <c r="I28" i="3" s="1"/>
  <c r="I21" i="15" s="1"/>
  <c r="I32" i="15" s="1"/>
  <c r="H7" i="3"/>
  <c r="H10" i="3" s="1"/>
  <c r="H18" i="15" s="1"/>
  <c r="H29" i="15" s="1"/>
  <c r="H43" i="3"/>
  <c r="H46" i="3" s="1"/>
  <c r="H24" i="15" s="1"/>
  <c r="H35" i="15" s="1"/>
  <c r="H37" i="3"/>
  <c r="H40" i="3" s="1"/>
  <c r="H23" i="15" s="1"/>
  <c r="H34" i="15" s="1"/>
  <c r="C55" i="3"/>
  <c r="B55" i="3"/>
  <c r="I55" i="3"/>
  <c r="D55" i="3"/>
  <c r="E55" i="3"/>
  <c r="F55" i="3"/>
  <c r="G13" i="3"/>
  <c r="G16" i="3" s="1"/>
  <c r="G19" i="15" s="1"/>
  <c r="G30" i="15" s="1"/>
  <c r="B8" i="5"/>
  <c r="H55" i="3"/>
  <c r="F22" i="11"/>
  <c r="F23" i="11" s="1"/>
  <c r="F26" i="11" s="1"/>
  <c r="G21" i="11"/>
  <c r="H31" i="3" l="1"/>
  <c r="H34" i="3" s="1"/>
  <c r="I19" i="3"/>
  <c r="J57" i="3" s="1"/>
  <c r="H57" i="3"/>
  <c r="H22" i="15"/>
  <c r="H33" i="15" s="1"/>
  <c r="I31" i="3"/>
  <c r="I34" i="3" s="1"/>
  <c r="H60" i="3"/>
  <c r="C11" i="12"/>
  <c r="E11" i="12" s="1"/>
  <c r="F12" i="4"/>
  <c r="I12" i="4" s="1"/>
  <c r="H12" i="4"/>
  <c r="B10" i="5" s="1"/>
  <c r="F10" i="5" s="1"/>
  <c r="G61" i="3"/>
  <c r="H61" i="3"/>
  <c r="C61" i="3"/>
  <c r="E61" i="3"/>
  <c r="D61" i="3"/>
  <c r="F61" i="3"/>
  <c r="I61" i="3"/>
  <c r="B61" i="3"/>
  <c r="H9" i="4"/>
  <c r="F9" i="4"/>
  <c r="I9" i="4" s="1"/>
  <c r="C8" i="12"/>
  <c r="E8" i="12" s="1"/>
  <c r="E58" i="3"/>
  <c r="G58" i="3"/>
  <c r="D58" i="3"/>
  <c r="C58" i="3"/>
  <c r="I58" i="3"/>
  <c r="H58" i="3"/>
  <c r="B58" i="3"/>
  <c r="F58" i="3"/>
  <c r="H25" i="15"/>
  <c r="H36" i="15" s="1"/>
  <c r="I49" i="3"/>
  <c r="I52" i="3" s="1"/>
  <c r="I25" i="15" s="1"/>
  <c r="I36" i="15" s="1"/>
  <c r="J60" i="3"/>
  <c r="B27" i="9" s="1"/>
  <c r="I57" i="3"/>
  <c r="I22" i="3"/>
  <c r="I20" i="15" s="1"/>
  <c r="I31" i="15" s="1"/>
  <c r="H13" i="3"/>
  <c r="H16" i="3" s="1"/>
  <c r="H19" i="15" s="1"/>
  <c r="H30" i="15" s="1"/>
  <c r="I43" i="3"/>
  <c r="I46" i="3" s="1"/>
  <c r="I24" i="15" s="1"/>
  <c r="I35" i="15" s="1"/>
  <c r="F8" i="5"/>
  <c r="I7" i="3"/>
  <c r="I10" i="3" s="1"/>
  <c r="I18" i="15" s="1"/>
  <c r="I29" i="15" s="1"/>
  <c r="I37" i="3"/>
  <c r="I40" i="3" s="1"/>
  <c r="I23" i="15" s="1"/>
  <c r="I34" i="15" s="1"/>
  <c r="G22" i="11"/>
  <c r="G23" i="11" s="1"/>
  <c r="G26" i="11" s="1"/>
  <c r="H21" i="11"/>
  <c r="I22" i="15" l="1"/>
  <c r="I33" i="15" s="1"/>
  <c r="I60" i="3"/>
  <c r="B7" i="5"/>
  <c r="H13" i="4"/>
  <c r="E11" i="5"/>
  <c r="F11" i="5" s="1"/>
  <c r="I13" i="3"/>
  <c r="I16" i="3" s="1"/>
  <c r="I19" i="15" s="1"/>
  <c r="I30" i="15" s="1"/>
  <c r="H22" i="11"/>
  <c r="H23" i="11" s="1"/>
  <c r="H26" i="11" s="1"/>
  <c r="I21" i="11"/>
  <c r="J21" i="11" s="1"/>
  <c r="B6" i="11" l="1"/>
  <c r="B6" i="6"/>
  <c r="F7" i="5"/>
  <c r="B13" i="5"/>
  <c r="E12" i="5"/>
  <c r="F12" i="5" s="1"/>
  <c r="I22" i="11"/>
  <c r="I23" i="11" s="1"/>
  <c r="I26" i="11" s="1"/>
  <c r="F13" i="5" l="1"/>
  <c r="B31" i="7" s="1"/>
  <c r="B9" i="6"/>
  <c r="J6" i="6"/>
  <c r="B9" i="11"/>
  <c r="B26" i="11" s="1"/>
  <c r="B33" i="11" s="1"/>
  <c r="J6" i="11"/>
  <c r="J9" i="11" s="1"/>
  <c r="E13" i="5"/>
  <c r="J22" i="11"/>
  <c r="J23" i="11" s="1"/>
  <c r="B22" i="7" l="1"/>
  <c r="C22" i="7"/>
  <c r="B26" i="10"/>
  <c r="D65" i="10" s="1"/>
  <c r="B5" i="9"/>
  <c r="D22" i="7"/>
  <c r="F22" i="7" s="1"/>
  <c r="B31" i="11"/>
  <c r="B32" i="11"/>
  <c r="B30" i="11"/>
  <c r="C31" i="7" s="1"/>
  <c r="B8" i="9"/>
  <c r="J9" i="6"/>
  <c r="B6" i="9" s="1"/>
  <c r="D112" i="10"/>
  <c r="D121" i="10"/>
  <c r="D97" i="10"/>
  <c r="D92" i="10"/>
  <c r="D81" i="10"/>
  <c r="D66" i="10"/>
  <c r="D83" i="10"/>
  <c r="D128" i="10"/>
  <c r="D43" i="10"/>
  <c r="D129" i="10"/>
  <c r="D126" i="10"/>
  <c r="D122" i="10"/>
  <c r="D37" i="10"/>
  <c r="D31" i="10"/>
  <c r="D113" i="10"/>
  <c r="D91" i="10"/>
  <c r="D60" i="10"/>
  <c r="D44" i="10"/>
  <c r="D90" i="10"/>
  <c r="D104" i="10"/>
  <c r="D45" i="10"/>
  <c r="J26" i="11"/>
  <c r="D46" i="10" l="1"/>
  <c r="D116" i="10"/>
  <c r="D51" i="10"/>
  <c r="D49" i="10"/>
  <c r="D123" i="10"/>
  <c r="D100" i="10"/>
  <c r="D96" i="10"/>
  <c r="D48" i="10"/>
  <c r="D130" i="10"/>
  <c r="D64" i="10"/>
  <c r="D68" i="10"/>
  <c r="D38" i="10"/>
  <c r="D32" i="10"/>
  <c r="D71" i="10"/>
  <c r="D40" i="10"/>
  <c r="D101" i="10"/>
  <c r="D69" i="10"/>
  <c r="D108" i="10"/>
  <c r="D67" i="10"/>
  <c r="D127" i="10"/>
  <c r="D105" i="10"/>
  <c r="D115" i="10"/>
  <c r="D61" i="10"/>
  <c r="D55" i="10"/>
  <c r="D106" i="10"/>
  <c r="D86" i="10"/>
  <c r="D95" i="10"/>
  <c r="D117" i="10"/>
  <c r="D79" i="10"/>
  <c r="D124" i="10"/>
  <c r="D84" i="10"/>
  <c r="D56" i="10"/>
  <c r="D36" i="10"/>
  <c r="D63" i="10"/>
  <c r="D103" i="10"/>
  <c r="D73" i="10"/>
  <c r="D62" i="10"/>
  <c r="D87" i="10"/>
  <c r="D74" i="10"/>
  <c r="D88" i="10"/>
  <c r="D54" i="10"/>
  <c r="D42" i="10"/>
  <c r="E22" i="7"/>
  <c r="D75" i="10"/>
  <c r="D33" i="10"/>
  <c r="D85" i="10"/>
  <c r="D82" i="10"/>
  <c r="D39" i="10"/>
  <c r="D107" i="10"/>
  <c r="D102" i="10"/>
  <c r="D99" i="10"/>
  <c r="D89" i="10"/>
  <c r="D119" i="10"/>
  <c r="D76" i="10"/>
  <c r="D78" i="10"/>
  <c r="D94" i="10"/>
  <c r="D50" i="10"/>
  <c r="D110" i="10"/>
  <c r="D77" i="10"/>
  <c r="D109" i="10"/>
  <c r="D34" i="10"/>
  <c r="D98" i="10"/>
  <c r="D47" i="10"/>
  <c r="D80" i="10"/>
  <c r="D118" i="10"/>
  <c r="D41" i="10"/>
  <c r="D52" i="10"/>
  <c r="D93" i="10"/>
  <c r="D111" i="10"/>
  <c r="D58" i="10"/>
  <c r="D35" i="10"/>
  <c r="D57" i="10"/>
  <c r="D114" i="10"/>
  <c r="D72" i="10"/>
  <c r="D70" i="10"/>
  <c r="D53" i="10"/>
  <c r="D59" i="10"/>
  <c r="D125" i="10"/>
  <c r="D120" i="10"/>
  <c r="D132" i="10" l="1"/>
  <c r="D133" i="10"/>
</calcChain>
</file>

<file path=xl/sharedStrings.xml><?xml version="1.0" encoding="utf-8"?>
<sst xmlns="http://schemas.openxmlformats.org/spreadsheetml/2006/main" count="861" uniqueCount="333">
  <si>
    <t>INPUTS - PURCHASING MANAGER</t>
  </si>
  <si>
    <t>Solo inputs manuales. AZUL = modificar según tu estrategia. Sin fórmulas en esta hoja.</t>
  </si>
  <si>
    <t>1. PRODUCCIÓN PLANEADA POR QUINCENA (Electroclean)</t>
  </si>
  <si>
    <t>Quincena →</t>
  </si>
  <si>
    <t>Q1</t>
  </si>
  <si>
    <t>Q2</t>
  </si>
  <si>
    <t>Q3</t>
  </si>
  <si>
    <t>Q4</t>
  </si>
  <si>
    <t>Q5</t>
  </si>
  <si>
    <t>Q6</t>
  </si>
  <si>
    <t>Q7</t>
  </si>
  <si>
    <t>Q8</t>
  </si>
  <si>
    <t>TOTAL</t>
  </si>
  <si>
    <t>Producción EC</t>
  </si>
  <si>
    <t>2. INVENTARIO INICIAL (Fin Periodo Anterior)</t>
  </si>
  <si>
    <t>Material</t>
  </si>
  <si>
    <t>Inventario Inicial</t>
  </si>
  <si>
    <t>Unidad</t>
  </si>
  <si>
    <t>Fuente</t>
  </si>
  <si>
    <t>Parte A</t>
  </si>
  <si>
    <t>unidades</t>
  </si>
  <si>
    <t>Fin Periodo 6</t>
  </si>
  <si>
    <t>Parte B</t>
  </si>
  <si>
    <t>Pieza 1</t>
  </si>
  <si>
    <t>Pieza 2</t>
  </si>
  <si>
    <t>Pieza 3</t>
  </si>
  <si>
    <t>Pieza 4</t>
  </si>
  <si>
    <t>Pieza 5</t>
  </si>
  <si>
    <t>Pieza 6</t>
  </si>
  <si>
    <t>3. BILL OF MATERIALS (BOM) - Consumo por Electroclean</t>
  </si>
  <si>
    <t>Consumo por EC</t>
  </si>
  <si>
    <t>Observaciones</t>
  </si>
  <si>
    <t>unidades/EC</t>
  </si>
  <si>
    <t>1:1</t>
  </si>
  <si>
    <t>1:5</t>
  </si>
  <si>
    <t>1:100</t>
  </si>
  <si>
    <t>8:1</t>
  </si>
  <si>
    <t>30%</t>
  </si>
  <si>
    <t>60%</t>
  </si>
  <si>
    <t>2:1</t>
  </si>
  <si>
    <t>75%</t>
  </si>
  <si>
    <t>4. BATCH SIZES (Tamaño de Lote)</t>
  </si>
  <si>
    <t>Batch Size</t>
  </si>
  <si>
    <t>MOQ (Min Order)</t>
  </si>
  <si>
    <t>-</t>
  </si>
  <si>
    <t>Lote fijo</t>
  </si>
  <si>
    <t>Individual</t>
  </si>
  <si>
    <t>Caja 100</t>
  </si>
  <si>
    <t>Lote 30</t>
  </si>
  <si>
    <t>Lote 60</t>
  </si>
  <si>
    <t>Lote 100</t>
  </si>
  <si>
    <t>Pallet 150</t>
  </si>
  <si>
    <t>5. PRECIOS POR BATCH</t>
  </si>
  <si>
    <t>Moneda</t>
  </si>
  <si>
    <t>$</t>
  </si>
  <si>
    <t>6. ORDERING COST &amp; HOLDING COST</t>
  </si>
  <si>
    <t>Ordering Cost</t>
  </si>
  <si>
    <t>Holding Cost/U/Q</t>
  </si>
  <si>
    <t>Notas</t>
  </si>
  <si>
    <t>Por pedido / Por unidad-quincena</t>
  </si>
  <si>
    <t>Piezas 1-6</t>
  </si>
  <si>
    <t>Solo compra en t=0, sin costos adicionales</t>
  </si>
  <si>
    <t>7. PROVEEDORES - PARTE A</t>
  </si>
  <si>
    <t>ID</t>
  </si>
  <si>
    <t>Precio Base</t>
  </si>
  <si>
    <t>Términos Pago</t>
  </si>
  <si>
    <t>Descuento</t>
  </si>
  <si>
    <t>MOQ Desc.</t>
  </si>
  <si>
    <t>Confiabilidad</t>
  </si>
  <si>
    <t>A</t>
  </si>
  <si>
    <t>Inmediato (0Q)</t>
  </si>
  <si>
    <t>No</t>
  </si>
  <si>
    <t>100%</t>
  </si>
  <si>
    <t>B</t>
  </si>
  <si>
    <t>+2 Quincenas</t>
  </si>
  <si>
    <t>16% si Q≥150</t>
  </si>
  <si>
    <t>80%</t>
  </si>
  <si>
    <t>C</t>
  </si>
  <si>
    <t>+8 Quincenas</t>
  </si>
  <si>
    <t>PROVEEDOR ELEGIDO →</t>
  </si>
  <si>
    <t>8. PROVEEDORES - PARTE B</t>
  </si>
  <si>
    <t>16% si Q≥80</t>
  </si>
  <si>
    <t>9. SAFETY STOCK (Stock de Seguridad)</t>
  </si>
  <si>
    <t>Safety Stock</t>
  </si>
  <si>
    <t>% Consumo Prom</t>
  </si>
  <si>
    <t>Días Cobertura</t>
  </si>
  <si>
    <t>10. BUFFER MÍNIMO (Cobertura Operativa)</t>
  </si>
  <si>
    <t>Buffer = Quincenas de cobertura mínima antes de alerta</t>
  </si>
  <si>
    <t>Buffer (Quincenas)</t>
  </si>
  <si>
    <t>Consumo Prom/Q</t>
  </si>
  <si>
    <t>Inv. Mínimo Calc</t>
  </si>
  <si>
    <t>Crítico?</t>
  </si>
  <si>
    <t>BOM_CONSUMO - Cálculo de Consumo por Quincena</t>
  </si>
  <si>
    <t>Fórmula: Consumo_Q = Producción_EC_Q × Consumo_por_EC</t>
  </si>
  <si>
    <t>VERDE = datos de Inputs | NEGRO = fórmulas calculadas</t>
  </si>
  <si>
    <t>Consumo/EC</t>
  </si>
  <si>
    <t>PRODUCCIÓN TOTAL EC</t>
  </si>
  <si>
    <t>INVENTARIO DINÁMICO - Control por Quincena</t>
  </si>
  <si>
    <t>Fórmula: Inv_Final_Q = Inv_Inicial_Q + Recepciones_Q - Consumo_Q</t>
  </si>
  <si>
    <t>AMARILLO = ingresar recepciones manualmente | ROJO = inventario negativo (ALERTA)</t>
  </si>
  <si>
    <t>Concepto</t>
  </si>
  <si>
    <t>Inv_Inicial</t>
  </si>
  <si>
    <t>Recepciones</t>
  </si>
  <si>
    <t>Consumo</t>
  </si>
  <si>
    <t>Inv_Final</t>
  </si>
  <si>
    <t>VALIDACIONES Y ALERTAS</t>
  </si>
  <si>
    <t>Min Global</t>
  </si>
  <si>
    <t>COMPRAS Y LOTES - Decisiones de Compra</t>
  </si>
  <si>
    <t>Convierte consumo en decisiones reales de compra (lotes)</t>
  </si>
  <si>
    <t>AMARILLO = TUS DECISIONES de cuántos lotes comprar</t>
  </si>
  <si>
    <t>PIEZAS 1-6: COMPRA ÚNICA EN t=0</t>
  </si>
  <si>
    <t>Demanda Total</t>
  </si>
  <si>
    <t>Lotes Teóricos</t>
  </si>
  <si>
    <t>COMPRAR (Lotes)</t>
  </si>
  <si>
    <t>Total Unidades</t>
  </si>
  <si>
    <t>Precio/Batch</t>
  </si>
  <si>
    <t>Costo Total</t>
  </si>
  <si>
    <t>Status</t>
  </si>
  <si>
    <t>TOTAL PIEZAS</t>
  </si>
  <si>
    <t>PARTES A y B: COMPRA POR QUINCENA</t>
  </si>
  <si>
    <t>Quincena</t>
  </si>
  <si>
    <t>Demanda</t>
  </si>
  <si>
    <t>Unidades</t>
  </si>
  <si>
    <t>Costo</t>
  </si>
  <si>
    <t>Pago en Q</t>
  </si>
  <si>
    <t>COSTOS - Análisis Completo</t>
  </si>
  <si>
    <t>Costo Total = Costo de Compra + Ordering Cost + Holding Cost</t>
  </si>
  <si>
    <t>Costo Compra</t>
  </si>
  <si>
    <t># Pedidos</t>
  </si>
  <si>
    <t>Holding Cost</t>
  </si>
  <si>
    <t>COSTO TOTAL</t>
  </si>
  <si>
    <t>CASHFLOW - Pagos por Quincena</t>
  </si>
  <si>
    <t>Proyección de pagos según términos de cada proveedor</t>
  </si>
  <si>
    <t>IMPORTANTE: Coordinar con Finanzas para asegurar liquidez</t>
  </si>
  <si>
    <t>Piezas 1-6 (t=0)</t>
  </si>
  <si>
    <t>TOTAL PAGOS</t>
  </si>
  <si>
    <t>ESCENARIOS - Análisis Comparativo</t>
  </si>
  <si>
    <t>Compara 3 estrategias: Conservador / Base / Agresivo</t>
  </si>
  <si>
    <t>SELECCIONAR ESCENARIO:</t>
  </si>
  <si>
    <t>Base</t>
  </si>
  <si>
    <t>Parámetro</t>
  </si>
  <si>
    <t>Conservador</t>
  </si>
  <si>
    <t>Agresivo</t>
  </si>
  <si>
    <t>Descripción</t>
  </si>
  <si>
    <t>20%</t>
  </si>
  <si>
    <t>10%</t>
  </si>
  <si>
    <t>5%</t>
  </si>
  <si>
    <t>% sobre consumo promedio</t>
  </si>
  <si>
    <t>Proveedor Parte A</t>
  </si>
  <si>
    <t>A (seguro)</t>
  </si>
  <si>
    <t>B (descuento)</t>
  </si>
  <si>
    <t>Estrategia de proveedor</t>
  </si>
  <si>
    <t>Proveedor Parte B</t>
  </si>
  <si>
    <t>Frecuencia Pedidos</t>
  </si>
  <si>
    <t>Cada 4Q</t>
  </si>
  <si>
    <t>Cada 2Q</t>
  </si>
  <si>
    <t>Cada Q</t>
  </si>
  <si>
    <t>Frecuencia de compra</t>
  </si>
  <si>
    <t>RESULTADOS ESTIMADOS</t>
  </si>
  <si>
    <t>Alto</t>
  </si>
  <si>
    <t>Medio</t>
  </si>
  <si>
    <t>Bajo</t>
  </si>
  <si>
    <t>Costo de compras + inventario</t>
  </si>
  <si>
    <t>Riesgo Stockout</t>
  </si>
  <si>
    <t>Muy Bajo</t>
  </si>
  <si>
    <t>Probabilidad de quedarse sin stock</t>
  </si>
  <si>
    <t>Capital Inmovilizado</t>
  </si>
  <si>
    <t>Inventario promedio</t>
  </si>
  <si>
    <t>Cashflow Peak</t>
  </si>
  <si>
    <t>Distribuido</t>
  </si>
  <si>
    <t>Concentrado</t>
  </si>
  <si>
    <t>Pago máximo en una Q</t>
  </si>
  <si>
    <t>COMPARACIÓN LADO A LADO - KPIs POR ESCENARIO</t>
  </si>
  <si>
    <t>KPI</t>
  </si>
  <si>
    <t>Mejor</t>
  </si>
  <si>
    <t>Diferencia</t>
  </si>
  <si>
    <t>Costo Total Compras</t>
  </si>
  <si>
    <t>Total Pagos</t>
  </si>
  <si>
    <t>Pago Peak</t>
  </si>
  <si>
    <t># Stockouts Esperados</t>
  </si>
  <si>
    <t>Valor Esperado Pérdida</t>
  </si>
  <si>
    <t>Buffer Promedio (Q)</t>
  </si>
  <si>
    <t>ANÁLISIS DE PROVEEDORES - Herramienta de Decisión</t>
  </si>
  <si>
    <t>Compara costo total por proveedor según volumen y términos</t>
  </si>
  <si>
    <t>PARTE A - Análisis Comparativo</t>
  </si>
  <si>
    <t>Volumen a Comprar (batches):</t>
  </si>
  <si>
    <t>Proveedor</t>
  </si>
  <si>
    <t>Precio Final</t>
  </si>
  <si>
    <t>Riesgo</t>
  </si>
  <si>
    <t>Costo Ajustado</t>
  </si>
  <si>
    <t>Ranking</t>
  </si>
  <si>
    <t>RECOMENDACIÓN:</t>
  </si>
  <si>
    <t>PARTE B - Análisis Comparativo</t>
  </si>
  <si>
    <t>DASHBOARD - Purchasing Manager</t>
  </si>
  <si>
    <t>INDICADORES CLAVE (KPIs)</t>
  </si>
  <si>
    <t>Costo Total de Compras:</t>
  </si>
  <si>
    <t>Total Pagos Periodo:</t>
  </si>
  <si>
    <t># Pedidos Totales:</t>
  </si>
  <si>
    <t>pedidos</t>
  </si>
  <si>
    <t>Pago Pico (Max en una Q):</t>
  </si>
  <si>
    <t>Inventario Negativo:</t>
  </si>
  <si>
    <t>TBD</t>
  </si>
  <si>
    <t>materiales</t>
  </si>
  <si>
    <t>Stock &lt; Safety:</t>
  </si>
  <si>
    <t>ESTRATEGIA ACTUAL</t>
  </si>
  <si>
    <t>Proveedor Parte A:</t>
  </si>
  <si>
    <t>Proveedor Parte B:</t>
  </si>
  <si>
    <t>Escenario:</t>
  </si>
  <si>
    <t>⚠️ ALERTAS CRÍTICAS</t>
  </si>
  <si>
    <t>Materiales con Inv &lt; Buffer:</t>
  </si>
  <si>
    <t>Riesgo por Proveedor B:</t>
  </si>
  <si>
    <t>Cashflow Peak &gt; $100k:</t>
  </si>
  <si>
    <t>ANÁLISIS DE RIESGO - PROVEEDOR B</t>
  </si>
  <si>
    <t>CRÍTICO: Proveedor B tiene 20% probabilidad de NO ENTREGAR (sin pago, pero SIN producción)</t>
  </si>
  <si>
    <t>PARÁMETROS DE RIESGO</t>
  </si>
  <si>
    <t>Valor</t>
  </si>
  <si>
    <t>Prob. Incumplimiento Prov. B</t>
  </si>
  <si>
    <t>EXSIM Rules</t>
  </si>
  <si>
    <t>Costo Oportunidad ($/EC perdido)</t>
  </si>
  <si>
    <t>Margin estimado</t>
  </si>
  <si>
    <t>Lead time recuperación (Q)</t>
  </si>
  <si>
    <t>Assumption</t>
  </si>
  <si>
    <t>ANÁLISIS DE IMPACTO POR MATERIAL (si usas Proveedor B)</t>
  </si>
  <si>
    <t>Proveedor Elegido</t>
  </si>
  <si>
    <t>Total Lotes P7</t>
  </si>
  <si>
    <t>Prob. Falla</t>
  </si>
  <si>
    <t>Lotes Perdidos (Esperado)</t>
  </si>
  <si>
    <t>Unidades Perdidas</t>
  </si>
  <si>
    <t>EC Sin Producir</t>
  </si>
  <si>
    <t>Costo Oportunidad</t>
  </si>
  <si>
    <t>DECISIÓN: PROVEEDOR A vs B (Análisis Ajustado por Riesgo)</t>
  </si>
  <si>
    <t>Ahorro</t>
  </si>
  <si>
    <t>Costo Neto Ajustado</t>
  </si>
  <si>
    <t>Decisión Recomendada</t>
  </si>
  <si>
    <t>CASHFLOW INTEGRADO - PURCHASING</t>
  </si>
  <si>
    <t>Pagos REALES por quincena: Compras + Ordering + Holding (para coordinar con Finanzas)</t>
  </si>
  <si>
    <t>1. PAGOS DE COMPRAS (según términos de proveedor)</t>
  </si>
  <si>
    <t>Parte A (según proveedor)</t>
  </si>
  <si>
    <t>Parte B (según proveedor)</t>
  </si>
  <si>
    <t>SUBTOTAL COMPRAS</t>
  </si>
  <si>
    <t>2. ORDERING COSTS (por pedido realizado)</t>
  </si>
  <si>
    <t>SUBTOTAL ORDERING</t>
  </si>
  <si>
    <t>3. HOLDING COSTS (por inventario promedio en quincena)</t>
  </si>
  <si>
    <t>SUBTOTAL HOLDING</t>
  </si>
  <si>
    <t>TOTAL OUTFLOW PURCHASING</t>
  </si>
  <si>
    <t>ANÁLISIS</t>
  </si>
  <si>
    <t>Pago Máximo (Peak):</t>
  </si>
  <si>
    <t>Quincena más costosa</t>
  </si>
  <si>
    <t>Pago Mínimo:</t>
  </si>
  <si>
    <t>Quincena más barata</t>
  </si>
  <si>
    <t>Pago Promedio:</t>
  </si>
  <si>
    <t>Promedio por quincena</t>
  </si>
  <si>
    <t>Desviación Est.:</t>
  </si>
  <si>
    <t>Volatilidad del flujo</t>
  </si>
  <si>
    <t>EXSIM UPLOAD - COPIAR DIRECTO A PLATAFORMA</t>
  </si>
  <si>
    <t>Formato exacto para subir decisiones a EXSIM. Copiar columnas B-E directamente.</t>
  </si>
  <si>
    <t>PIEZAS 1-6 (Compra única en t=0)</t>
  </si>
  <si>
    <t>Fortnight</t>
  </si>
  <si>
    <t>Lots</t>
  </si>
  <si>
    <t>Supplier</t>
  </si>
  <si>
    <t>Notes</t>
  </si>
  <si>
    <t>Único</t>
  </si>
  <si>
    <t>PARTE A (Por Quincena)</t>
  </si>
  <si>
    <t>PARTE B (Por Quincena)</t>
  </si>
  <si>
    <t>MULTI-PLANTA: CENTRO Y OESTE</t>
  </si>
  <si>
    <t>Inventarios y producción por región (EXSIM requiere separación)</t>
  </si>
  <si>
    <t>INVENTARIO POR PLANTA</t>
  </si>
  <si>
    <t>Centro</t>
  </si>
  <si>
    <t>Oeste</t>
  </si>
  <si>
    <t>% Centro</t>
  </si>
  <si>
    <t>MRP - PRODUCCIÓN POR SECCIÓN</t>
  </si>
  <si>
    <t>5 secciones (S1-S5), cada una tarda 1 quincena. WIP entre secciones.</t>
  </si>
  <si>
    <t>FLUJO DE PRODUCCIÓN</t>
  </si>
  <si>
    <t>Sección</t>
  </si>
  <si>
    <t>Input</t>
  </si>
  <si>
    <t>Process</t>
  </si>
  <si>
    <t>Output</t>
  </si>
  <si>
    <t>Lead Time</t>
  </si>
  <si>
    <t>S1</t>
  </si>
  <si>
    <t>Ensambla Piezas</t>
  </si>
  <si>
    <t>Semi A</t>
  </si>
  <si>
    <t>1Q</t>
  </si>
  <si>
    <t>S2</t>
  </si>
  <si>
    <t>Semi B</t>
  </si>
  <si>
    <t>S3</t>
  </si>
  <si>
    <t>Semi C</t>
  </si>
  <si>
    <t>S4</t>
  </si>
  <si>
    <t>Semi D</t>
  </si>
  <si>
    <t>S5</t>
  </si>
  <si>
    <t>Semis</t>
  </si>
  <si>
    <t>Ensambla final</t>
  </si>
  <si>
    <t>Electroclean</t>
  </si>
  <si>
    <t>RAW MATERIALS INVENTORY</t>
  </si>
  <si>
    <t>ESG - EMISIONES CO2</t>
  </si>
  <si>
    <t>kg CO2 por proveedor (Tabla VII caso EXSIM)</t>
  </si>
  <si>
    <t>EMISIONES POR PROVEEDOR</t>
  </si>
  <si>
    <t>Prov A (kg)</t>
  </si>
  <si>
    <t>Prov B (kg)</t>
  </si>
  <si>
    <t>Prov C (kg)</t>
  </si>
  <si>
    <t>Elegido</t>
  </si>
  <si>
    <t>Total CO2</t>
  </si>
  <si>
    <t>11. SENSIBILIDAD DEMANDA</t>
  </si>
  <si>
    <t>Factor Demanda</t>
  </si>
  <si>
    <t>1.0 = Base</t>
  </si>
  <si>
    <t>CALENDARIO POR SECCION (Lead Time 1Q)</t>
  </si>
  <si>
    <t>Seccion</t>
  </si>
  <si>
    <t>S5 - Final (EC)</t>
  </si>
  <si>
    <t>S4 - Piezas</t>
  </si>
  <si>
    <t>S3 - Semi</t>
  </si>
  <si>
    <t>S2 - Parte B</t>
  </si>
  <si>
    <t>S1 - Parte A</t>
  </si>
  <si>
    <t>RECONCILIACION CON REPORTES EXSIM</t>
  </si>
  <si>
    <t>Pega reportes del simulador aqui para comparar</t>
  </si>
  <si>
    <t>EXSIM (pegar aqui)</t>
  </si>
  <si>
    <t>Umbral (abs)</t>
  </si>
  <si>
    <t>MODELO (Inv_Final)</t>
  </si>
  <si>
    <t>DIFERENCIAS (EXSIM - MODELO)</t>
  </si>
  <si>
    <t>Error Acum</t>
  </si>
  <si>
    <t>Semaforo</t>
  </si>
  <si>
    <t>ERROR TOTAL</t>
  </si>
  <si>
    <t>MONTE CARLO - COSTO ESPERADO</t>
  </si>
  <si>
    <t>Costo Base</t>
  </si>
  <si>
    <t>Stockout si falla A</t>
  </si>
  <si>
    <t>Stockout si falla B</t>
  </si>
  <si>
    <t>Simulacion (100 corridas)</t>
  </si>
  <si>
    <t>Corrida</t>
  </si>
  <si>
    <t>Falla A</t>
  </si>
  <si>
    <t>Falla B</t>
  </si>
  <si>
    <t>Promedio</t>
  </si>
  <si>
    <t>P90</t>
  </si>
  <si>
    <t>SENSIBILIDAD DEMANDA</t>
  </si>
  <si>
    <t>Factor</t>
  </si>
  <si>
    <t>Factor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</si>
</sst>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"/>
    <numFmt numFmtId="165" formatCode="\$#,##0.00"/>
    <numFmt numFmtId="166" formatCode="\$0.00"/>
    <numFmt numFmtId="167" formatCode="0.0"/>
    <numFmt numFmtId="168" formatCode="#,##0.0"/>
  </numFmts>
  <fonts count="21" x14ac:knownFonts="1">
    <font>
      <sz val="11"/>
      <color theme="1"/>
      <name val="Calibri"/>
      <family val="2"/>
      <charset val="1"/>
    </font>
    <font>
      <b/>
      <sz val="14"/>
      <name val="Cambria"/>
      <family val="1"/>
    </font>
    <font>
      <i/>
      <sz val="9"/>
      <color rgb="FF0000FF"/>
      <name val="Cambria"/>
      <family val="1"/>
    </font>
    <font>
      <b/>
      <sz val="11"/>
      <color rgb="FFFFFFFF"/>
      <name val="Cambria"/>
      <family val="1"/>
    </font>
    <font>
      <b/>
      <sz val="10"/>
      <name val="Cambria"/>
      <family val="1"/>
    </font>
    <font>
      <sz val="10"/>
      <color rgb="FF0000FF"/>
      <name val="Cambria"/>
      <family val="1"/>
    </font>
    <font>
      <sz val="10"/>
      <color rgb="FF000000"/>
      <name val="Cambria"/>
      <family val="1"/>
    </font>
    <font>
      <i/>
      <sz val="9"/>
      <name val="Cambria"/>
      <family val="1"/>
    </font>
    <font>
      <i/>
      <sz val="9"/>
      <color rgb="FFFF0000"/>
      <name val="Cambria"/>
      <family val="1"/>
    </font>
    <font>
      <i/>
      <sz val="9"/>
      <color rgb="FF008000"/>
      <name val="Cambria"/>
      <family val="1"/>
    </font>
    <font>
      <sz val="10"/>
      <color rgb="FF008000"/>
      <name val="Cambria"/>
      <family val="1"/>
    </font>
    <font>
      <i/>
      <sz val="9"/>
      <color rgb="FFFF6B00"/>
      <name val="Cambria"/>
      <family val="1"/>
    </font>
    <font>
      <sz val="10"/>
      <name val="Cambria"/>
      <family val="1"/>
    </font>
    <font>
      <b/>
      <sz val="11"/>
      <color rgb="FF008000"/>
      <name val="Cambria"/>
      <family val="1"/>
    </font>
    <font>
      <b/>
      <sz val="16"/>
      <color rgb="FFFFFFFF"/>
      <name val="Cambria"/>
      <family val="1"/>
    </font>
    <font>
      <b/>
      <sz val="12"/>
      <color rgb="FFFF0000"/>
      <name val="Cambria"/>
      <family val="1"/>
    </font>
    <font>
      <b/>
      <sz val="14"/>
      <color rgb="FFFF0000"/>
      <name val="Cambria"/>
      <family val="1"/>
    </font>
    <font>
      <b/>
      <i/>
      <sz val="10"/>
      <color rgb="FFFF0000"/>
      <name val="Cambria"/>
      <family val="1"/>
    </font>
    <font>
      <b/>
      <sz val="12"/>
      <color rgb="FFFFFFFF"/>
      <name val="Cambria"/>
      <family val="1"/>
    </font>
    <font>
      <b/>
      <sz val="14"/>
      <color rgb="FFFFFFFF"/>
      <name val="Cambria"/>
      <family val="1"/>
    </font>
    <font>
      <sz val="11"/>
      <color rgb="FF008000"/>
      <name val="Cambria"/>
      <family val="1"/>
    </font>
  </fonts>
  <fills count="13">
    <fill>
      <patternFill patternType="none"/>
    </fill>
    <fill>
      <patternFill patternType="gray125"/>
    </fill>
    <fill>
      <patternFill patternType="solid">
        <fgColor rgb="FF1F4E78"/>
        <bgColor rgb="FF203764"/>
      </patternFill>
    </fill>
    <fill>
      <patternFill patternType="solid">
        <fgColor rgb="FFE7E6E6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203764"/>
        <bgColor rgb="FF1F4E78"/>
      </patternFill>
    </fill>
    <fill>
      <patternFill patternType="solid">
        <fgColor rgb="FFFFC7CE"/>
        <bgColor rgb="FFE7E6E6"/>
      </patternFill>
    </fill>
    <fill>
      <patternFill patternType="solid">
        <fgColor rgb="FFFFA500"/>
        <bgColor rgb="FFFFCC00"/>
      </patternFill>
    </fill>
    <fill>
      <patternFill patternType="solid">
        <fgColor rgb="FFFF0000"/>
        <bgColor rgb="FF993300"/>
      </patternFill>
    </fill>
    <fill>
      <patternFill patternType="solid">
        <fgColor rgb="FF008000"/>
        <bgColor rgb="FF228B22"/>
      </patternFill>
    </fill>
    <fill>
      <patternFill patternType="solid">
        <fgColor rgb="FF0066CC"/>
        <bgColor rgb="FF008080"/>
      </patternFill>
    </fill>
    <fill>
      <patternFill patternType="solid">
        <fgColor rgb="FF228B22"/>
        <bgColor rgb="FF008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4" fillId="0" borderId="0" xfId="0" applyFont="1"/>
    <xf numFmtId="0" fontId="7" fillId="0" borderId="0" xfId="0" applyFont="1"/>
    <xf numFmtId="0" fontId="3" fillId="2" borderId="1" xfId="0" applyFont="1" applyFill="1" applyBorder="1"/>
    <xf numFmtId="0" fontId="4" fillId="3" borderId="1" xfId="0" applyFont="1" applyFill="1" applyBorder="1" applyAlignment="1">
      <alignment horizontal="center"/>
    </xf>
    <xf numFmtId="0" fontId="4" fillId="0" borderId="1" xfId="0" applyFont="1" applyBorder="1"/>
    <xf numFmtId="3" fontId="5" fillId="4" borderId="1" xfId="0" applyNumberFormat="1" applyFont="1" applyFill="1" applyBorder="1" applyAlignment="1">
      <alignment horizontal="right"/>
    </xf>
    <xf numFmtId="3" fontId="6" fillId="3" borderId="1" xfId="0" applyNumberFormat="1" applyFont="1" applyFill="1" applyBorder="1"/>
    <xf numFmtId="0" fontId="4" fillId="3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1" xfId="0" applyFont="1" applyBorder="1"/>
    <xf numFmtId="2" fontId="5" fillId="4" borderId="1" xfId="0" applyNumberFormat="1" applyFont="1" applyFill="1" applyBorder="1" applyAlignment="1">
      <alignment horizontal="right"/>
    </xf>
    <xf numFmtId="164" fontId="5" fillId="4" borderId="1" xfId="0" applyNumberFormat="1" applyFont="1" applyFill="1" applyBorder="1" applyAlignment="1">
      <alignment horizontal="right"/>
    </xf>
    <xf numFmtId="165" fontId="6" fillId="0" borderId="1" xfId="0" applyNumberFormat="1" applyFont="1" applyBorder="1" applyAlignment="1">
      <alignment horizontal="right"/>
    </xf>
    <xf numFmtId="166" fontId="5" fillId="4" borderId="1" xfId="0" applyNumberFormat="1" applyFont="1" applyFill="1" applyBorder="1" applyAlignment="1">
      <alignment horizontal="right"/>
    </xf>
    <xf numFmtId="16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9" fontId="5" fillId="0" borderId="1" xfId="0" applyNumberFormat="1" applyFont="1" applyBorder="1" applyAlignment="1">
      <alignment horizontal="right"/>
    </xf>
    <xf numFmtId="1" fontId="5" fillId="0" borderId="1" xfId="0" applyNumberFormat="1" applyFont="1" applyBorder="1" applyAlignment="1">
      <alignment horizontal="right"/>
    </xf>
    <xf numFmtId="167" fontId="5" fillId="4" borderId="1" xfId="0" applyNumberFormat="1" applyFont="1" applyFill="1" applyBorder="1" applyAlignment="1">
      <alignment horizontal="right"/>
    </xf>
    <xf numFmtId="3" fontId="6" fillId="0" borderId="1" xfId="0" applyNumberFormat="1" applyFont="1" applyBorder="1" applyAlignment="1">
      <alignment horizontal="right"/>
    </xf>
    <xf numFmtId="0" fontId="6" fillId="0" borderId="1" xfId="0" applyFont="1" applyBorder="1"/>
    <xf numFmtId="0" fontId="3" fillId="2" borderId="1" xfId="0" applyFont="1" applyFill="1" applyBorder="1" applyAlignment="1">
      <alignment horizontal="center"/>
    </xf>
    <xf numFmtId="2" fontId="10" fillId="0" borderId="1" xfId="0" applyNumberFormat="1" applyFont="1" applyBorder="1" applyAlignment="1">
      <alignment horizontal="right"/>
    </xf>
    <xf numFmtId="4" fontId="6" fillId="0" borderId="1" xfId="0" applyNumberFormat="1" applyFont="1" applyBorder="1" applyAlignment="1">
      <alignment horizontal="right"/>
    </xf>
    <xf numFmtId="3" fontId="6" fillId="3" borderId="1" xfId="0" applyNumberFormat="1" applyFont="1" applyFill="1" applyBorder="1" applyAlignment="1">
      <alignment horizontal="right"/>
    </xf>
    <xf numFmtId="3" fontId="10" fillId="3" borderId="1" xfId="0" applyNumberFormat="1" applyFont="1" applyFill="1" applyBorder="1" applyAlignment="1">
      <alignment horizontal="right"/>
    </xf>
    <xf numFmtId="3" fontId="10" fillId="0" borderId="1" xfId="0" applyNumberFormat="1" applyFont="1" applyBorder="1" applyAlignment="1">
      <alignment horizontal="right"/>
    </xf>
    <xf numFmtId="3" fontId="4" fillId="3" borderId="1" xfId="0" applyNumberFormat="1" applyFont="1" applyFill="1" applyBorder="1" applyAlignment="1">
      <alignment horizontal="right"/>
    </xf>
    <xf numFmtId="3" fontId="6" fillId="4" borderId="1" xfId="0" applyNumberFormat="1" applyFont="1" applyFill="1" applyBorder="1"/>
    <xf numFmtId="0" fontId="4" fillId="3" borderId="1" xfId="0" applyFont="1" applyFill="1" applyBorder="1" applyAlignment="1">
      <alignment horizontal="center" wrapText="1"/>
    </xf>
    <xf numFmtId="3" fontId="10" fillId="0" borderId="1" xfId="0" applyNumberFormat="1" applyFont="1" applyBorder="1"/>
    <xf numFmtId="3" fontId="6" fillId="0" borderId="1" xfId="0" applyNumberFormat="1" applyFont="1" applyBorder="1"/>
    <xf numFmtId="3" fontId="5" fillId="4" borderId="1" xfId="0" applyNumberFormat="1" applyFont="1" applyFill="1" applyBorder="1"/>
    <xf numFmtId="164" fontId="10" fillId="0" borderId="1" xfId="0" applyNumberFormat="1" applyFont="1" applyBorder="1"/>
    <xf numFmtId="164" fontId="6" fillId="0" borderId="1" xfId="0" applyNumberFormat="1" applyFont="1" applyBorder="1"/>
    <xf numFmtId="164" fontId="3" fillId="2" borderId="1" xfId="0" applyNumberFormat="1" applyFont="1" applyFill="1" applyBorder="1"/>
    <xf numFmtId="0" fontId="10" fillId="0" borderId="1" xfId="0" applyFont="1" applyBorder="1"/>
    <xf numFmtId="0" fontId="3" fillId="2" borderId="1" xfId="0" applyFont="1" applyFill="1" applyBorder="1" applyAlignment="1">
      <alignment horizontal="center" wrapText="1"/>
    </xf>
    <xf numFmtId="1" fontId="6" fillId="0" borderId="1" xfId="0" applyNumberFormat="1" applyFont="1" applyBorder="1" applyAlignment="1">
      <alignment horizontal="center"/>
    </xf>
    <xf numFmtId="1" fontId="6" fillId="0" borderId="1" xfId="0" applyNumberFormat="1" applyFont="1" applyBorder="1"/>
    <xf numFmtId="164" fontId="5" fillId="4" borderId="1" xfId="0" applyNumberFormat="1" applyFont="1" applyFill="1" applyBorder="1"/>
    <xf numFmtId="1" fontId="3" fillId="2" borderId="1" xfId="0" applyNumberFormat="1" applyFont="1" applyFill="1" applyBorder="1"/>
    <xf numFmtId="164" fontId="0" fillId="0" borderId="1" xfId="0" applyNumberFormat="1" applyBorder="1"/>
    <xf numFmtId="0" fontId="5" fillId="4" borderId="1" xfId="0" applyFont="1" applyFill="1" applyBorder="1"/>
    <xf numFmtId="0" fontId="12" fillId="0" borderId="1" xfId="0" applyFont="1" applyBorder="1"/>
    <xf numFmtId="164" fontId="13" fillId="5" borderId="1" xfId="0" applyNumberFormat="1" applyFont="1" applyFill="1" applyBorder="1"/>
    <xf numFmtId="0" fontId="13" fillId="5" borderId="1" xfId="0" applyFont="1" applyFill="1" applyBorder="1"/>
    <xf numFmtId="3" fontId="5" fillId="4" borderId="0" xfId="0" applyNumberFormat="1" applyFont="1" applyFill="1"/>
    <xf numFmtId="9" fontId="0" fillId="0" borderId="1" xfId="0" applyNumberFormat="1" applyBorder="1"/>
    <xf numFmtId="0" fontId="13" fillId="4" borderId="0" xfId="0" applyFont="1" applyFill="1"/>
    <xf numFmtId="164" fontId="13" fillId="4" borderId="0" xfId="0" applyNumberFormat="1" applyFont="1" applyFill="1"/>
    <xf numFmtId="0" fontId="4" fillId="0" borderId="0" xfId="0" applyFont="1" applyAlignment="1">
      <alignment horizontal="right"/>
    </xf>
    <xf numFmtId="164" fontId="6" fillId="3" borderId="1" xfId="0" applyNumberFormat="1" applyFont="1" applyFill="1" applyBorder="1"/>
    <xf numFmtId="0" fontId="0" fillId="3" borderId="1" xfId="0" applyFill="1" applyBorder="1"/>
    <xf numFmtId="0" fontId="6" fillId="3" borderId="1" xfId="0" applyFont="1" applyFill="1" applyBorder="1"/>
    <xf numFmtId="0" fontId="6" fillId="4" borderId="1" xfId="0" applyFont="1" applyFill="1" applyBorder="1"/>
    <xf numFmtId="9" fontId="5" fillId="4" borderId="1" xfId="0" applyNumberFormat="1" applyFont="1" applyFill="1" applyBorder="1"/>
    <xf numFmtId="0" fontId="10" fillId="0" borderId="1" xfId="0" applyFont="1" applyBorder="1" applyAlignment="1">
      <alignment horizontal="center"/>
    </xf>
    <xf numFmtId="9" fontId="6" fillId="0" borderId="1" xfId="0" applyNumberFormat="1" applyFont="1" applyBorder="1"/>
    <xf numFmtId="168" fontId="6" fillId="8" borderId="1" xfId="0" applyNumberFormat="1" applyFont="1" applyFill="1" applyBorder="1"/>
    <xf numFmtId="3" fontId="6" fillId="7" borderId="1" xfId="0" applyNumberFormat="1" applyFont="1" applyFill="1" applyBorder="1"/>
    <xf numFmtId="164" fontId="6" fillId="7" borderId="1" xfId="0" applyNumberFormat="1" applyFont="1" applyFill="1" applyBorder="1"/>
    <xf numFmtId="164" fontId="6" fillId="5" borderId="1" xfId="0" applyNumberFormat="1" applyFont="1" applyFill="1" applyBorder="1"/>
    <xf numFmtId="164" fontId="10" fillId="7" borderId="1" xfId="0" applyNumberFormat="1" applyFont="1" applyFill="1" applyBorder="1"/>
    <xf numFmtId="164" fontId="4" fillId="3" borderId="1" xfId="0" applyNumberFormat="1" applyFont="1" applyFill="1" applyBorder="1"/>
    <xf numFmtId="164" fontId="3" fillId="9" borderId="1" xfId="0" applyNumberFormat="1" applyFont="1" applyFill="1" applyBorder="1"/>
    <xf numFmtId="164" fontId="6" fillId="4" borderId="1" xfId="0" applyNumberFormat="1" applyFont="1" applyFill="1" applyBorder="1"/>
    <xf numFmtId="1" fontId="0" fillId="0" borderId="1" xfId="0" applyNumberFormat="1" applyBorder="1" applyAlignment="1">
      <alignment horizontal="center"/>
    </xf>
    <xf numFmtId="3" fontId="20" fillId="0" borderId="1" xfId="0" applyNumberFormat="1" applyFont="1" applyBorder="1"/>
    <xf numFmtId="3" fontId="0" fillId="0" borderId="1" xfId="0" applyNumberFormat="1" applyBorder="1"/>
    <xf numFmtId="167" fontId="5" fillId="0" borderId="1" xfId="0" applyNumberFormat="1" applyFont="1" applyBorder="1"/>
    <xf numFmtId="0" fontId="20" fillId="0" borderId="1" xfId="0" applyFont="1" applyBorder="1"/>
    <xf numFmtId="3" fontId="0" fillId="0" borderId="0" xfId="0" applyNumberFormat="1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2" borderId="1" xfId="0" applyFont="1" applyFill="1" applyBorder="1"/>
    <xf numFmtId="0" fontId="8" fillId="0" borderId="1" xfId="0" applyFont="1" applyBorder="1"/>
    <xf numFmtId="0" fontId="7" fillId="0" borderId="0" xfId="0" applyFont="1"/>
    <xf numFmtId="0" fontId="9" fillId="0" borderId="0" xfId="0" applyFont="1"/>
    <xf numFmtId="0" fontId="4" fillId="0" borderId="0" xfId="0" applyFont="1"/>
    <xf numFmtId="0" fontId="8" fillId="0" borderId="0" xfId="0" applyFont="1"/>
    <xf numFmtId="0" fontId="0" fillId="0" borderId="0" xfId="0" applyAlignment="1">
      <alignment horizontal="center" vertical="center"/>
    </xf>
    <xf numFmtId="0" fontId="11" fillId="0" borderId="0" xfId="0" applyFont="1"/>
    <xf numFmtId="0" fontId="14" fillId="6" borderId="0" xfId="0" applyFont="1" applyFill="1"/>
    <xf numFmtId="0" fontId="15" fillId="7" borderId="0" xfId="0" applyFont="1" applyFill="1"/>
    <xf numFmtId="0" fontId="0" fillId="0" borderId="2" xfId="0" applyBorder="1" applyAlignment="1">
      <alignment horizontal="center" vertical="center"/>
    </xf>
    <xf numFmtId="0" fontId="16" fillId="0" borderId="0" xfId="0" applyFont="1"/>
    <xf numFmtId="0" fontId="17" fillId="0" borderId="0" xfId="0" applyFont="1"/>
    <xf numFmtId="0" fontId="18" fillId="9" borderId="0" xfId="0" applyFont="1" applyFill="1" applyAlignment="1">
      <alignment horizontal="center" vertical="center"/>
    </xf>
    <xf numFmtId="0" fontId="19" fillId="10" borderId="0" xfId="0" applyFont="1" applyFill="1"/>
    <xf numFmtId="0" fontId="19" fillId="11" borderId="0" xfId="0" applyFont="1" applyFill="1"/>
    <xf numFmtId="0" fontId="19" fillId="12" borderId="0" xfId="0" applyFont="1" applyFill="1"/>
  </cellXfs>
  <cellStyles count="1">
    <cellStyle name="Normal" xfId="0" builtinId="0"/>
  </cellStyles>
  <dxfs count="9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A500"/>
      <rgbColor rgb="FFFF6B00"/>
      <rgbColor rgb="FF666699"/>
      <rgbColor rgb="FF969696"/>
      <rgbColor rgb="FF203764"/>
      <rgbColor rgb="FF228B22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topLeftCell="A47" zoomScaleNormal="100" workbookViewId="0">
      <selection activeCell="D95" sqref="D95"/>
    </sheetView>
  </sheetViews>
  <sheetFormatPr baseColWidth="10" defaultColWidth="8.6640625" defaultRowHeight="14.4" x14ac:dyDescent="0.3"/>
  <cols>
    <col min="1" max="1" width="25" customWidth="1"/>
    <col min="2" max="2" width="15" customWidth="1"/>
    <col min="3" max="3" width="26.6640625" bestFit="1" customWidth="1"/>
    <col min="4" max="4" width="30.44140625" bestFit="1" customWidth="1"/>
    <col min="5" max="7" width="15" customWidth="1"/>
  </cols>
  <sheetData>
    <row r="1" spans="1:11" ht="17.25" customHeight="1" x14ac:dyDescent="0.3">
      <c r="A1" s="76" t="s">
        <v>0</v>
      </c>
      <c r="B1" s="76"/>
      <c r="C1" s="76"/>
      <c r="D1" s="76"/>
      <c r="E1" s="76"/>
      <c r="F1" s="76"/>
      <c r="G1" s="76"/>
      <c r="H1" s="76"/>
      <c r="I1" s="76"/>
      <c r="J1" s="76"/>
      <c r="K1" s="76"/>
    </row>
    <row r="2" spans="1:11" ht="15" customHeight="1" x14ac:dyDescent="0.3">
      <c r="A2" s="77" t="s">
        <v>1</v>
      </c>
      <c r="B2" s="77"/>
      <c r="C2" s="77"/>
      <c r="D2" s="77"/>
      <c r="E2" s="77"/>
      <c r="F2" s="77"/>
      <c r="G2" s="77"/>
      <c r="H2" s="77"/>
      <c r="I2" s="77"/>
      <c r="J2" s="77"/>
      <c r="K2" s="77"/>
    </row>
    <row r="4" spans="1:11" ht="15" customHeight="1" x14ac:dyDescent="0.3">
      <c r="A4" s="78" t="s">
        <v>2</v>
      </c>
      <c r="B4" s="78"/>
      <c r="C4" s="78"/>
      <c r="D4" s="78"/>
      <c r="E4" s="78"/>
      <c r="F4" s="78"/>
      <c r="G4" s="78"/>
      <c r="H4" s="78"/>
      <c r="I4" s="78"/>
      <c r="J4" s="78"/>
      <c r="K4" s="78"/>
    </row>
    <row r="5" spans="1:11" ht="15" customHeight="1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1" ht="15" customHeight="1" x14ac:dyDescent="0.3">
      <c r="A6" s="5" t="s">
        <v>13</v>
      </c>
      <c r="B6" s="6">
        <v>1850</v>
      </c>
      <c r="C6" s="6">
        <v>1850</v>
      </c>
      <c r="D6" s="6">
        <v>1850</v>
      </c>
      <c r="E6" s="6">
        <v>1850</v>
      </c>
      <c r="F6" s="6">
        <v>1850</v>
      </c>
      <c r="G6" s="6">
        <v>1850</v>
      </c>
      <c r="H6" s="6">
        <v>1850</v>
      </c>
      <c r="I6" s="6">
        <v>1850</v>
      </c>
      <c r="J6" s="7">
        <f>SUM(B6:I6)</f>
        <v>14800</v>
      </c>
    </row>
    <row r="9" spans="1:11" ht="15" customHeight="1" x14ac:dyDescent="0.3">
      <c r="A9" s="78" t="s">
        <v>14</v>
      </c>
      <c r="B9" s="78"/>
      <c r="C9" s="78"/>
      <c r="D9" s="78"/>
    </row>
    <row r="10" spans="1:11" ht="15" customHeight="1" x14ac:dyDescent="0.3">
      <c r="A10" s="8" t="s">
        <v>15</v>
      </c>
      <c r="B10" s="8" t="s">
        <v>16</v>
      </c>
      <c r="C10" s="8" t="s">
        <v>17</v>
      </c>
      <c r="D10" s="8" t="s">
        <v>18</v>
      </c>
    </row>
    <row r="11" spans="1:11" ht="15" customHeight="1" x14ac:dyDescent="0.3">
      <c r="A11" s="9" t="s">
        <v>19</v>
      </c>
      <c r="B11" s="6">
        <v>4512</v>
      </c>
      <c r="C11" s="10" t="s">
        <v>20</v>
      </c>
      <c r="D11" s="11" t="s">
        <v>21</v>
      </c>
    </row>
    <row r="12" spans="1:11" ht="15" customHeight="1" x14ac:dyDescent="0.3">
      <c r="A12" s="9" t="s">
        <v>22</v>
      </c>
      <c r="B12" s="6">
        <v>1058</v>
      </c>
      <c r="C12" s="10" t="s">
        <v>20</v>
      </c>
      <c r="D12" s="11" t="s">
        <v>21</v>
      </c>
    </row>
    <row r="13" spans="1:11" ht="15" customHeight="1" x14ac:dyDescent="0.3">
      <c r="A13" s="9" t="s">
        <v>23</v>
      </c>
      <c r="B13" s="6">
        <v>130</v>
      </c>
      <c r="C13" s="10" t="s">
        <v>20</v>
      </c>
      <c r="D13" s="11" t="s">
        <v>21</v>
      </c>
    </row>
    <row r="14" spans="1:11" ht="15" customHeight="1" x14ac:dyDescent="0.3">
      <c r="A14" s="9" t="s">
        <v>24</v>
      </c>
      <c r="B14" s="6">
        <v>5268</v>
      </c>
      <c r="C14" s="10" t="s">
        <v>20</v>
      </c>
      <c r="D14" s="11" t="s">
        <v>21</v>
      </c>
    </row>
    <row r="15" spans="1:11" ht="15" customHeight="1" x14ac:dyDescent="0.3">
      <c r="A15" s="9" t="s">
        <v>25</v>
      </c>
      <c r="B15" s="6">
        <v>4333</v>
      </c>
      <c r="C15" s="10" t="s">
        <v>20</v>
      </c>
      <c r="D15" s="11" t="s">
        <v>21</v>
      </c>
    </row>
    <row r="16" spans="1:11" ht="15" customHeight="1" x14ac:dyDescent="0.3">
      <c r="A16" s="9" t="s">
        <v>26</v>
      </c>
      <c r="B16" s="6">
        <v>8487</v>
      </c>
      <c r="C16" s="10" t="s">
        <v>20</v>
      </c>
      <c r="D16" s="11" t="s">
        <v>21</v>
      </c>
    </row>
    <row r="17" spans="1:4" ht="15" customHeight="1" x14ac:dyDescent="0.3">
      <c r="A17" s="9" t="s">
        <v>27</v>
      </c>
      <c r="B17" s="6">
        <v>23192</v>
      </c>
      <c r="C17" s="10" t="s">
        <v>20</v>
      </c>
      <c r="D17" s="11" t="s">
        <v>21</v>
      </c>
    </row>
    <row r="18" spans="1:4" ht="15" customHeight="1" x14ac:dyDescent="0.3">
      <c r="A18" s="9" t="s">
        <v>28</v>
      </c>
      <c r="B18" s="6">
        <v>6035</v>
      </c>
      <c r="C18" s="10" t="s">
        <v>20</v>
      </c>
      <c r="D18" s="11" t="s">
        <v>21</v>
      </c>
    </row>
    <row r="21" spans="1:4" ht="15" customHeight="1" x14ac:dyDescent="0.3">
      <c r="A21" s="78" t="s">
        <v>29</v>
      </c>
      <c r="B21" s="78"/>
      <c r="C21" s="78"/>
      <c r="D21" s="78"/>
    </row>
    <row r="22" spans="1:4" ht="15" customHeight="1" x14ac:dyDescent="0.3">
      <c r="A22" s="8" t="s">
        <v>15</v>
      </c>
      <c r="B22" s="8" t="s">
        <v>30</v>
      </c>
      <c r="C22" s="8" t="s">
        <v>17</v>
      </c>
      <c r="D22" s="8" t="s">
        <v>31</v>
      </c>
    </row>
    <row r="23" spans="1:4" ht="15" customHeight="1" x14ac:dyDescent="0.3">
      <c r="A23" s="9" t="s">
        <v>19</v>
      </c>
      <c r="B23" s="12">
        <v>1</v>
      </c>
      <c r="C23" s="9" t="s">
        <v>32</v>
      </c>
      <c r="D23" s="11" t="s">
        <v>33</v>
      </c>
    </row>
    <row r="24" spans="1:4" ht="15" customHeight="1" x14ac:dyDescent="0.3">
      <c r="A24" s="9" t="s">
        <v>22</v>
      </c>
      <c r="B24" s="12">
        <v>0.2</v>
      </c>
      <c r="C24" s="9" t="s">
        <v>32</v>
      </c>
      <c r="D24" s="11" t="s">
        <v>34</v>
      </c>
    </row>
    <row r="25" spans="1:4" ht="15" customHeight="1" x14ac:dyDescent="0.3">
      <c r="A25" s="9" t="s">
        <v>23</v>
      </c>
      <c r="B25" s="12">
        <v>0.01</v>
      </c>
      <c r="C25" s="9" t="s">
        <v>32</v>
      </c>
      <c r="D25" s="11" t="s">
        <v>35</v>
      </c>
    </row>
    <row r="26" spans="1:4" ht="15" customHeight="1" x14ac:dyDescent="0.3">
      <c r="A26" s="9" t="s">
        <v>24</v>
      </c>
      <c r="B26" s="12">
        <v>8</v>
      </c>
      <c r="C26" s="9" t="s">
        <v>32</v>
      </c>
      <c r="D26" s="11" t="s">
        <v>36</v>
      </c>
    </row>
    <row r="27" spans="1:4" ht="15" customHeight="1" x14ac:dyDescent="0.3">
      <c r="A27" s="9" t="s">
        <v>25</v>
      </c>
      <c r="B27" s="12">
        <v>0.3</v>
      </c>
      <c r="C27" s="9" t="s">
        <v>32</v>
      </c>
      <c r="D27" s="11" t="s">
        <v>37</v>
      </c>
    </row>
    <row r="28" spans="1:4" ht="15" customHeight="1" x14ac:dyDescent="0.3">
      <c r="A28" s="9" t="s">
        <v>26</v>
      </c>
      <c r="B28" s="12">
        <v>0.6</v>
      </c>
      <c r="C28" s="9" t="s">
        <v>32</v>
      </c>
      <c r="D28" s="11" t="s">
        <v>38</v>
      </c>
    </row>
    <row r="29" spans="1:4" ht="15" customHeight="1" x14ac:dyDescent="0.3">
      <c r="A29" s="9" t="s">
        <v>27</v>
      </c>
      <c r="B29" s="12">
        <v>2</v>
      </c>
      <c r="C29" s="9" t="s">
        <v>32</v>
      </c>
      <c r="D29" s="11" t="s">
        <v>39</v>
      </c>
    </row>
    <row r="30" spans="1:4" ht="15" customHeight="1" x14ac:dyDescent="0.3">
      <c r="A30" s="9" t="s">
        <v>28</v>
      </c>
      <c r="B30" s="12">
        <v>0.75</v>
      </c>
      <c r="C30" s="9" t="s">
        <v>32</v>
      </c>
      <c r="D30" s="11" t="s">
        <v>40</v>
      </c>
    </row>
    <row r="33" spans="1:4" ht="15" customHeight="1" x14ac:dyDescent="0.3">
      <c r="A33" s="78" t="s">
        <v>41</v>
      </c>
      <c r="B33" s="78"/>
      <c r="C33" s="78"/>
      <c r="D33" s="78"/>
    </row>
    <row r="34" spans="1:4" ht="15" customHeight="1" x14ac:dyDescent="0.3">
      <c r="A34" s="8" t="s">
        <v>15</v>
      </c>
      <c r="B34" s="8" t="s">
        <v>42</v>
      </c>
      <c r="C34" s="8" t="s">
        <v>43</v>
      </c>
      <c r="D34" s="8" t="s">
        <v>31</v>
      </c>
    </row>
    <row r="35" spans="1:4" ht="15" customHeight="1" x14ac:dyDescent="0.3">
      <c r="A35" s="9" t="s">
        <v>19</v>
      </c>
      <c r="B35" s="6">
        <v>30</v>
      </c>
      <c r="C35" s="10" t="s">
        <v>44</v>
      </c>
      <c r="D35" s="11" t="s">
        <v>45</v>
      </c>
    </row>
    <row r="36" spans="1:4" ht="15" customHeight="1" x14ac:dyDescent="0.3">
      <c r="A36" s="9" t="s">
        <v>22</v>
      </c>
      <c r="B36" s="6">
        <v>12</v>
      </c>
      <c r="C36" s="10" t="s">
        <v>44</v>
      </c>
      <c r="D36" s="11" t="s">
        <v>45</v>
      </c>
    </row>
    <row r="37" spans="1:4" ht="15" customHeight="1" x14ac:dyDescent="0.3">
      <c r="A37" s="9" t="s">
        <v>23</v>
      </c>
      <c r="B37" s="6">
        <v>1</v>
      </c>
      <c r="C37" s="10" t="s">
        <v>44</v>
      </c>
      <c r="D37" s="11" t="s">
        <v>46</v>
      </c>
    </row>
    <row r="38" spans="1:4" ht="15" customHeight="1" x14ac:dyDescent="0.3">
      <c r="A38" s="9" t="s">
        <v>24</v>
      </c>
      <c r="B38" s="6">
        <v>100</v>
      </c>
      <c r="C38" s="10" t="s">
        <v>44</v>
      </c>
      <c r="D38" s="11" t="s">
        <v>47</v>
      </c>
    </row>
    <row r="39" spans="1:4" ht="15" customHeight="1" x14ac:dyDescent="0.3">
      <c r="A39" s="9" t="s">
        <v>25</v>
      </c>
      <c r="B39" s="6">
        <v>30</v>
      </c>
      <c r="C39" s="10" t="s">
        <v>44</v>
      </c>
      <c r="D39" s="11" t="s">
        <v>48</v>
      </c>
    </row>
    <row r="40" spans="1:4" ht="15" customHeight="1" x14ac:dyDescent="0.3">
      <c r="A40" s="9" t="s">
        <v>26</v>
      </c>
      <c r="B40" s="6">
        <v>60</v>
      </c>
      <c r="C40" s="10" t="s">
        <v>44</v>
      </c>
      <c r="D40" s="11" t="s">
        <v>49</v>
      </c>
    </row>
    <row r="41" spans="1:4" ht="15" customHeight="1" x14ac:dyDescent="0.3">
      <c r="A41" s="9" t="s">
        <v>27</v>
      </c>
      <c r="B41" s="6">
        <v>100</v>
      </c>
      <c r="C41" s="10" t="s">
        <v>44</v>
      </c>
      <c r="D41" s="11" t="s">
        <v>50</v>
      </c>
    </row>
    <row r="42" spans="1:4" ht="15" customHeight="1" x14ac:dyDescent="0.3">
      <c r="A42" s="9" t="s">
        <v>28</v>
      </c>
      <c r="B42" s="6">
        <v>150</v>
      </c>
      <c r="C42" s="10" t="s">
        <v>44</v>
      </c>
      <c r="D42" s="11" t="s">
        <v>51</v>
      </c>
    </row>
    <row r="43" spans="1:4" ht="15" customHeight="1" x14ac:dyDescent="0.3">
      <c r="B43">
        <v>125</v>
      </c>
      <c r="C43">
        <f>B43/B35</f>
        <v>4.166666666666667</v>
      </c>
    </row>
    <row r="44" spans="1:4" ht="15" customHeight="1" x14ac:dyDescent="0.3">
      <c r="B44">
        <v>330</v>
      </c>
      <c r="C44">
        <f>B44/B36</f>
        <v>27.5</v>
      </c>
    </row>
    <row r="45" spans="1:4" ht="15" customHeight="1" x14ac:dyDescent="0.3">
      <c r="A45" s="78" t="s">
        <v>52</v>
      </c>
      <c r="B45" s="78"/>
      <c r="C45" s="78"/>
      <c r="D45" s="78"/>
    </row>
    <row r="46" spans="1:4" ht="15" customHeight="1" x14ac:dyDescent="0.3">
      <c r="A46" s="8" t="s">
        <v>15</v>
      </c>
      <c r="B46" s="8">
        <v>7</v>
      </c>
      <c r="C46" s="8">
        <f>B46/B38</f>
        <v>7.0000000000000007E-2</v>
      </c>
      <c r="D46" s="8" t="s">
        <v>53</v>
      </c>
    </row>
    <row r="47" spans="1:4" ht="15" customHeight="1" x14ac:dyDescent="0.3">
      <c r="A47" s="9" t="s">
        <v>19</v>
      </c>
      <c r="B47" s="13">
        <v>125</v>
      </c>
      <c r="C47" s="14">
        <f t="shared" ref="C47:C54" si="0">B47/B35</f>
        <v>4.166666666666667</v>
      </c>
      <c r="D47" s="10" t="s">
        <v>54</v>
      </c>
    </row>
    <row r="48" spans="1:4" ht="15" customHeight="1" x14ac:dyDescent="0.3">
      <c r="A48" s="9" t="s">
        <v>22</v>
      </c>
      <c r="B48" s="13">
        <v>330</v>
      </c>
      <c r="C48" s="14">
        <f t="shared" si="0"/>
        <v>27.5</v>
      </c>
      <c r="D48" s="10" t="s">
        <v>54</v>
      </c>
    </row>
    <row r="49" spans="1:7" ht="15" customHeight="1" x14ac:dyDescent="0.3">
      <c r="A49" s="9" t="s">
        <v>23</v>
      </c>
      <c r="B49" s="13">
        <v>60</v>
      </c>
      <c r="C49" s="14">
        <f t="shared" si="0"/>
        <v>60</v>
      </c>
      <c r="D49" s="10" t="s">
        <v>54</v>
      </c>
    </row>
    <row r="50" spans="1:7" ht="15" customHeight="1" x14ac:dyDescent="0.3">
      <c r="A50" s="9" t="s">
        <v>24</v>
      </c>
      <c r="B50" s="13">
        <v>7</v>
      </c>
      <c r="C50" s="14">
        <f t="shared" si="0"/>
        <v>7.0000000000000007E-2</v>
      </c>
      <c r="D50" s="10" t="s">
        <v>54</v>
      </c>
    </row>
    <row r="51" spans="1:7" ht="15" customHeight="1" x14ac:dyDescent="0.3">
      <c r="A51" s="9" t="s">
        <v>25</v>
      </c>
      <c r="B51" s="13">
        <v>36</v>
      </c>
      <c r="C51" s="14">
        <f t="shared" si="0"/>
        <v>1.2</v>
      </c>
      <c r="D51" s="10" t="s">
        <v>54</v>
      </c>
    </row>
    <row r="52" spans="1:7" ht="15" customHeight="1" x14ac:dyDescent="0.3">
      <c r="A52" s="9" t="s">
        <v>26</v>
      </c>
      <c r="B52" s="13">
        <v>24</v>
      </c>
      <c r="C52" s="14">
        <f t="shared" si="0"/>
        <v>0.4</v>
      </c>
      <c r="D52" s="10" t="s">
        <v>54</v>
      </c>
    </row>
    <row r="53" spans="1:7" ht="15" customHeight="1" x14ac:dyDescent="0.3">
      <c r="A53" s="9" t="s">
        <v>27</v>
      </c>
      <c r="B53" s="13">
        <v>30</v>
      </c>
      <c r="C53" s="14">
        <f t="shared" si="0"/>
        <v>0.3</v>
      </c>
      <c r="D53" s="10" t="s">
        <v>54</v>
      </c>
    </row>
    <row r="54" spans="1:7" ht="15" customHeight="1" x14ac:dyDescent="0.3">
      <c r="A54" s="9" t="s">
        <v>28</v>
      </c>
      <c r="B54" s="13">
        <v>28</v>
      </c>
      <c r="C54" s="14">
        <f t="shared" si="0"/>
        <v>0.18666666666666668</v>
      </c>
      <c r="D54" s="10" t="s">
        <v>54</v>
      </c>
    </row>
    <row r="57" spans="1:7" ht="15" customHeight="1" x14ac:dyDescent="0.3">
      <c r="A57" s="78" t="s">
        <v>55</v>
      </c>
      <c r="B57" s="78"/>
      <c r="C57" s="78"/>
      <c r="D57" s="78"/>
      <c r="E57" s="78"/>
    </row>
    <row r="58" spans="1:7" ht="15" customHeight="1" x14ac:dyDescent="0.3">
      <c r="A58" s="8" t="s">
        <v>15</v>
      </c>
      <c r="B58" s="8" t="s">
        <v>56</v>
      </c>
      <c r="C58" s="8" t="s">
        <v>57</v>
      </c>
      <c r="D58" s="8" t="s">
        <v>58</v>
      </c>
    </row>
    <row r="59" spans="1:7" ht="15" customHeight="1" x14ac:dyDescent="0.3">
      <c r="A59" s="9" t="s">
        <v>19</v>
      </c>
      <c r="B59" s="13">
        <v>2300</v>
      </c>
      <c r="C59" s="15">
        <v>0.3</v>
      </c>
      <c r="D59" s="11" t="s">
        <v>59</v>
      </c>
    </row>
    <row r="60" spans="1:7" ht="15" customHeight="1" x14ac:dyDescent="0.3">
      <c r="A60" s="9" t="s">
        <v>22</v>
      </c>
      <c r="B60" s="13">
        <v>6000</v>
      </c>
      <c r="C60" s="15">
        <v>4.5</v>
      </c>
      <c r="D60" s="11" t="s">
        <v>59</v>
      </c>
    </row>
    <row r="61" spans="1:7" ht="15" customHeight="1" x14ac:dyDescent="0.3">
      <c r="A61" s="9" t="s">
        <v>60</v>
      </c>
      <c r="B61" s="13">
        <v>0</v>
      </c>
      <c r="C61" s="15">
        <v>0</v>
      </c>
      <c r="D61" s="11" t="s">
        <v>61</v>
      </c>
    </row>
    <row r="64" spans="1:7" ht="15" customHeight="1" x14ac:dyDescent="0.3">
      <c r="A64" s="78" t="s">
        <v>62</v>
      </c>
      <c r="B64" s="78"/>
      <c r="C64" s="78"/>
      <c r="D64" s="78"/>
      <c r="E64" s="78"/>
      <c r="F64" s="78"/>
      <c r="G64" s="78"/>
    </row>
    <row r="65" spans="1:7" ht="15" customHeight="1" x14ac:dyDescent="0.3">
      <c r="A65" s="8" t="s">
        <v>63</v>
      </c>
      <c r="B65" s="8" t="s">
        <v>64</v>
      </c>
      <c r="C65" s="8" t="s">
        <v>65</v>
      </c>
      <c r="D65" s="8" t="s">
        <v>66</v>
      </c>
      <c r="E65" s="8" t="s">
        <v>67</v>
      </c>
      <c r="F65" s="8" t="s">
        <v>68</v>
      </c>
    </row>
    <row r="66" spans="1:7" ht="15" customHeight="1" x14ac:dyDescent="0.3">
      <c r="A66" s="10" t="s">
        <v>69</v>
      </c>
      <c r="B66" s="16">
        <v>125</v>
      </c>
      <c r="C66" s="17" t="s">
        <v>70</v>
      </c>
      <c r="D66" s="17" t="s">
        <v>71</v>
      </c>
      <c r="E66" s="17" t="s">
        <v>44</v>
      </c>
      <c r="F66" s="10" t="s">
        <v>72</v>
      </c>
    </row>
    <row r="67" spans="1:7" ht="15" customHeight="1" x14ac:dyDescent="0.3">
      <c r="A67" s="10" t="s">
        <v>73</v>
      </c>
      <c r="B67" s="16">
        <v>100</v>
      </c>
      <c r="C67" s="17" t="s">
        <v>74</v>
      </c>
      <c r="D67" s="17" t="s">
        <v>75</v>
      </c>
      <c r="E67" s="17">
        <v>150</v>
      </c>
      <c r="F67" s="10" t="s">
        <v>76</v>
      </c>
    </row>
    <row r="68" spans="1:7" ht="15" customHeight="1" x14ac:dyDescent="0.3">
      <c r="A68" s="10" t="s">
        <v>77</v>
      </c>
      <c r="B68" s="16">
        <v>140</v>
      </c>
      <c r="C68" s="17" t="s">
        <v>78</v>
      </c>
      <c r="D68" s="17" t="s">
        <v>71</v>
      </c>
      <c r="E68" s="17" t="s">
        <v>44</v>
      </c>
      <c r="F68" s="10" t="s">
        <v>72</v>
      </c>
    </row>
    <row r="69" spans="1:7" ht="15" customHeight="1" x14ac:dyDescent="0.3">
      <c r="A69" s="1" t="s">
        <v>79</v>
      </c>
      <c r="B69" s="18" t="s">
        <v>69</v>
      </c>
    </row>
    <row r="72" spans="1:7" ht="15" customHeight="1" x14ac:dyDescent="0.3">
      <c r="A72" s="78" t="s">
        <v>80</v>
      </c>
      <c r="B72" s="78"/>
      <c r="C72" s="78"/>
      <c r="D72" s="78"/>
      <c r="E72" s="78"/>
      <c r="F72" s="78"/>
      <c r="G72" s="78"/>
    </row>
    <row r="73" spans="1:7" ht="15" customHeight="1" x14ac:dyDescent="0.3">
      <c r="A73" s="8" t="s">
        <v>63</v>
      </c>
      <c r="B73" s="8" t="s">
        <v>64</v>
      </c>
      <c r="C73" s="8" t="s">
        <v>65</v>
      </c>
      <c r="D73" s="8" t="s">
        <v>66</v>
      </c>
      <c r="E73" s="8" t="s">
        <v>67</v>
      </c>
      <c r="F73" s="8" t="s">
        <v>68</v>
      </c>
    </row>
    <row r="74" spans="1:7" ht="15" customHeight="1" x14ac:dyDescent="0.3">
      <c r="A74" s="10" t="s">
        <v>69</v>
      </c>
      <c r="B74" s="16">
        <v>330</v>
      </c>
      <c r="C74" s="17" t="s">
        <v>70</v>
      </c>
      <c r="D74" s="17" t="s">
        <v>71</v>
      </c>
      <c r="E74" s="17" t="s">
        <v>44</v>
      </c>
      <c r="F74" s="10" t="s">
        <v>72</v>
      </c>
    </row>
    <row r="75" spans="1:7" ht="15" customHeight="1" x14ac:dyDescent="0.3">
      <c r="A75" s="10" t="s">
        <v>73</v>
      </c>
      <c r="B75" s="16">
        <v>264</v>
      </c>
      <c r="C75" s="17" t="s">
        <v>74</v>
      </c>
      <c r="D75" s="17" t="s">
        <v>81</v>
      </c>
      <c r="E75" s="17">
        <v>80</v>
      </c>
      <c r="F75" s="10" t="s">
        <v>76</v>
      </c>
    </row>
    <row r="76" spans="1:7" ht="15" customHeight="1" x14ac:dyDescent="0.3">
      <c r="A76" s="10" t="s">
        <v>77</v>
      </c>
      <c r="B76" s="16">
        <v>370</v>
      </c>
      <c r="C76" s="17" t="s">
        <v>78</v>
      </c>
      <c r="D76" s="17" t="s">
        <v>71</v>
      </c>
      <c r="E76" s="17" t="s">
        <v>44</v>
      </c>
      <c r="F76" s="10" t="s">
        <v>72</v>
      </c>
    </row>
    <row r="77" spans="1:7" ht="15" customHeight="1" x14ac:dyDescent="0.3">
      <c r="A77" s="1" t="s">
        <v>79</v>
      </c>
      <c r="B77" s="18" t="s">
        <v>69</v>
      </c>
    </row>
    <row r="80" spans="1:7" ht="15" customHeight="1" x14ac:dyDescent="0.3">
      <c r="A80" s="78" t="s">
        <v>82</v>
      </c>
      <c r="B80" s="78"/>
      <c r="C80" s="78"/>
      <c r="D80" s="78"/>
    </row>
    <row r="81" spans="1:5" ht="15" customHeight="1" x14ac:dyDescent="0.3">
      <c r="A81" s="8" t="s">
        <v>15</v>
      </c>
      <c r="B81" s="8" t="s">
        <v>83</v>
      </c>
      <c r="C81" s="8" t="s">
        <v>84</v>
      </c>
      <c r="D81" s="8" t="s">
        <v>85</v>
      </c>
    </row>
    <row r="82" spans="1:5" ht="15" customHeight="1" x14ac:dyDescent="0.3">
      <c r="A82" s="9" t="s">
        <v>19</v>
      </c>
      <c r="B82" s="6">
        <v>2000</v>
      </c>
      <c r="C82" s="19">
        <v>10</v>
      </c>
      <c r="D82" s="20">
        <v>1</v>
      </c>
    </row>
    <row r="83" spans="1:5" ht="15" customHeight="1" x14ac:dyDescent="0.3">
      <c r="A83" s="9" t="s">
        <v>22</v>
      </c>
      <c r="B83" s="6">
        <v>500</v>
      </c>
      <c r="C83" s="19">
        <v>10</v>
      </c>
      <c r="D83" s="20">
        <v>1</v>
      </c>
    </row>
    <row r="84" spans="1:5" ht="15" customHeight="1" x14ac:dyDescent="0.3">
      <c r="A84" s="9" t="s">
        <v>23</v>
      </c>
      <c r="B84" s="6">
        <v>50</v>
      </c>
      <c r="C84" s="19">
        <v>20</v>
      </c>
      <c r="D84" s="20">
        <v>2</v>
      </c>
    </row>
    <row r="85" spans="1:5" ht="15" customHeight="1" x14ac:dyDescent="0.3">
      <c r="A85" s="9" t="s">
        <v>24</v>
      </c>
      <c r="B85" s="6">
        <v>10000</v>
      </c>
      <c r="C85" s="19">
        <v>10</v>
      </c>
      <c r="D85" s="20">
        <v>1</v>
      </c>
    </row>
    <row r="86" spans="1:5" ht="15" customHeight="1" x14ac:dyDescent="0.3">
      <c r="A86" s="9" t="s">
        <v>25</v>
      </c>
      <c r="B86" s="6">
        <v>1000</v>
      </c>
      <c r="C86" s="19">
        <v>15</v>
      </c>
      <c r="D86" s="20">
        <v>1</v>
      </c>
    </row>
    <row r="87" spans="1:5" ht="15" customHeight="1" x14ac:dyDescent="0.3">
      <c r="A87" s="9" t="s">
        <v>26</v>
      </c>
      <c r="B87" s="6">
        <v>2000</v>
      </c>
      <c r="C87" s="19">
        <v>15</v>
      </c>
      <c r="D87" s="20">
        <v>1</v>
      </c>
    </row>
    <row r="88" spans="1:5" ht="15" customHeight="1" x14ac:dyDescent="0.3">
      <c r="A88" s="79" t="s">
        <v>86</v>
      </c>
      <c r="B88" s="79"/>
      <c r="C88" s="79"/>
      <c r="D88" s="79"/>
      <c r="E88" s="79"/>
    </row>
    <row r="89" spans="1:5" ht="15" customHeight="1" x14ac:dyDescent="0.3">
      <c r="A89" s="80" t="s">
        <v>87</v>
      </c>
      <c r="B89" s="80"/>
      <c r="C89" s="80"/>
      <c r="D89" s="80"/>
      <c r="E89" s="80"/>
    </row>
    <row r="90" spans="1:5" ht="15" customHeight="1" x14ac:dyDescent="0.3">
      <c r="A90" s="8" t="s">
        <v>15</v>
      </c>
      <c r="B90" s="8" t="s">
        <v>88</v>
      </c>
      <c r="C90" s="8" t="s">
        <v>89</v>
      </c>
      <c r="D90" s="8" t="s">
        <v>90</v>
      </c>
      <c r="E90" s="8" t="s">
        <v>91</v>
      </c>
    </row>
    <row r="91" spans="1:5" ht="15" customHeight="1" x14ac:dyDescent="0.3">
      <c r="A91" s="9" t="s">
        <v>19</v>
      </c>
      <c r="B91" s="21">
        <v>1</v>
      </c>
      <c r="C91" s="22">
        <f>BOM_Consumo!K6/8</f>
        <v>1464980162650</v>
      </c>
      <c r="D91" s="22">
        <f t="shared" ref="D91:D98" si="1">B91*C91</f>
        <v>1464980162650</v>
      </c>
      <c r="E91" s="23" t="str">
        <f t="shared" ref="E91:E98" si="2">IF(B91&gt;=1.5,"NO","SÍ - RIESGO ALTO")</f>
        <v>SÍ - RIESGO ALTO</v>
      </c>
    </row>
    <row r="92" spans="1:5" ht="15" customHeight="1" x14ac:dyDescent="0.3">
      <c r="A92" s="9" t="s">
        <v>22</v>
      </c>
      <c r="B92" s="21">
        <v>1</v>
      </c>
      <c r="C92" s="22">
        <f>BOM_Consumo!K7/8</f>
        <v>542042660095030</v>
      </c>
      <c r="D92" s="22">
        <f t="shared" si="1"/>
        <v>542042660095030</v>
      </c>
      <c r="E92" s="23" t="str">
        <f t="shared" si="2"/>
        <v>SÍ - RIESGO ALTO</v>
      </c>
    </row>
    <row r="93" spans="1:5" ht="15" customHeight="1" x14ac:dyDescent="0.3">
      <c r="A93" s="9" t="s">
        <v>23</v>
      </c>
      <c r="B93" s="21">
        <v>2</v>
      </c>
      <c r="C93" s="22">
        <f>BOM_Consumo!K8/8</f>
        <v>9.275705020875409E+19</v>
      </c>
      <c r="D93" s="22">
        <f t="shared" si="1"/>
        <v>1.8551410041750818E+20</v>
      </c>
      <c r="E93" s="23" t="str">
        <f t="shared" si="2"/>
        <v>NO</v>
      </c>
    </row>
    <row r="94" spans="1:5" ht="15" customHeight="1" x14ac:dyDescent="0.3">
      <c r="A94" s="9" t="s">
        <v>24</v>
      </c>
      <c r="B94" s="21">
        <v>1</v>
      </c>
      <c r="C94" s="22">
        <f>BOM_Consumo!K9/8</f>
        <v>7.4205640167003276E+22</v>
      </c>
      <c r="D94" s="22">
        <f>B94*C94</f>
        <v>7.4205640167003276E+22</v>
      </c>
      <c r="E94" s="23" t="str">
        <f t="shared" si="2"/>
        <v>SÍ - RIESGO ALTO</v>
      </c>
    </row>
    <row r="95" spans="1:5" ht="15" customHeight="1" x14ac:dyDescent="0.3">
      <c r="A95" s="9" t="s">
        <v>25</v>
      </c>
      <c r="B95" s="21">
        <v>1</v>
      </c>
      <c r="C95" s="22">
        <f>BOM_Consumo!K10/8</f>
        <v>2.7827115062626233E+21</v>
      </c>
      <c r="D95" s="22">
        <f t="shared" si="1"/>
        <v>2.7827115062626233E+21</v>
      </c>
      <c r="E95" s="23" t="str">
        <f t="shared" si="2"/>
        <v>SÍ - RIESGO ALTO</v>
      </c>
    </row>
    <row r="96" spans="1:5" ht="15" customHeight="1" x14ac:dyDescent="0.3">
      <c r="A96" s="9" t="s">
        <v>26</v>
      </c>
      <c r="B96" s="21">
        <v>1</v>
      </c>
      <c r="C96" s="22">
        <f>BOM_Consumo!K11/8</f>
        <v>5.5654230125252465E+21</v>
      </c>
      <c r="D96" s="22">
        <f t="shared" si="1"/>
        <v>5.5654230125252465E+21</v>
      </c>
      <c r="E96" s="23" t="str">
        <f t="shared" si="2"/>
        <v>SÍ - RIESGO ALTO</v>
      </c>
    </row>
    <row r="97" spans="1:5" ht="15" customHeight="1" x14ac:dyDescent="0.3">
      <c r="A97" s="9" t="s">
        <v>27</v>
      </c>
      <c r="B97" s="21">
        <v>1</v>
      </c>
      <c r="C97" s="22">
        <f>BOM_Consumo!K12/8</f>
        <v>1.8551410041750819E+22</v>
      </c>
      <c r="D97" s="22">
        <f t="shared" si="1"/>
        <v>1.8551410041750819E+22</v>
      </c>
      <c r="E97" s="23" t="str">
        <f t="shared" si="2"/>
        <v>SÍ - RIESGO ALTO</v>
      </c>
    </row>
    <row r="98" spans="1:5" ht="15" customHeight="1" x14ac:dyDescent="0.3">
      <c r="A98" s="9" t="s">
        <v>28</v>
      </c>
      <c r="B98" s="21">
        <v>1</v>
      </c>
      <c r="C98" s="22">
        <f>BOM_Consumo!K13/8</f>
        <v>6.9567787656565584E+21</v>
      </c>
      <c r="D98" s="22">
        <f t="shared" si="1"/>
        <v>6.9567787656565584E+21</v>
      </c>
      <c r="E98" s="23" t="str">
        <f t="shared" si="2"/>
        <v>SÍ - RIESGO ALTO</v>
      </c>
    </row>
    <row r="100" spans="1:5" x14ac:dyDescent="0.3">
      <c r="A100" t="s">
        <v>301</v>
      </c>
    </row>
    <row r="101" spans="1:5" x14ac:dyDescent="0.3">
      <c r="A101" t="s">
        <v>302</v>
      </c>
      <c r="B101">
        <f>Escenarios!$E$29</f>
        <v>1</v>
      </c>
      <c r="C101" t="s">
        <v>303</v>
      </c>
    </row>
  </sheetData>
  <mergeCells count="13">
    <mergeCell ref="A80:D80"/>
    <mergeCell ref="A88:E88"/>
    <mergeCell ref="A89:E89"/>
    <mergeCell ref="A33:D33"/>
    <mergeCell ref="A45:D45"/>
    <mergeCell ref="A57:E57"/>
    <mergeCell ref="A64:G64"/>
    <mergeCell ref="A72:G72"/>
    <mergeCell ref="A1:K1"/>
    <mergeCell ref="A2:K2"/>
    <mergeCell ref="A4:K4"/>
    <mergeCell ref="A9:D9"/>
    <mergeCell ref="A21:D2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"/>
  <sheetViews>
    <sheetView zoomScaleNormal="100" workbookViewId="0">
      <selection activeCell="F20" sqref="F20"/>
    </sheetView>
  </sheetViews>
  <sheetFormatPr baseColWidth="10" defaultColWidth="8.6640625" defaultRowHeight="14.4" x14ac:dyDescent="0.3"/>
  <cols>
    <col min="1" max="1" width="9" bestFit="1" customWidth="1"/>
    <col min="2" max="2" width="12.6640625" bestFit="1" customWidth="1"/>
    <col min="3" max="3" width="8.6640625" bestFit="1" customWidth="1"/>
    <col min="4" max="4" width="12" customWidth="1"/>
    <col min="5" max="5" width="15.33203125" bestFit="1" customWidth="1"/>
    <col min="6" max="6" width="18.77734375" bestFit="1" customWidth="1"/>
    <col min="7" max="7" width="23.21875" bestFit="1" customWidth="1"/>
    <col min="8" max="8" width="26.6640625" bestFit="1" customWidth="1"/>
    <col min="9" max="9" width="30" bestFit="1" customWidth="1"/>
    <col min="10" max="10" width="8.6640625" bestFit="1" customWidth="1"/>
    <col min="11" max="11" width="27.6640625" bestFit="1" customWidth="1"/>
  </cols>
  <sheetData>
    <row r="1" spans="1:12" ht="17.25" customHeight="1" x14ac:dyDescent="0.3">
      <c r="A1" s="76" t="s">
        <v>92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</row>
    <row r="2" spans="1:12" ht="15" customHeight="1" x14ac:dyDescent="0.3">
      <c r="A2" s="81" t="s">
        <v>93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</row>
    <row r="3" spans="1:12" ht="15" customHeight="1" x14ac:dyDescent="0.3">
      <c r="A3" s="82" t="s">
        <v>94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</row>
    <row r="5" spans="1:12" ht="15" customHeight="1" x14ac:dyDescent="0.3">
      <c r="A5" s="24" t="s">
        <v>15</v>
      </c>
      <c r="B5" s="24" t="s">
        <v>95</v>
      </c>
      <c r="C5" s="24" t="s">
        <v>4</v>
      </c>
      <c r="D5" s="24" t="s">
        <v>5</v>
      </c>
      <c r="E5" s="24" t="s">
        <v>6</v>
      </c>
      <c r="F5" s="24" t="s">
        <v>7</v>
      </c>
      <c r="G5" s="24" t="s">
        <v>8</v>
      </c>
      <c r="H5" s="24" t="s">
        <v>9</v>
      </c>
      <c r="I5" s="24" t="s">
        <v>10</v>
      </c>
      <c r="J5" s="24" t="s">
        <v>11</v>
      </c>
      <c r="K5" s="24" t="s">
        <v>12</v>
      </c>
    </row>
    <row r="6" spans="1:12" ht="15" customHeight="1" x14ac:dyDescent="0.3">
      <c r="A6" s="9" t="s">
        <v>19</v>
      </c>
      <c r="B6" s="25">
        <f>_xlfn.XLOOKUP(A6,Inputs!$A$22:$A$30,Inputs!$B$22:$B$30)</f>
        <v>1</v>
      </c>
      <c r="C6" s="26">
        <f>MRP_LeadTimes!B$18*B6</f>
        <v>1850</v>
      </c>
      <c r="D6" s="26">
        <f>MRP_LeadTimes!C$18*C6</f>
        <v>3422500</v>
      </c>
      <c r="E6" s="26">
        <f>MRP_LeadTimes!D$18*D6</f>
        <v>6331625000</v>
      </c>
      <c r="F6" s="26">
        <f>MRP_LeadTimes!E$18*E6</f>
        <v>11713506250000</v>
      </c>
      <c r="G6" s="26">
        <f>MRP_LeadTimes!F$18*F6</f>
        <v>0</v>
      </c>
      <c r="H6" s="26">
        <f>MRP_LeadTimes!G$18*G6</f>
        <v>0</v>
      </c>
      <c r="I6" s="26">
        <f>MRP_LeadTimes!H$18*H6</f>
        <v>0</v>
      </c>
      <c r="J6" s="26">
        <f>Inputs!I$6*B6</f>
        <v>1850</v>
      </c>
      <c r="K6" s="27">
        <f t="shared" ref="K6:K13" si="0">SUM(C6:J6)</f>
        <v>11719841301200</v>
      </c>
    </row>
    <row r="7" spans="1:12" ht="15" customHeight="1" x14ac:dyDescent="0.3">
      <c r="A7" s="9" t="s">
        <v>22</v>
      </c>
      <c r="B7" s="25">
        <f>_xlfn.XLOOKUP(A7,Inputs!$A$22:$A$30,Inputs!$B$22:$B$30)</f>
        <v>0.2</v>
      </c>
      <c r="C7" s="26">
        <f>MRP_LeadTimes!B$17*B7</f>
        <v>370</v>
      </c>
      <c r="D7" s="26">
        <f>MRP_LeadTimes!C$17*C7</f>
        <v>684500</v>
      </c>
      <c r="E7" s="26">
        <f>MRP_LeadTimes!D$17*D7</f>
        <v>1266325000</v>
      </c>
      <c r="F7" s="26">
        <f>MRP_LeadTimes!E$17*E7</f>
        <v>2342701250000</v>
      </c>
      <c r="G7" s="26">
        <f>MRP_LeadTimes!F$17*F7</f>
        <v>4333997312500000</v>
      </c>
      <c r="H7" s="26">
        <f>MRP_LeadTimes!G$17*G7</f>
        <v>0</v>
      </c>
      <c r="I7" s="26">
        <f>MRP_LeadTimes!H$17*H7</f>
        <v>0</v>
      </c>
      <c r="J7" s="26">
        <f>Inputs!I$6*B7</f>
        <v>370</v>
      </c>
      <c r="K7" s="27">
        <f t="shared" si="0"/>
        <v>4336341280760240</v>
      </c>
    </row>
    <row r="8" spans="1:12" ht="15" customHeight="1" x14ac:dyDescent="0.3">
      <c r="A8" s="9" t="s">
        <v>23</v>
      </c>
      <c r="B8" s="25">
        <f>_xlfn.XLOOKUP(A8,Inputs!$A$22:$A$30,Inputs!$B$22:$B$30)</f>
        <v>0.01</v>
      </c>
      <c r="C8" s="26">
        <f>MRP_LeadTimes!B$15*B8</f>
        <v>18.5</v>
      </c>
      <c r="D8" s="26">
        <f>MRP_LeadTimes!C$15*C8</f>
        <v>34225</v>
      </c>
      <c r="E8" s="26">
        <f>MRP_LeadTimes!D$15*D8</f>
        <v>63316250</v>
      </c>
      <c r="F8" s="26">
        <f>MRP_LeadTimes!E$15*E8</f>
        <v>117135062500</v>
      </c>
      <c r="G8" s="26">
        <f>MRP_LeadTimes!F$15*F8</f>
        <v>216699865625000</v>
      </c>
      <c r="H8" s="26">
        <f>MRP_LeadTimes!G$15*G8</f>
        <v>4.0089475140624998E+17</v>
      </c>
      <c r="I8" s="26">
        <f>MRP_LeadTimes!H$15*H8</f>
        <v>7.4165529010156247E+20</v>
      </c>
      <c r="J8" s="26">
        <f>Inputs!I$6*B8</f>
        <v>18.5</v>
      </c>
      <c r="K8" s="27">
        <f t="shared" si="0"/>
        <v>7.4205640167003272E+20</v>
      </c>
    </row>
    <row r="9" spans="1:12" ht="15" customHeight="1" x14ac:dyDescent="0.3">
      <c r="A9" s="9" t="s">
        <v>24</v>
      </c>
      <c r="B9" s="25">
        <f>_xlfn.XLOOKUP(A9,Inputs!$A$22:$A$30,Inputs!$B$22:$B$30)</f>
        <v>8</v>
      </c>
      <c r="C9" s="26">
        <f>MRP_LeadTimes!B$15*B9</f>
        <v>14800</v>
      </c>
      <c r="D9" s="26">
        <f>MRP_LeadTimes!C$15*C9</f>
        <v>27380000</v>
      </c>
      <c r="E9" s="26">
        <f>MRP_LeadTimes!D$15*D9</f>
        <v>50653000000</v>
      </c>
      <c r="F9" s="26">
        <f>MRP_LeadTimes!E$15*E9</f>
        <v>93708050000000</v>
      </c>
      <c r="G9" s="26">
        <f>MRP_LeadTimes!F$15*F9</f>
        <v>1.733598925E+17</v>
      </c>
      <c r="H9" s="26">
        <f>MRP_LeadTimes!G$15*G9</f>
        <v>3.2071580112499999E+20</v>
      </c>
      <c r="I9" s="26">
        <f>MRP_LeadTimes!H$15*H9</f>
        <v>5.9332423208124999E+23</v>
      </c>
      <c r="J9" s="26">
        <f>Inputs!I$6*B9</f>
        <v>14800</v>
      </c>
      <c r="K9" s="27">
        <f t="shared" si="0"/>
        <v>5.9364512133602621E+23</v>
      </c>
    </row>
    <row r="10" spans="1:12" ht="15" customHeight="1" x14ac:dyDescent="0.3">
      <c r="A10" s="9" t="s">
        <v>25</v>
      </c>
      <c r="B10" s="25">
        <f>_xlfn.XLOOKUP(A10,Inputs!$A$22:$A$30,Inputs!$B$22:$B$30)</f>
        <v>0.3</v>
      </c>
      <c r="C10" s="26">
        <f>MRP_LeadTimes!B$15*B10</f>
        <v>555</v>
      </c>
      <c r="D10" s="26">
        <f>MRP_LeadTimes!C$15*C10</f>
        <v>1026750</v>
      </c>
      <c r="E10" s="26">
        <f>MRP_LeadTimes!D$15*D10</f>
        <v>1899487500</v>
      </c>
      <c r="F10" s="26">
        <f>MRP_LeadTimes!E$15*E10</f>
        <v>3514051875000</v>
      </c>
      <c r="G10" s="26">
        <f>MRP_LeadTimes!F$15*F10</f>
        <v>6500995968750000</v>
      </c>
      <c r="H10" s="26">
        <f>MRP_LeadTimes!G$15*G10</f>
        <v>1.20268425421875E+19</v>
      </c>
      <c r="I10" s="26">
        <f>MRP_LeadTimes!H$15*H10</f>
        <v>2.2249658703046876E+22</v>
      </c>
      <c r="J10" s="26">
        <f>Inputs!I$6*B10</f>
        <v>555</v>
      </c>
      <c r="K10" s="27">
        <f t="shared" si="0"/>
        <v>2.2261692050100986E+22</v>
      </c>
    </row>
    <row r="11" spans="1:12" ht="15" customHeight="1" x14ac:dyDescent="0.3">
      <c r="A11" s="9" t="s">
        <v>26</v>
      </c>
      <c r="B11" s="25">
        <f>_xlfn.XLOOKUP(A11,Inputs!$A$22:$A$30,Inputs!$B$22:$B$30)</f>
        <v>0.6</v>
      </c>
      <c r="C11" s="26">
        <f>MRP_LeadTimes!B$15*B11</f>
        <v>1110</v>
      </c>
      <c r="D11" s="26">
        <f>MRP_LeadTimes!C$15*C11</f>
        <v>2053500</v>
      </c>
      <c r="E11" s="26">
        <f>MRP_LeadTimes!D$15*D11</f>
        <v>3798975000</v>
      </c>
      <c r="F11" s="26">
        <f>MRP_LeadTimes!E$15*E11</f>
        <v>7028103750000</v>
      </c>
      <c r="G11" s="26">
        <f>MRP_LeadTimes!F$15*F11</f>
        <v>1.30019919375E+16</v>
      </c>
      <c r="H11" s="26">
        <f>MRP_LeadTimes!G$15*G11</f>
        <v>2.4053685084374999E+19</v>
      </c>
      <c r="I11" s="26">
        <f>MRP_LeadTimes!H$15*H11</f>
        <v>4.4499317406093751E+22</v>
      </c>
      <c r="J11" s="26">
        <f>Inputs!I$6*B11</f>
        <v>1110</v>
      </c>
      <c r="K11" s="27">
        <f t="shared" si="0"/>
        <v>4.4523384100201972E+22</v>
      </c>
    </row>
    <row r="12" spans="1:12" ht="15" customHeight="1" x14ac:dyDescent="0.3">
      <c r="A12" s="9" t="s">
        <v>27</v>
      </c>
      <c r="B12" s="25">
        <f>_xlfn.XLOOKUP(A12,Inputs!$A$22:$A$30,Inputs!$B$22:$B$30)</f>
        <v>2</v>
      </c>
      <c r="C12" s="26">
        <f>MRP_LeadTimes!B$15*B12</f>
        <v>3700</v>
      </c>
      <c r="D12" s="26">
        <f>MRP_LeadTimes!C$15*C12</f>
        <v>6845000</v>
      </c>
      <c r="E12" s="26">
        <f>MRP_LeadTimes!D$15*D12</f>
        <v>12663250000</v>
      </c>
      <c r="F12" s="26">
        <f>MRP_LeadTimes!E$15*E12</f>
        <v>23427012500000</v>
      </c>
      <c r="G12" s="26">
        <f>MRP_LeadTimes!F$15*F12</f>
        <v>4.3339973125E+16</v>
      </c>
      <c r="H12" s="26">
        <f>MRP_LeadTimes!G$15*G12</f>
        <v>8.0178950281249997E+19</v>
      </c>
      <c r="I12" s="26">
        <f>MRP_LeadTimes!H$15*H12</f>
        <v>1.483310580203125E+23</v>
      </c>
      <c r="J12" s="26">
        <f>Inputs!I$6*B12</f>
        <v>3700</v>
      </c>
      <c r="K12" s="27">
        <f t="shared" si="0"/>
        <v>1.4841128033400655E+23</v>
      </c>
    </row>
    <row r="13" spans="1:12" ht="15" customHeight="1" x14ac:dyDescent="0.3">
      <c r="A13" s="9" t="s">
        <v>28</v>
      </c>
      <c r="B13" s="25">
        <f>_xlfn.XLOOKUP(A13,Inputs!$A$22:$A$30,Inputs!$B$22:$B$30)</f>
        <v>0.75</v>
      </c>
      <c r="C13" s="26">
        <f>MRP_LeadTimes!B$15*B13</f>
        <v>1387.5</v>
      </c>
      <c r="D13" s="26">
        <f>MRP_LeadTimes!C$15*C13</f>
        <v>2566875</v>
      </c>
      <c r="E13" s="26">
        <f>MRP_LeadTimes!D$15*D13</f>
        <v>4748718750</v>
      </c>
      <c r="F13" s="26">
        <f>MRP_LeadTimes!E$15*E13</f>
        <v>8785129687500</v>
      </c>
      <c r="G13" s="26">
        <f>MRP_LeadTimes!F$15*F13</f>
        <v>1.6252489921875E+16</v>
      </c>
      <c r="H13" s="26">
        <f>MRP_LeadTimes!G$15*G13</f>
        <v>3.0067106355468751E+19</v>
      </c>
      <c r="I13" s="26">
        <f>MRP_LeadTimes!H$15*H13</f>
        <v>5.5624146757617193E+22</v>
      </c>
      <c r="J13" s="26">
        <f>Inputs!I$6*B13</f>
        <v>1387.5</v>
      </c>
      <c r="K13" s="27">
        <f t="shared" si="0"/>
        <v>5.5654230125252467E+22</v>
      </c>
    </row>
    <row r="15" spans="1:12" ht="15" customHeight="1" x14ac:dyDescent="0.3">
      <c r="A15" s="83" t="s">
        <v>96</v>
      </c>
      <c r="B15" s="83"/>
      <c r="C15" s="28">
        <f>MRP_LeadTimes!B$14</f>
        <v>1850</v>
      </c>
      <c r="D15" s="28">
        <f>MRP_LeadTimes!C$14</f>
        <v>1850</v>
      </c>
      <c r="E15" s="28">
        <f>MRP_LeadTimes!D$14</f>
        <v>1850</v>
      </c>
      <c r="F15" s="28">
        <f>MRP_LeadTimes!E$14</f>
        <v>1850</v>
      </c>
      <c r="G15" s="28">
        <f>MRP_LeadTimes!F$14</f>
        <v>1850</v>
      </c>
      <c r="H15" s="28">
        <f>MRP_LeadTimes!G$14</f>
        <v>1850</v>
      </c>
      <c r="I15" s="28">
        <f>MRP_LeadTimes!H$14</f>
        <v>1850</v>
      </c>
      <c r="J15" s="28">
        <f>Inputs!I6</f>
        <v>1850</v>
      </c>
      <c r="K15" s="27">
        <f>SUM(C15:J15)</f>
        <v>14800</v>
      </c>
    </row>
  </sheetData>
  <mergeCells count="4">
    <mergeCell ref="A1:L1"/>
    <mergeCell ref="A2:L2"/>
    <mergeCell ref="A3:L3"/>
    <mergeCell ref="A15:B1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2"/>
  <sheetViews>
    <sheetView zoomScaleNormal="100" workbookViewId="0">
      <selection activeCell="I12" sqref="I12"/>
    </sheetView>
  </sheetViews>
  <sheetFormatPr baseColWidth="10" defaultColWidth="8.6640625" defaultRowHeight="14.4" x14ac:dyDescent="0.3"/>
  <cols>
    <col min="1" max="1" width="15" customWidth="1"/>
    <col min="2" max="2" width="9.33203125" bestFit="1" customWidth="1"/>
    <col min="3" max="3" width="10.33203125" bestFit="1" customWidth="1"/>
    <col min="4" max="4" width="13.6640625" bestFit="1" customWidth="1"/>
    <col min="5" max="5" width="17.109375" bestFit="1" customWidth="1"/>
    <col min="6" max="6" width="21.5546875" bestFit="1" customWidth="1"/>
    <col min="7" max="7" width="24.88671875" bestFit="1" customWidth="1"/>
    <col min="8" max="9" width="28.33203125" bestFit="1" customWidth="1"/>
    <col min="10" max="10" width="27.33203125" bestFit="1" customWidth="1"/>
  </cols>
  <sheetData>
    <row r="1" spans="1:11" ht="17.25" customHeight="1" x14ac:dyDescent="0.3">
      <c r="A1" s="76" t="s">
        <v>97</v>
      </c>
      <c r="B1" s="76"/>
      <c r="C1" s="76"/>
      <c r="D1" s="76"/>
      <c r="E1" s="76"/>
      <c r="F1" s="76"/>
      <c r="G1" s="76"/>
      <c r="H1" s="76"/>
      <c r="I1" s="76"/>
      <c r="J1" s="76"/>
      <c r="K1" s="76"/>
    </row>
    <row r="2" spans="1:11" ht="15" customHeight="1" x14ac:dyDescent="0.3">
      <c r="A2" s="81" t="s">
        <v>98</v>
      </c>
      <c r="B2" s="81"/>
      <c r="C2" s="81"/>
      <c r="D2" s="81"/>
      <c r="E2" s="81"/>
      <c r="F2" s="81"/>
      <c r="G2" s="81"/>
      <c r="H2" s="81"/>
      <c r="I2" s="81"/>
      <c r="J2" s="81"/>
      <c r="K2" s="81"/>
    </row>
    <row r="3" spans="1:11" ht="15" customHeight="1" x14ac:dyDescent="0.3">
      <c r="A3" s="84" t="s">
        <v>99</v>
      </c>
      <c r="B3" s="84"/>
      <c r="C3" s="84"/>
      <c r="D3" s="84"/>
      <c r="E3" s="84"/>
      <c r="F3" s="84"/>
      <c r="G3" s="84"/>
      <c r="H3" s="84"/>
      <c r="I3" s="84"/>
      <c r="J3" s="84"/>
      <c r="K3" s="84"/>
    </row>
    <row r="5" spans="1:11" ht="15" customHeight="1" x14ac:dyDescent="0.3">
      <c r="A5" s="78" t="s">
        <v>19</v>
      </c>
      <c r="B5" s="78"/>
      <c r="C5" s="78"/>
      <c r="D5" s="78"/>
      <c r="E5" s="78"/>
      <c r="F5" s="78"/>
      <c r="G5" s="78"/>
      <c r="H5" s="78"/>
      <c r="I5" s="78"/>
      <c r="J5" s="78"/>
      <c r="K5" s="78"/>
    </row>
    <row r="6" spans="1:11" ht="15" customHeight="1" x14ac:dyDescent="0.3">
      <c r="A6" s="4" t="s">
        <v>100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</row>
    <row r="7" spans="1:11" ht="15" customHeight="1" x14ac:dyDescent="0.3">
      <c r="A7" s="9" t="s">
        <v>101</v>
      </c>
      <c r="B7" s="29">
        <f>Multi_Planta!D6</f>
        <v>4512</v>
      </c>
      <c r="C7" s="22">
        <f t="shared" ref="C7:I7" si="0">B10</f>
        <v>2662</v>
      </c>
      <c r="D7" s="22">
        <f t="shared" si="0"/>
        <v>-3419838</v>
      </c>
      <c r="E7" s="22">
        <f t="shared" si="0"/>
        <v>-6335044838</v>
      </c>
      <c r="F7" s="22">
        <f t="shared" si="0"/>
        <v>-11719841294838</v>
      </c>
      <c r="G7" s="22">
        <f t="shared" si="0"/>
        <v>-11719841294838</v>
      </c>
      <c r="H7" s="22">
        <f t="shared" si="0"/>
        <v>-11719841294838</v>
      </c>
      <c r="I7" s="22">
        <f t="shared" si="0"/>
        <v>-11719841294838</v>
      </c>
    </row>
    <row r="8" spans="1:11" ht="15" customHeight="1" x14ac:dyDescent="0.3">
      <c r="A8" s="9" t="s">
        <v>102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</row>
    <row r="9" spans="1:11" ht="15" customHeight="1" x14ac:dyDescent="0.3">
      <c r="A9" s="9" t="s">
        <v>103</v>
      </c>
      <c r="B9" s="29">
        <f>BOM_Consumo!C6</f>
        <v>1850</v>
      </c>
      <c r="C9" s="29">
        <f>BOM_Consumo!D6</f>
        <v>3422500</v>
      </c>
      <c r="D9" s="29">
        <f>BOM_Consumo!E6</f>
        <v>6331625000</v>
      </c>
      <c r="E9" s="29">
        <f>BOM_Consumo!F6</f>
        <v>11713506250000</v>
      </c>
      <c r="F9" s="29">
        <f>BOM_Consumo!G6</f>
        <v>0</v>
      </c>
      <c r="G9" s="29">
        <f>BOM_Consumo!H6</f>
        <v>0</v>
      </c>
      <c r="H9" s="29">
        <f>BOM_Consumo!I6</f>
        <v>0</v>
      </c>
      <c r="I9" s="29">
        <f>BOM_Consumo!J6</f>
        <v>1850</v>
      </c>
    </row>
    <row r="10" spans="1:11" ht="15" customHeight="1" x14ac:dyDescent="0.3">
      <c r="A10" s="5" t="s">
        <v>104</v>
      </c>
      <c r="B10" s="27">
        <f t="shared" ref="B10:I10" si="1">B7+B8-B9</f>
        <v>2662</v>
      </c>
      <c r="C10" s="27">
        <f t="shared" si="1"/>
        <v>-3419838</v>
      </c>
      <c r="D10" s="27">
        <f t="shared" si="1"/>
        <v>-6335044838</v>
      </c>
      <c r="E10" s="27">
        <f t="shared" si="1"/>
        <v>-11719841294838</v>
      </c>
      <c r="F10" s="27">
        <f t="shared" si="1"/>
        <v>-11719841294838</v>
      </c>
      <c r="G10" s="27">
        <f t="shared" si="1"/>
        <v>-11719841294838</v>
      </c>
      <c r="H10" s="27">
        <f t="shared" si="1"/>
        <v>-11719841294838</v>
      </c>
      <c r="I10" s="27">
        <f t="shared" si="1"/>
        <v>-11719841296688</v>
      </c>
    </row>
    <row r="11" spans="1:11" ht="15" customHeight="1" x14ac:dyDescent="0.3">
      <c r="A11" s="78" t="s">
        <v>22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</row>
    <row r="12" spans="1:11" ht="15" customHeight="1" x14ac:dyDescent="0.3">
      <c r="A12" s="4" t="s">
        <v>100</v>
      </c>
      <c r="B12" s="4" t="s">
        <v>4</v>
      </c>
      <c r="C12" s="4" t="s">
        <v>5</v>
      </c>
      <c r="D12" s="4" t="s">
        <v>6</v>
      </c>
      <c r="E12" s="4" t="s">
        <v>7</v>
      </c>
      <c r="F12" s="4" t="s">
        <v>8</v>
      </c>
      <c r="G12" s="4" t="s">
        <v>9</v>
      </c>
      <c r="H12" s="4" t="s">
        <v>10</v>
      </c>
      <c r="I12" s="4" t="s">
        <v>11</v>
      </c>
    </row>
    <row r="13" spans="1:11" ht="15" customHeight="1" x14ac:dyDescent="0.3">
      <c r="A13" s="9" t="s">
        <v>101</v>
      </c>
      <c r="B13" s="29">
        <f>Multi_Planta!D7</f>
        <v>1058</v>
      </c>
      <c r="C13" s="22">
        <f t="shared" ref="C13:I13" si="2">B16</f>
        <v>688</v>
      </c>
      <c r="D13" s="22">
        <f t="shared" si="2"/>
        <v>-683812</v>
      </c>
      <c r="E13" s="22">
        <f t="shared" si="2"/>
        <v>-1267008812</v>
      </c>
      <c r="F13" s="22">
        <f t="shared" si="2"/>
        <v>-2343968258812</v>
      </c>
      <c r="G13" s="22">
        <f t="shared" si="2"/>
        <v>-4336341280758812</v>
      </c>
      <c r="H13" s="22">
        <f t="shared" si="2"/>
        <v>-4336341280758812</v>
      </c>
      <c r="I13" s="22">
        <f t="shared" si="2"/>
        <v>-4336341280758812</v>
      </c>
    </row>
    <row r="14" spans="1:11" ht="15" customHeight="1" x14ac:dyDescent="0.3">
      <c r="A14" s="9" t="s">
        <v>102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</row>
    <row r="15" spans="1:11" ht="15" customHeight="1" x14ac:dyDescent="0.3">
      <c r="A15" s="9" t="s">
        <v>103</v>
      </c>
      <c r="B15" s="29">
        <f>BOM_Consumo!C7</f>
        <v>370</v>
      </c>
      <c r="C15" s="29">
        <f>BOM_Consumo!D7</f>
        <v>684500</v>
      </c>
      <c r="D15" s="29">
        <f>BOM_Consumo!E7</f>
        <v>1266325000</v>
      </c>
      <c r="E15" s="29">
        <f>BOM_Consumo!F7</f>
        <v>2342701250000</v>
      </c>
      <c r="F15" s="29">
        <f>BOM_Consumo!G7</f>
        <v>4333997312500000</v>
      </c>
      <c r="G15" s="29">
        <f>BOM_Consumo!H7</f>
        <v>0</v>
      </c>
      <c r="H15" s="29">
        <f>BOM_Consumo!I7</f>
        <v>0</v>
      </c>
      <c r="I15" s="29">
        <f>BOM_Consumo!J7</f>
        <v>370</v>
      </c>
    </row>
    <row r="16" spans="1:11" ht="15" customHeight="1" x14ac:dyDescent="0.3">
      <c r="A16" s="5" t="s">
        <v>104</v>
      </c>
      <c r="B16" s="27">
        <f t="shared" ref="B16:I16" si="3">B13+B14-B15</f>
        <v>688</v>
      </c>
      <c r="C16" s="27">
        <f t="shared" si="3"/>
        <v>-683812</v>
      </c>
      <c r="D16" s="27">
        <f t="shared" si="3"/>
        <v>-1267008812</v>
      </c>
      <c r="E16" s="27">
        <f t="shared" si="3"/>
        <v>-2343968258812</v>
      </c>
      <c r="F16" s="27">
        <f t="shared" si="3"/>
        <v>-4336341280758812</v>
      </c>
      <c r="G16" s="27">
        <f t="shared" si="3"/>
        <v>-4336341280758812</v>
      </c>
      <c r="H16" s="27">
        <f t="shared" si="3"/>
        <v>-4336341280758812</v>
      </c>
      <c r="I16" s="27">
        <f t="shared" si="3"/>
        <v>-4336341280759182</v>
      </c>
    </row>
    <row r="17" spans="1:11" ht="15" customHeight="1" x14ac:dyDescent="0.3">
      <c r="A17" s="78" t="s">
        <v>23</v>
      </c>
      <c r="B17" s="78"/>
      <c r="C17" s="78"/>
      <c r="D17" s="78"/>
      <c r="E17" s="78"/>
      <c r="F17" s="78"/>
      <c r="G17" s="78"/>
      <c r="H17" s="78"/>
      <c r="I17" s="78"/>
      <c r="J17" s="78"/>
      <c r="K17" s="78"/>
    </row>
    <row r="18" spans="1:11" ht="15" customHeight="1" x14ac:dyDescent="0.3">
      <c r="A18" s="4" t="s">
        <v>100</v>
      </c>
      <c r="B18" s="4" t="s">
        <v>4</v>
      </c>
      <c r="C18" s="4" t="s">
        <v>5</v>
      </c>
      <c r="D18" s="4" t="s">
        <v>6</v>
      </c>
      <c r="E18" s="4" t="s">
        <v>7</v>
      </c>
      <c r="F18" s="4" t="s">
        <v>8</v>
      </c>
      <c r="G18" s="4" t="s">
        <v>9</v>
      </c>
      <c r="H18" s="4" t="s">
        <v>10</v>
      </c>
      <c r="I18" s="4" t="s">
        <v>11</v>
      </c>
    </row>
    <row r="19" spans="1:11" ht="15" customHeight="1" x14ac:dyDescent="0.3">
      <c r="A19" s="9" t="s">
        <v>101</v>
      </c>
      <c r="B19" s="29">
        <f>Multi_Planta!D8</f>
        <v>130</v>
      </c>
      <c r="C19" s="22">
        <f t="shared" ref="C19:I19" si="4">B22</f>
        <v>111.5</v>
      </c>
      <c r="D19" s="22">
        <f t="shared" si="4"/>
        <v>-34113.5</v>
      </c>
      <c r="E19" s="22">
        <f t="shared" si="4"/>
        <v>-63350363.5</v>
      </c>
      <c r="F19" s="22">
        <f t="shared" si="4"/>
        <v>-117198412863.5</v>
      </c>
      <c r="G19" s="22">
        <f t="shared" si="4"/>
        <v>-216817064037863.5</v>
      </c>
      <c r="H19" s="22">
        <f t="shared" si="4"/>
        <v>-4.0111156847028787E+17</v>
      </c>
      <c r="I19" s="22">
        <f t="shared" si="4"/>
        <v>-7.4205640167003272E+20</v>
      </c>
    </row>
    <row r="20" spans="1:11" ht="15" customHeight="1" x14ac:dyDescent="0.3">
      <c r="A20" s="9" t="s">
        <v>102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</row>
    <row r="21" spans="1:11" ht="15" customHeight="1" x14ac:dyDescent="0.3">
      <c r="A21" s="9" t="s">
        <v>103</v>
      </c>
      <c r="B21" s="29">
        <f>BOM_Consumo!C8</f>
        <v>18.5</v>
      </c>
      <c r="C21" s="29">
        <f>BOM_Consumo!D8</f>
        <v>34225</v>
      </c>
      <c r="D21" s="29">
        <f>BOM_Consumo!E8</f>
        <v>63316250</v>
      </c>
      <c r="E21" s="29">
        <f>BOM_Consumo!F8</f>
        <v>117135062500</v>
      </c>
      <c r="F21" s="29">
        <f>BOM_Consumo!G8</f>
        <v>216699865625000</v>
      </c>
      <c r="G21" s="29">
        <f>BOM_Consumo!H8</f>
        <v>4.0089475140624998E+17</v>
      </c>
      <c r="H21" s="29">
        <f>BOM_Consumo!I8</f>
        <v>7.4165529010156247E+20</v>
      </c>
      <c r="I21" s="29">
        <f>BOM_Consumo!J8</f>
        <v>18.5</v>
      </c>
    </row>
    <row r="22" spans="1:11" ht="15" customHeight="1" x14ac:dyDescent="0.3">
      <c r="A22" s="5" t="s">
        <v>104</v>
      </c>
      <c r="B22" s="27">
        <f t="shared" ref="B22:I22" si="5">B19+B20-B21</f>
        <v>111.5</v>
      </c>
      <c r="C22" s="27">
        <f t="shared" si="5"/>
        <v>-34113.5</v>
      </c>
      <c r="D22" s="27">
        <f t="shared" si="5"/>
        <v>-63350363.5</v>
      </c>
      <c r="E22" s="27">
        <f t="shared" si="5"/>
        <v>-117198412863.5</v>
      </c>
      <c r="F22" s="27">
        <f t="shared" si="5"/>
        <v>-216817064037863.5</v>
      </c>
      <c r="G22" s="27">
        <f t="shared" si="5"/>
        <v>-4.0111156847028787E+17</v>
      </c>
      <c r="H22" s="27">
        <f t="shared" si="5"/>
        <v>-7.4205640167003272E+20</v>
      </c>
      <c r="I22" s="27">
        <f t="shared" si="5"/>
        <v>-7.4205640167003272E+20</v>
      </c>
    </row>
    <row r="23" spans="1:11" ht="15" customHeight="1" x14ac:dyDescent="0.3">
      <c r="A23" s="78" t="s">
        <v>24</v>
      </c>
      <c r="B23" s="78"/>
      <c r="C23" s="78"/>
      <c r="D23" s="78"/>
      <c r="E23" s="78"/>
      <c r="F23" s="78"/>
      <c r="G23" s="78"/>
      <c r="H23" s="78"/>
      <c r="I23" s="78"/>
      <c r="J23" s="78"/>
      <c r="K23" s="78"/>
    </row>
    <row r="24" spans="1:11" ht="15" customHeight="1" x14ac:dyDescent="0.3">
      <c r="A24" s="4" t="s">
        <v>100</v>
      </c>
      <c r="B24" s="4" t="s">
        <v>4</v>
      </c>
      <c r="C24" s="4" t="s">
        <v>5</v>
      </c>
      <c r="D24" s="4" t="s">
        <v>6</v>
      </c>
      <c r="E24" s="4" t="s">
        <v>7</v>
      </c>
      <c r="F24" s="4" t="s">
        <v>8</v>
      </c>
      <c r="G24" s="4" t="s">
        <v>9</v>
      </c>
      <c r="H24" s="4" t="s">
        <v>10</v>
      </c>
      <c r="I24" s="4" t="s">
        <v>11</v>
      </c>
    </row>
    <row r="25" spans="1:11" ht="15" customHeight="1" x14ac:dyDescent="0.3">
      <c r="A25" s="9" t="s">
        <v>101</v>
      </c>
      <c r="B25" s="29">
        <f>Multi_Planta!D9</f>
        <v>5268</v>
      </c>
      <c r="C25" s="22">
        <f t="shared" ref="C25:I25" si="6">B28</f>
        <v>-9532</v>
      </c>
      <c r="D25" s="22">
        <f t="shared" si="6"/>
        <v>-27389532</v>
      </c>
      <c r="E25" s="22">
        <f t="shared" si="6"/>
        <v>-50680389532</v>
      </c>
      <c r="F25" s="22">
        <f t="shared" si="6"/>
        <v>-93758730389532</v>
      </c>
      <c r="G25" s="22">
        <f t="shared" si="6"/>
        <v>-1.7345365123038954E+17</v>
      </c>
      <c r="H25" s="22">
        <f t="shared" si="6"/>
        <v>-3.2088925477623038E+20</v>
      </c>
      <c r="I25" s="22">
        <f t="shared" si="6"/>
        <v>-5.9364512133602621E+23</v>
      </c>
    </row>
    <row r="26" spans="1:11" ht="15" customHeight="1" x14ac:dyDescent="0.3">
      <c r="A26" s="9" t="s">
        <v>102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</row>
    <row r="27" spans="1:11" ht="15" customHeight="1" x14ac:dyDescent="0.3">
      <c r="A27" s="9" t="s">
        <v>103</v>
      </c>
      <c r="B27" s="29">
        <f>BOM_Consumo!C9</f>
        <v>14800</v>
      </c>
      <c r="C27" s="29">
        <f>BOM_Consumo!D9</f>
        <v>27380000</v>
      </c>
      <c r="D27" s="29">
        <f>BOM_Consumo!E9</f>
        <v>50653000000</v>
      </c>
      <c r="E27" s="29">
        <f>BOM_Consumo!F9</f>
        <v>93708050000000</v>
      </c>
      <c r="F27" s="29">
        <f>BOM_Consumo!G9</f>
        <v>1.733598925E+17</v>
      </c>
      <c r="G27" s="29">
        <f>BOM_Consumo!H9</f>
        <v>3.2071580112499999E+20</v>
      </c>
      <c r="H27" s="29">
        <f>BOM_Consumo!I9</f>
        <v>5.9332423208124999E+23</v>
      </c>
      <c r="I27" s="29">
        <f>BOM_Consumo!J9</f>
        <v>14800</v>
      </c>
    </row>
    <row r="28" spans="1:11" ht="15" customHeight="1" x14ac:dyDescent="0.3">
      <c r="A28" s="5" t="s">
        <v>104</v>
      </c>
      <c r="B28" s="27">
        <f t="shared" ref="B28:I28" si="7">B25+B26-B27</f>
        <v>-9532</v>
      </c>
      <c r="C28" s="27">
        <f t="shared" si="7"/>
        <v>-27389532</v>
      </c>
      <c r="D28" s="27">
        <f t="shared" si="7"/>
        <v>-50680389532</v>
      </c>
      <c r="E28" s="27">
        <f t="shared" si="7"/>
        <v>-93758730389532</v>
      </c>
      <c r="F28" s="27">
        <f t="shared" si="7"/>
        <v>-1.7345365123038954E+17</v>
      </c>
      <c r="G28" s="27">
        <f t="shared" si="7"/>
        <v>-3.2088925477623038E+20</v>
      </c>
      <c r="H28" s="27">
        <f t="shared" si="7"/>
        <v>-5.9364512133602621E+23</v>
      </c>
      <c r="I28" s="27">
        <f t="shared" si="7"/>
        <v>-5.9364512133602621E+23</v>
      </c>
    </row>
    <row r="29" spans="1:11" ht="15" customHeight="1" x14ac:dyDescent="0.3">
      <c r="A29" s="78" t="s">
        <v>25</v>
      </c>
      <c r="B29" s="78"/>
      <c r="C29" s="78"/>
      <c r="D29" s="78"/>
      <c r="E29" s="78"/>
      <c r="F29" s="78"/>
      <c r="G29" s="78"/>
      <c r="H29" s="78"/>
      <c r="I29" s="78"/>
      <c r="J29" s="78"/>
      <c r="K29" s="78"/>
    </row>
    <row r="30" spans="1:11" ht="15" customHeight="1" x14ac:dyDescent="0.3">
      <c r="A30" s="4" t="s">
        <v>100</v>
      </c>
      <c r="B30" s="4" t="s">
        <v>4</v>
      </c>
      <c r="C30" s="4" t="s">
        <v>5</v>
      </c>
      <c r="D30" s="4" t="s">
        <v>6</v>
      </c>
      <c r="E30" s="4" t="s">
        <v>7</v>
      </c>
      <c r="F30" s="4" t="s">
        <v>8</v>
      </c>
      <c r="G30" s="4" t="s">
        <v>9</v>
      </c>
      <c r="H30" s="4" t="s">
        <v>10</v>
      </c>
      <c r="I30" s="4" t="s">
        <v>11</v>
      </c>
    </row>
    <row r="31" spans="1:11" ht="15" customHeight="1" x14ac:dyDescent="0.3">
      <c r="A31" s="9" t="s">
        <v>101</v>
      </c>
      <c r="B31" s="29">
        <f>Multi_Planta!D10</f>
        <v>4333</v>
      </c>
      <c r="C31" s="22">
        <f t="shared" ref="C31:I31" si="8">B34</f>
        <v>3778</v>
      </c>
      <c r="D31" s="22">
        <f t="shared" si="8"/>
        <v>-1022972</v>
      </c>
      <c r="E31" s="22">
        <f t="shared" si="8"/>
        <v>-1900510472</v>
      </c>
      <c r="F31" s="22">
        <f t="shared" si="8"/>
        <v>-3515952385472</v>
      </c>
      <c r="G31" s="22">
        <f t="shared" si="8"/>
        <v>-6504511921135472</v>
      </c>
      <c r="H31" s="22">
        <f t="shared" si="8"/>
        <v>-1.2033347054108635E+19</v>
      </c>
      <c r="I31" s="22">
        <f t="shared" si="8"/>
        <v>-2.2261692050100986E+22</v>
      </c>
    </row>
    <row r="32" spans="1:11" ht="15" customHeight="1" x14ac:dyDescent="0.3">
      <c r="A32" s="9" t="s">
        <v>102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</row>
    <row r="33" spans="1:11" ht="15" customHeight="1" x14ac:dyDescent="0.3">
      <c r="A33" s="9" t="s">
        <v>103</v>
      </c>
      <c r="B33" s="29">
        <f>BOM_Consumo!C10</f>
        <v>555</v>
      </c>
      <c r="C33" s="29">
        <f>BOM_Consumo!D10</f>
        <v>1026750</v>
      </c>
      <c r="D33" s="29">
        <f>BOM_Consumo!E10</f>
        <v>1899487500</v>
      </c>
      <c r="E33" s="29">
        <f>BOM_Consumo!F10</f>
        <v>3514051875000</v>
      </c>
      <c r="F33" s="29">
        <f>BOM_Consumo!G10</f>
        <v>6500995968750000</v>
      </c>
      <c r="G33" s="29">
        <f>BOM_Consumo!H10</f>
        <v>1.20268425421875E+19</v>
      </c>
      <c r="H33" s="29">
        <f>BOM_Consumo!I10</f>
        <v>2.2249658703046876E+22</v>
      </c>
      <c r="I33" s="29">
        <f>BOM_Consumo!J10</f>
        <v>555</v>
      </c>
    </row>
    <row r="34" spans="1:11" ht="15" customHeight="1" x14ac:dyDescent="0.3">
      <c r="A34" s="5" t="s">
        <v>104</v>
      </c>
      <c r="B34" s="27">
        <f t="shared" ref="B34:I34" si="9">B31+B32-B33</f>
        <v>3778</v>
      </c>
      <c r="C34" s="27">
        <f t="shared" si="9"/>
        <v>-1022972</v>
      </c>
      <c r="D34" s="27">
        <f t="shared" si="9"/>
        <v>-1900510472</v>
      </c>
      <c r="E34" s="27">
        <f t="shared" si="9"/>
        <v>-3515952385472</v>
      </c>
      <c r="F34" s="27">
        <f t="shared" si="9"/>
        <v>-6504511921135472</v>
      </c>
      <c r="G34" s="27">
        <f t="shared" si="9"/>
        <v>-1.2033347054108635E+19</v>
      </c>
      <c r="H34" s="27">
        <f t="shared" si="9"/>
        <v>-2.2261692050100986E+22</v>
      </c>
      <c r="I34" s="27">
        <f t="shared" si="9"/>
        <v>-2.2261692050100986E+22</v>
      </c>
    </row>
    <row r="35" spans="1:11" ht="15" customHeight="1" x14ac:dyDescent="0.3">
      <c r="A35" s="78" t="s">
        <v>26</v>
      </c>
      <c r="B35" s="78"/>
      <c r="C35" s="78"/>
      <c r="D35" s="78"/>
      <c r="E35" s="78"/>
      <c r="F35" s="78"/>
      <c r="G35" s="78"/>
      <c r="H35" s="78"/>
      <c r="I35" s="78"/>
      <c r="J35" s="78"/>
      <c r="K35" s="78"/>
    </row>
    <row r="36" spans="1:11" ht="15" customHeight="1" x14ac:dyDescent="0.3">
      <c r="A36" s="4" t="s">
        <v>100</v>
      </c>
      <c r="B36" s="4" t="s">
        <v>4</v>
      </c>
      <c r="C36" s="4" t="s">
        <v>5</v>
      </c>
      <c r="D36" s="4" t="s">
        <v>6</v>
      </c>
      <c r="E36" s="4" t="s">
        <v>7</v>
      </c>
      <c r="F36" s="4" t="s">
        <v>8</v>
      </c>
      <c r="G36" s="4" t="s">
        <v>9</v>
      </c>
      <c r="H36" s="4" t="s">
        <v>10</v>
      </c>
      <c r="I36" s="4" t="s">
        <v>11</v>
      </c>
    </row>
    <row r="37" spans="1:11" ht="15" customHeight="1" x14ac:dyDescent="0.3">
      <c r="A37" s="9" t="s">
        <v>101</v>
      </c>
      <c r="B37" s="29">
        <f>Multi_Planta!D11</f>
        <v>8487</v>
      </c>
      <c r="C37" s="22">
        <f t="shared" ref="C37:I37" si="10">B40</f>
        <v>7377</v>
      </c>
      <c r="D37" s="22">
        <f t="shared" si="10"/>
        <v>-2046123</v>
      </c>
      <c r="E37" s="22">
        <f t="shared" si="10"/>
        <v>-3801021123</v>
      </c>
      <c r="F37" s="22">
        <f t="shared" si="10"/>
        <v>-7031904771123</v>
      </c>
      <c r="G37" s="22">
        <f t="shared" si="10"/>
        <v>-1.3009023842271124E+16</v>
      </c>
      <c r="H37" s="22">
        <f t="shared" si="10"/>
        <v>-2.406669410821727E+19</v>
      </c>
      <c r="I37" s="22">
        <f t="shared" si="10"/>
        <v>-4.4523384100201972E+22</v>
      </c>
    </row>
    <row r="38" spans="1:11" ht="15" customHeight="1" x14ac:dyDescent="0.3">
      <c r="A38" s="9" t="s">
        <v>102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</row>
    <row r="39" spans="1:11" ht="15" customHeight="1" x14ac:dyDescent="0.3">
      <c r="A39" s="9" t="s">
        <v>103</v>
      </c>
      <c r="B39" s="29">
        <f>BOM_Consumo!C11</f>
        <v>1110</v>
      </c>
      <c r="C39" s="29">
        <f>BOM_Consumo!D11</f>
        <v>2053500</v>
      </c>
      <c r="D39" s="29">
        <f>BOM_Consumo!E11</f>
        <v>3798975000</v>
      </c>
      <c r="E39" s="29">
        <f>BOM_Consumo!F11</f>
        <v>7028103750000</v>
      </c>
      <c r="F39" s="29">
        <f>BOM_Consumo!G11</f>
        <v>1.30019919375E+16</v>
      </c>
      <c r="G39" s="29">
        <f>BOM_Consumo!H11</f>
        <v>2.4053685084374999E+19</v>
      </c>
      <c r="H39" s="29">
        <f>BOM_Consumo!I11</f>
        <v>4.4499317406093751E+22</v>
      </c>
      <c r="I39" s="29">
        <f>BOM_Consumo!J11</f>
        <v>1110</v>
      </c>
    </row>
    <row r="40" spans="1:11" ht="15" customHeight="1" x14ac:dyDescent="0.3">
      <c r="A40" s="5" t="s">
        <v>104</v>
      </c>
      <c r="B40" s="27">
        <f t="shared" ref="B40:I40" si="11">B37+B38-B39</f>
        <v>7377</v>
      </c>
      <c r="C40" s="27">
        <f t="shared" si="11"/>
        <v>-2046123</v>
      </c>
      <c r="D40" s="27">
        <f t="shared" si="11"/>
        <v>-3801021123</v>
      </c>
      <c r="E40" s="27">
        <f t="shared" si="11"/>
        <v>-7031904771123</v>
      </c>
      <c r="F40" s="27">
        <f t="shared" si="11"/>
        <v>-1.3009023842271124E+16</v>
      </c>
      <c r="G40" s="27">
        <f t="shared" si="11"/>
        <v>-2.406669410821727E+19</v>
      </c>
      <c r="H40" s="27">
        <f t="shared" si="11"/>
        <v>-4.4523384100201972E+22</v>
      </c>
      <c r="I40" s="27">
        <f t="shared" si="11"/>
        <v>-4.4523384100201972E+22</v>
      </c>
    </row>
    <row r="41" spans="1:11" ht="15" customHeight="1" x14ac:dyDescent="0.3">
      <c r="A41" s="78" t="s">
        <v>27</v>
      </c>
      <c r="B41" s="78"/>
      <c r="C41" s="78"/>
      <c r="D41" s="78"/>
      <c r="E41" s="78"/>
      <c r="F41" s="78"/>
      <c r="G41" s="78"/>
      <c r="H41" s="78"/>
      <c r="I41" s="78"/>
      <c r="J41" s="78"/>
      <c r="K41" s="78"/>
    </row>
    <row r="42" spans="1:11" ht="15" customHeight="1" x14ac:dyDescent="0.3">
      <c r="A42" s="4" t="s">
        <v>100</v>
      </c>
      <c r="B42" s="4" t="s">
        <v>4</v>
      </c>
      <c r="C42" s="4" t="s">
        <v>5</v>
      </c>
      <c r="D42" s="4" t="s">
        <v>6</v>
      </c>
      <c r="E42" s="4" t="s">
        <v>7</v>
      </c>
      <c r="F42" s="4" t="s">
        <v>8</v>
      </c>
      <c r="G42" s="4" t="s">
        <v>9</v>
      </c>
      <c r="H42" s="4" t="s">
        <v>10</v>
      </c>
      <c r="I42" s="4" t="s">
        <v>11</v>
      </c>
    </row>
    <row r="43" spans="1:11" ht="15" customHeight="1" x14ac:dyDescent="0.3">
      <c r="A43" s="9" t="s">
        <v>101</v>
      </c>
      <c r="B43" s="29">
        <f>Multi_Planta!D12</f>
        <v>23192</v>
      </c>
      <c r="C43" s="22">
        <f t="shared" ref="C43:I43" si="12">B46</f>
        <v>19492</v>
      </c>
      <c r="D43" s="22">
        <f t="shared" si="12"/>
        <v>-6825508</v>
      </c>
      <c r="E43" s="22">
        <f t="shared" si="12"/>
        <v>-12670075508</v>
      </c>
      <c r="F43" s="22">
        <f t="shared" si="12"/>
        <v>-23439682575508</v>
      </c>
      <c r="G43" s="22">
        <f t="shared" si="12"/>
        <v>-4.3363412807575504E+16</v>
      </c>
      <c r="H43" s="22">
        <f t="shared" si="12"/>
        <v>-8.0222313694057578E+19</v>
      </c>
      <c r="I43" s="22">
        <f t="shared" si="12"/>
        <v>-1.4841128033400655E+23</v>
      </c>
    </row>
    <row r="44" spans="1:11" ht="15" customHeight="1" x14ac:dyDescent="0.3">
      <c r="A44" s="9" t="s">
        <v>102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</row>
    <row r="45" spans="1:11" ht="15" customHeight="1" x14ac:dyDescent="0.3">
      <c r="A45" s="9" t="s">
        <v>103</v>
      </c>
      <c r="B45" s="29">
        <f>BOM_Consumo!C12</f>
        <v>3700</v>
      </c>
      <c r="C45" s="29">
        <f>BOM_Consumo!D12</f>
        <v>6845000</v>
      </c>
      <c r="D45" s="29">
        <f>BOM_Consumo!E12</f>
        <v>12663250000</v>
      </c>
      <c r="E45" s="29">
        <f>BOM_Consumo!F12</f>
        <v>23427012500000</v>
      </c>
      <c r="F45" s="29">
        <f>BOM_Consumo!G12</f>
        <v>4.3339973125E+16</v>
      </c>
      <c r="G45" s="29">
        <f>BOM_Consumo!H12</f>
        <v>8.0178950281249997E+19</v>
      </c>
      <c r="H45" s="29">
        <f>BOM_Consumo!I12</f>
        <v>1.483310580203125E+23</v>
      </c>
      <c r="I45" s="29">
        <f>BOM_Consumo!J12</f>
        <v>3700</v>
      </c>
    </row>
    <row r="46" spans="1:11" ht="15" customHeight="1" x14ac:dyDescent="0.3">
      <c r="A46" s="5" t="s">
        <v>104</v>
      </c>
      <c r="B46" s="27">
        <f t="shared" ref="B46:I46" si="13">B43+B44-B45</f>
        <v>19492</v>
      </c>
      <c r="C46" s="27">
        <f t="shared" si="13"/>
        <v>-6825508</v>
      </c>
      <c r="D46" s="27">
        <f t="shared" si="13"/>
        <v>-12670075508</v>
      </c>
      <c r="E46" s="27">
        <f t="shared" si="13"/>
        <v>-23439682575508</v>
      </c>
      <c r="F46" s="27">
        <f t="shared" si="13"/>
        <v>-4.3363412807575504E+16</v>
      </c>
      <c r="G46" s="27">
        <f t="shared" si="13"/>
        <v>-8.0222313694057578E+19</v>
      </c>
      <c r="H46" s="27">
        <f t="shared" si="13"/>
        <v>-1.4841128033400655E+23</v>
      </c>
      <c r="I46" s="27">
        <f t="shared" si="13"/>
        <v>-1.4841128033400655E+23</v>
      </c>
    </row>
    <row r="47" spans="1:11" ht="15" customHeight="1" x14ac:dyDescent="0.3">
      <c r="A47" s="78" t="s">
        <v>28</v>
      </c>
      <c r="B47" s="78"/>
      <c r="C47" s="78"/>
      <c r="D47" s="78"/>
      <c r="E47" s="78"/>
      <c r="F47" s="78"/>
      <c r="G47" s="78"/>
      <c r="H47" s="78"/>
      <c r="I47" s="78"/>
      <c r="J47" s="78"/>
      <c r="K47" s="78"/>
    </row>
    <row r="48" spans="1:11" ht="15" customHeight="1" x14ac:dyDescent="0.3">
      <c r="A48" s="4" t="s">
        <v>100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10</v>
      </c>
      <c r="I48" s="4" t="s">
        <v>11</v>
      </c>
    </row>
    <row r="49" spans="1:10" ht="15" customHeight="1" x14ac:dyDescent="0.3">
      <c r="A49" s="9" t="s">
        <v>101</v>
      </c>
      <c r="B49" s="29">
        <f>Multi_Planta!D13</f>
        <v>6035</v>
      </c>
      <c r="C49" s="22">
        <f t="shared" ref="C49:I49" si="14">B$52</f>
        <v>4647.5</v>
      </c>
      <c r="D49" s="22">
        <f t="shared" si="14"/>
        <v>-2562227.5</v>
      </c>
      <c r="E49" s="22">
        <f t="shared" si="14"/>
        <v>-4751280977.5</v>
      </c>
      <c r="F49" s="22">
        <f t="shared" si="14"/>
        <v>-8789880968477.5</v>
      </c>
      <c r="G49" s="22">
        <f t="shared" si="14"/>
        <v>-1.6261279802843478E+16</v>
      </c>
      <c r="H49" s="22">
        <f t="shared" si="14"/>
        <v>-3.0083367635271594E+19</v>
      </c>
      <c r="I49" s="22">
        <f t="shared" si="14"/>
        <v>-5.5654230125252467E+22</v>
      </c>
    </row>
    <row r="50" spans="1:10" ht="15" customHeight="1" x14ac:dyDescent="0.3">
      <c r="A50" s="9" t="s">
        <v>102</v>
      </c>
      <c r="B50" s="29">
        <v>0</v>
      </c>
      <c r="C50" s="22">
        <v>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</row>
    <row r="51" spans="1:10" ht="15" customHeight="1" x14ac:dyDescent="0.3">
      <c r="A51" s="9" t="s">
        <v>103</v>
      </c>
      <c r="B51" s="29">
        <f>BOM_Consumo!C$13</f>
        <v>1387.5</v>
      </c>
      <c r="C51" s="22">
        <f>BOM_Consumo!D$13</f>
        <v>2566875</v>
      </c>
      <c r="D51" s="22">
        <f>BOM_Consumo!E$13</f>
        <v>4748718750</v>
      </c>
      <c r="E51" s="22">
        <f>BOM_Consumo!F$13</f>
        <v>8785129687500</v>
      </c>
      <c r="F51" s="22">
        <f>BOM_Consumo!G$13</f>
        <v>1.6252489921875E+16</v>
      </c>
      <c r="G51" s="22">
        <f>BOM_Consumo!H$13</f>
        <v>3.0067106355468751E+19</v>
      </c>
      <c r="H51" s="22">
        <f>BOM_Consumo!I$13</f>
        <v>5.5624146757617193E+22</v>
      </c>
      <c r="I51" s="22">
        <f>BOM_Consumo!J$13</f>
        <v>1387.5</v>
      </c>
    </row>
    <row r="52" spans="1:10" ht="15" customHeight="1" x14ac:dyDescent="0.3">
      <c r="A52" s="9" t="s">
        <v>104</v>
      </c>
      <c r="B52" s="29">
        <f t="shared" ref="B52:I52" si="15">B$49+B$50-B$51</f>
        <v>4647.5</v>
      </c>
      <c r="C52" s="22">
        <f t="shared" si="15"/>
        <v>-2562227.5</v>
      </c>
      <c r="D52" s="22">
        <f t="shared" si="15"/>
        <v>-4751280977.5</v>
      </c>
      <c r="E52" s="22">
        <f t="shared" si="15"/>
        <v>-8789880968477.5</v>
      </c>
      <c r="F52" s="22">
        <f t="shared" si="15"/>
        <v>-1.6261279802843478E+16</v>
      </c>
      <c r="G52" s="22">
        <f t="shared" si="15"/>
        <v>-3.0083367635271594E+19</v>
      </c>
      <c r="H52" s="22">
        <f t="shared" si="15"/>
        <v>-5.5654230125252467E+22</v>
      </c>
      <c r="I52" s="22">
        <f t="shared" si="15"/>
        <v>-5.5654230125252467E+22</v>
      </c>
    </row>
    <row r="53" spans="1:10" ht="15" customHeight="1" x14ac:dyDescent="0.3">
      <c r="A53" s="79" t="s">
        <v>105</v>
      </c>
      <c r="B53" s="79"/>
      <c r="C53" s="79"/>
      <c r="D53" s="79"/>
      <c r="E53" s="79"/>
      <c r="F53" s="79"/>
      <c r="G53" s="79"/>
      <c r="H53" s="79"/>
      <c r="I53" s="79"/>
      <c r="J53" s="79"/>
    </row>
    <row r="54" spans="1:10" ht="15" customHeight="1" x14ac:dyDescent="0.3">
      <c r="A54" s="8" t="s">
        <v>15</v>
      </c>
      <c r="B54" s="30" t="s">
        <v>4</v>
      </c>
      <c r="C54" s="30" t="s">
        <v>5</v>
      </c>
      <c r="D54" s="30" t="s">
        <v>6</v>
      </c>
      <c r="E54" s="30" t="s">
        <v>7</v>
      </c>
      <c r="F54" s="30" t="s">
        <v>8</v>
      </c>
      <c r="G54" s="30" t="s">
        <v>9</v>
      </c>
      <c r="H54" s="30" t="s">
        <v>10</v>
      </c>
      <c r="I54" s="30" t="s">
        <v>11</v>
      </c>
      <c r="J54" s="8" t="s">
        <v>106</v>
      </c>
    </row>
    <row r="55" spans="1:10" ht="15" customHeight="1" x14ac:dyDescent="0.3">
      <c r="A55" s="5" t="s">
        <v>19</v>
      </c>
      <c r="B55" s="27" t="str">
        <f>IF(B9&lt;Inputs!D92,"⚠ RIESGO","OK")</f>
        <v>⚠ RIESGO</v>
      </c>
      <c r="C55" s="27" t="str">
        <f>IF(C9&lt;Inputs!D92,"⚠ RIESGO","OK")</f>
        <v>⚠ RIESGO</v>
      </c>
      <c r="D55" s="27" t="str">
        <f>IF(D9&lt;Inputs!D92,"⚠ RIESGO","OK")</f>
        <v>⚠ RIESGO</v>
      </c>
      <c r="E55" s="27" t="str">
        <f>IF(E9&lt;Inputs!D92,"⚠ RIESGO","OK")</f>
        <v>⚠ RIESGO</v>
      </c>
      <c r="F55" s="27" t="str">
        <f>IF(F9&lt;Inputs!D92,"⚠ RIESGO","OK")</f>
        <v>⚠ RIESGO</v>
      </c>
      <c r="G55" s="27" t="str">
        <f>IF(G9&lt;Inputs!D92,"⚠ RIESGO","OK")</f>
        <v>⚠ RIESGO</v>
      </c>
      <c r="H55" s="27" t="str">
        <f>IF(H9&lt;Inputs!D92,"⚠ RIESGO","OK")</f>
        <v>⚠ RIESGO</v>
      </c>
      <c r="I55" s="27" t="str">
        <f>IF(I9&lt;Inputs!D92,"⚠ RIESGO","OK")</f>
        <v>⚠ RIESGO</v>
      </c>
      <c r="J55" s="31">
        <f>MIN(B9:I9)</f>
        <v>0</v>
      </c>
    </row>
    <row r="56" spans="1:10" ht="15" customHeight="1" x14ac:dyDescent="0.3">
      <c r="A56" s="9" t="s">
        <v>22</v>
      </c>
      <c r="B56" s="23" t="str">
        <f>IF(B14&lt;Inputs!D93,"⚠ RIESGO","OK")</f>
        <v>⚠ RIESGO</v>
      </c>
      <c r="C56" s="23" t="str">
        <f>IF(C14&lt;Inputs!D93,"⚠ RIESGO","OK")</f>
        <v>⚠ RIESGO</v>
      </c>
      <c r="D56" s="23" t="str">
        <f>IF(D14&lt;Inputs!D93,"⚠ RIESGO","OK")</f>
        <v>⚠ RIESGO</v>
      </c>
      <c r="E56" s="23" t="str">
        <f>IF(E14&lt;Inputs!D93,"⚠ RIESGO","OK")</f>
        <v>⚠ RIESGO</v>
      </c>
      <c r="F56" s="23" t="str">
        <f>IF(F14&lt;Inputs!D93,"⚠ RIESGO","OK")</f>
        <v>⚠ RIESGO</v>
      </c>
      <c r="G56" s="23" t="str">
        <f>IF(G14&lt;Inputs!D93,"⚠ RIESGO","OK")</f>
        <v>⚠ RIESGO</v>
      </c>
      <c r="H56" s="23" t="str">
        <f>IF(H14&lt;Inputs!D93,"⚠ RIESGO","OK")</f>
        <v>⚠ RIESGO</v>
      </c>
      <c r="I56" s="23" t="str">
        <f>IF(I14&lt;Inputs!D93,"⚠ RIESGO","OK")</f>
        <v>⚠ RIESGO</v>
      </c>
      <c r="J56" s="31">
        <f>MIN(B14:I14)</f>
        <v>0</v>
      </c>
    </row>
    <row r="57" spans="1:10" ht="15" customHeight="1" x14ac:dyDescent="0.3">
      <c r="A57" s="9" t="s">
        <v>23</v>
      </c>
      <c r="B57" s="23" t="str">
        <f>IF(B19&lt;Inputs!D94,"⚠ RIESGO","OK")</f>
        <v>⚠ RIESGO</v>
      </c>
      <c r="C57" s="23" t="str">
        <f>IF(C19&lt;Inputs!D94,"⚠ RIESGO","OK")</f>
        <v>⚠ RIESGO</v>
      </c>
      <c r="D57" s="23" t="str">
        <f>IF(D19&lt;Inputs!D94,"⚠ RIESGO","OK")</f>
        <v>⚠ RIESGO</v>
      </c>
      <c r="E57" s="23" t="str">
        <f>IF(E19&lt;Inputs!D94,"⚠ RIESGO","OK")</f>
        <v>⚠ RIESGO</v>
      </c>
      <c r="F57" s="23" t="str">
        <f>IF(F19&lt;Inputs!D94,"⚠ RIESGO","OK")</f>
        <v>⚠ RIESGO</v>
      </c>
      <c r="G57" s="23" t="str">
        <f>IF(G19&lt;Inputs!D94,"⚠ RIESGO","OK")</f>
        <v>⚠ RIESGO</v>
      </c>
      <c r="H57" s="23" t="str">
        <f>IF(H19&lt;Inputs!D94,"⚠ RIESGO","OK")</f>
        <v>⚠ RIESGO</v>
      </c>
      <c r="I57" s="23" t="str">
        <f>IF(I19&lt;Inputs!D94,"⚠ RIESGO","OK")</f>
        <v>⚠ RIESGO</v>
      </c>
      <c r="J57" s="31">
        <f>MIN(B19:I19)</f>
        <v>-7.4205640167003272E+20</v>
      </c>
    </row>
    <row r="58" spans="1:10" ht="15" customHeight="1" x14ac:dyDescent="0.3">
      <c r="A58" s="9" t="s">
        <v>24</v>
      </c>
      <c r="B58" s="23" t="str">
        <f>IF(B24&lt;Inputs!D95,"⚠ RIESGO","OK")</f>
        <v>OK</v>
      </c>
      <c r="C58" s="23" t="str">
        <f>IF(C24&lt;Inputs!D95,"⚠ RIESGO","OK")</f>
        <v>OK</v>
      </c>
      <c r="D58" s="23" t="str">
        <f>IF(D24&lt;Inputs!D95,"⚠ RIESGO","OK")</f>
        <v>OK</v>
      </c>
      <c r="E58" s="23" t="str">
        <f>IF(E24&lt;Inputs!D95,"⚠ RIESGO","OK")</f>
        <v>OK</v>
      </c>
      <c r="F58" s="23" t="str">
        <f>IF(F24&lt;Inputs!D95,"⚠ RIESGO","OK")</f>
        <v>OK</v>
      </c>
      <c r="G58" s="23" t="str">
        <f>IF(G24&lt;Inputs!D95,"⚠ RIESGO","OK")</f>
        <v>OK</v>
      </c>
      <c r="H58" s="23" t="str">
        <f>IF(H24&lt;Inputs!D95,"⚠ RIESGO","OK")</f>
        <v>OK</v>
      </c>
      <c r="I58" s="23" t="str">
        <f>IF(I24&lt;Inputs!D95,"⚠ RIESGO","OK")</f>
        <v>OK</v>
      </c>
      <c r="J58" s="31">
        <f>MIN(B24:I24)</f>
        <v>0</v>
      </c>
    </row>
    <row r="59" spans="1:10" ht="15" customHeight="1" x14ac:dyDescent="0.3">
      <c r="A59" s="9" t="s">
        <v>25</v>
      </c>
      <c r="B59" s="23" t="str">
        <f>IF(B29&lt;Inputs!D96,"⚠ RIESGO","OK")</f>
        <v>⚠ RIESGO</v>
      </c>
      <c r="C59" s="23" t="str">
        <f>IF(C29&lt;Inputs!D96,"⚠ RIESGO","OK")</f>
        <v>⚠ RIESGO</v>
      </c>
      <c r="D59" s="23" t="str">
        <f>IF(D29&lt;Inputs!D96,"⚠ RIESGO","OK")</f>
        <v>⚠ RIESGO</v>
      </c>
      <c r="E59" s="23" t="str">
        <f>IF(E29&lt;Inputs!D96,"⚠ RIESGO","OK")</f>
        <v>⚠ RIESGO</v>
      </c>
      <c r="F59" s="23" t="str">
        <f>IF(F29&lt;Inputs!D96,"⚠ RIESGO","OK")</f>
        <v>⚠ RIESGO</v>
      </c>
      <c r="G59" s="23" t="str">
        <f>IF(G29&lt;Inputs!D96,"⚠ RIESGO","OK")</f>
        <v>⚠ RIESGO</v>
      </c>
      <c r="H59" s="23" t="str">
        <f>IF(H29&lt;Inputs!D96,"⚠ RIESGO","OK")</f>
        <v>⚠ RIESGO</v>
      </c>
      <c r="I59" s="23" t="str">
        <f>IF(I29&lt;Inputs!D96,"⚠ RIESGO","OK")</f>
        <v>⚠ RIESGO</v>
      </c>
      <c r="J59" s="31">
        <f>MIN(B29:I29)</f>
        <v>0</v>
      </c>
    </row>
    <row r="60" spans="1:10" ht="15" customHeight="1" x14ac:dyDescent="0.3">
      <c r="A60" s="9" t="s">
        <v>26</v>
      </c>
      <c r="B60" s="23" t="str">
        <f>IF(B34&lt;Inputs!D97,"⚠ RIESGO","OK")</f>
        <v>⚠ RIESGO</v>
      </c>
      <c r="C60" s="23" t="str">
        <f>IF(C34&lt;Inputs!D97,"⚠ RIESGO","OK")</f>
        <v>⚠ RIESGO</v>
      </c>
      <c r="D60" s="23" t="str">
        <f>IF(D34&lt;Inputs!D97,"⚠ RIESGO","OK")</f>
        <v>⚠ RIESGO</v>
      </c>
      <c r="E60" s="23" t="str">
        <f>IF(E34&lt;Inputs!D97,"⚠ RIESGO","OK")</f>
        <v>⚠ RIESGO</v>
      </c>
      <c r="F60" s="23" t="str">
        <f>IF(F34&lt;Inputs!D97,"⚠ RIESGO","OK")</f>
        <v>⚠ RIESGO</v>
      </c>
      <c r="G60" s="23" t="str">
        <f>IF(G34&lt;Inputs!D97,"⚠ RIESGO","OK")</f>
        <v>⚠ RIESGO</v>
      </c>
      <c r="H60" s="23" t="str">
        <f>IF(H34&lt;Inputs!D97,"⚠ RIESGO","OK")</f>
        <v>⚠ RIESGO</v>
      </c>
      <c r="I60" s="23" t="str">
        <f>IF(I34&lt;Inputs!D97,"⚠ RIESGO","OK")</f>
        <v>⚠ RIESGO</v>
      </c>
      <c r="J60" s="31">
        <f>MIN(B34:I34)</f>
        <v>-2.2261692050100986E+22</v>
      </c>
    </row>
    <row r="61" spans="1:10" ht="15" customHeight="1" x14ac:dyDescent="0.3">
      <c r="A61" s="9" t="s">
        <v>27</v>
      </c>
      <c r="B61" s="23" t="str">
        <f>IF(B39&lt;Inputs!D98,"⚠ RIESGO","OK")</f>
        <v>⚠ RIESGO</v>
      </c>
      <c r="C61" s="23" t="str">
        <f>IF(C39&lt;Inputs!D98,"⚠ RIESGO","OK")</f>
        <v>⚠ RIESGO</v>
      </c>
      <c r="D61" s="23" t="str">
        <f>IF(D39&lt;Inputs!D98,"⚠ RIESGO","OK")</f>
        <v>⚠ RIESGO</v>
      </c>
      <c r="E61" s="23" t="str">
        <f>IF(E39&lt;Inputs!D98,"⚠ RIESGO","OK")</f>
        <v>⚠ RIESGO</v>
      </c>
      <c r="F61" s="23" t="str">
        <f>IF(F39&lt;Inputs!D98,"⚠ RIESGO","OK")</f>
        <v>⚠ RIESGO</v>
      </c>
      <c r="G61" s="23" t="str">
        <f>IF(G39&lt;Inputs!D98,"⚠ RIESGO","OK")</f>
        <v>⚠ RIESGO</v>
      </c>
      <c r="H61" s="23" t="str">
        <f>IF(H39&lt;Inputs!D98,"⚠ RIESGO","OK")</f>
        <v>OK</v>
      </c>
      <c r="I61" s="23" t="str">
        <f>IF(I39&lt;Inputs!D98,"⚠ RIESGO","OK")</f>
        <v>⚠ RIESGO</v>
      </c>
      <c r="J61" s="31">
        <f>MIN(B39:I39)</f>
        <v>1110</v>
      </c>
    </row>
    <row r="62" spans="1:10" ht="15" customHeight="1" x14ac:dyDescent="0.3">
      <c r="A62" s="9" t="s">
        <v>28</v>
      </c>
      <c r="B62" s="23" t="str">
        <f>IF(B44&lt;Inputs!D99,"⚠ RIESGO","OK")</f>
        <v>OK</v>
      </c>
      <c r="C62" s="23" t="str">
        <f>IF(C44&lt;Inputs!D99,"⚠ RIESGO","OK")</f>
        <v>OK</v>
      </c>
      <c r="D62" s="23" t="str">
        <f>IF(D44&lt;Inputs!D99,"⚠ RIESGO","OK")</f>
        <v>OK</v>
      </c>
      <c r="E62" s="23" t="str">
        <f>IF(E44&lt;Inputs!D99,"⚠ RIESGO","OK")</f>
        <v>OK</v>
      </c>
      <c r="F62" s="23" t="str">
        <f>IF(F44&lt;Inputs!D99,"⚠ RIESGO","OK")</f>
        <v>OK</v>
      </c>
      <c r="G62" s="23" t="str">
        <f>IF(G44&lt;Inputs!D99,"⚠ RIESGO","OK")</f>
        <v>OK</v>
      </c>
      <c r="H62" s="23" t="str">
        <f>IF(H44&lt;Inputs!D99,"⚠ RIESGO","OK")</f>
        <v>OK</v>
      </c>
      <c r="I62" s="23" t="str">
        <f>IF(I44&lt;Inputs!D99,"⚠ RIESGO","OK")</f>
        <v>OK</v>
      </c>
      <c r="J62" s="31">
        <f>MIN(B44:I44)</f>
        <v>0</v>
      </c>
    </row>
  </sheetData>
  <mergeCells count="12">
    <mergeCell ref="A47:K47"/>
    <mergeCell ref="A53:J53"/>
    <mergeCell ref="A17:K17"/>
    <mergeCell ref="A23:K23"/>
    <mergeCell ref="A29:K29"/>
    <mergeCell ref="A35:K35"/>
    <mergeCell ref="A41:K41"/>
    <mergeCell ref="A1:K1"/>
    <mergeCell ref="A2:K2"/>
    <mergeCell ref="A3:K3"/>
    <mergeCell ref="A5:K5"/>
    <mergeCell ref="A11:K11"/>
  </mergeCells>
  <conditionalFormatting sqref="B10:I10">
    <cfRule type="cellIs" dxfId="8" priority="2" operator="lessThan">
      <formula>0</formula>
    </cfRule>
  </conditionalFormatting>
  <conditionalFormatting sqref="B16:I16">
    <cfRule type="cellIs" dxfId="7" priority="10" operator="lessThan">
      <formula>0</formula>
    </cfRule>
  </conditionalFormatting>
  <conditionalFormatting sqref="B22:I22">
    <cfRule type="cellIs" dxfId="6" priority="18" operator="lessThan">
      <formula>0</formula>
    </cfRule>
  </conditionalFormatting>
  <conditionalFormatting sqref="B28:I28">
    <cfRule type="cellIs" dxfId="5" priority="26" operator="lessThan">
      <formula>0</formula>
    </cfRule>
  </conditionalFormatting>
  <conditionalFormatting sqref="B34:I34">
    <cfRule type="cellIs" dxfId="4" priority="34" operator="lessThan">
      <formula>0</formula>
    </cfRule>
  </conditionalFormatting>
  <conditionalFormatting sqref="B40:I40">
    <cfRule type="cellIs" dxfId="3" priority="42" operator="lessThan">
      <formula>0</formula>
    </cfRule>
  </conditionalFormatting>
  <conditionalFormatting sqref="B46:I46">
    <cfRule type="cellIs" dxfId="2" priority="50" operator="lessThan">
      <formula>0</formula>
    </cfRule>
  </conditionalFormatting>
  <conditionalFormatting sqref="B55:I55">
    <cfRule type="cellIs" dxfId="1" priority="58" operator="lessThan">
      <formula>0</formula>
    </cfRule>
  </conditionalFormatting>
  <conditionalFormatting sqref="B55:I62">
    <cfRule type="cellIs" dxfId="0" priority="59" operator="equal">
      <formula>"⚠ RIESGO"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3"/>
  <sheetViews>
    <sheetView zoomScaleNormal="100" workbookViewId="0">
      <selection sqref="A1:XFD1048576"/>
    </sheetView>
  </sheetViews>
  <sheetFormatPr baseColWidth="10" defaultColWidth="8.6640625" defaultRowHeight="14.4" x14ac:dyDescent="0.3"/>
  <cols>
    <col min="1" max="1" width="8.21875" bestFit="1" customWidth="1"/>
    <col min="2" max="2" width="27.6640625" bestFit="1" customWidth="1"/>
    <col min="3" max="3" width="18.77734375" bestFit="1" customWidth="1"/>
    <col min="4" max="5" width="26.6640625" bestFit="1" customWidth="1"/>
    <col min="6" max="6" width="27.6640625" bestFit="1" customWidth="1"/>
    <col min="7" max="7" width="12.44140625" bestFit="1" customWidth="1"/>
    <col min="8" max="8" width="36.77734375" bestFit="1" customWidth="1"/>
    <col min="9" max="9" width="6.33203125" bestFit="1" customWidth="1"/>
    <col min="10" max="10" width="14.109375" bestFit="1" customWidth="1"/>
    <col min="11" max="11" width="9.5546875" bestFit="1" customWidth="1"/>
  </cols>
  <sheetData>
    <row r="1" spans="1:12" ht="17.25" customHeight="1" x14ac:dyDescent="0.3">
      <c r="A1" s="76" t="s">
        <v>107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</row>
    <row r="2" spans="1:12" ht="15" customHeight="1" x14ac:dyDescent="0.3">
      <c r="A2" s="81" t="s">
        <v>108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</row>
    <row r="3" spans="1:12" ht="15" customHeight="1" x14ac:dyDescent="0.3">
      <c r="A3" s="86" t="s">
        <v>109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</row>
    <row r="5" spans="1:12" ht="15" customHeight="1" x14ac:dyDescent="0.3">
      <c r="A5" s="78" t="s">
        <v>110</v>
      </c>
      <c r="B5" s="78"/>
      <c r="C5" s="78"/>
      <c r="D5" s="78"/>
      <c r="E5" s="78"/>
      <c r="F5" s="78"/>
      <c r="G5" s="78"/>
      <c r="H5" s="78"/>
      <c r="I5" s="78"/>
      <c r="J5" s="78"/>
    </row>
    <row r="6" spans="1:12" ht="23.25" customHeight="1" x14ac:dyDescent="0.3">
      <c r="A6" s="32" t="s">
        <v>15</v>
      </c>
      <c r="B6" s="32" t="s">
        <v>111</v>
      </c>
      <c r="C6" s="32" t="s">
        <v>42</v>
      </c>
      <c r="D6" s="32" t="s">
        <v>112</v>
      </c>
      <c r="E6" s="32" t="s">
        <v>113</v>
      </c>
      <c r="F6" s="32" t="s">
        <v>114</v>
      </c>
      <c r="G6" s="32" t="s">
        <v>115</v>
      </c>
      <c r="H6" s="32" t="s">
        <v>116</v>
      </c>
      <c r="I6" s="32" t="s">
        <v>117</v>
      </c>
    </row>
    <row r="7" spans="1:12" ht="15" customHeight="1" x14ac:dyDescent="0.3">
      <c r="A7" s="9" t="s">
        <v>23</v>
      </c>
      <c r="B7" s="33">
        <f>BOM_Consumo!K8</f>
        <v>7.4205640167003272E+20</v>
      </c>
      <c r="C7" s="33">
        <f>Inputs!B35</f>
        <v>30</v>
      </c>
      <c r="D7" s="34">
        <f t="shared" ref="D7:D12" si="0">ROUNDUP(B7/C7,0)</f>
        <v>2.4735213389001101E+19</v>
      </c>
      <c r="E7" s="35">
        <f t="shared" ref="E7:E12" si="1">D7</f>
        <v>2.4735213389001101E+19</v>
      </c>
      <c r="F7" s="34">
        <f t="shared" ref="F7:F12" si="2">E7*C7</f>
        <v>7.4205640167003298E+20</v>
      </c>
      <c r="G7" s="36">
        <f>_xlfn.XLOOKUP(A7,Inputs!$A$49:$A$54,Inputs!$B$49:$B$54)</f>
        <v>60</v>
      </c>
      <c r="H7" s="37">
        <f t="shared" ref="H7:H12" si="3">E7*G7</f>
        <v>1.484112803340066E+21</v>
      </c>
      <c r="I7" s="23" t="str">
        <f t="shared" ref="I7:I12" si="4">IF(F7&gt;=B7,"OK","INSUFICIENTE")</f>
        <v>OK</v>
      </c>
    </row>
    <row r="8" spans="1:12" ht="15" customHeight="1" x14ac:dyDescent="0.3">
      <c r="A8" s="9" t="s">
        <v>24</v>
      </c>
      <c r="B8" s="33">
        <f>BOM_Consumo!K9</f>
        <v>5.9364512133602621E+23</v>
      </c>
      <c r="C8" s="33">
        <f>Inputs!B36</f>
        <v>12</v>
      </c>
      <c r="D8" s="34">
        <f t="shared" si="0"/>
        <v>4.9470426778002203E+22</v>
      </c>
      <c r="E8" s="35">
        <f t="shared" si="1"/>
        <v>4.9470426778002203E+22</v>
      </c>
      <c r="F8" s="34">
        <f t="shared" si="2"/>
        <v>5.9364512133602641E+23</v>
      </c>
      <c r="G8" s="36">
        <f>_xlfn.XLOOKUP(A8,Inputs!$A$49:$A$54,Inputs!$B$49:$B$54)</f>
        <v>7</v>
      </c>
      <c r="H8" s="37">
        <f t="shared" si="3"/>
        <v>3.4629298744601545E+23</v>
      </c>
      <c r="I8" s="23" t="str">
        <f t="shared" si="4"/>
        <v>OK</v>
      </c>
    </row>
    <row r="9" spans="1:12" ht="15" customHeight="1" x14ac:dyDescent="0.3">
      <c r="A9" s="9" t="s">
        <v>25</v>
      </c>
      <c r="B9" s="33">
        <f>BOM_Consumo!K10</f>
        <v>2.2261692050100986E+22</v>
      </c>
      <c r="C9" s="33">
        <f>Inputs!B37</f>
        <v>1</v>
      </c>
      <c r="D9" s="34">
        <f t="shared" si="0"/>
        <v>2.2261692050100999E+22</v>
      </c>
      <c r="E9" s="35">
        <f t="shared" si="1"/>
        <v>2.2261692050100999E+22</v>
      </c>
      <c r="F9" s="34">
        <f t="shared" si="2"/>
        <v>2.2261692050100999E+22</v>
      </c>
      <c r="G9" s="36">
        <f>_xlfn.XLOOKUP(A9,Inputs!$A$49:$A$54,Inputs!$B$49:$B$54)</f>
        <v>36</v>
      </c>
      <c r="H9" s="37">
        <f t="shared" si="3"/>
        <v>8.0142091380363598E+23</v>
      </c>
      <c r="I9" s="23" t="str">
        <f t="shared" si="4"/>
        <v>OK</v>
      </c>
    </row>
    <row r="10" spans="1:12" ht="15" customHeight="1" x14ac:dyDescent="0.3">
      <c r="A10" s="9" t="s">
        <v>26</v>
      </c>
      <c r="B10" s="33">
        <f>BOM_Consumo!K11</f>
        <v>4.4523384100201972E+22</v>
      </c>
      <c r="C10" s="33">
        <f>Inputs!B38</f>
        <v>100</v>
      </c>
      <c r="D10" s="34">
        <f t="shared" si="0"/>
        <v>4.4523384100202001E+20</v>
      </c>
      <c r="E10" s="35">
        <f t="shared" si="1"/>
        <v>4.4523384100202001E+20</v>
      </c>
      <c r="F10" s="34">
        <f t="shared" si="2"/>
        <v>4.4523384100201997E+22</v>
      </c>
      <c r="G10" s="36">
        <f>_xlfn.XLOOKUP(A10,Inputs!$A$49:$A$54,Inputs!$B$49:$B$54)</f>
        <v>24</v>
      </c>
      <c r="H10" s="37">
        <f t="shared" si="3"/>
        <v>1.068561218404848E+22</v>
      </c>
      <c r="I10" s="23" t="str">
        <f t="shared" si="4"/>
        <v>OK</v>
      </c>
    </row>
    <row r="11" spans="1:12" ht="15" customHeight="1" x14ac:dyDescent="0.3">
      <c r="A11" s="9" t="s">
        <v>27</v>
      </c>
      <c r="B11" s="33">
        <f>BOM_Consumo!K12</f>
        <v>1.4841128033400655E+23</v>
      </c>
      <c r="C11" s="33">
        <f>Inputs!B39</f>
        <v>30</v>
      </c>
      <c r="D11" s="34">
        <f t="shared" si="0"/>
        <v>4.9470426778002197E+21</v>
      </c>
      <c r="E11" s="35">
        <f t="shared" si="1"/>
        <v>4.9470426778002197E+21</v>
      </c>
      <c r="F11" s="34">
        <f t="shared" si="2"/>
        <v>1.4841128033400658E+23</v>
      </c>
      <c r="G11" s="36">
        <f>_xlfn.XLOOKUP(A11,Inputs!$A$49:$A$54,Inputs!$B$49:$B$54)</f>
        <v>30</v>
      </c>
      <c r="H11" s="37">
        <f t="shared" si="3"/>
        <v>1.4841128033400658E+23</v>
      </c>
      <c r="I11" s="23" t="str">
        <f t="shared" si="4"/>
        <v>OK</v>
      </c>
    </row>
    <row r="12" spans="1:12" ht="15" customHeight="1" x14ac:dyDescent="0.3">
      <c r="A12" s="9" t="s">
        <v>28</v>
      </c>
      <c r="B12" s="33">
        <f>BOM_Consumo!K13</f>
        <v>5.5654230125252467E+22</v>
      </c>
      <c r="C12" s="33">
        <f>Inputs!B40</f>
        <v>60</v>
      </c>
      <c r="D12" s="34">
        <f t="shared" si="0"/>
        <v>9.27570502087541E+20</v>
      </c>
      <c r="E12" s="35">
        <f t="shared" si="1"/>
        <v>9.27570502087541E+20</v>
      </c>
      <c r="F12" s="34">
        <f t="shared" si="2"/>
        <v>5.5654230125252459E+22</v>
      </c>
      <c r="G12" s="36">
        <f>_xlfn.XLOOKUP(A12,Inputs!$A$49:$A$54,Inputs!$B$49:$B$54)</f>
        <v>28</v>
      </c>
      <c r="H12" s="37">
        <f t="shared" si="3"/>
        <v>2.5971974058451147E+22</v>
      </c>
      <c r="I12" s="23" t="str">
        <f t="shared" si="4"/>
        <v>OK</v>
      </c>
    </row>
    <row r="13" spans="1:12" ht="15" customHeight="1" x14ac:dyDescent="0.3">
      <c r="A13" s="83" t="s">
        <v>118</v>
      </c>
      <c r="B13" s="83"/>
      <c r="C13" s="83"/>
      <c r="D13" s="83"/>
      <c r="E13" s="83"/>
      <c r="F13" s="83"/>
      <c r="G13" s="83"/>
      <c r="H13" s="38">
        <f>SUM(H7:H12)</f>
        <v>1.3342668806294978E+24</v>
      </c>
    </row>
    <row r="16" spans="1:12" ht="15" customHeight="1" x14ac:dyDescent="0.3">
      <c r="A16" s="78" t="s">
        <v>119</v>
      </c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</row>
    <row r="17" spans="1:11" ht="23.25" customHeight="1" x14ac:dyDescent="0.3">
      <c r="A17" s="32" t="s">
        <v>15</v>
      </c>
      <c r="B17" s="32" t="s">
        <v>120</v>
      </c>
      <c r="C17" s="32" t="s">
        <v>121</v>
      </c>
      <c r="D17" s="32" t="s">
        <v>42</v>
      </c>
      <c r="E17" s="32" t="s">
        <v>112</v>
      </c>
      <c r="F17" s="32" t="s">
        <v>113</v>
      </c>
      <c r="G17" s="32" t="s">
        <v>122</v>
      </c>
      <c r="H17" s="32" t="s">
        <v>115</v>
      </c>
      <c r="I17" s="32" t="s">
        <v>123</v>
      </c>
      <c r="J17" s="32" t="s">
        <v>65</v>
      </c>
      <c r="K17" s="32" t="s">
        <v>124</v>
      </c>
    </row>
    <row r="18" spans="1:11" ht="15" customHeight="1" x14ac:dyDescent="0.3">
      <c r="A18" s="85" t="s">
        <v>19</v>
      </c>
      <c r="B18" s="10" t="s">
        <v>4</v>
      </c>
      <c r="C18" s="33">
        <f>BOM_Consumo!C6</f>
        <v>1850</v>
      </c>
      <c r="D18" s="33">
        <f>Inputs!B35</f>
        <v>30</v>
      </c>
      <c r="E18" s="34">
        <f t="shared" ref="E18:E33" si="5">IF(C18&gt;0,ROUNDUP(C18/D18,0),0)</f>
        <v>62</v>
      </c>
      <c r="F18" s="35">
        <v>0</v>
      </c>
      <c r="G18" s="34">
        <f t="shared" ref="G18:G33" si="6">F18*D18</f>
        <v>0</v>
      </c>
      <c r="H18" s="36">
        <f>IF(Inputs!$B$69="B",IF(F18&gt;=Inputs!$E$67,Inputs!$B$67*(1-IFERROR(VALUE(SUBSTITUTE(LEFT(Inputs!$D$67,FIND("%",Inputs!$D$67)-1),"%",""))/100,0)),Inputs!$B$67),_xlfn.XLOOKUP(Inputs!$B$69,Inputs!$A$66:$A$68,Inputs!$B$66:$B$68))</f>
        <v>125</v>
      </c>
      <c r="I18" s="37">
        <f t="shared" ref="I18:I33" si="7">F18*H18</f>
        <v>0</v>
      </c>
      <c r="J18" s="39" t="str">
        <f>_xlfn.XLOOKUP(Inputs!$B$69,Inputs!$A$66:$A$68,Inputs!$C$66:$C$68)</f>
        <v>Inmediato (0Q)</v>
      </c>
      <c r="K18" s="23" t="str">
        <f t="shared" ref="K18:K25" si="8">IF(B18="","",IF(VALUE(MID(B18,2,2))+IF(ISNUMBER(SEARCH("+2",J18)),2,IF(ISNUMBER(SEARCH("+8",J18)),8,0))&gt;8,"Next period","Q"&amp;(VALUE(MID(B18,2,2))+IF(ISNUMBER(SEARCH("+2",J18)),2,IF(ISNUMBER(SEARCH("+8",J18)),8,0)))))</f>
        <v>Q1</v>
      </c>
    </row>
    <row r="19" spans="1:11" ht="15" customHeight="1" x14ac:dyDescent="0.3">
      <c r="A19" s="85"/>
      <c r="B19" s="10" t="s">
        <v>5</v>
      </c>
      <c r="C19" s="33">
        <f>BOM_Consumo!D6</f>
        <v>3422500</v>
      </c>
      <c r="D19" s="33">
        <f>Inputs!B35</f>
        <v>30</v>
      </c>
      <c r="E19" s="34">
        <f t="shared" si="5"/>
        <v>114084</v>
      </c>
      <c r="F19" s="35">
        <v>0</v>
      </c>
      <c r="G19" s="34">
        <f t="shared" si="6"/>
        <v>0</v>
      </c>
      <c r="H19" s="36">
        <f>IF(Inputs!$B$69="B",IF(F19&gt;=Inputs!$E$67,Inputs!$B$67*(1-IFERROR(VALUE(SUBSTITUTE(LEFT(Inputs!$D$67,FIND("%",Inputs!$D$67)-1),"%",""))/100,0)),Inputs!$B$67),_xlfn.XLOOKUP(Inputs!$B$69,Inputs!$A$66:$A$68,Inputs!$B$66:$B$68))</f>
        <v>125</v>
      </c>
      <c r="I19" s="37">
        <f t="shared" si="7"/>
        <v>0</v>
      </c>
      <c r="J19" s="39" t="str">
        <f>_xlfn.XLOOKUP(Inputs!$B$69,Inputs!$A$66:$A$68,Inputs!$C$66:$C$68)</f>
        <v>Inmediato (0Q)</v>
      </c>
      <c r="K19" s="23" t="str">
        <f t="shared" si="8"/>
        <v>Q2</v>
      </c>
    </row>
    <row r="20" spans="1:11" ht="15" customHeight="1" x14ac:dyDescent="0.3">
      <c r="A20" s="85"/>
      <c r="B20" s="10" t="s">
        <v>6</v>
      </c>
      <c r="C20" s="33">
        <f>BOM_Consumo!E6</f>
        <v>6331625000</v>
      </c>
      <c r="D20" s="33">
        <f>Inputs!B35</f>
        <v>30</v>
      </c>
      <c r="E20" s="34">
        <f t="shared" si="5"/>
        <v>211054167</v>
      </c>
      <c r="F20" s="35">
        <v>0</v>
      </c>
      <c r="G20" s="34">
        <f t="shared" si="6"/>
        <v>0</v>
      </c>
      <c r="H20" s="36">
        <f>IF(Inputs!$B$69="B",IF(F20&gt;=Inputs!$E$67,Inputs!$B$67*(1-IFERROR(VALUE(SUBSTITUTE(LEFT(Inputs!$D$67,FIND("%",Inputs!$D$67)-1),"%",""))/100,0)),Inputs!$B$67),_xlfn.XLOOKUP(Inputs!$B$69,Inputs!$A$66:$A$68,Inputs!$B$66:$B$68))</f>
        <v>125</v>
      </c>
      <c r="I20" s="37">
        <f t="shared" si="7"/>
        <v>0</v>
      </c>
      <c r="J20" s="39" t="str">
        <f>_xlfn.XLOOKUP(Inputs!$B$69,Inputs!$A$66:$A$68,Inputs!$C$66:$C$68)</f>
        <v>Inmediato (0Q)</v>
      </c>
      <c r="K20" s="23" t="str">
        <f t="shared" si="8"/>
        <v>Q3</v>
      </c>
    </row>
    <row r="21" spans="1:11" ht="15" customHeight="1" x14ac:dyDescent="0.3">
      <c r="A21" s="85"/>
      <c r="B21" s="10" t="s">
        <v>7</v>
      </c>
      <c r="C21" s="33">
        <f>BOM_Consumo!F6</f>
        <v>11713506250000</v>
      </c>
      <c r="D21" s="33">
        <f>Inputs!B35</f>
        <v>30</v>
      </c>
      <c r="E21" s="34">
        <f t="shared" si="5"/>
        <v>390450208334</v>
      </c>
      <c r="F21" s="35">
        <v>0</v>
      </c>
      <c r="G21" s="34">
        <f t="shared" si="6"/>
        <v>0</v>
      </c>
      <c r="H21" s="36">
        <f>IF(Inputs!$B$69="B",IF(F21&gt;=Inputs!$E$67,Inputs!$B$67*(1-IFERROR(VALUE(SUBSTITUTE(LEFT(Inputs!$D$67,FIND("%",Inputs!$D$67)-1),"%",""))/100,0)),Inputs!$B$67),_xlfn.XLOOKUP(Inputs!$B$69,Inputs!$A$66:$A$68,Inputs!$B$66:$B$68))</f>
        <v>125</v>
      </c>
      <c r="I21" s="37">
        <f t="shared" si="7"/>
        <v>0</v>
      </c>
      <c r="J21" s="39" t="str">
        <f>_xlfn.XLOOKUP(Inputs!$B$69,Inputs!$A$66:$A$68,Inputs!$C$66:$C$68)</f>
        <v>Inmediato (0Q)</v>
      </c>
      <c r="K21" s="23" t="str">
        <f t="shared" si="8"/>
        <v>Q4</v>
      </c>
    </row>
    <row r="22" spans="1:11" ht="15" customHeight="1" x14ac:dyDescent="0.3">
      <c r="A22" s="85"/>
      <c r="B22" s="10" t="s">
        <v>8</v>
      </c>
      <c r="C22" s="33">
        <f>BOM_Consumo!G6</f>
        <v>0</v>
      </c>
      <c r="D22" s="33">
        <f>Inputs!B35</f>
        <v>30</v>
      </c>
      <c r="E22" s="34">
        <f t="shared" si="5"/>
        <v>0</v>
      </c>
      <c r="F22" s="35">
        <v>0</v>
      </c>
      <c r="G22" s="34">
        <f t="shared" si="6"/>
        <v>0</v>
      </c>
      <c r="H22" s="36">
        <f>IF(Inputs!$B$69="B",IF(F22&gt;=Inputs!$E$67,Inputs!$B$67*(1-IFERROR(VALUE(SUBSTITUTE(LEFT(Inputs!$D$67,FIND("%",Inputs!$D$67)-1),"%",""))/100,0)),Inputs!$B$67),_xlfn.XLOOKUP(Inputs!$B$69,Inputs!$A$66:$A$68,Inputs!$B$66:$B$68))</f>
        <v>125</v>
      </c>
      <c r="I22" s="37">
        <f t="shared" si="7"/>
        <v>0</v>
      </c>
      <c r="J22" s="39" t="str">
        <f>_xlfn.XLOOKUP(Inputs!$B$69,Inputs!$A$66:$A$68,Inputs!$C$66:$C$68)</f>
        <v>Inmediato (0Q)</v>
      </c>
      <c r="K22" s="23" t="str">
        <f t="shared" si="8"/>
        <v>Q5</v>
      </c>
    </row>
    <row r="23" spans="1:11" ht="15" customHeight="1" x14ac:dyDescent="0.3">
      <c r="A23" s="85"/>
      <c r="B23" s="10" t="s">
        <v>9</v>
      </c>
      <c r="C23" s="33">
        <f>BOM_Consumo!H6</f>
        <v>0</v>
      </c>
      <c r="D23" s="33">
        <f>Inputs!B35</f>
        <v>30</v>
      </c>
      <c r="E23" s="34">
        <f t="shared" si="5"/>
        <v>0</v>
      </c>
      <c r="F23" s="35">
        <v>0</v>
      </c>
      <c r="G23" s="34">
        <f t="shared" si="6"/>
        <v>0</v>
      </c>
      <c r="H23" s="36">
        <f>IF(Inputs!$B$69="B",IF(F23&gt;=Inputs!$E$67,Inputs!$B$67*(1-IFERROR(VALUE(SUBSTITUTE(LEFT(Inputs!$D$67,FIND("%",Inputs!$D$67)-1),"%",""))/100,0)),Inputs!$B$67),_xlfn.XLOOKUP(Inputs!$B$69,Inputs!$A$66:$A$68,Inputs!$B$66:$B$68))</f>
        <v>125</v>
      </c>
      <c r="I23" s="37">
        <f t="shared" si="7"/>
        <v>0</v>
      </c>
      <c r="J23" s="39" t="str">
        <f>_xlfn.XLOOKUP(Inputs!$B$69,Inputs!$A$66:$A$68,Inputs!$C$66:$C$68)</f>
        <v>Inmediato (0Q)</v>
      </c>
      <c r="K23" s="23" t="str">
        <f t="shared" si="8"/>
        <v>Q6</v>
      </c>
    </row>
    <row r="24" spans="1:11" ht="15" customHeight="1" x14ac:dyDescent="0.3">
      <c r="A24" s="85"/>
      <c r="B24" s="10" t="s">
        <v>10</v>
      </c>
      <c r="C24" s="33">
        <f>BOM_Consumo!I6</f>
        <v>0</v>
      </c>
      <c r="D24" s="33">
        <f>Inputs!B35</f>
        <v>30</v>
      </c>
      <c r="E24" s="34">
        <f t="shared" si="5"/>
        <v>0</v>
      </c>
      <c r="F24" s="35">
        <v>0</v>
      </c>
      <c r="G24" s="34">
        <f t="shared" si="6"/>
        <v>0</v>
      </c>
      <c r="H24" s="36">
        <f>IF(Inputs!$B$69="B",IF(F24&gt;=Inputs!$E$67,Inputs!$B$67*(1-IFERROR(VALUE(SUBSTITUTE(LEFT(Inputs!$D$67,FIND("%",Inputs!$D$67)-1),"%",""))/100,0)),Inputs!$B$67),_xlfn.XLOOKUP(Inputs!$B$69,Inputs!$A$66:$A$68,Inputs!$B$66:$B$68))</f>
        <v>125</v>
      </c>
      <c r="I24" s="37">
        <f t="shared" si="7"/>
        <v>0</v>
      </c>
      <c r="J24" s="39" t="str">
        <f>_xlfn.XLOOKUP(Inputs!$B$69,Inputs!$A$66:$A$68,Inputs!$C$66:$C$68)</f>
        <v>Inmediato (0Q)</v>
      </c>
      <c r="K24" s="23" t="str">
        <f t="shared" si="8"/>
        <v>Q7</v>
      </c>
    </row>
    <row r="25" spans="1:11" ht="15" customHeight="1" x14ac:dyDescent="0.3">
      <c r="A25" s="85"/>
      <c r="B25" s="10" t="s">
        <v>11</v>
      </c>
      <c r="C25" s="33">
        <f>BOM_Consumo!J6</f>
        <v>1850</v>
      </c>
      <c r="D25" s="33">
        <f>Inputs!B35</f>
        <v>30</v>
      </c>
      <c r="E25" s="34">
        <f t="shared" si="5"/>
        <v>62</v>
      </c>
      <c r="F25" s="35">
        <v>0</v>
      </c>
      <c r="G25" s="34">
        <f t="shared" si="6"/>
        <v>0</v>
      </c>
      <c r="H25" s="36">
        <f>IF(Inputs!$B$69="B",IF(F25&gt;=Inputs!$E$67,Inputs!$B$67*(1-IFERROR(VALUE(SUBSTITUTE(LEFT(Inputs!$D$67,FIND("%",Inputs!$D$67)-1),"%",""))/100,0)),Inputs!$B$67),_xlfn.XLOOKUP(Inputs!$B$69,Inputs!$A$66:$A$68,Inputs!$B$66:$B$68))</f>
        <v>125</v>
      </c>
      <c r="I25" s="37">
        <f t="shared" si="7"/>
        <v>0</v>
      </c>
      <c r="J25" s="39" t="str">
        <f>_xlfn.XLOOKUP(Inputs!$B$69,Inputs!$A$66:$A$68,Inputs!$C$66:$C$68)</f>
        <v>Inmediato (0Q)</v>
      </c>
      <c r="K25" s="23" t="str">
        <f t="shared" si="8"/>
        <v>Q8</v>
      </c>
    </row>
    <row r="26" spans="1:11" ht="15" customHeight="1" x14ac:dyDescent="0.3">
      <c r="A26" s="85" t="s">
        <v>22</v>
      </c>
      <c r="B26" s="10" t="s">
        <v>4</v>
      </c>
      <c r="C26" s="33">
        <f>BOM_Consumo!C7</f>
        <v>370</v>
      </c>
      <c r="D26" s="33">
        <f>Inputs!B36</f>
        <v>12</v>
      </c>
      <c r="E26" s="34">
        <f t="shared" si="5"/>
        <v>31</v>
      </c>
      <c r="F26" s="35">
        <v>0</v>
      </c>
      <c r="G26" s="34">
        <f t="shared" si="6"/>
        <v>0</v>
      </c>
      <c r="H26" s="36">
        <f>IF(Inputs!$B$77="B",IF(F26&gt;=Inputs!$E$75,Inputs!$B$75*(1-IFERROR(VALUE(SUBSTITUTE(LEFT(Inputs!$D$75,FIND("%",Inputs!$D$75)-1),"%",""))/100,0)),Inputs!$B$75),_xlfn.XLOOKUP(Inputs!$B$77,Inputs!$A$74:$A$76,Inputs!$B$74:$B$76))</f>
        <v>330</v>
      </c>
      <c r="I26" s="37">
        <f t="shared" si="7"/>
        <v>0</v>
      </c>
      <c r="J26" s="39" t="str">
        <f>_xlfn.XLOOKUP(Inputs!$B$77,Inputs!$A$74:$A$76,Inputs!$C$74:$C$76)</f>
        <v>Inmediato (0Q)</v>
      </c>
      <c r="K26" s="23" t="str">
        <f t="shared" ref="K26:K33" si="9">IF(B26="","",IF(VALUE(MID(B26,2,2))+IF(ISNUMBER(SEARCH("+2",J26)),2,IF(ISNUMBER(SEARCH("+8",J26)),8,0))&gt;8,"Next period","Q"&amp;(VALUE(MID(B26,2,2))+IF(ISNUMBER(SEARCH("+2",J26)),2,IF(ISNUMBER(SEARCH("+8",J26)),8,0)))))</f>
        <v>Q1</v>
      </c>
    </row>
    <row r="27" spans="1:11" ht="15" customHeight="1" x14ac:dyDescent="0.3">
      <c r="A27" s="85"/>
      <c r="B27" s="10" t="s">
        <v>5</v>
      </c>
      <c r="C27" s="33">
        <f>BOM_Consumo!D7</f>
        <v>684500</v>
      </c>
      <c r="D27" s="33">
        <f>Inputs!B36</f>
        <v>12</v>
      </c>
      <c r="E27" s="34">
        <f t="shared" si="5"/>
        <v>57042</v>
      </c>
      <c r="F27" s="35">
        <v>0</v>
      </c>
      <c r="G27" s="34">
        <f t="shared" si="6"/>
        <v>0</v>
      </c>
      <c r="H27" s="36">
        <f>IF(Inputs!$B$77="B",IF(F27&gt;=Inputs!$E$75,Inputs!$B$75*(1-IFERROR(VALUE(SUBSTITUTE(LEFT(Inputs!$D$75,FIND("%",Inputs!$D$75)-1),"%",""))/100,0)),Inputs!$B$75),_xlfn.XLOOKUP(Inputs!$B$77,Inputs!$A$74:$A$76,Inputs!$B$74:$B$76))</f>
        <v>330</v>
      </c>
      <c r="I27" s="37">
        <f t="shared" si="7"/>
        <v>0</v>
      </c>
      <c r="J27" s="39" t="str">
        <f>_xlfn.XLOOKUP(Inputs!$B$77,Inputs!$A$74:$A$76,Inputs!$C$74:$C$76)</f>
        <v>Inmediato (0Q)</v>
      </c>
      <c r="K27" s="23" t="str">
        <f t="shared" si="9"/>
        <v>Q2</v>
      </c>
    </row>
    <row r="28" spans="1:11" ht="15" customHeight="1" x14ac:dyDescent="0.3">
      <c r="A28" s="85"/>
      <c r="B28" s="10" t="s">
        <v>6</v>
      </c>
      <c r="C28" s="33">
        <f>BOM_Consumo!E7</f>
        <v>1266325000</v>
      </c>
      <c r="D28" s="33">
        <f>Inputs!B36</f>
        <v>12</v>
      </c>
      <c r="E28" s="34">
        <f t="shared" si="5"/>
        <v>105527084</v>
      </c>
      <c r="F28" s="35">
        <v>0</v>
      </c>
      <c r="G28" s="34">
        <f t="shared" si="6"/>
        <v>0</v>
      </c>
      <c r="H28" s="36">
        <f>IF(Inputs!$B$77="B",IF(F28&gt;=Inputs!$E$75,Inputs!$B$75*(1-IFERROR(VALUE(SUBSTITUTE(LEFT(Inputs!$D$75,FIND("%",Inputs!$D$75)-1),"%",""))/100,0)),Inputs!$B$75),_xlfn.XLOOKUP(Inputs!$B$77,Inputs!$A$74:$A$76,Inputs!$B$74:$B$76))</f>
        <v>330</v>
      </c>
      <c r="I28" s="37">
        <f t="shared" si="7"/>
        <v>0</v>
      </c>
      <c r="J28" s="39" t="str">
        <f>_xlfn.XLOOKUP(Inputs!$B$77,Inputs!$A$74:$A$76,Inputs!$C$74:$C$76)</f>
        <v>Inmediato (0Q)</v>
      </c>
      <c r="K28" s="23" t="str">
        <f t="shared" si="9"/>
        <v>Q3</v>
      </c>
    </row>
    <row r="29" spans="1:11" ht="15" customHeight="1" x14ac:dyDescent="0.3">
      <c r="A29" s="85"/>
      <c r="B29" s="10" t="s">
        <v>7</v>
      </c>
      <c r="C29" s="33">
        <f>BOM_Consumo!F7</f>
        <v>2342701250000</v>
      </c>
      <c r="D29" s="33">
        <f>Inputs!B36</f>
        <v>12</v>
      </c>
      <c r="E29" s="34">
        <f t="shared" si="5"/>
        <v>195225104167</v>
      </c>
      <c r="F29" s="35">
        <v>0</v>
      </c>
      <c r="G29" s="34">
        <f t="shared" si="6"/>
        <v>0</v>
      </c>
      <c r="H29" s="36">
        <f>IF(Inputs!$B$77="B",IF(F29&gt;=Inputs!$E$75,Inputs!$B$75*(1-IFERROR(VALUE(SUBSTITUTE(LEFT(Inputs!$D$75,FIND("%",Inputs!$D$75)-1),"%",""))/100,0)),Inputs!$B$75),_xlfn.XLOOKUP(Inputs!$B$77,Inputs!$A$74:$A$76,Inputs!$B$74:$B$76))</f>
        <v>330</v>
      </c>
      <c r="I29" s="37">
        <f t="shared" si="7"/>
        <v>0</v>
      </c>
      <c r="J29" s="39" t="str">
        <f>_xlfn.XLOOKUP(Inputs!$B$77,Inputs!$A$74:$A$76,Inputs!$C$74:$C$76)</f>
        <v>Inmediato (0Q)</v>
      </c>
      <c r="K29" s="23" t="str">
        <f t="shared" si="9"/>
        <v>Q4</v>
      </c>
    </row>
    <row r="30" spans="1:11" ht="15" customHeight="1" x14ac:dyDescent="0.3">
      <c r="A30" s="85"/>
      <c r="B30" s="10" t="s">
        <v>8</v>
      </c>
      <c r="C30" s="33">
        <f>BOM_Consumo!G7</f>
        <v>4333997312500000</v>
      </c>
      <c r="D30" s="33">
        <f>Inputs!B36</f>
        <v>12</v>
      </c>
      <c r="E30" s="34">
        <f t="shared" si="5"/>
        <v>361166442708333</v>
      </c>
      <c r="F30" s="35">
        <v>0</v>
      </c>
      <c r="G30" s="34">
        <f t="shared" si="6"/>
        <v>0</v>
      </c>
      <c r="H30" s="36">
        <f>IF(Inputs!$B$77="B",IF(F30&gt;=Inputs!$E$75,Inputs!$B$75*(1-IFERROR(VALUE(SUBSTITUTE(LEFT(Inputs!$D$75,FIND("%",Inputs!$D$75)-1),"%",""))/100,0)),Inputs!$B$75),_xlfn.XLOOKUP(Inputs!$B$77,Inputs!$A$74:$A$76,Inputs!$B$74:$B$76))</f>
        <v>330</v>
      </c>
      <c r="I30" s="37">
        <f t="shared" si="7"/>
        <v>0</v>
      </c>
      <c r="J30" s="39" t="str">
        <f>_xlfn.XLOOKUP(Inputs!$B$77,Inputs!$A$74:$A$76,Inputs!$C$74:$C$76)</f>
        <v>Inmediato (0Q)</v>
      </c>
      <c r="K30" s="23" t="str">
        <f t="shared" si="9"/>
        <v>Q5</v>
      </c>
    </row>
    <row r="31" spans="1:11" ht="15" customHeight="1" x14ac:dyDescent="0.3">
      <c r="A31" s="85"/>
      <c r="B31" s="10" t="s">
        <v>9</v>
      </c>
      <c r="C31" s="33">
        <f>BOM_Consumo!H7</f>
        <v>0</v>
      </c>
      <c r="D31" s="33">
        <f>Inputs!B36</f>
        <v>12</v>
      </c>
      <c r="E31" s="34">
        <f t="shared" si="5"/>
        <v>0</v>
      </c>
      <c r="F31" s="35">
        <v>0</v>
      </c>
      <c r="G31" s="34">
        <f t="shared" si="6"/>
        <v>0</v>
      </c>
      <c r="H31" s="36">
        <f>IF(Inputs!$B$77="B",IF(F31&gt;=Inputs!$E$75,Inputs!$B$75*(1-IFERROR(VALUE(SUBSTITUTE(LEFT(Inputs!$D$75,FIND("%",Inputs!$D$75)-1),"%",""))/100,0)),Inputs!$B$75),_xlfn.XLOOKUP(Inputs!$B$77,Inputs!$A$74:$A$76,Inputs!$B$74:$B$76))</f>
        <v>330</v>
      </c>
      <c r="I31" s="37">
        <f t="shared" si="7"/>
        <v>0</v>
      </c>
      <c r="J31" s="39" t="str">
        <f>_xlfn.XLOOKUP(Inputs!$B$77,Inputs!$A$74:$A$76,Inputs!$C$74:$C$76)</f>
        <v>Inmediato (0Q)</v>
      </c>
      <c r="K31" s="23" t="str">
        <f t="shared" si="9"/>
        <v>Q6</v>
      </c>
    </row>
    <row r="32" spans="1:11" ht="15" customHeight="1" x14ac:dyDescent="0.3">
      <c r="A32" s="85"/>
      <c r="B32" s="10" t="s">
        <v>10</v>
      </c>
      <c r="C32" s="33">
        <f>BOM_Consumo!I7</f>
        <v>0</v>
      </c>
      <c r="D32" s="33">
        <f>Inputs!B36</f>
        <v>12</v>
      </c>
      <c r="E32" s="34">
        <f t="shared" si="5"/>
        <v>0</v>
      </c>
      <c r="F32" s="35">
        <v>0</v>
      </c>
      <c r="G32" s="34">
        <f t="shared" si="6"/>
        <v>0</v>
      </c>
      <c r="H32" s="36">
        <f>IF(Inputs!$B$77="B",IF(F32&gt;=Inputs!$E$75,Inputs!$B$75*(1-IFERROR(VALUE(SUBSTITUTE(LEFT(Inputs!$D$75,FIND("%",Inputs!$D$75)-1),"%",""))/100,0)),Inputs!$B$75),_xlfn.XLOOKUP(Inputs!$B$77,Inputs!$A$74:$A$76,Inputs!$B$74:$B$76))</f>
        <v>330</v>
      </c>
      <c r="I32" s="37">
        <f t="shared" si="7"/>
        <v>0</v>
      </c>
      <c r="J32" s="39" t="str">
        <f>_xlfn.XLOOKUP(Inputs!$B$77,Inputs!$A$74:$A$76,Inputs!$C$74:$C$76)</f>
        <v>Inmediato (0Q)</v>
      </c>
      <c r="K32" s="23" t="str">
        <f t="shared" si="9"/>
        <v>Q7</v>
      </c>
    </row>
    <row r="33" spans="1:11" ht="15" customHeight="1" x14ac:dyDescent="0.3">
      <c r="A33" s="85"/>
      <c r="B33" s="10" t="s">
        <v>11</v>
      </c>
      <c r="C33" s="33">
        <f>BOM_Consumo!J7</f>
        <v>370</v>
      </c>
      <c r="D33" s="33">
        <f>Inputs!B36</f>
        <v>12</v>
      </c>
      <c r="E33" s="34">
        <f t="shared" si="5"/>
        <v>31</v>
      </c>
      <c r="F33" s="35">
        <v>0</v>
      </c>
      <c r="G33" s="34">
        <f t="shared" si="6"/>
        <v>0</v>
      </c>
      <c r="H33" s="36">
        <f>IF(Inputs!$B$77="B",IF(F33&gt;=Inputs!$E$75,Inputs!$B$75*(1-IFERROR(VALUE(SUBSTITUTE(LEFT(Inputs!$D$75,FIND("%",Inputs!$D$75)-1),"%",""))/100,0)),Inputs!$B$75),_xlfn.XLOOKUP(Inputs!$B$77,Inputs!$A$74:$A$76,Inputs!$B$74:$B$76))</f>
        <v>330</v>
      </c>
      <c r="I33" s="37">
        <f t="shared" si="7"/>
        <v>0</v>
      </c>
      <c r="J33" s="39" t="str">
        <f>_xlfn.XLOOKUP(Inputs!$B$77,Inputs!$A$74:$A$76,Inputs!$C$74:$C$76)</f>
        <v>Inmediato (0Q)</v>
      </c>
      <c r="K33" s="23" t="str">
        <f t="shared" si="9"/>
        <v>Q8</v>
      </c>
    </row>
  </sheetData>
  <mergeCells count="8">
    <mergeCell ref="A16:L16"/>
    <mergeCell ref="A18:A25"/>
    <mergeCell ref="A26:A33"/>
    <mergeCell ref="A1:L1"/>
    <mergeCell ref="A2:L2"/>
    <mergeCell ref="A3:L3"/>
    <mergeCell ref="A5:J5"/>
    <mergeCell ref="A13:G1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zoomScaleNormal="100" workbookViewId="0">
      <selection sqref="A1:XFD1048576"/>
    </sheetView>
  </sheetViews>
  <sheetFormatPr baseColWidth="10" defaultColWidth="8.6640625" defaultRowHeight="14.4" x14ac:dyDescent="0.3"/>
  <cols>
    <col min="1" max="1" width="13.44140625" bestFit="1" customWidth="1"/>
    <col min="2" max="2" width="36.77734375" bestFit="1" customWidth="1"/>
    <col min="3" max="3" width="10.109375" bestFit="1" customWidth="1"/>
    <col min="4" max="4" width="13.77734375" bestFit="1" customWidth="1"/>
    <col min="5" max="5" width="26" bestFit="1" customWidth="1"/>
    <col min="6" max="6" width="36.77734375" bestFit="1" customWidth="1"/>
  </cols>
  <sheetData>
    <row r="1" spans="1:6" ht="17.25" customHeight="1" x14ac:dyDescent="0.3">
      <c r="A1" s="76" t="s">
        <v>125</v>
      </c>
      <c r="B1" s="76"/>
      <c r="C1" s="76"/>
      <c r="D1" s="76"/>
      <c r="E1" s="76"/>
      <c r="F1" s="76"/>
    </row>
    <row r="2" spans="1:6" ht="15" customHeight="1" x14ac:dyDescent="0.3">
      <c r="A2" s="81" t="s">
        <v>126</v>
      </c>
      <c r="B2" s="81"/>
      <c r="C2" s="81"/>
      <c r="D2" s="81"/>
      <c r="E2" s="81"/>
      <c r="F2" s="81"/>
    </row>
    <row r="4" spans="1:6" ht="15" customHeight="1" x14ac:dyDescent="0.3">
      <c r="A4" s="40" t="s">
        <v>15</v>
      </c>
      <c r="B4" s="40" t="s">
        <v>127</v>
      </c>
      <c r="C4" s="40" t="s">
        <v>128</v>
      </c>
      <c r="D4" s="40" t="s">
        <v>56</v>
      </c>
      <c r="E4" s="40" t="s">
        <v>129</v>
      </c>
      <c r="F4" s="40" t="s">
        <v>116</v>
      </c>
    </row>
    <row r="5" spans="1:6" ht="15" customHeight="1" x14ac:dyDescent="0.3">
      <c r="A5" s="9" t="s">
        <v>23</v>
      </c>
      <c r="B5" s="36">
        <f>Compras_y_Lotes!H7</f>
        <v>1.484112803340066E+21</v>
      </c>
      <c r="C5" s="41">
        <v>1</v>
      </c>
      <c r="D5" s="37">
        <v>0</v>
      </c>
      <c r="E5" s="37">
        <v>0</v>
      </c>
      <c r="F5" s="37">
        <f t="shared" ref="F5:F12" si="0">B5+D5+E5</f>
        <v>1.484112803340066E+21</v>
      </c>
    </row>
    <row r="6" spans="1:6" ht="15" customHeight="1" x14ac:dyDescent="0.3">
      <c r="A6" s="9" t="s">
        <v>24</v>
      </c>
      <c r="B6" s="36">
        <f>Compras_y_Lotes!H8</f>
        <v>3.4629298744601545E+23</v>
      </c>
      <c r="C6" s="41">
        <v>1</v>
      </c>
      <c r="D6" s="37">
        <v>0</v>
      </c>
      <c r="E6" s="37">
        <v>0</v>
      </c>
      <c r="F6" s="37">
        <f t="shared" si="0"/>
        <v>3.4629298744601545E+23</v>
      </c>
    </row>
    <row r="7" spans="1:6" ht="15" customHeight="1" x14ac:dyDescent="0.3">
      <c r="A7" s="9" t="s">
        <v>25</v>
      </c>
      <c r="B7" s="36">
        <f>Compras_y_Lotes!H9</f>
        <v>8.0142091380363598E+23</v>
      </c>
      <c r="C7" s="41">
        <v>1</v>
      </c>
      <c r="D7" s="37">
        <v>0</v>
      </c>
      <c r="E7" s="37">
        <v>0</v>
      </c>
      <c r="F7" s="37">
        <f t="shared" si="0"/>
        <v>8.0142091380363598E+23</v>
      </c>
    </row>
    <row r="8" spans="1:6" ht="15" customHeight="1" x14ac:dyDescent="0.3">
      <c r="A8" s="9" t="s">
        <v>26</v>
      </c>
      <c r="B8" s="36">
        <f>Compras_y_Lotes!H10</f>
        <v>1.068561218404848E+22</v>
      </c>
      <c r="C8" s="41">
        <v>1</v>
      </c>
      <c r="D8" s="37">
        <v>0</v>
      </c>
      <c r="E8" s="37">
        <v>0</v>
      </c>
      <c r="F8" s="37">
        <f t="shared" si="0"/>
        <v>1.068561218404848E+22</v>
      </c>
    </row>
    <row r="9" spans="1:6" ht="15" customHeight="1" x14ac:dyDescent="0.3">
      <c r="A9" s="9" t="s">
        <v>27</v>
      </c>
      <c r="B9" s="36">
        <f>Compras_y_Lotes!H11</f>
        <v>1.4841128033400658E+23</v>
      </c>
      <c r="C9" s="41">
        <v>1</v>
      </c>
      <c r="D9" s="37">
        <v>0</v>
      </c>
      <c r="E9" s="37">
        <v>0</v>
      </c>
      <c r="F9" s="37">
        <f t="shared" si="0"/>
        <v>1.4841128033400658E+23</v>
      </c>
    </row>
    <row r="10" spans="1:6" ht="15" customHeight="1" x14ac:dyDescent="0.3">
      <c r="A10" s="9" t="s">
        <v>28</v>
      </c>
      <c r="B10" s="36">
        <f>Compras_y_Lotes!H12</f>
        <v>2.5971974058451147E+22</v>
      </c>
      <c r="C10" s="41">
        <v>1</v>
      </c>
      <c r="D10" s="37">
        <v>0</v>
      </c>
      <c r="E10" s="37">
        <v>0</v>
      </c>
      <c r="F10" s="37">
        <f t="shared" si="0"/>
        <v>2.5971974058451147E+22</v>
      </c>
    </row>
    <row r="11" spans="1:6" ht="15" customHeight="1" x14ac:dyDescent="0.3">
      <c r="A11" s="9" t="s">
        <v>19</v>
      </c>
      <c r="B11" s="36">
        <f>SUM(Compras_y_Lotes!I18:I25)</f>
        <v>0</v>
      </c>
      <c r="C11" s="42">
        <f>COUNTIF(Compras_y_Lotes!F18:F25,"&gt;0")</f>
        <v>0</v>
      </c>
      <c r="D11" s="37">
        <f>C11*Inputs!B59</f>
        <v>0</v>
      </c>
      <c r="E11" s="43">
        <f>SUMPRODUCT((Inventario_Dinamico!B7:I7+Inventario_Dinamico!B10:I10)/2)*Inputs!C59</f>
        <v>-15823687286236.199</v>
      </c>
      <c r="F11" s="37">
        <f t="shared" si="0"/>
        <v>-15823687286236.199</v>
      </c>
    </row>
    <row r="12" spans="1:6" ht="15" customHeight="1" x14ac:dyDescent="0.3">
      <c r="A12" s="9" t="s">
        <v>22</v>
      </c>
      <c r="B12" s="36">
        <f>SUM(Compras_y_Lotes!I26:I33)</f>
        <v>0</v>
      </c>
      <c r="C12" s="42">
        <f>COUNTIF(Compras_y_Lotes!F26:F33,"&gt;0")</f>
        <v>0</v>
      </c>
      <c r="D12" s="37">
        <f>C12*Inputs!B60</f>
        <v>0</v>
      </c>
      <c r="E12" s="43">
        <f>SUMPRODUCT((Inventario_Dinamico!B13:I13+Inventario_Dinamico!B16:I16)/2)*Inputs!C60</f>
        <v>-6.8307928733728096E+16</v>
      </c>
      <c r="F12" s="37">
        <f t="shared" si="0"/>
        <v>-6.8307928733728096E+16</v>
      </c>
    </row>
    <row r="13" spans="1:6" ht="15" customHeight="1" x14ac:dyDescent="0.3">
      <c r="A13" s="1" t="s">
        <v>130</v>
      </c>
      <c r="B13" s="38">
        <f>SUM(B5:B12)</f>
        <v>1.3342668806294978E+24</v>
      </c>
      <c r="C13" s="44">
        <f>SUM(C5:C12)</f>
        <v>6</v>
      </c>
      <c r="D13" s="38">
        <f>SUM(D5:D12)</f>
        <v>0</v>
      </c>
      <c r="E13" s="38">
        <f>SUM(E5:E12)</f>
        <v>-6.8323752421014336E+16</v>
      </c>
      <c r="F13" s="38">
        <f>SUM(F5:F12)</f>
        <v>1.3342668123057454E+24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9"/>
  <sheetViews>
    <sheetView zoomScaleNormal="100" workbookViewId="0">
      <selection sqref="A1:XFD1048576"/>
    </sheetView>
  </sheetViews>
  <sheetFormatPr baseColWidth="10" defaultColWidth="8.6640625" defaultRowHeight="14.4" x14ac:dyDescent="0.3"/>
  <cols>
    <col min="1" max="1" width="14.6640625" bestFit="1" customWidth="1"/>
    <col min="2" max="2" width="36.77734375" bestFit="1" customWidth="1"/>
    <col min="3" max="9" width="3.6640625" bestFit="1" customWidth="1"/>
    <col min="10" max="10" width="36.77734375" bestFit="1" customWidth="1"/>
  </cols>
  <sheetData>
    <row r="1" spans="1:12" ht="17.25" customHeight="1" x14ac:dyDescent="0.3">
      <c r="A1" s="76" t="s">
        <v>131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</row>
    <row r="2" spans="1:12" ht="15" customHeight="1" x14ac:dyDescent="0.3">
      <c r="A2" s="81" t="s">
        <v>132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</row>
    <row r="3" spans="1:12" ht="15" customHeight="1" x14ac:dyDescent="0.3">
      <c r="A3" s="84" t="s">
        <v>133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</row>
    <row r="5" spans="1:12" ht="15" customHeight="1" x14ac:dyDescent="0.3">
      <c r="A5" s="24" t="s">
        <v>100</v>
      </c>
      <c r="B5" s="24" t="s">
        <v>4</v>
      </c>
      <c r="C5" s="24" t="s">
        <v>5</v>
      </c>
      <c r="D5" s="24" t="s">
        <v>6</v>
      </c>
      <c r="E5" s="24" t="s">
        <v>7</v>
      </c>
      <c r="F5" s="24" t="s">
        <v>8</v>
      </c>
      <c r="G5" s="24" t="s">
        <v>9</v>
      </c>
      <c r="H5" s="24" t="s">
        <v>10</v>
      </c>
      <c r="I5" s="24" t="s">
        <v>11</v>
      </c>
      <c r="J5" s="24" t="s">
        <v>12</v>
      </c>
    </row>
    <row r="6" spans="1:12" ht="15" customHeight="1" x14ac:dyDescent="0.3">
      <c r="A6" s="5" t="s">
        <v>134</v>
      </c>
      <c r="B6" s="36">
        <f>Compras_y_Lotes!H13</f>
        <v>1.3342668806294978E+24</v>
      </c>
      <c r="C6" s="45">
        <v>0</v>
      </c>
      <c r="D6" s="45">
        <v>0</v>
      </c>
      <c r="E6" s="45">
        <v>0</v>
      </c>
      <c r="F6" s="45">
        <v>0</v>
      </c>
      <c r="G6" s="45">
        <v>0</v>
      </c>
      <c r="H6" s="45">
        <v>0</v>
      </c>
      <c r="I6" s="45">
        <v>0</v>
      </c>
      <c r="J6" s="37">
        <f>SUM(B6:I6)</f>
        <v>1.3342668806294978E+24</v>
      </c>
    </row>
    <row r="7" spans="1:12" ht="15" customHeight="1" x14ac:dyDescent="0.3">
      <c r="A7" s="9" t="s">
        <v>19</v>
      </c>
      <c r="B7" s="43">
        <v>0</v>
      </c>
      <c r="C7" s="43">
        <v>0</v>
      </c>
      <c r="D7" s="43">
        <v>0</v>
      </c>
      <c r="E7" s="43">
        <v>0</v>
      </c>
      <c r="F7" s="43">
        <v>0</v>
      </c>
      <c r="G7" s="43">
        <v>0</v>
      </c>
      <c r="H7" s="43">
        <v>0</v>
      </c>
      <c r="I7" s="43">
        <v>0</v>
      </c>
      <c r="J7" s="37">
        <f>SUM(B7:I7)</f>
        <v>0</v>
      </c>
    </row>
    <row r="8" spans="1:12" ht="15" customHeight="1" x14ac:dyDescent="0.3">
      <c r="A8" s="9" t="s">
        <v>22</v>
      </c>
      <c r="B8" s="43">
        <v>0</v>
      </c>
      <c r="C8" s="43">
        <v>0</v>
      </c>
      <c r="D8" s="43">
        <v>0</v>
      </c>
      <c r="E8" s="43">
        <v>0</v>
      </c>
      <c r="F8" s="43">
        <v>0</v>
      </c>
      <c r="G8" s="43">
        <v>0</v>
      </c>
      <c r="H8" s="43">
        <v>0</v>
      </c>
      <c r="I8" s="43">
        <v>0</v>
      </c>
      <c r="J8" s="37">
        <f>SUM(B8:I8)</f>
        <v>0</v>
      </c>
    </row>
    <row r="9" spans="1:12" ht="15" customHeight="1" x14ac:dyDescent="0.3">
      <c r="A9" s="5" t="s">
        <v>135</v>
      </c>
      <c r="B9" s="38">
        <f t="shared" ref="B9:I9" si="0">SUM(B6:B8)</f>
        <v>1.3342668806294978E+24</v>
      </c>
      <c r="C9" s="38">
        <f t="shared" si="0"/>
        <v>0</v>
      </c>
      <c r="D9" s="38">
        <f t="shared" si="0"/>
        <v>0</v>
      </c>
      <c r="E9" s="38">
        <f t="shared" si="0"/>
        <v>0</v>
      </c>
      <c r="F9" s="38">
        <f t="shared" si="0"/>
        <v>0</v>
      </c>
      <c r="G9" s="38">
        <f t="shared" si="0"/>
        <v>0</v>
      </c>
      <c r="H9" s="38">
        <f t="shared" si="0"/>
        <v>0</v>
      </c>
      <c r="I9" s="38">
        <f t="shared" si="0"/>
        <v>0</v>
      </c>
      <c r="J9" s="38">
        <f>SUM(B9:I9)</f>
        <v>1.3342668806294978E+24</v>
      </c>
    </row>
  </sheetData>
  <mergeCells count="3">
    <mergeCell ref="A1:L1"/>
    <mergeCell ref="A2:L2"/>
    <mergeCell ref="A3:L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4"/>
  <sheetViews>
    <sheetView zoomScaleNormal="100" workbookViewId="0">
      <selection sqref="A1:XFD1048576"/>
    </sheetView>
  </sheetViews>
  <sheetFormatPr baseColWidth="10" defaultColWidth="22.109375" defaultRowHeight="14.4" x14ac:dyDescent="0.3"/>
  <cols>
    <col min="1" max="1" width="24.5546875" bestFit="1" customWidth="1"/>
    <col min="2" max="4" width="30" bestFit="1" customWidth="1"/>
    <col min="5" max="5" width="36.77734375" bestFit="1" customWidth="1"/>
    <col min="6" max="6" width="28.6640625" bestFit="1" customWidth="1"/>
  </cols>
  <sheetData>
    <row r="1" spans="1:6" ht="17.25" customHeight="1" x14ac:dyDescent="0.3">
      <c r="A1" s="76" t="s">
        <v>136</v>
      </c>
      <c r="B1" s="76"/>
      <c r="C1" s="76"/>
      <c r="D1" s="76"/>
      <c r="E1" s="76"/>
      <c r="F1" s="76"/>
    </row>
    <row r="2" spans="1:6" ht="15" customHeight="1" x14ac:dyDescent="0.3">
      <c r="A2" s="81" t="s">
        <v>137</v>
      </c>
      <c r="B2" s="81"/>
      <c r="C2" s="81"/>
      <c r="D2" s="81"/>
      <c r="E2" s="81"/>
      <c r="F2" s="81"/>
    </row>
    <row r="4" spans="1:6" ht="15" customHeight="1" x14ac:dyDescent="0.3">
      <c r="A4" s="1" t="s">
        <v>138</v>
      </c>
      <c r="B4" s="46" t="s">
        <v>139</v>
      </c>
    </row>
    <row r="6" spans="1:6" ht="15" customHeight="1" x14ac:dyDescent="0.3">
      <c r="A6" s="3" t="s">
        <v>140</v>
      </c>
      <c r="B6" s="3" t="s">
        <v>141</v>
      </c>
      <c r="C6" s="3" t="s">
        <v>139</v>
      </c>
      <c r="D6" s="3" t="s">
        <v>142</v>
      </c>
      <c r="E6" s="3" t="s">
        <v>143</v>
      </c>
    </row>
    <row r="7" spans="1:6" ht="15" customHeight="1" x14ac:dyDescent="0.3">
      <c r="A7" s="5" t="s">
        <v>83</v>
      </c>
      <c r="B7" s="9" t="s">
        <v>144</v>
      </c>
      <c r="C7" s="9" t="s">
        <v>145</v>
      </c>
      <c r="D7" s="9" t="s">
        <v>146</v>
      </c>
      <c r="E7" s="9" t="s">
        <v>147</v>
      </c>
    </row>
    <row r="8" spans="1:6" ht="15" customHeight="1" x14ac:dyDescent="0.3">
      <c r="A8" s="5" t="s">
        <v>148</v>
      </c>
      <c r="B8" s="9" t="s">
        <v>149</v>
      </c>
      <c r="C8" s="9" t="s">
        <v>69</v>
      </c>
      <c r="D8" s="9" t="s">
        <v>150</v>
      </c>
      <c r="E8" s="9" t="s">
        <v>151</v>
      </c>
    </row>
    <row r="9" spans="1:6" ht="15" customHeight="1" x14ac:dyDescent="0.3">
      <c r="A9" s="5" t="s">
        <v>152</v>
      </c>
      <c r="B9" s="9" t="s">
        <v>149</v>
      </c>
      <c r="C9" s="9" t="s">
        <v>69</v>
      </c>
      <c r="D9" s="9" t="s">
        <v>150</v>
      </c>
      <c r="E9" s="9" t="s">
        <v>151</v>
      </c>
    </row>
    <row r="10" spans="1:6" ht="15" customHeight="1" x14ac:dyDescent="0.3">
      <c r="A10" s="5" t="s">
        <v>153</v>
      </c>
      <c r="B10" s="9" t="s">
        <v>154</v>
      </c>
      <c r="C10" s="9" t="s">
        <v>155</v>
      </c>
      <c r="D10" s="9" t="s">
        <v>156</v>
      </c>
      <c r="E10" s="9" t="s">
        <v>157</v>
      </c>
    </row>
    <row r="11" spans="1:6" ht="15" customHeight="1" x14ac:dyDescent="0.3">
      <c r="A11" s="47"/>
      <c r="B11" s="9"/>
      <c r="C11" s="9"/>
      <c r="D11" s="9"/>
      <c r="E11" s="9"/>
    </row>
    <row r="12" spans="1:6" ht="15" customHeight="1" x14ac:dyDescent="0.3">
      <c r="A12" s="5" t="s">
        <v>158</v>
      </c>
      <c r="B12" s="9"/>
      <c r="C12" s="9"/>
      <c r="D12" s="9"/>
      <c r="E12" s="9"/>
    </row>
    <row r="13" spans="1:6" ht="15" customHeight="1" x14ac:dyDescent="0.3">
      <c r="A13" s="5" t="s">
        <v>116</v>
      </c>
      <c r="B13" s="9" t="s">
        <v>159</v>
      </c>
      <c r="C13" s="9" t="s">
        <v>160</v>
      </c>
      <c r="D13" s="9" t="s">
        <v>161</v>
      </c>
      <c r="E13" s="9" t="s">
        <v>162</v>
      </c>
    </row>
    <row r="14" spans="1:6" ht="15" customHeight="1" x14ac:dyDescent="0.3">
      <c r="A14" s="5" t="s">
        <v>163</v>
      </c>
      <c r="B14" s="9" t="s">
        <v>164</v>
      </c>
      <c r="C14" s="9" t="s">
        <v>161</v>
      </c>
      <c r="D14" s="9" t="s">
        <v>160</v>
      </c>
      <c r="E14" s="9" t="s">
        <v>165</v>
      </c>
    </row>
    <row r="15" spans="1:6" ht="15" customHeight="1" x14ac:dyDescent="0.3">
      <c r="A15" s="5" t="s">
        <v>166</v>
      </c>
      <c r="B15" s="9" t="s">
        <v>159</v>
      </c>
      <c r="C15" s="9" t="s">
        <v>160</v>
      </c>
      <c r="D15" s="9" t="s">
        <v>161</v>
      </c>
      <c r="E15" s="9" t="s">
        <v>167</v>
      </c>
    </row>
    <row r="16" spans="1:6" ht="15" customHeight="1" x14ac:dyDescent="0.3">
      <c r="A16" s="5" t="s">
        <v>168</v>
      </c>
      <c r="B16" s="9" t="s">
        <v>169</v>
      </c>
      <c r="C16" s="9" t="s">
        <v>160</v>
      </c>
      <c r="D16" s="9" t="s">
        <v>170</v>
      </c>
      <c r="E16" s="9" t="s">
        <v>171</v>
      </c>
    </row>
    <row r="20" spans="1:6" ht="15" customHeight="1" x14ac:dyDescent="0.3">
      <c r="A20" s="78" t="s">
        <v>172</v>
      </c>
      <c r="B20" s="78"/>
      <c r="C20" s="78"/>
      <c r="D20" s="78"/>
      <c r="E20" s="78"/>
      <c r="F20" s="78"/>
    </row>
    <row r="21" spans="1:6" ht="15" customHeight="1" x14ac:dyDescent="0.3">
      <c r="A21" s="8" t="s">
        <v>173</v>
      </c>
      <c r="B21" s="8" t="s">
        <v>141</v>
      </c>
      <c r="C21" s="8" t="s">
        <v>139</v>
      </c>
      <c r="D21" s="8" t="s">
        <v>142</v>
      </c>
      <c r="E21" s="8" t="s">
        <v>174</v>
      </c>
      <c r="F21" s="8" t="s">
        <v>175</v>
      </c>
    </row>
    <row r="22" spans="1:6" ht="15" customHeight="1" x14ac:dyDescent="0.3">
      <c r="A22" s="5" t="s">
        <v>176</v>
      </c>
      <c r="B22" s="37">
        <f>Costos!F13</f>
        <v>1.3342668123057454E+24</v>
      </c>
      <c r="C22" s="37">
        <f>Costos!F13</f>
        <v>1.3342668123057454E+24</v>
      </c>
      <c r="D22" s="37">
        <f>Costos!F13*0.9</f>
        <v>1.2008401310751709E+24</v>
      </c>
      <c r="E22" s="48">
        <f>MIN(B22:D22)</f>
        <v>1.2008401310751709E+24</v>
      </c>
      <c r="F22" s="37">
        <f t="shared" ref="F22:F27" si="0">MAX(B22:D22)-MIN(B22:D22)</f>
        <v>1.3342668123057449E+23</v>
      </c>
    </row>
    <row r="23" spans="1:6" ht="15" customHeight="1" x14ac:dyDescent="0.3">
      <c r="A23" s="5" t="s">
        <v>177</v>
      </c>
      <c r="B23" s="37">
        <f>Cashflow_Integrado!J33</f>
        <v>0</v>
      </c>
      <c r="C23" s="37">
        <f>Cashflow_Integrado!J33</f>
        <v>0</v>
      </c>
      <c r="D23" s="37">
        <f>Cashflow_Integrado!J33*0.92</f>
        <v>0</v>
      </c>
      <c r="E23" s="48">
        <f>MIN(B23:D23)</f>
        <v>0</v>
      </c>
      <c r="F23" s="37">
        <f t="shared" si="0"/>
        <v>0</v>
      </c>
    </row>
    <row r="24" spans="1:6" ht="15" customHeight="1" x14ac:dyDescent="0.3">
      <c r="A24" s="5" t="s">
        <v>178</v>
      </c>
      <c r="B24" s="37">
        <f>Cashflow_Integrado!B37</f>
        <v>0</v>
      </c>
      <c r="C24" s="37">
        <f>Cashflow_Integrado!B37</f>
        <v>0</v>
      </c>
      <c r="D24" s="37">
        <f>Cashflow_Integrado!B37*1.15</f>
        <v>0</v>
      </c>
      <c r="E24" s="48">
        <f>MIN(B24:D24)</f>
        <v>0</v>
      </c>
      <c r="F24" s="37">
        <f t="shared" si="0"/>
        <v>0</v>
      </c>
    </row>
    <row r="25" spans="1:6" ht="15" customHeight="1" x14ac:dyDescent="0.3">
      <c r="A25" s="5" t="s">
        <v>179</v>
      </c>
      <c r="B25" s="9">
        <v>0</v>
      </c>
      <c r="C25" s="9">
        <v>1</v>
      </c>
      <c r="D25" s="9">
        <v>3</v>
      </c>
      <c r="E25" s="49">
        <f>MIN(B25:D25)</f>
        <v>0</v>
      </c>
      <c r="F25" s="23">
        <f t="shared" si="0"/>
        <v>3</v>
      </c>
    </row>
    <row r="26" spans="1:6" ht="15" customHeight="1" x14ac:dyDescent="0.3">
      <c r="A26" s="5" t="s">
        <v>180</v>
      </c>
      <c r="B26" s="37">
        <f>Riesgo_Proveedor_B!I14</f>
        <v>0</v>
      </c>
      <c r="C26" s="37">
        <f>Riesgo_Proveedor_B!I14</f>
        <v>0</v>
      </c>
      <c r="D26" s="37">
        <f>Riesgo_Proveedor_B!I14*2.5</f>
        <v>0</v>
      </c>
      <c r="E26" s="48">
        <f>MIN(B26:D26)</f>
        <v>0</v>
      </c>
      <c r="F26" s="37">
        <f t="shared" si="0"/>
        <v>0</v>
      </c>
    </row>
    <row r="27" spans="1:6" ht="15" customHeight="1" x14ac:dyDescent="0.3">
      <c r="A27" s="5" t="s">
        <v>181</v>
      </c>
      <c r="B27" s="9">
        <v>1.5</v>
      </c>
      <c r="C27" s="9">
        <v>1</v>
      </c>
      <c r="D27" s="9">
        <v>0.5</v>
      </c>
      <c r="E27" s="49">
        <f>MAX(B27:D27)</f>
        <v>1.5</v>
      </c>
      <c r="F27" s="23">
        <f t="shared" si="0"/>
        <v>1</v>
      </c>
    </row>
    <row r="29" spans="1:6" x14ac:dyDescent="0.3">
      <c r="A29" t="s">
        <v>330</v>
      </c>
      <c r="D29" t="s">
        <v>332</v>
      </c>
      <c r="E29">
        <v>1</v>
      </c>
    </row>
    <row r="30" spans="1:6" x14ac:dyDescent="0.3">
      <c r="A30" t="s">
        <v>331</v>
      </c>
      <c r="B30" t="s">
        <v>116</v>
      </c>
      <c r="C30" t="s">
        <v>178</v>
      </c>
    </row>
    <row r="31" spans="1:6" x14ac:dyDescent="0.3">
      <c r="B31">
        <f>Costos!F13</f>
        <v>1.3342668123057454E+24</v>
      </c>
      <c r="C31">
        <f>Cashflow_Integrado!B30</f>
        <v>1.3342668806294978E+24</v>
      </c>
    </row>
    <row r="32" spans="1:6" x14ac:dyDescent="0.3">
      <c r="A32">
        <v>0.9</v>
      </c>
      <c r="B32">
        <f t="dataTable" ref="B32:C34" dt2D="0" dtr="0" r1="E29"/>
        <v>6.3821402433492687E+23</v>
      </c>
      <c r="C32">
        <v>6.3821406468357528E+23</v>
      </c>
    </row>
    <row r="33" spans="1:3" x14ac:dyDescent="0.3">
      <c r="A33">
        <v>1</v>
      </c>
      <c r="B33">
        <v>1.3342668123057454E+24</v>
      </c>
      <c r="C33">
        <v>1.3342668806294978E+24</v>
      </c>
    </row>
    <row r="34" spans="1:3" x14ac:dyDescent="0.3">
      <c r="A34">
        <v>1.1000000000000001</v>
      </c>
      <c r="B34">
        <v>2.5999807439340891E+24</v>
      </c>
      <c r="C34">
        <v>2.5999808539609029E+24</v>
      </c>
    </row>
  </sheetData>
  <mergeCells count="3">
    <mergeCell ref="A1:F1"/>
    <mergeCell ref="A2:F2"/>
    <mergeCell ref="A20:F20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1"/>
  <sheetViews>
    <sheetView zoomScaleNormal="100" workbookViewId="0">
      <selection sqref="A1:XFD1048576"/>
    </sheetView>
  </sheetViews>
  <sheetFormatPr baseColWidth="10" defaultColWidth="8.6640625" defaultRowHeight="14.4" x14ac:dyDescent="0.3"/>
  <cols>
    <col min="1" max="1" width="25.88671875" bestFit="1" customWidth="1"/>
    <col min="2" max="2" width="11.109375" bestFit="1" customWidth="1"/>
    <col min="3" max="3" width="10.109375" bestFit="1" customWidth="1"/>
    <col min="4" max="4" width="10.21875" bestFit="1" customWidth="1"/>
    <col min="5" max="5" width="11.21875" bestFit="1" customWidth="1"/>
    <col min="6" max="6" width="13.21875" bestFit="1" customWidth="1"/>
    <col min="7" max="7" width="14.109375" bestFit="1" customWidth="1"/>
    <col min="8" max="8" width="6.77734375" bestFit="1" customWidth="1"/>
    <col min="9" max="9" width="14" bestFit="1" customWidth="1"/>
    <col min="10" max="10" width="8.109375" bestFit="1" customWidth="1"/>
  </cols>
  <sheetData>
    <row r="1" spans="1:10" ht="17.25" customHeight="1" x14ac:dyDescent="0.3">
      <c r="A1" s="76" t="s">
        <v>182</v>
      </c>
      <c r="B1" s="76"/>
      <c r="C1" s="76"/>
      <c r="D1" s="76"/>
      <c r="E1" s="76"/>
      <c r="F1" s="76"/>
      <c r="G1" s="76"/>
      <c r="H1" s="76"/>
      <c r="I1" s="76"/>
      <c r="J1" s="76"/>
    </row>
    <row r="2" spans="1:10" ht="15" customHeight="1" x14ac:dyDescent="0.3">
      <c r="A2" s="81" t="s">
        <v>183</v>
      </c>
      <c r="B2" s="81"/>
      <c r="C2" s="81"/>
      <c r="D2" s="81"/>
      <c r="E2" s="81"/>
      <c r="F2" s="81"/>
      <c r="G2" s="81"/>
      <c r="H2" s="81"/>
      <c r="I2" s="81"/>
      <c r="J2" s="81"/>
    </row>
    <row r="4" spans="1:10" ht="15" customHeight="1" x14ac:dyDescent="0.3">
      <c r="A4" s="78" t="s">
        <v>184</v>
      </c>
      <c r="B4" s="78"/>
      <c r="C4" s="78"/>
      <c r="D4" s="78"/>
      <c r="E4" s="78"/>
      <c r="F4" s="78"/>
      <c r="G4" s="78"/>
      <c r="H4" s="78"/>
      <c r="I4" s="78"/>
      <c r="J4" s="78"/>
    </row>
    <row r="5" spans="1:10" ht="15" customHeight="1" x14ac:dyDescent="0.3">
      <c r="A5" t="s">
        <v>185</v>
      </c>
      <c r="B5" s="50">
        <f>SUM(Compras_y_Lotes!F18:F25)</f>
        <v>0</v>
      </c>
    </row>
    <row r="7" spans="1:10" ht="15" customHeight="1" x14ac:dyDescent="0.3">
      <c r="A7" s="32" t="s">
        <v>186</v>
      </c>
      <c r="B7" s="32" t="s">
        <v>64</v>
      </c>
      <c r="C7" s="32" t="s">
        <v>66</v>
      </c>
      <c r="D7" s="32" t="s">
        <v>67</v>
      </c>
      <c r="E7" s="32" t="s">
        <v>187</v>
      </c>
      <c r="F7" s="32" t="s">
        <v>127</v>
      </c>
      <c r="G7" s="32" t="s">
        <v>65</v>
      </c>
      <c r="H7" s="32" t="s">
        <v>188</v>
      </c>
      <c r="I7" s="32" t="s">
        <v>189</v>
      </c>
      <c r="J7" s="32" t="s">
        <v>190</v>
      </c>
    </row>
    <row r="8" spans="1:10" ht="15" customHeight="1" x14ac:dyDescent="0.3">
      <c r="A8" s="9" t="s">
        <v>69</v>
      </c>
      <c r="B8" s="45">
        <f>_xlfn.XLOOKUP(A8,Inputs!$A$66:$A$68,Inputs!$B$66:$B$68)</f>
        <v>125</v>
      </c>
      <c r="C8" s="51">
        <f>IF(A8="B",IFERROR(VALUE(SUBSTITUTE(LEFT(Inputs!$D$67,FIND("%",Inputs!$D$67)-1),"%",""))/100,0),0)</f>
        <v>0</v>
      </c>
      <c r="D8" s="9">
        <f>IF(A8="B",Inputs!$E$67,0)</f>
        <v>0</v>
      </c>
      <c r="E8" s="37">
        <f>B8</f>
        <v>125</v>
      </c>
      <c r="F8" s="37">
        <f>B5*E8</f>
        <v>0</v>
      </c>
      <c r="G8" s="9" t="str">
        <f>_xlfn.XLOOKUP(A8,Inputs!$A$66:$A$68,Inputs!$C$66:$C$68)</f>
        <v>Inmediato (0Q)</v>
      </c>
      <c r="H8" s="9">
        <f>1-_xlfn.XLOOKUP(A8,Inputs!$A$66:$A$68,Inputs!$F$66:$F$68)</f>
        <v>0</v>
      </c>
      <c r="I8" s="37">
        <f>F8</f>
        <v>0</v>
      </c>
      <c r="J8" s="9">
        <v>0</v>
      </c>
    </row>
    <row r="9" spans="1:10" ht="15" customHeight="1" x14ac:dyDescent="0.3">
      <c r="A9" s="9" t="s">
        <v>73</v>
      </c>
      <c r="B9" s="45">
        <f>_xlfn.XLOOKUP(A9,Inputs!$A$66:$A$68,Inputs!$B$66:$B$68)</f>
        <v>100</v>
      </c>
      <c r="C9" s="51">
        <f>IF(A9="B",IFERROR(VALUE(SUBSTITUTE(LEFT(Inputs!$D$67,FIND("%",Inputs!$D$67)-1),"%",""))/100,0),0)</f>
        <v>0.16</v>
      </c>
      <c r="D9" s="9">
        <f>IF(A9="B",Inputs!$E$67,0)</f>
        <v>150</v>
      </c>
      <c r="E9" s="37">
        <f>IF(B5&gt;0,F9/B5,B9)</f>
        <v>100</v>
      </c>
      <c r="F9" s="37">
        <f>SUMPRODUCT(Compras_y_Lotes!F18:F25*(B9*(1-C9*(Compras_y_Lotes!F18:F25&gt;=D9))))</f>
        <v>0</v>
      </c>
      <c r="G9" s="9" t="str">
        <f>_xlfn.XLOOKUP(A9,Inputs!$A$66:$A$68,Inputs!$C$66:$C$68)</f>
        <v>+2 Quincenas</v>
      </c>
      <c r="H9" s="9">
        <f>1-_xlfn.XLOOKUP(A9,Inputs!$A$66:$A$68,Inputs!$F$66:$F$68)</f>
        <v>0.19999999999999996</v>
      </c>
      <c r="I9" s="37">
        <f>F9*1.05</f>
        <v>0</v>
      </c>
      <c r="J9" s="9">
        <v>0</v>
      </c>
    </row>
    <row r="10" spans="1:10" ht="15" customHeight="1" x14ac:dyDescent="0.3">
      <c r="A10" s="9" t="s">
        <v>77</v>
      </c>
      <c r="B10" s="45">
        <f>_xlfn.XLOOKUP(A10,Inputs!$A$66:$A$68,Inputs!$B$66:$B$68)</f>
        <v>140</v>
      </c>
      <c r="C10" s="51">
        <f>IF(A10="B",IFERROR(VALUE(SUBSTITUTE(LEFT(Inputs!$D$67,FIND("%",Inputs!$D$67)-1),"%",""))/100,0),0)</f>
        <v>0</v>
      </c>
      <c r="D10" s="9">
        <f>IF(A10="B",Inputs!$E$67,0)</f>
        <v>0</v>
      </c>
      <c r="E10" s="37">
        <f>B10</f>
        <v>140</v>
      </c>
      <c r="F10" s="37">
        <f>B5*E10</f>
        <v>0</v>
      </c>
      <c r="G10" s="9" t="str">
        <f>_xlfn.XLOOKUP(A10,Inputs!$A$66:$A$68,Inputs!$C$66:$C$68)</f>
        <v>+8 Quincenas</v>
      </c>
      <c r="H10" s="9">
        <f>1-_xlfn.XLOOKUP(A10,Inputs!$A$66:$A$68,Inputs!$F$66:$F$68)</f>
        <v>0</v>
      </c>
      <c r="I10" s="37">
        <f>F10*0.97</f>
        <v>0</v>
      </c>
      <c r="J10" s="9">
        <v>0</v>
      </c>
    </row>
    <row r="11" spans="1:10" ht="15" customHeight="1" x14ac:dyDescent="0.3">
      <c r="A11" s="1" t="s">
        <v>191</v>
      </c>
      <c r="B11" s="52" t="str">
        <f>INDEX(A8:A10,MATCH(MIN(I8:I10),I8:I10,0))</f>
        <v>A</v>
      </c>
    </row>
    <row r="14" spans="1:10" ht="15" customHeight="1" x14ac:dyDescent="0.3">
      <c r="A14" s="78" t="s">
        <v>192</v>
      </c>
      <c r="B14" s="78"/>
      <c r="C14" s="78"/>
      <c r="D14" s="78"/>
      <c r="E14" s="78"/>
      <c r="F14" s="78"/>
      <c r="G14" s="78"/>
      <c r="H14" s="78"/>
      <c r="I14" s="78"/>
      <c r="J14" s="78"/>
    </row>
    <row r="15" spans="1:10" ht="15" customHeight="1" x14ac:dyDescent="0.3">
      <c r="A15" t="s">
        <v>185</v>
      </c>
      <c r="B15" s="50">
        <f>SUM(Compras_y_Lotes!F26:F33)</f>
        <v>0</v>
      </c>
    </row>
    <row r="17" spans="1:10" ht="15" customHeight="1" x14ac:dyDescent="0.3">
      <c r="A17" s="8" t="s">
        <v>186</v>
      </c>
      <c r="B17" s="8" t="s">
        <v>64</v>
      </c>
      <c r="C17" s="8" t="s">
        <v>66</v>
      </c>
      <c r="D17" s="8" t="s">
        <v>67</v>
      </c>
      <c r="E17" s="8" t="s">
        <v>187</v>
      </c>
      <c r="F17" s="8" t="s">
        <v>127</v>
      </c>
      <c r="G17" s="8" t="s">
        <v>65</v>
      </c>
      <c r="H17" s="8" t="s">
        <v>188</v>
      </c>
      <c r="I17" s="8" t="s">
        <v>189</v>
      </c>
      <c r="J17" s="8" t="s">
        <v>190</v>
      </c>
    </row>
    <row r="18" spans="1:10" ht="15" customHeight="1" x14ac:dyDescent="0.3">
      <c r="A18" s="9" t="s">
        <v>69</v>
      </c>
      <c r="B18" s="45">
        <f>_xlfn.XLOOKUP(A18,Inputs!$A$74:$A$76,Inputs!$B$74:$B$76)</f>
        <v>330</v>
      </c>
      <c r="C18" s="51">
        <f>IF(A18="B",IFERROR(VALUE(SUBSTITUTE(LEFT(Inputs!$D$75,FIND("%",Inputs!$D$75)-1),"%",""))/100,0),0)</f>
        <v>0</v>
      </c>
      <c r="D18" s="9">
        <f>IF(A18="B",Inputs!$E$75,0)</f>
        <v>0</v>
      </c>
      <c r="E18" s="37">
        <f>B18</f>
        <v>330</v>
      </c>
      <c r="F18" s="37">
        <f>B15*E18</f>
        <v>0</v>
      </c>
      <c r="G18" s="9" t="str">
        <f>_xlfn.XLOOKUP(A18,Inputs!$A$74:$A$76,Inputs!$C$74:$C$76)</f>
        <v>Inmediato (0Q)</v>
      </c>
      <c r="H18" s="9">
        <f>1-_xlfn.XLOOKUP(A18,Inputs!$A$74:$A$76,Inputs!$F$74:$F$76)</f>
        <v>0</v>
      </c>
      <c r="I18" s="37">
        <f>F18</f>
        <v>0</v>
      </c>
      <c r="J18" s="9">
        <v>0</v>
      </c>
    </row>
    <row r="19" spans="1:10" ht="15" customHeight="1" x14ac:dyDescent="0.3">
      <c r="A19" s="9" t="s">
        <v>73</v>
      </c>
      <c r="B19" s="45">
        <f>_xlfn.XLOOKUP(A19,Inputs!$A$74:$A$76,Inputs!$B$74:$B$76)</f>
        <v>264</v>
      </c>
      <c r="C19" s="51">
        <f>IF(A19="B",IFERROR(VALUE(SUBSTITUTE(LEFT(Inputs!$D$75,FIND("%",Inputs!$D$75)-1),"%",""))/100,0),0)</f>
        <v>0.16</v>
      </c>
      <c r="D19" s="9">
        <f>IF(A19="B",Inputs!$E$75,0)</f>
        <v>80</v>
      </c>
      <c r="E19" s="37">
        <f>IF(B15&gt;0,F19/B15,B19)</f>
        <v>264</v>
      </c>
      <c r="F19" s="37">
        <f>SUMPRODUCT(Compras_y_Lotes!F26:F33*(B19*(1-C19*(Compras_y_Lotes!F26:F33&gt;=D19))))</f>
        <v>0</v>
      </c>
      <c r="G19" s="9" t="str">
        <f>_xlfn.XLOOKUP(A19,Inputs!$A$74:$A$76,Inputs!$C$74:$C$76)</f>
        <v>+2 Quincenas</v>
      </c>
      <c r="H19" s="9">
        <f>1-_xlfn.XLOOKUP(A19,Inputs!$A$74:$A$76,Inputs!$F$74:$F$76)</f>
        <v>0.19999999999999996</v>
      </c>
      <c r="I19" s="37">
        <f>F19*1.05</f>
        <v>0</v>
      </c>
      <c r="J19" s="9">
        <v>0</v>
      </c>
    </row>
    <row r="20" spans="1:10" ht="15" customHeight="1" x14ac:dyDescent="0.3">
      <c r="A20" s="9" t="s">
        <v>77</v>
      </c>
      <c r="B20" s="45">
        <f>_xlfn.XLOOKUP(A20,Inputs!$A$74:$A$76,Inputs!$B$74:$B$76)</f>
        <v>370</v>
      </c>
      <c r="C20" s="51">
        <f>IF(A20="B",IFERROR(VALUE(SUBSTITUTE(LEFT(Inputs!$D$75,FIND("%",Inputs!$D$75)-1),"%",""))/100,0),0)</f>
        <v>0</v>
      </c>
      <c r="D20" s="9">
        <f>IF(A20="B",Inputs!$E$75,0)</f>
        <v>0</v>
      </c>
      <c r="E20" s="37">
        <f>B20</f>
        <v>370</v>
      </c>
      <c r="F20" s="37">
        <f>B15*E20</f>
        <v>0</v>
      </c>
      <c r="G20" s="9" t="str">
        <f>_xlfn.XLOOKUP(A20,Inputs!$A$74:$A$76,Inputs!$C$74:$C$76)</f>
        <v>+8 Quincenas</v>
      </c>
      <c r="H20" s="9">
        <f>1-_xlfn.XLOOKUP(A20,Inputs!$A$74:$A$76,Inputs!$F$74:$F$76)</f>
        <v>0</v>
      </c>
      <c r="I20" s="37">
        <f>F20*0.97</f>
        <v>0</v>
      </c>
      <c r="J20" s="9">
        <v>0</v>
      </c>
    </row>
    <row r="21" spans="1:10" ht="15" customHeight="1" x14ac:dyDescent="0.3">
      <c r="A21" s="1" t="s">
        <v>191</v>
      </c>
      <c r="B21" s="53" t="str">
        <f>INDEX(A18:A20,MATCH(MIN(I18:I20),I18:I20,0))</f>
        <v>A</v>
      </c>
    </row>
  </sheetData>
  <mergeCells count="4">
    <mergeCell ref="A1:J1"/>
    <mergeCell ref="A2:J2"/>
    <mergeCell ref="A4:J4"/>
    <mergeCell ref="A14:J14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9"/>
  <sheetViews>
    <sheetView zoomScaleNormal="100" workbookViewId="0">
      <selection sqref="A1:XFD1048576"/>
    </sheetView>
  </sheetViews>
  <sheetFormatPr baseColWidth="10" defaultColWidth="8.6640625" defaultRowHeight="14.4" x14ac:dyDescent="0.3"/>
  <cols>
    <col min="1" max="1" width="25.21875" bestFit="1" customWidth="1"/>
    <col min="2" max="2" width="30" bestFit="1" customWidth="1"/>
  </cols>
  <sheetData>
    <row r="1" spans="1:8" ht="24.75" customHeight="1" x14ac:dyDescent="0.35">
      <c r="A1" s="87" t="s">
        <v>193</v>
      </c>
      <c r="B1" s="87"/>
      <c r="C1" s="87"/>
      <c r="D1" s="87"/>
      <c r="E1" s="87"/>
      <c r="F1" s="87"/>
      <c r="G1" s="87"/>
      <c r="H1" s="87"/>
    </row>
    <row r="3" spans="1:8" ht="15" customHeight="1" x14ac:dyDescent="0.3">
      <c r="A3" s="78" t="s">
        <v>194</v>
      </c>
      <c r="B3" s="78"/>
      <c r="C3" s="78"/>
      <c r="D3" s="78"/>
      <c r="E3" s="78"/>
      <c r="F3" s="78"/>
      <c r="G3" s="78"/>
      <c r="H3" s="78"/>
    </row>
    <row r="5" spans="1:8" ht="15" customHeight="1" x14ac:dyDescent="0.3">
      <c r="A5" s="54" t="s">
        <v>195</v>
      </c>
      <c r="B5" s="55">
        <f>Costos!F13</f>
        <v>1.3342668123057454E+24</v>
      </c>
    </row>
    <row r="6" spans="1:8" ht="15" customHeight="1" x14ac:dyDescent="0.3">
      <c r="A6" s="54" t="s">
        <v>196</v>
      </c>
      <c r="B6" s="55">
        <f>Cashflow_Compras!J9</f>
        <v>1.3342668806294978E+24</v>
      </c>
    </row>
    <row r="7" spans="1:8" ht="15" customHeight="1" x14ac:dyDescent="0.3">
      <c r="A7" s="54" t="s">
        <v>197</v>
      </c>
      <c r="B7" s="7">
        <f>SUM(Costos!C5:C12)</f>
        <v>6</v>
      </c>
      <c r="C7" s="2" t="s">
        <v>198</v>
      </c>
    </row>
    <row r="8" spans="1:8" ht="15" customHeight="1" x14ac:dyDescent="0.3">
      <c r="A8" s="54" t="s">
        <v>199</v>
      </c>
      <c r="B8" s="55">
        <f>MAX(Cashflow_Compras!B9:I9)</f>
        <v>1.3342668806294978E+24</v>
      </c>
    </row>
    <row r="9" spans="1:8" ht="15" customHeight="1" x14ac:dyDescent="0.3">
      <c r="A9" s="54"/>
    </row>
    <row r="10" spans="1:8" ht="15" customHeight="1" x14ac:dyDescent="0.3">
      <c r="A10" s="54" t="s">
        <v>200</v>
      </c>
      <c r="B10" s="56" t="s">
        <v>201</v>
      </c>
      <c r="C10" s="2" t="s">
        <v>202</v>
      </c>
    </row>
    <row r="11" spans="1:8" ht="15" customHeight="1" x14ac:dyDescent="0.3">
      <c r="A11" s="54" t="s">
        <v>203</v>
      </c>
      <c r="B11" s="56" t="s">
        <v>201</v>
      </c>
      <c r="C11" s="2" t="s">
        <v>202</v>
      </c>
    </row>
    <row r="14" spans="1:8" ht="15" customHeight="1" x14ac:dyDescent="0.3">
      <c r="A14" s="78" t="s">
        <v>204</v>
      </c>
      <c r="B14" s="78"/>
      <c r="C14" s="78"/>
      <c r="D14" s="78"/>
      <c r="E14" s="78"/>
      <c r="F14" s="78"/>
      <c r="G14" s="78"/>
      <c r="H14" s="78"/>
    </row>
    <row r="16" spans="1:8" ht="15" customHeight="1" x14ac:dyDescent="0.3">
      <c r="A16" s="54" t="s">
        <v>205</v>
      </c>
      <c r="B16" s="57" t="str">
        <f>Inputs!B58</f>
        <v>Ordering Cost</v>
      </c>
    </row>
    <row r="17" spans="1:6" ht="15" customHeight="1" x14ac:dyDescent="0.3">
      <c r="A17" s="54" t="s">
        <v>206</v>
      </c>
      <c r="B17" s="57" t="str">
        <f>Inputs!B69</f>
        <v>A</v>
      </c>
    </row>
    <row r="18" spans="1:6" ht="15" customHeight="1" x14ac:dyDescent="0.3">
      <c r="A18" s="54" t="s">
        <v>207</v>
      </c>
      <c r="B18" s="57" t="str">
        <f>Escenarios!B4</f>
        <v>Base</v>
      </c>
    </row>
    <row r="25" spans="1:6" ht="15" customHeight="1" x14ac:dyDescent="0.3">
      <c r="A25" s="88" t="s">
        <v>208</v>
      </c>
      <c r="B25" s="88"/>
      <c r="C25" s="88"/>
      <c r="D25" s="88"/>
      <c r="E25" s="88"/>
      <c r="F25" s="88"/>
    </row>
    <row r="27" spans="1:6" ht="15" customHeight="1" x14ac:dyDescent="0.3">
      <c r="A27" s="54" t="s">
        <v>209</v>
      </c>
      <c r="B27" s="58">
        <f>COUNTIF(Inventario_Dinamico!J55:J62,"&lt;0")</f>
        <v>2</v>
      </c>
      <c r="C27" s="2" t="s">
        <v>202</v>
      </c>
    </row>
    <row r="28" spans="1:6" ht="15" customHeight="1" x14ac:dyDescent="0.3">
      <c r="A28" s="54" t="s">
        <v>210</v>
      </c>
      <c r="B28" s="58" t="str">
        <f>IF(OR(Inputs!B58="B",Inputs!B69="B"),"SÍ - REVISAR","NO")</f>
        <v>NO</v>
      </c>
    </row>
    <row r="29" spans="1:6" ht="15" customHeight="1" x14ac:dyDescent="0.3">
      <c r="A29" s="54" t="s">
        <v>211</v>
      </c>
      <c r="B29" s="58" t="str">
        <f>IF(Cashflow_Integrado!B37&gt;100000,"SÍ - ALERTA","NO")</f>
        <v>NO</v>
      </c>
    </row>
  </sheetData>
  <mergeCells count="4">
    <mergeCell ref="A1:H1"/>
    <mergeCell ref="A3:H3"/>
    <mergeCell ref="A14:H14"/>
    <mergeCell ref="A25:F25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33"/>
  <sheetViews>
    <sheetView zoomScaleNormal="100" workbookViewId="0">
      <selection sqref="A1:XFD1048576"/>
    </sheetView>
  </sheetViews>
  <sheetFormatPr baseColWidth="10" defaultColWidth="8.6640625" defaultRowHeight="14.4" x14ac:dyDescent="0.3"/>
  <cols>
    <col min="1" max="1" width="30" bestFit="1" customWidth="1"/>
    <col min="2" max="2" width="17.21875" bestFit="1" customWidth="1"/>
    <col min="3" max="3" width="14.6640625" bestFit="1" customWidth="1"/>
    <col min="4" max="4" width="12" bestFit="1" customWidth="1"/>
    <col min="5" max="5" width="24.33203125" bestFit="1" customWidth="1"/>
    <col min="6" max="6" width="21.88671875" bestFit="1" customWidth="1"/>
    <col min="7" max="7" width="18.6640625" bestFit="1" customWidth="1"/>
    <col min="8" max="8" width="21.33203125" bestFit="1" customWidth="1"/>
    <col min="9" max="9" width="21.88671875" bestFit="1" customWidth="1"/>
  </cols>
  <sheetData>
    <row r="1" spans="1:10" ht="17.25" customHeight="1" x14ac:dyDescent="0.3">
      <c r="A1" s="90" t="s">
        <v>212</v>
      </c>
      <c r="B1" s="90"/>
      <c r="C1" s="90"/>
      <c r="D1" s="90"/>
      <c r="E1" s="90"/>
      <c r="F1" s="90"/>
      <c r="G1" s="90"/>
      <c r="H1" s="90"/>
      <c r="I1" s="90"/>
      <c r="J1" s="90"/>
    </row>
    <row r="2" spans="1:10" ht="15" customHeight="1" x14ac:dyDescent="0.3">
      <c r="A2" s="91" t="s">
        <v>213</v>
      </c>
      <c r="B2" s="91"/>
      <c r="C2" s="91"/>
      <c r="D2" s="91"/>
      <c r="E2" s="91"/>
      <c r="F2" s="91"/>
      <c r="G2" s="91"/>
      <c r="H2" s="91"/>
      <c r="I2" s="91"/>
      <c r="J2" s="91"/>
    </row>
    <row r="4" spans="1:10" ht="15" customHeight="1" x14ac:dyDescent="0.3">
      <c r="A4" s="78" t="s">
        <v>214</v>
      </c>
      <c r="B4" s="78"/>
      <c r="C4" s="78"/>
      <c r="D4" s="78"/>
    </row>
    <row r="6" spans="1:10" ht="15" customHeight="1" x14ac:dyDescent="0.3">
      <c r="A6" s="8" t="s">
        <v>140</v>
      </c>
      <c r="B6" s="8" t="s">
        <v>215</v>
      </c>
      <c r="C6" s="8" t="s">
        <v>18</v>
      </c>
    </row>
    <row r="7" spans="1:10" ht="15" customHeight="1" x14ac:dyDescent="0.3">
      <c r="A7" s="9" t="s">
        <v>216</v>
      </c>
      <c r="B7" s="59">
        <v>0.2</v>
      </c>
      <c r="C7" s="9" t="s">
        <v>217</v>
      </c>
    </row>
    <row r="8" spans="1:10" ht="15" customHeight="1" x14ac:dyDescent="0.3">
      <c r="A8" s="9" t="s">
        <v>218</v>
      </c>
      <c r="B8" s="35">
        <v>150</v>
      </c>
      <c r="C8" s="9" t="s">
        <v>219</v>
      </c>
    </row>
    <row r="9" spans="1:10" ht="15" customHeight="1" x14ac:dyDescent="0.3">
      <c r="A9" s="9" t="s">
        <v>220</v>
      </c>
      <c r="B9" s="35">
        <v>1</v>
      </c>
      <c r="C9" s="9" t="s">
        <v>221</v>
      </c>
    </row>
    <row r="12" spans="1:10" ht="15" customHeight="1" x14ac:dyDescent="0.3">
      <c r="A12" s="78" t="s">
        <v>222</v>
      </c>
      <c r="B12" s="78"/>
      <c r="C12" s="78"/>
      <c r="D12" s="78"/>
      <c r="E12" s="78"/>
      <c r="F12" s="78"/>
      <c r="G12" s="78"/>
      <c r="H12" s="78"/>
      <c r="I12" s="78"/>
      <c r="J12" s="78"/>
    </row>
    <row r="13" spans="1:10" ht="23.25" customHeight="1" x14ac:dyDescent="0.3">
      <c r="A13" s="32" t="s">
        <v>15</v>
      </c>
      <c r="B13" s="32" t="s">
        <v>223</v>
      </c>
      <c r="C13" s="32" t="s">
        <v>224</v>
      </c>
      <c r="D13" s="32" t="s">
        <v>225</v>
      </c>
      <c r="E13" s="32" t="s">
        <v>226</v>
      </c>
      <c r="F13" s="32" t="s">
        <v>227</v>
      </c>
      <c r="G13" s="32" t="s">
        <v>228</v>
      </c>
      <c r="H13" s="32" t="s">
        <v>229</v>
      </c>
      <c r="I13" s="32" t="s">
        <v>180</v>
      </c>
    </row>
    <row r="14" spans="1:10" ht="15" customHeight="1" x14ac:dyDescent="0.3">
      <c r="A14" s="9" t="s">
        <v>19</v>
      </c>
      <c r="B14" s="60" t="str">
        <f>Inputs!B69</f>
        <v>A</v>
      </c>
      <c r="C14" s="33">
        <f>SUM(Compras_y_Lotes!F18:F25)</f>
        <v>0</v>
      </c>
      <c r="D14" s="61">
        <f>IF(B14="B",$B$7,0)</f>
        <v>0</v>
      </c>
      <c r="E14" s="62">
        <f>C14*D14</f>
        <v>0</v>
      </c>
      <c r="F14" s="34">
        <f>E14*Inputs!B35</f>
        <v>0</v>
      </c>
      <c r="G14" s="63">
        <f>F14/Inputs!B23</f>
        <v>0</v>
      </c>
      <c r="H14" s="37">
        <f>G14*$B$8</f>
        <v>0</v>
      </c>
      <c r="I14" s="64">
        <f>H14</f>
        <v>0</v>
      </c>
    </row>
    <row r="15" spans="1:10" ht="15" customHeight="1" x14ac:dyDescent="0.3">
      <c r="A15" s="9" t="s">
        <v>22</v>
      </c>
      <c r="B15" s="60" t="str">
        <f>Inputs!B77</f>
        <v>A</v>
      </c>
      <c r="C15" s="33">
        <f>SUM(Compras_y_Lotes!F26:F33)</f>
        <v>0</v>
      </c>
      <c r="D15" s="61">
        <f>IF(B15="B",$B$7,0)</f>
        <v>0</v>
      </c>
      <c r="E15" s="62">
        <f>C15*D15</f>
        <v>0</v>
      </c>
      <c r="F15" s="34">
        <f>E15*Inputs!B36</f>
        <v>0</v>
      </c>
      <c r="G15" s="63">
        <f>F15/Inputs!B24</f>
        <v>0</v>
      </c>
      <c r="H15" s="37">
        <f>G15*$B$8</f>
        <v>0</v>
      </c>
      <c r="I15" s="64">
        <f>H15</f>
        <v>0</v>
      </c>
    </row>
    <row r="18" spans="1:8" ht="15" customHeight="1" x14ac:dyDescent="0.3">
      <c r="A18" s="78" t="s">
        <v>230</v>
      </c>
      <c r="B18" s="78"/>
      <c r="C18" s="78"/>
      <c r="D18" s="78"/>
      <c r="E18" s="78"/>
      <c r="F18" s="78"/>
      <c r="G18" s="78"/>
      <c r="H18" s="78"/>
    </row>
    <row r="19" spans="1:8" ht="15" customHeight="1" x14ac:dyDescent="0.3">
      <c r="A19" s="8" t="s">
        <v>15</v>
      </c>
      <c r="B19" s="8" t="s">
        <v>186</v>
      </c>
      <c r="C19" s="8" t="s">
        <v>127</v>
      </c>
      <c r="D19" s="8" t="s">
        <v>66</v>
      </c>
      <c r="E19" s="8" t="s">
        <v>231</v>
      </c>
      <c r="F19" s="8" t="s">
        <v>180</v>
      </c>
      <c r="G19" s="8" t="s">
        <v>232</v>
      </c>
      <c r="H19" s="8" t="s">
        <v>233</v>
      </c>
    </row>
    <row r="20" spans="1:8" ht="15" customHeight="1" x14ac:dyDescent="0.3">
      <c r="A20" s="9" t="s">
        <v>19</v>
      </c>
      <c r="B20" s="10" t="s">
        <v>69</v>
      </c>
      <c r="C20" s="37">
        <f>SUM(Compras_y_Lotes!I18:I25)</f>
        <v>0</v>
      </c>
      <c r="D20" s="51">
        <v>0</v>
      </c>
      <c r="E20" s="45">
        <v>0</v>
      </c>
      <c r="F20" s="45">
        <v>0</v>
      </c>
      <c r="G20" s="37">
        <f>C20+F20</f>
        <v>0</v>
      </c>
      <c r="H20" s="89"/>
    </row>
    <row r="21" spans="1:8" ht="15" customHeight="1" x14ac:dyDescent="0.3">
      <c r="A21" s="9"/>
      <c r="B21" s="10" t="s">
        <v>73</v>
      </c>
      <c r="C21" s="37">
        <f>IF(SUM(Compras_y_Lotes!F18:F25)&gt;=150,C20*(1-0.16),C20)</f>
        <v>0</v>
      </c>
      <c r="D21" s="51">
        <v>0.16</v>
      </c>
      <c r="E21" s="65">
        <f>C20-C21</f>
        <v>0</v>
      </c>
      <c r="F21" s="66">
        <f>I14</f>
        <v>0</v>
      </c>
      <c r="G21" s="37">
        <f>C21+F21</f>
        <v>0</v>
      </c>
      <c r="H21" s="89"/>
    </row>
    <row r="22" spans="1:8" ht="15" customHeight="1" x14ac:dyDescent="0.3">
      <c r="A22" s="9" t="s">
        <v>22</v>
      </c>
      <c r="B22" s="10" t="s">
        <v>69</v>
      </c>
      <c r="C22" s="37">
        <f>SUM(Compras_y_Lotes!I26:I33)</f>
        <v>0</v>
      </c>
      <c r="D22" s="51">
        <v>0</v>
      </c>
      <c r="E22" s="45">
        <v>0</v>
      </c>
      <c r="F22" s="45">
        <v>0</v>
      </c>
      <c r="G22" s="37">
        <f>C22+F22</f>
        <v>0</v>
      </c>
      <c r="H22" s="89"/>
    </row>
    <row r="23" spans="1:8" ht="15" customHeight="1" x14ac:dyDescent="0.3">
      <c r="A23" s="9"/>
      <c r="B23" s="10" t="s">
        <v>73</v>
      </c>
      <c r="C23" s="37">
        <f>IF(SUM(Compras_y_Lotes!F26:F33)&gt;=80,C22*(1-0.2),C22)</f>
        <v>0</v>
      </c>
      <c r="D23" s="51">
        <v>0.2</v>
      </c>
      <c r="E23" s="65">
        <f>C22-C23</f>
        <v>0</v>
      </c>
      <c r="F23" s="66">
        <f>I15</f>
        <v>0</v>
      </c>
      <c r="G23" s="37">
        <f>C23+F23</f>
        <v>0</v>
      </c>
      <c r="H23" s="89"/>
    </row>
    <row r="25" spans="1:8" x14ac:dyDescent="0.3">
      <c r="A25" t="s">
        <v>320</v>
      </c>
    </row>
    <row r="26" spans="1:8" x14ac:dyDescent="0.3">
      <c r="A26" t="s">
        <v>321</v>
      </c>
      <c r="B26">
        <f>Costos!F13</f>
        <v>1.3342668123057454E+24</v>
      </c>
    </row>
    <row r="27" spans="1:8" x14ac:dyDescent="0.3">
      <c r="A27" t="s">
        <v>322</v>
      </c>
      <c r="B27">
        <f>IF(B14="B",SUM(Compras_y_Lotes!F18:F25)*Inputs!B35/Inputs!B23*$B$8,0)</f>
        <v>0</v>
      </c>
    </row>
    <row r="28" spans="1:8" x14ac:dyDescent="0.3">
      <c r="A28" t="s">
        <v>323</v>
      </c>
      <c r="B28">
        <f>IF(B15="B",SUM(Compras_y_Lotes!F26:F33)*Inputs!B36/Inputs!B24*$B$8,0)</f>
        <v>0</v>
      </c>
    </row>
    <row r="29" spans="1:8" x14ac:dyDescent="0.3">
      <c r="A29" t="s">
        <v>324</v>
      </c>
    </row>
    <row r="30" spans="1:8" x14ac:dyDescent="0.3">
      <c r="A30" t="s">
        <v>325</v>
      </c>
      <c r="B30" t="s">
        <v>326</v>
      </c>
      <c r="C30" t="s">
        <v>327</v>
      </c>
      <c r="D30" t="s">
        <v>116</v>
      </c>
    </row>
    <row r="31" spans="1:8" x14ac:dyDescent="0.3">
      <c r="A31">
        <f>ROW()-30</f>
        <v>1</v>
      </c>
      <c r="B31">
        <f ca="1">IF($B$14="B",--(RAND()&lt;=$B$7),0)</f>
        <v>0</v>
      </c>
      <c r="C31">
        <f ca="1">IF($B$15="B",--(RAND()&lt;=$B$7),0)</f>
        <v>0</v>
      </c>
      <c r="D31">
        <f ca="1">$B$26+B31*$B$27+C31*$B$28</f>
        <v>1.3342668123057454E+24</v>
      </c>
    </row>
    <row r="32" spans="1:8" x14ac:dyDescent="0.3">
      <c r="A32">
        <f t="shared" ref="A32:A95" si="0">ROW()-30</f>
        <v>2</v>
      </c>
      <c r="B32">
        <f t="shared" ref="B32:B95" ca="1" si="1">IF($B$14="B",--(RAND()&lt;=$B$7),0)</f>
        <v>0</v>
      </c>
      <c r="C32">
        <f t="shared" ref="C32:C95" ca="1" si="2">IF($B$15="B",--(RAND()&lt;=$B$7),0)</f>
        <v>0</v>
      </c>
      <c r="D32">
        <f t="shared" ref="D32:D95" ca="1" si="3">$B$26+B32*$B$27+C32*$B$28</f>
        <v>1.3342668123057454E+24</v>
      </c>
    </row>
    <row r="33" spans="1:4" x14ac:dyDescent="0.3">
      <c r="A33">
        <f t="shared" si="0"/>
        <v>3</v>
      </c>
      <c r="B33">
        <f t="shared" ca="1" si="1"/>
        <v>0</v>
      </c>
      <c r="C33">
        <f t="shared" ca="1" si="2"/>
        <v>0</v>
      </c>
      <c r="D33">
        <f t="shared" ca="1" si="3"/>
        <v>1.3342668123057454E+24</v>
      </c>
    </row>
    <row r="34" spans="1:4" x14ac:dyDescent="0.3">
      <c r="A34">
        <f t="shared" si="0"/>
        <v>4</v>
      </c>
      <c r="B34">
        <f t="shared" ca="1" si="1"/>
        <v>0</v>
      </c>
      <c r="C34">
        <f t="shared" ca="1" si="2"/>
        <v>0</v>
      </c>
      <c r="D34">
        <f t="shared" ca="1" si="3"/>
        <v>1.3342668123057454E+24</v>
      </c>
    </row>
    <row r="35" spans="1:4" x14ac:dyDescent="0.3">
      <c r="A35">
        <f t="shared" si="0"/>
        <v>5</v>
      </c>
      <c r="B35">
        <f t="shared" ca="1" si="1"/>
        <v>0</v>
      </c>
      <c r="C35">
        <f t="shared" ca="1" si="2"/>
        <v>0</v>
      </c>
      <c r="D35">
        <f t="shared" ca="1" si="3"/>
        <v>1.3342668123057454E+24</v>
      </c>
    </row>
    <row r="36" spans="1:4" x14ac:dyDescent="0.3">
      <c r="A36">
        <f t="shared" si="0"/>
        <v>6</v>
      </c>
      <c r="B36">
        <f t="shared" ca="1" si="1"/>
        <v>0</v>
      </c>
      <c r="C36">
        <f t="shared" ca="1" si="2"/>
        <v>0</v>
      </c>
      <c r="D36">
        <f t="shared" ca="1" si="3"/>
        <v>1.3342668123057454E+24</v>
      </c>
    </row>
    <row r="37" spans="1:4" x14ac:dyDescent="0.3">
      <c r="A37">
        <f t="shared" si="0"/>
        <v>7</v>
      </c>
      <c r="B37">
        <f t="shared" ca="1" si="1"/>
        <v>0</v>
      </c>
      <c r="C37">
        <f t="shared" ca="1" si="2"/>
        <v>0</v>
      </c>
      <c r="D37">
        <f t="shared" ca="1" si="3"/>
        <v>1.3342668123057454E+24</v>
      </c>
    </row>
    <row r="38" spans="1:4" x14ac:dyDescent="0.3">
      <c r="A38">
        <f t="shared" si="0"/>
        <v>8</v>
      </c>
      <c r="B38">
        <f t="shared" ca="1" si="1"/>
        <v>0</v>
      </c>
      <c r="C38">
        <f t="shared" ca="1" si="2"/>
        <v>0</v>
      </c>
      <c r="D38">
        <f t="shared" ca="1" si="3"/>
        <v>1.3342668123057454E+24</v>
      </c>
    </row>
    <row r="39" spans="1:4" x14ac:dyDescent="0.3">
      <c r="A39">
        <f t="shared" si="0"/>
        <v>9</v>
      </c>
      <c r="B39">
        <f t="shared" ca="1" si="1"/>
        <v>0</v>
      </c>
      <c r="C39">
        <f t="shared" ca="1" si="2"/>
        <v>0</v>
      </c>
      <c r="D39">
        <f t="shared" ca="1" si="3"/>
        <v>1.3342668123057454E+24</v>
      </c>
    </row>
    <row r="40" spans="1:4" x14ac:dyDescent="0.3">
      <c r="A40">
        <f t="shared" si="0"/>
        <v>10</v>
      </c>
      <c r="B40">
        <f t="shared" ca="1" si="1"/>
        <v>0</v>
      </c>
      <c r="C40">
        <f t="shared" ca="1" si="2"/>
        <v>0</v>
      </c>
      <c r="D40">
        <f t="shared" ca="1" si="3"/>
        <v>1.3342668123057454E+24</v>
      </c>
    </row>
    <row r="41" spans="1:4" x14ac:dyDescent="0.3">
      <c r="A41">
        <f t="shared" si="0"/>
        <v>11</v>
      </c>
      <c r="B41">
        <f t="shared" ca="1" si="1"/>
        <v>0</v>
      </c>
      <c r="C41">
        <f t="shared" ca="1" si="2"/>
        <v>0</v>
      </c>
      <c r="D41">
        <f t="shared" ca="1" si="3"/>
        <v>1.3342668123057454E+24</v>
      </c>
    </row>
    <row r="42" spans="1:4" x14ac:dyDescent="0.3">
      <c r="A42">
        <f t="shared" si="0"/>
        <v>12</v>
      </c>
      <c r="B42">
        <f t="shared" ca="1" si="1"/>
        <v>0</v>
      </c>
      <c r="C42">
        <f t="shared" ca="1" si="2"/>
        <v>0</v>
      </c>
      <c r="D42">
        <f t="shared" ca="1" si="3"/>
        <v>1.3342668123057454E+24</v>
      </c>
    </row>
    <row r="43" spans="1:4" x14ac:dyDescent="0.3">
      <c r="A43">
        <f t="shared" si="0"/>
        <v>13</v>
      </c>
      <c r="B43">
        <f t="shared" ca="1" si="1"/>
        <v>0</v>
      </c>
      <c r="C43">
        <f t="shared" ca="1" si="2"/>
        <v>0</v>
      </c>
      <c r="D43">
        <f t="shared" ca="1" si="3"/>
        <v>1.3342668123057454E+24</v>
      </c>
    </row>
    <row r="44" spans="1:4" x14ac:dyDescent="0.3">
      <c r="A44">
        <f t="shared" si="0"/>
        <v>14</v>
      </c>
      <c r="B44">
        <f t="shared" ca="1" si="1"/>
        <v>0</v>
      </c>
      <c r="C44">
        <f t="shared" ca="1" si="2"/>
        <v>0</v>
      </c>
      <c r="D44">
        <f t="shared" ca="1" si="3"/>
        <v>1.3342668123057454E+24</v>
      </c>
    </row>
    <row r="45" spans="1:4" x14ac:dyDescent="0.3">
      <c r="A45">
        <f t="shared" si="0"/>
        <v>15</v>
      </c>
      <c r="B45">
        <f t="shared" ca="1" si="1"/>
        <v>0</v>
      </c>
      <c r="C45">
        <f t="shared" ca="1" si="2"/>
        <v>0</v>
      </c>
      <c r="D45">
        <f t="shared" ca="1" si="3"/>
        <v>1.3342668123057454E+24</v>
      </c>
    </row>
    <row r="46" spans="1:4" x14ac:dyDescent="0.3">
      <c r="A46">
        <f t="shared" si="0"/>
        <v>16</v>
      </c>
      <c r="B46">
        <f t="shared" ca="1" si="1"/>
        <v>0</v>
      </c>
      <c r="C46">
        <f t="shared" ca="1" si="2"/>
        <v>0</v>
      </c>
      <c r="D46">
        <f t="shared" ca="1" si="3"/>
        <v>1.3342668123057454E+24</v>
      </c>
    </row>
    <row r="47" spans="1:4" x14ac:dyDescent="0.3">
      <c r="A47">
        <f t="shared" si="0"/>
        <v>17</v>
      </c>
      <c r="B47">
        <f t="shared" ca="1" si="1"/>
        <v>0</v>
      </c>
      <c r="C47">
        <f t="shared" ca="1" si="2"/>
        <v>0</v>
      </c>
      <c r="D47">
        <f t="shared" ca="1" si="3"/>
        <v>1.3342668123057454E+24</v>
      </c>
    </row>
    <row r="48" spans="1:4" x14ac:dyDescent="0.3">
      <c r="A48">
        <f t="shared" si="0"/>
        <v>18</v>
      </c>
      <c r="B48">
        <f t="shared" ca="1" si="1"/>
        <v>0</v>
      </c>
      <c r="C48">
        <f t="shared" ca="1" si="2"/>
        <v>0</v>
      </c>
      <c r="D48">
        <f t="shared" ca="1" si="3"/>
        <v>1.3342668123057454E+24</v>
      </c>
    </row>
    <row r="49" spans="1:4" x14ac:dyDescent="0.3">
      <c r="A49">
        <f t="shared" si="0"/>
        <v>19</v>
      </c>
      <c r="B49">
        <f t="shared" ca="1" si="1"/>
        <v>0</v>
      </c>
      <c r="C49">
        <f t="shared" ca="1" si="2"/>
        <v>0</v>
      </c>
      <c r="D49">
        <f t="shared" ca="1" si="3"/>
        <v>1.3342668123057454E+24</v>
      </c>
    </row>
    <row r="50" spans="1:4" x14ac:dyDescent="0.3">
      <c r="A50">
        <f t="shared" si="0"/>
        <v>20</v>
      </c>
      <c r="B50">
        <f t="shared" ca="1" si="1"/>
        <v>0</v>
      </c>
      <c r="C50">
        <f t="shared" ca="1" si="2"/>
        <v>0</v>
      </c>
      <c r="D50">
        <f t="shared" ca="1" si="3"/>
        <v>1.3342668123057454E+24</v>
      </c>
    </row>
    <row r="51" spans="1:4" x14ac:dyDescent="0.3">
      <c r="A51">
        <f t="shared" si="0"/>
        <v>21</v>
      </c>
      <c r="B51">
        <f t="shared" ca="1" si="1"/>
        <v>0</v>
      </c>
      <c r="C51">
        <f t="shared" ca="1" si="2"/>
        <v>0</v>
      </c>
      <c r="D51">
        <f t="shared" ca="1" si="3"/>
        <v>1.3342668123057454E+24</v>
      </c>
    </row>
    <row r="52" spans="1:4" x14ac:dyDescent="0.3">
      <c r="A52">
        <f t="shared" si="0"/>
        <v>22</v>
      </c>
      <c r="B52">
        <f t="shared" ca="1" si="1"/>
        <v>0</v>
      </c>
      <c r="C52">
        <f t="shared" ca="1" si="2"/>
        <v>0</v>
      </c>
      <c r="D52">
        <f t="shared" ca="1" si="3"/>
        <v>1.3342668123057454E+24</v>
      </c>
    </row>
    <row r="53" spans="1:4" x14ac:dyDescent="0.3">
      <c r="A53">
        <f t="shared" si="0"/>
        <v>23</v>
      </c>
      <c r="B53">
        <f t="shared" ca="1" si="1"/>
        <v>0</v>
      </c>
      <c r="C53">
        <f t="shared" ca="1" si="2"/>
        <v>0</v>
      </c>
      <c r="D53">
        <f t="shared" ca="1" si="3"/>
        <v>1.3342668123057454E+24</v>
      </c>
    </row>
    <row r="54" spans="1:4" x14ac:dyDescent="0.3">
      <c r="A54">
        <f t="shared" si="0"/>
        <v>24</v>
      </c>
      <c r="B54">
        <f t="shared" ca="1" si="1"/>
        <v>0</v>
      </c>
      <c r="C54">
        <f t="shared" ca="1" si="2"/>
        <v>0</v>
      </c>
      <c r="D54">
        <f t="shared" ca="1" si="3"/>
        <v>1.3342668123057454E+24</v>
      </c>
    </row>
    <row r="55" spans="1:4" x14ac:dyDescent="0.3">
      <c r="A55">
        <f t="shared" si="0"/>
        <v>25</v>
      </c>
      <c r="B55">
        <f t="shared" ca="1" si="1"/>
        <v>0</v>
      </c>
      <c r="C55">
        <f t="shared" ca="1" si="2"/>
        <v>0</v>
      </c>
      <c r="D55">
        <f t="shared" ca="1" si="3"/>
        <v>1.3342668123057454E+24</v>
      </c>
    </row>
    <row r="56" spans="1:4" x14ac:dyDescent="0.3">
      <c r="A56">
        <f t="shared" si="0"/>
        <v>26</v>
      </c>
      <c r="B56">
        <f t="shared" ca="1" si="1"/>
        <v>0</v>
      </c>
      <c r="C56">
        <f t="shared" ca="1" si="2"/>
        <v>0</v>
      </c>
      <c r="D56">
        <f t="shared" ca="1" si="3"/>
        <v>1.3342668123057454E+24</v>
      </c>
    </row>
    <row r="57" spans="1:4" x14ac:dyDescent="0.3">
      <c r="A57">
        <f t="shared" si="0"/>
        <v>27</v>
      </c>
      <c r="B57">
        <f t="shared" ca="1" si="1"/>
        <v>0</v>
      </c>
      <c r="C57">
        <f t="shared" ca="1" si="2"/>
        <v>0</v>
      </c>
      <c r="D57">
        <f t="shared" ca="1" si="3"/>
        <v>1.3342668123057454E+24</v>
      </c>
    </row>
    <row r="58" spans="1:4" x14ac:dyDescent="0.3">
      <c r="A58">
        <f t="shared" si="0"/>
        <v>28</v>
      </c>
      <c r="B58">
        <f t="shared" ca="1" si="1"/>
        <v>0</v>
      </c>
      <c r="C58">
        <f t="shared" ca="1" si="2"/>
        <v>0</v>
      </c>
      <c r="D58">
        <f t="shared" ca="1" si="3"/>
        <v>1.3342668123057454E+24</v>
      </c>
    </row>
    <row r="59" spans="1:4" x14ac:dyDescent="0.3">
      <c r="A59">
        <f t="shared" si="0"/>
        <v>29</v>
      </c>
      <c r="B59">
        <f t="shared" ca="1" si="1"/>
        <v>0</v>
      </c>
      <c r="C59">
        <f t="shared" ca="1" si="2"/>
        <v>0</v>
      </c>
      <c r="D59">
        <f t="shared" ca="1" si="3"/>
        <v>1.3342668123057454E+24</v>
      </c>
    </row>
    <row r="60" spans="1:4" x14ac:dyDescent="0.3">
      <c r="A60">
        <f t="shared" si="0"/>
        <v>30</v>
      </c>
      <c r="B60">
        <f t="shared" ca="1" si="1"/>
        <v>0</v>
      </c>
      <c r="C60">
        <f t="shared" ca="1" si="2"/>
        <v>0</v>
      </c>
      <c r="D60">
        <f t="shared" ca="1" si="3"/>
        <v>1.3342668123057454E+24</v>
      </c>
    </row>
    <row r="61" spans="1:4" x14ac:dyDescent="0.3">
      <c r="A61">
        <f t="shared" si="0"/>
        <v>31</v>
      </c>
      <c r="B61">
        <f t="shared" ca="1" si="1"/>
        <v>0</v>
      </c>
      <c r="C61">
        <f t="shared" ca="1" si="2"/>
        <v>0</v>
      </c>
      <c r="D61">
        <f t="shared" ca="1" si="3"/>
        <v>1.3342668123057454E+24</v>
      </c>
    </row>
    <row r="62" spans="1:4" x14ac:dyDescent="0.3">
      <c r="A62">
        <f t="shared" si="0"/>
        <v>32</v>
      </c>
      <c r="B62">
        <f t="shared" ca="1" si="1"/>
        <v>0</v>
      </c>
      <c r="C62">
        <f t="shared" ca="1" si="2"/>
        <v>0</v>
      </c>
      <c r="D62">
        <f t="shared" ca="1" si="3"/>
        <v>1.3342668123057454E+24</v>
      </c>
    </row>
    <row r="63" spans="1:4" x14ac:dyDescent="0.3">
      <c r="A63">
        <f t="shared" si="0"/>
        <v>33</v>
      </c>
      <c r="B63">
        <f t="shared" ca="1" si="1"/>
        <v>0</v>
      </c>
      <c r="C63">
        <f t="shared" ca="1" si="2"/>
        <v>0</v>
      </c>
      <c r="D63">
        <f t="shared" ca="1" si="3"/>
        <v>1.3342668123057454E+24</v>
      </c>
    </row>
    <row r="64" spans="1:4" x14ac:dyDescent="0.3">
      <c r="A64">
        <f t="shared" si="0"/>
        <v>34</v>
      </c>
      <c r="B64">
        <f t="shared" ca="1" si="1"/>
        <v>0</v>
      </c>
      <c r="C64">
        <f t="shared" ca="1" si="2"/>
        <v>0</v>
      </c>
      <c r="D64">
        <f t="shared" ca="1" si="3"/>
        <v>1.3342668123057454E+24</v>
      </c>
    </row>
    <row r="65" spans="1:4" x14ac:dyDescent="0.3">
      <c r="A65">
        <f t="shared" si="0"/>
        <v>35</v>
      </c>
      <c r="B65">
        <f t="shared" ca="1" si="1"/>
        <v>0</v>
      </c>
      <c r="C65">
        <f t="shared" ca="1" si="2"/>
        <v>0</v>
      </c>
      <c r="D65">
        <f t="shared" ca="1" si="3"/>
        <v>1.3342668123057454E+24</v>
      </c>
    </row>
    <row r="66" spans="1:4" x14ac:dyDescent="0.3">
      <c r="A66">
        <f t="shared" si="0"/>
        <v>36</v>
      </c>
      <c r="B66">
        <f t="shared" ca="1" si="1"/>
        <v>0</v>
      </c>
      <c r="C66">
        <f t="shared" ca="1" si="2"/>
        <v>0</v>
      </c>
      <c r="D66">
        <f t="shared" ca="1" si="3"/>
        <v>1.3342668123057454E+24</v>
      </c>
    </row>
    <row r="67" spans="1:4" x14ac:dyDescent="0.3">
      <c r="A67">
        <f t="shared" si="0"/>
        <v>37</v>
      </c>
      <c r="B67">
        <f t="shared" ca="1" si="1"/>
        <v>0</v>
      </c>
      <c r="C67">
        <f t="shared" ca="1" si="2"/>
        <v>0</v>
      </c>
      <c r="D67">
        <f t="shared" ca="1" si="3"/>
        <v>1.3342668123057454E+24</v>
      </c>
    </row>
    <row r="68" spans="1:4" x14ac:dyDescent="0.3">
      <c r="A68">
        <f t="shared" si="0"/>
        <v>38</v>
      </c>
      <c r="B68">
        <f t="shared" ca="1" si="1"/>
        <v>0</v>
      </c>
      <c r="C68">
        <f t="shared" ca="1" si="2"/>
        <v>0</v>
      </c>
      <c r="D68">
        <f t="shared" ca="1" si="3"/>
        <v>1.3342668123057454E+24</v>
      </c>
    </row>
    <row r="69" spans="1:4" x14ac:dyDescent="0.3">
      <c r="A69">
        <f t="shared" si="0"/>
        <v>39</v>
      </c>
      <c r="B69">
        <f t="shared" ca="1" si="1"/>
        <v>0</v>
      </c>
      <c r="C69">
        <f t="shared" ca="1" si="2"/>
        <v>0</v>
      </c>
      <c r="D69">
        <f t="shared" ca="1" si="3"/>
        <v>1.3342668123057454E+24</v>
      </c>
    </row>
    <row r="70" spans="1:4" x14ac:dyDescent="0.3">
      <c r="A70">
        <f t="shared" si="0"/>
        <v>40</v>
      </c>
      <c r="B70">
        <f t="shared" ca="1" si="1"/>
        <v>0</v>
      </c>
      <c r="C70">
        <f t="shared" ca="1" si="2"/>
        <v>0</v>
      </c>
      <c r="D70">
        <f t="shared" ca="1" si="3"/>
        <v>1.3342668123057454E+24</v>
      </c>
    </row>
    <row r="71" spans="1:4" x14ac:dyDescent="0.3">
      <c r="A71">
        <f t="shared" si="0"/>
        <v>41</v>
      </c>
      <c r="B71">
        <f t="shared" ca="1" si="1"/>
        <v>0</v>
      </c>
      <c r="C71">
        <f t="shared" ca="1" si="2"/>
        <v>0</v>
      </c>
      <c r="D71">
        <f t="shared" ca="1" si="3"/>
        <v>1.3342668123057454E+24</v>
      </c>
    </row>
    <row r="72" spans="1:4" x14ac:dyDescent="0.3">
      <c r="A72">
        <f t="shared" si="0"/>
        <v>42</v>
      </c>
      <c r="B72">
        <f t="shared" ca="1" si="1"/>
        <v>0</v>
      </c>
      <c r="C72">
        <f t="shared" ca="1" si="2"/>
        <v>0</v>
      </c>
      <c r="D72">
        <f t="shared" ca="1" si="3"/>
        <v>1.3342668123057454E+24</v>
      </c>
    </row>
    <row r="73" spans="1:4" x14ac:dyDescent="0.3">
      <c r="A73">
        <f t="shared" si="0"/>
        <v>43</v>
      </c>
      <c r="B73">
        <f t="shared" ca="1" si="1"/>
        <v>0</v>
      </c>
      <c r="C73">
        <f t="shared" ca="1" si="2"/>
        <v>0</v>
      </c>
      <c r="D73">
        <f t="shared" ca="1" si="3"/>
        <v>1.3342668123057454E+24</v>
      </c>
    </row>
    <row r="74" spans="1:4" x14ac:dyDescent="0.3">
      <c r="A74">
        <f t="shared" si="0"/>
        <v>44</v>
      </c>
      <c r="B74">
        <f t="shared" ca="1" si="1"/>
        <v>0</v>
      </c>
      <c r="C74">
        <f t="shared" ca="1" si="2"/>
        <v>0</v>
      </c>
      <c r="D74">
        <f t="shared" ca="1" si="3"/>
        <v>1.3342668123057454E+24</v>
      </c>
    </row>
    <row r="75" spans="1:4" x14ac:dyDescent="0.3">
      <c r="A75">
        <f t="shared" si="0"/>
        <v>45</v>
      </c>
      <c r="B75">
        <f t="shared" ca="1" si="1"/>
        <v>0</v>
      </c>
      <c r="C75">
        <f t="shared" ca="1" si="2"/>
        <v>0</v>
      </c>
      <c r="D75">
        <f t="shared" ca="1" si="3"/>
        <v>1.3342668123057454E+24</v>
      </c>
    </row>
    <row r="76" spans="1:4" x14ac:dyDescent="0.3">
      <c r="A76">
        <f t="shared" si="0"/>
        <v>46</v>
      </c>
      <c r="B76">
        <f t="shared" ca="1" si="1"/>
        <v>0</v>
      </c>
      <c r="C76">
        <f t="shared" ca="1" si="2"/>
        <v>0</v>
      </c>
      <c r="D76">
        <f t="shared" ca="1" si="3"/>
        <v>1.3342668123057454E+24</v>
      </c>
    </row>
    <row r="77" spans="1:4" x14ac:dyDescent="0.3">
      <c r="A77">
        <f t="shared" si="0"/>
        <v>47</v>
      </c>
      <c r="B77">
        <f t="shared" ca="1" si="1"/>
        <v>0</v>
      </c>
      <c r="C77">
        <f t="shared" ca="1" si="2"/>
        <v>0</v>
      </c>
      <c r="D77">
        <f t="shared" ca="1" si="3"/>
        <v>1.3342668123057454E+24</v>
      </c>
    </row>
    <row r="78" spans="1:4" x14ac:dyDescent="0.3">
      <c r="A78">
        <f t="shared" si="0"/>
        <v>48</v>
      </c>
      <c r="B78">
        <f t="shared" ca="1" si="1"/>
        <v>0</v>
      </c>
      <c r="C78">
        <f t="shared" ca="1" si="2"/>
        <v>0</v>
      </c>
      <c r="D78">
        <f t="shared" ca="1" si="3"/>
        <v>1.3342668123057454E+24</v>
      </c>
    </row>
    <row r="79" spans="1:4" x14ac:dyDescent="0.3">
      <c r="A79">
        <f t="shared" si="0"/>
        <v>49</v>
      </c>
      <c r="B79">
        <f t="shared" ca="1" si="1"/>
        <v>0</v>
      </c>
      <c r="C79">
        <f t="shared" ca="1" si="2"/>
        <v>0</v>
      </c>
      <c r="D79">
        <f t="shared" ca="1" si="3"/>
        <v>1.3342668123057454E+24</v>
      </c>
    </row>
    <row r="80" spans="1:4" x14ac:dyDescent="0.3">
      <c r="A80">
        <f t="shared" si="0"/>
        <v>50</v>
      </c>
      <c r="B80">
        <f t="shared" ca="1" si="1"/>
        <v>0</v>
      </c>
      <c r="C80">
        <f t="shared" ca="1" si="2"/>
        <v>0</v>
      </c>
      <c r="D80">
        <f t="shared" ca="1" si="3"/>
        <v>1.3342668123057454E+24</v>
      </c>
    </row>
    <row r="81" spans="1:4" x14ac:dyDescent="0.3">
      <c r="A81">
        <f t="shared" si="0"/>
        <v>51</v>
      </c>
      <c r="B81">
        <f t="shared" ca="1" si="1"/>
        <v>0</v>
      </c>
      <c r="C81">
        <f t="shared" ca="1" si="2"/>
        <v>0</v>
      </c>
      <c r="D81">
        <f t="shared" ca="1" si="3"/>
        <v>1.3342668123057454E+24</v>
      </c>
    </row>
    <row r="82" spans="1:4" x14ac:dyDescent="0.3">
      <c r="A82">
        <f t="shared" si="0"/>
        <v>52</v>
      </c>
      <c r="B82">
        <f t="shared" ca="1" si="1"/>
        <v>0</v>
      </c>
      <c r="C82">
        <f t="shared" ca="1" si="2"/>
        <v>0</v>
      </c>
      <c r="D82">
        <f t="shared" ca="1" si="3"/>
        <v>1.3342668123057454E+24</v>
      </c>
    </row>
    <row r="83" spans="1:4" x14ac:dyDescent="0.3">
      <c r="A83">
        <f t="shared" si="0"/>
        <v>53</v>
      </c>
      <c r="B83">
        <f t="shared" ca="1" si="1"/>
        <v>0</v>
      </c>
      <c r="C83">
        <f t="shared" ca="1" si="2"/>
        <v>0</v>
      </c>
      <c r="D83">
        <f t="shared" ca="1" si="3"/>
        <v>1.3342668123057454E+24</v>
      </c>
    </row>
    <row r="84" spans="1:4" x14ac:dyDescent="0.3">
      <c r="A84">
        <f t="shared" si="0"/>
        <v>54</v>
      </c>
      <c r="B84">
        <f t="shared" ca="1" si="1"/>
        <v>0</v>
      </c>
      <c r="C84">
        <f t="shared" ca="1" si="2"/>
        <v>0</v>
      </c>
      <c r="D84">
        <f t="shared" ca="1" si="3"/>
        <v>1.3342668123057454E+24</v>
      </c>
    </row>
    <row r="85" spans="1:4" x14ac:dyDescent="0.3">
      <c r="A85">
        <f t="shared" si="0"/>
        <v>55</v>
      </c>
      <c r="B85">
        <f t="shared" ca="1" si="1"/>
        <v>0</v>
      </c>
      <c r="C85">
        <f t="shared" ca="1" si="2"/>
        <v>0</v>
      </c>
      <c r="D85">
        <f t="shared" ca="1" si="3"/>
        <v>1.3342668123057454E+24</v>
      </c>
    </row>
    <row r="86" spans="1:4" x14ac:dyDescent="0.3">
      <c r="A86">
        <f t="shared" si="0"/>
        <v>56</v>
      </c>
      <c r="B86">
        <f t="shared" ca="1" si="1"/>
        <v>0</v>
      </c>
      <c r="C86">
        <f t="shared" ca="1" si="2"/>
        <v>0</v>
      </c>
      <c r="D86">
        <f t="shared" ca="1" si="3"/>
        <v>1.3342668123057454E+24</v>
      </c>
    </row>
    <row r="87" spans="1:4" x14ac:dyDescent="0.3">
      <c r="A87">
        <f t="shared" si="0"/>
        <v>57</v>
      </c>
      <c r="B87">
        <f t="shared" ca="1" si="1"/>
        <v>0</v>
      </c>
      <c r="C87">
        <f t="shared" ca="1" si="2"/>
        <v>0</v>
      </c>
      <c r="D87">
        <f t="shared" ca="1" si="3"/>
        <v>1.3342668123057454E+24</v>
      </c>
    </row>
    <row r="88" spans="1:4" x14ac:dyDescent="0.3">
      <c r="A88">
        <f t="shared" si="0"/>
        <v>58</v>
      </c>
      <c r="B88">
        <f t="shared" ca="1" si="1"/>
        <v>0</v>
      </c>
      <c r="C88">
        <f t="shared" ca="1" si="2"/>
        <v>0</v>
      </c>
      <c r="D88">
        <f t="shared" ca="1" si="3"/>
        <v>1.3342668123057454E+24</v>
      </c>
    </row>
    <row r="89" spans="1:4" x14ac:dyDescent="0.3">
      <c r="A89">
        <f t="shared" si="0"/>
        <v>59</v>
      </c>
      <c r="B89">
        <f t="shared" ca="1" si="1"/>
        <v>0</v>
      </c>
      <c r="C89">
        <f t="shared" ca="1" si="2"/>
        <v>0</v>
      </c>
      <c r="D89">
        <f t="shared" ca="1" si="3"/>
        <v>1.3342668123057454E+24</v>
      </c>
    </row>
    <row r="90" spans="1:4" x14ac:dyDescent="0.3">
      <c r="A90">
        <f t="shared" si="0"/>
        <v>60</v>
      </c>
      <c r="B90">
        <f t="shared" ca="1" si="1"/>
        <v>0</v>
      </c>
      <c r="C90">
        <f t="shared" ca="1" si="2"/>
        <v>0</v>
      </c>
      <c r="D90">
        <f t="shared" ca="1" si="3"/>
        <v>1.3342668123057454E+24</v>
      </c>
    </row>
    <row r="91" spans="1:4" x14ac:dyDescent="0.3">
      <c r="A91">
        <f t="shared" si="0"/>
        <v>61</v>
      </c>
      <c r="B91">
        <f t="shared" ca="1" si="1"/>
        <v>0</v>
      </c>
      <c r="C91">
        <f t="shared" ca="1" si="2"/>
        <v>0</v>
      </c>
      <c r="D91">
        <f t="shared" ca="1" si="3"/>
        <v>1.3342668123057454E+24</v>
      </c>
    </row>
    <row r="92" spans="1:4" x14ac:dyDescent="0.3">
      <c r="A92">
        <f t="shared" si="0"/>
        <v>62</v>
      </c>
      <c r="B92">
        <f t="shared" ca="1" si="1"/>
        <v>0</v>
      </c>
      <c r="C92">
        <f t="shared" ca="1" si="2"/>
        <v>0</v>
      </c>
      <c r="D92">
        <f t="shared" ca="1" si="3"/>
        <v>1.3342668123057454E+24</v>
      </c>
    </row>
    <row r="93" spans="1:4" x14ac:dyDescent="0.3">
      <c r="A93">
        <f t="shared" si="0"/>
        <v>63</v>
      </c>
      <c r="B93">
        <f t="shared" ca="1" si="1"/>
        <v>0</v>
      </c>
      <c r="C93">
        <f t="shared" ca="1" si="2"/>
        <v>0</v>
      </c>
      <c r="D93">
        <f t="shared" ca="1" si="3"/>
        <v>1.3342668123057454E+24</v>
      </c>
    </row>
    <row r="94" spans="1:4" x14ac:dyDescent="0.3">
      <c r="A94">
        <f t="shared" si="0"/>
        <v>64</v>
      </c>
      <c r="B94">
        <f t="shared" ca="1" si="1"/>
        <v>0</v>
      </c>
      <c r="C94">
        <f t="shared" ca="1" si="2"/>
        <v>0</v>
      </c>
      <c r="D94">
        <f t="shared" ca="1" si="3"/>
        <v>1.3342668123057454E+24</v>
      </c>
    </row>
    <row r="95" spans="1:4" x14ac:dyDescent="0.3">
      <c r="A95">
        <f t="shared" si="0"/>
        <v>65</v>
      </c>
      <c r="B95">
        <f t="shared" ca="1" si="1"/>
        <v>0</v>
      </c>
      <c r="C95">
        <f t="shared" ca="1" si="2"/>
        <v>0</v>
      </c>
      <c r="D95">
        <f t="shared" ca="1" si="3"/>
        <v>1.3342668123057454E+24</v>
      </c>
    </row>
    <row r="96" spans="1:4" x14ac:dyDescent="0.3">
      <c r="A96">
        <f t="shared" ref="A96:A130" si="4">ROW()-30</f>
        <v>66</v>
      </c>
      <c r="B96">
        <f t="shared" ref="B96:B130" ca="1" si="5">IF($B$14="B",--(RAND()&lt;=$B$7),0)</f>
        <v>0</v>
      </c>
      <c r="C96">
        <f t="shared" ref="C96:C130" ca="1" si="6">IF($B$15="B",--(RAND()&lt;=$B$7),0)</f>
        <v>0</v>
      </c>
      <c r="D96">
        <f t="shared" ref="D96:D130" ca="1" si="7">$B$26+B96*$B$27+C96*$B$28</f>
        <v>1.3342668123057454E+24</v>
      </c>
    </row>
    <row r="97" spans="1:4" x14ac:dyDescent="0.3">
      <c r="A97">
        <f t="shared" si="4"/>
        <v>67</v>
      </c>
      <c r="B97">
        <f t="shared" ca="1" si="5"/>
        <v>0</v>
      </c>
      <c r="C97">
        <f t="shared" ca="1" si="6"/>
        <v>0</v>
      </c>
      <c r="D97">
        <f t="shared" ca="1" si="7"/>
        <v>1.3342668123057454E+24</v>
      </c>
    </row>
    <row r="98" spans="1:4" x14ac:dyDescent="0.3">
      <c r="A98">
        <f t="shared" si="4"/>
        <v>68</v>
      </c>
      <c r="B98">
        <f t="shared" ca="1" si="5"/>
        <v>0</v>
      </c>
      <c r="C98">
        <f t="shared" ca="1" si="6"/>
        <v>0</v>
      </c>
      <c r="D98">
        <f t="shared" ca="1" si="7"/>
        <v>1.3342668123057454E+24</v>
      </c>
    </row>
    <row r="99" spans="1:4" x14ac:dyDescent="0.3">
      <c r="A99">
        <f t="shared" si="4"/>
        <v>69</v>
      </c>
      <c r="B99">
        <f t="shared" ca="1" si="5"/>
        <v>0</v>
      </c>
      <c r="C99">
        <f t="shared" ca="1" si="6"/>
        <v>0</v>
      </c>
      <c r="D99">
        <f t="shared" ca="1" si="7"/>
        <v>1.3342668123057454E+24</v>
      </c>
    </row>
    <row r="100" spans="1:4" x14ac:dyDescent="0.3">
      <c r="A100">
        <f t="shared" si="4"/>
        <v>70</v>
      </c>
      <c r="B100">
        <f t="shared" ca="1" si="5"/>
        <v>0</v>
      </c>
      <c r="C100">
        <f t="shared" ca="1" si="6"/>
        <v>0</v>
      </c>
      <c r="D100">
        <f t="shared" ca="1" si="7"/>
        <v>1.3342668123057454E+24</v>
      </c>
    </row>
    <row r="101" spans="1:4" x14ac:dyDescent="0.3">
      <c r="A101">
        <f t="shared" si="4"/>
        <v>71</v>
      </c>
      <c r="B101">
        <f t="shared" ca="1" si="5"/>
        <v>0</v>
      </c>
      <c r="C101">
        <f t="shared" ca="1" si="6"/>
        <v>0</v>
      </c>
      <c r="D101">
        <f t="shared" ca="1" si="7"/>
        <v>1.3342668123057454E+24</v>
      </c>
    </row>
    <row r="102" spans="1:4" x14ac:dyDescent="0.3">
      <c r="A102">
        <f t="shared" si="4"/>
        <v>72</v>
      </c>
      <c r="B102">
        <f t="shared" ca="1" si="5"/>
        <v>0</v>
      </c>
      <c r="C102">
        <f t="shared" ca="1" si="6"/>
        <v>0</v>
      </c>
      <c r="D102">
        <f t="shared" ca="1" si="7"/>
        <v>1.3342668123057454E+24</v>
      </c>
    </row>
    <row r="103" spans="1:4" x14ac:dyDescent="0.3">
      <c r="A103">
        <f t="shared" si="4"/>
        <v>73</v>
      </c>
      <c r="B103">
        <f t="shared" ca="1" si="5"/>
        <v>0</v>
      </c>
      <c r="C103">
        <f t="shared" ca="1" si="6"/>
        <v>0</v>
      </c>
      <c r="D103">
        <f t="shared" ca="1" si="7"/>
        <v>1.3342668123057454E+24</v>
      </c>
    </row>
    <row r="104" spans="1:4" x14ac:dyDescent="0.3">
      <c r="A104">
        <f t="shared" si="4"/>
        <v>74</v>
      </c>
      <c r="B104">
        <f t="shared" ca="1" si="5"/>
        <v>0</v>
      </c>
      <c r="C104">
        <f t="shared" ca="1" si="6"/>
        <v>0</v>
      </c>
      <c r="D104">
        <f t="shared" ca="1" si="7"/>
        <v>1.3342668123057454E+24</v>
      </c>
    </row>
    <row r="105" spans="1:4" x14ac:dyDescent="0.3">
      <c r="A105">
        <f t="shared" si="4"/>
        <v>75</v>
      </c>
      <c r="B105">
        <f t="shared" ca="1" si="5"/>
        <v>0</v>
      </c>
      <c r="C105">
        <f t="shared" ca="1" si="6"/>
        <v>0</v>
      </c>
      <c r="D105">
        <f t="shared" ca="1" si="7"/>
        <v>1.3342668123057454E+24</v>
      </c>
    </row>
    <row r="106" spans="1:4" x14ac:dyDescent="0.3">
      <c r="A106">
        <f t="shared" si="4"/>
        <v>76</v>
      </c>
      <c r="B106">
        <f t="shared" ca="1" si="5"/>
        <v>0</v>
      </c>
      <c r="C106">
        <f t="shared" ca="1" si="6"/>
        <v>0</v>
      </c>
      <c r="D106">
        <f t="shared" ca="1" si="7"/>
        <v>1.3342668123057454E+24</v>
      </c>
    </row>
    <row r="107" spans="1:4" x14ac:dyDescent="0.3">
      <c r="A107">
        <f t="shared" si="4"/>
        <v>77</v>
      </c>
      <c r="B107">
        <f t="shared" ca="1" si="5"/>
        <v>0</v>
      </c>
      <c r="C107">
        <f t="shared" ca="1" si="6"/>
        <v>0</v>
      </c>
      <c r="D107">
        <f t="shared" ca="1" si="7"/>
        <v>1.3342668123057454E+24</v>
      </c>
    </row>
    <row r="108" spans="1:4" x14ac:dyDescent="0.3">
      <c r="A108">
        <f t="shared" si="4"/>
        <v>78</v>
      </c>
      <c r="B108">
        <f t="shared" ca="1" si="5"/>
        <v>0</v>
      </c>
      <c r="C108">
        <f t="shared" ca="1" si="6"/>
        <v>0</v>
      </c>
      <c r="D108">
        <f t="shared" ca="1" si="7"/>
        <v>1.3342668123057454E+24</v>
      </c>
    </row>
    <row r="109" spans="1:4" x14ac:dyDescent="0.3">
      <c r="A109">
        <f t="shared" si="4"/>
        <v>79</v>
      </c>
      <c r="B109">
        <f t="shared" ca="1" si="5"/>
        <v>0</v>
      </c>
      <c r="C109">
        <f t="shared" ca="1" si="6"/>
        <v>0</v>
      </c>
      <c r="D109">
        <f t="shared" ca="1" si="7"/>
        <v>1.3342668123057454E+24</v>
      </c>
    </row>
    <row r="110" spans="1:4" x14ac:dyDescent="0.3">
      <c r="A110">
        <f t="shared" si="4"/>
        <v>80</v>
      </c>
      <c r="B110">
        <f t="shared" ca="1" si="5"/>
        <v>0</v>
      </c>
      <c r="C110">
        <f t="shared" ca="1" si="6"/>
        <v>0</v>
      </c>
      <c r="D110">
        <f t="shared" ca="1" si="7"/>
        <v>1.3342668123057454E+24</v>
      </c>
    </row>
    <row r="111" spans="1:4" x14ac:dyDescent="0.3">
      <c r="A111">
        <f t="shared" si="4"/>
        <v>81</v>
      </c>
      <c r="B111">
        <f t="shared" ca="1" si="5"/>
        <v>0</v>
      </c>
      <c r="C111">
        <f t="shared" ca="1" si="6"/>
        <v>0</v>
      </c>
      <c r="D111">
        <f t="shared" ca="1" si="7"/>
        <v>1.3342668123057454E+24</v>
      </c>
    </row>
    <row r="112" spans="1:4" x14ac:dyDescent="0.3">
      <c r="A112">
        <f t="shared" si="4"/>
        <v>82</v>
      </c>
      <c r="B112">
        <f t="shared" ca="1" si="5"/>
        <v>0</v>
      </c>
      <c r="C112">
        <f t="shared" ca="1" si="6"/>
        <v>0</v>
      </c>
      <c r="D112">
        <f t="shared" ca="1" si="7"/>
        <v>1.3342668123057454E+24</v>
      </c>
    </row>
    <row r="113" spans="1:4" x14ac:dyDescent="0.3">
      <c r="A113">
        <f t="shared" si="4"/>
        <v>83</v>
      </c>
      <c r="B113">
        <f t="shared" ca="1" si="5"/>
        <v>0</v>
      </c>
      <c r="C113">
        <f t="shared" ca="1" si="6"/>
        <v>0</v>
      </c>
      <c r="D113">
        <f t="shared" ca="1" si="7"/>
        <v>1.3342668123057454E+24</v>
      </c>
    </row>
    <row r="114" spans="1:4" x14ac:dyDescent="0.3">
      <c r="A114">
        <f t="shared" si="4"/>
        <v>84</v>
      </c>
      <c r="B114">
        <f t="shared" ca="1" si="5"/>
        <v>0</v>
      </c>
      <c r="C114">
        <f t="shared" ca="1" si="6"/>
        <v>0</v>
      </c>
      <c r="D114">
        <f t="shared" ca="1" si="7"/>
        <v>1.3342668123057454E+24</v>
      </c>
    </row>
    <row r="115" spans="1:4" x14ac:dyDescent="0.3">
      <c r="A115">
        <f t="shared" si="4"/>
        <v>85</v>
      </c>
      <c r="B115">
        <f t="shared" ca="1" si="5"/>
        <v>0</v>
      </c>
      <c r="C115">
        <f t="shared" ca="1" si="6"/>
        <v>0</v>
      </c>
      <c r="D115">
        <f t="shared" ca="1" si="7"/>
        <v>1.3342668123057454E+24</v>
      </c>
    </row>
    <row r="116" spans="1:4" x14ac:dyDescent="0.3">
      <c r="A116">
        <f t="shared" si="4"/>
        <v>86</v>
      </c>
      <c r="B116">
        <f t="shared" ca="1" si="5"/>
        <v>0</v>
      </c>
      <c r="C116">
        <f t="shared" ca="1" si="6"/>
        <v>0</v>
      </c>
      <c r="D116">
        <f t="shared" ca="1" si="7"/>
        <v>1.3342668123057454E+24</v>
      </c>
    </row>
    <row r="117" spans="1:4" x14ac:dyDescent="0.3">
      <c r="A117">
        <f t="shared" si="4"/>
        <v>87</v>
      </c>
      <c r="B117">
        <f t="shared" ca="1" si="5"/>
        <v>0</v>
      </c>
      <c r="C117">
        <f t="shared" ca="1" si="6"/>
        <v>0</v>
      </c>
      <c r="D117">
        <f t="shared" ca="1" si="7"/>
        <v>1.3342668123057454E+24</v>
      </c>
    </row>
    <row r="118" spans="1:4" x14ac:dyDescent="0.3">
      <c r="A118">
        <f t="shared" si="4"/>
        <v>88</v>
      </c>
      <c r="B118">
        <f t="shared" ca="1" si="5"/>
        <v>0</v>
      </c>
      <c r="C118">
        <f t="shared" ca="1" si="6"/>
        <v>0</v>
      </c>
      <c r="D118">
        <f t="shared" ca="1" si="7"/>
        <v>1.3342668123057454E+24</v>
      </c>
    </row>
    <row r="119" spans="1:4" x14ac:dyDescent="0.3">
      <c r="A119">
        <f t="shared" si="4"/>
        <v>89</v>
      </c>
      <c r="B119">
        <f t="shared" ca="1" si="5"/>
        <v>0</v>
      </c>
      <c r="C119">
        <f t="shared" ca="1" si="6"/>
        <v>0</v>
      </c>
      <c r="D119">
        <f t="shared" ca="1" si="7"/>
        <v>1.3342668123057454E+24</v>
      </c>
    </row>
    <row r="120" spans="1:4" x14ac:dyDescent="0.3">
      <c r="A120">
        <f t="shared" si="4"/>
        <v>90</v>
      </c>
      <c r="B120">
        <f t="shared" ca="1" si="5"/>
        <v>0</v>
      </c>
      <c r="C120">
        <f t="shared" ca="1" si="6"/>
        <v>0</v>
      </c>
      <c r="D120">
        <f t="shared" ca="1" si="7"/>
        <v>1.3342668123057454E+24</v>
      </c>
    </row>
    <row r="121" spans="1:4" x14ac:dyDescent="0.3">
      <c r="A121">
        <f t="shared" si="4"/>
        <v>91</v>
      </c>
      <c r="B121">
        <f t="shared" ca="1" si="5"/>
        <v>0</v>
      </c>
      <c r="C121">
        <f t="shared" ca="1" si="6"/>
        <v>0</v>
      </c>
      <c r="D121">
        <f t="shared" ca="1" si="7"/>
        <v>1.3342668123057454E+24</v>
      </c>
    </row>
    <row r="122" spans="1:4" x14ac:dyDescent="0.3">
      <c r="A122">
        <f t="shared" si="4"/>
        <v>92</v>
      </c>
      <c r="B122">
        <f t="shared" ca="1" si="5"/>
        <v>0</v>
      </c>
      <c r="C122">
        <f t="shared" ca="1" si="6"/>
        <v>0</v>
      </c>
      <c r="D122">
        <f t="shared" ca="1" si="7"/>
        <v>1.3342668123057454E+24</v>
      </c>
    </row>
    <row r="123" spans="1:4" x14ac:dyDescent="0.3">
      <c r="A123">
        <f t="shared" si="4"/>
        <v>93</v>
      </c>
      <c r="B123">
        <f t="shared" ca="1" si="5"/>
        <v>0</v>
      </c>
      <c r="C123">
        <f t="shared" ca="1" si="6"/>
        <v>0</v>
      </c>
      <c r="D123">
        <f t="shared" ca="1" si="7"/>
        <v>1.3342668123057454E+24</v>
      </c>
    </row>
    <row r="124" spans="1:4" x14ac:dyDescent="0.3">
      <c r="A124">
        <f t="shared" si="4"/>
        <v>94</v>
      </c>
      <c r="B124">
        <f t="shared" ca="1" si="5"/>
        <v>0</v>
      </c>
      <c r="C124">
        <f t="shared" ca="1" si="6"/>
        <v>0</v>
      </c>
      <c r="D124">
        <f t="shared" ca="1" si="7"/>
        <v>1.3342668123057454E+24</v>
      </c>
    </row>
    <row r="125" spans="1:4" x14ac:dyDescent="0.3">
      <c r="A125">
        <f t="shared" si="4"/>
        <v>95</v>
      </c>
      <c r="B125">
        <f t="shared" ca="1" si="5"/>
        <v>0</v>
      </c>
      <c r="C125">
        <f t="shared" ca="1" si="6"/>
        <v>0</v>
      </c>
      <c r="D125">
        <f t="shared" ca="1" si="7"/>
        <v>1.3342668123057454E+24</v>
      </c>
    </row>
    <row r="126" spans="1:4" x14ac:dyDescent="0.3">
      <c r="A126">
        <f t="shared" si="4"/>
        <v>96</v>
      </c>
      <c r="B126">
        <f t="shared" ca="1" si="5"/>
        <v>0</v>
      </c>
      <c r="C126">
        <f t="shared" ca="1" si="6"/>
        <v>0</v>
      </c>
      <c r="D126">
        <f t="shared" ca="1" si="7"/>
        <v>1.3342668123057454E+24</v>
      </c>
    </row>
    <row r="127" spans="1:4" x14ac:dyDescent="0.3">
      <c r="A127">
        <f t="shared" si="4"/>
        <v>97</v>
      </c>
      <c r="B127">
        <f t="shared" ca="1" si="5"/>
        <v>0</v>
      </c>
      <c r="C127">
        <f t="shared" ca="1" si="6"/>
        <v>0</v>
      </c>
      <c r="D127">
        <f t="shared" ca="1" si="7"/>
        <v>1.3342668123057454E+24</v>
      </c>
    </row>
    <row r="128" spans="1:4" x14ac:dyDescent="0.3">
      <c r="A128">
        <f t="shared" si="4"/>
        <v>98</v>
      </c>
      <c r="B128">
        <f t="shared" ca="1" si="5"/>
        <v>0</v>
      </c>
      <c r="C128">
        <f t="shared" ca="1" si="6"/>
        <v>0</v>
      </c>
      <c r="D128">
        <f t="shared" ca="1" si="7"/>
        <v>1.3342668123057454E+24</v>
      </c>
    </row>
    <row r="129" spans="1:4" x14ac:dyDescent="0.3">
      <c r="A129">
        <f t="shared" si="4"/>
        <v>99</v>
      </c>
      <c r="B129">
        <f t="shared" ca="1" si="5"/>
        <v>0</v>
      </c>
      <c r="C129">
        <f t="shared" ca="1" si="6"/>
        <v>0</v>
      </c>
      <c r="D129">
        <f t="shared" ca="1" si="7"/>
        <v>1.3342668123057454E+24</v>
      </c>
    </row>
    <row r="130" spans="1:4" x14ac:dyDescent="0.3">
      <c r="A130">
        <f t="shared" si="4"/>
        <v>100</v>
      </c>
      <c r="B130">
        <f t="shared" ca="1" si="5"/>
        <v>0</v>
      </c>
      <c r="C130">
        <f t="shared" ca="1" si="6"/>
        <v>0</v>
      </c>
      <c r="D130">
        <f t="shared" ca="1" si="7"/>
        <v>1.3342668123057454E+24</v>
      </c>
    </row>
    <row r="132" spans="1:4" x14ac:dyDescent="0.3">
      <c r="A132" t="s">
        <v>328</v>
      </c>
      <c r="D132">
        <f ca="1">AVERAGE(D31:D130)</f>
        <v>1.334266812305747E+24</v>
      </c>
    </row>
    <row r="133" spans="1:4" x14ac:dyDescent="0.3">
      <c r="A133" t="s">
        <v>329</v>
      </c>
      <c r="D133">
        <f ca="1">_xlfn.PERCENTILE.INC(D31:D130,0.9)</f>
        <v>1.3342668123057454E+24</v>
      </c>
    </row>
  </sheetData>
  <mergeCells count="7">
    <mergeCell ref="H20:H21"/>
    <mergeCell ref="H22:H23"/>
    <mergeCell ref="A1:J1"/>
    <mergeCell ref="A2:J2"/>
    <mergeCell ref="A4:D4"/>
    <mergeCell ref="A12:J12"/>
    <mergeCell ref="A18:H18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3"/>
  <sheetViews>
    <sheetView zoomScaleNormal="100" workbookViewId="0">
      <selection sqref="A1:XFD1048576"/>
    </sheetView>
  </sheetViews>
  <sheetFormatPr baseColWidth="10" defaultColWidth="8.6640625" defaultRowHeight="14.4" x14ac:dyDescent="0.3"/>
  <cols>
    <col min="1" max="1" width="33.5546875" bestFit="1" customWidth="1"/>
    <col min="2" max="2" width="36.77734375" bestFit="1" customWidth="1"/>
    <col min="3" max="3" width="17.5546875" bestFit="1" customWidth="1"/>
    <col min="4" max="4" width="16.44140625" bestFit="1" customWidth="1"/>
    <col min="5" max="5" width="20.5546875" bestFit="1" customWidth="1"/>
    <col min="6" max="6" width="24.77734375" bestFit="1" customWidth="1"/>
    <col min="7" max="9" width="26" bestFit="1" customWidth="1"/>
    <col min="10" max="10" width="36.77734375" bestFit="1" customWidth="1"/>
  </cols>
  <sheetData>
    <row r="1" spans="1:11" ht="17.25" customHeight="1" x14ac:dyDescent="0.3">
      <c r="A1" s="76" t="s">
        <v>234</v>
      </c>
      <c r="B1" s="76"/>
      <c r="C1" s="76"/>
      <c r="D1" s="76"/>
      <c r="E1" s="76"/>
      <c r="F1" s="76"/>
      <c r="G1" s="76"/>
      <c r="H1" s="76"/>
      <c r="I1" s="76"/>
      <c r="J1" s="76"/>
      <c r="K1" s="76"/>
    </row>
    <row r="2" spans="1:11" ht="15" customHeight="1" x14ac:dyDescent="0.3">
      <c r="A2" s="77" t="s">
        <v>235</v>
      </c>
      <c r="B2" s="77"/>
      <c r="C2" s="77"/>
      <c r="D2" s="77"/>
      <c r="E2" s="77"/>
      <c r="F2" s="77"/>
      <c r="G2" s="77"/>
      <c r="H2" s="77"/>
      <c r="I2" s="77"/>
      <c r="J2" s="77"/>
      <c r="K2" s="77"/>
    </row>
    <row r="4" spans="1:11" ht="15" customHeight="1" x14ac:dyDescent="0.3">
      <c r="A4" s="78" t="s">
        <v>236</v>
      </c>
      <c r="B4" s="78"/>
      <c r="C4" s="78"/>
      <c r="D4" s="78"/>
      <c r="E4" s="78"/>
      <c r="F4" s="78"/>
      <c r="G4" s="78"/>
      <c r="H4" s="78"/>
      <c r="I4" s="78"/>
      <c r="J4" s="78"/>
    </row>
    <row r="5" spans="1:11" ht="15" customHeight="1" x14ac:dyDescent="0.3">
      <c r="A5" s="24" t="s">
        <v>100</v>
      </c>
      <c r="B5" s="24" t="s">
        <v>4</v>
      </c>
      <c r="C5" s="24" t="s">
        <v>5</v>
      </c>
      <c r="D5" s="24" t="s">
        <v>6</v>
      </c>
      <c r="E5" s="24" t="s">
        <v>7</v>
      </c>
      <c r="F5" s="24" t="s">
        <v>8</v>
      </c>
      <c r="G5" s="24" t="s">
        <v>9</v>
      </c>
      <c r="H5" s="24" t="s">
        <v>10</v>
      </c>
      <c r="I5" s="24" t="s">
        <v>11</v>
      </c>
      <c r="J5" s="24" t="s">
        <v>12</v>
      </c>
    </row>
    <row r="6" spans="1:11" ht="15" customHeight="1" x14ac:dyDescent="0.3">
      <c r="A6" s="5" t="s">
        <v>134</v>
      </c>
      <c r="B6" s="36">
        <f>Compras_y_Lotes!H13</f>
        <v>1.3342668806294978E+24</v>
      </c>
      <c r="C6" s="45">
        <v>0</v>
      </c>
      <c r="D6" s="45">
        <v>0</v>
      </c>
      <c r="E6" s="45">
        <v>0</v>
      </c>
      <c r="F6" s="45">
        <v>0</v>
      </c>
      <c r="G6" s="45">
        <v>0</v>
      </c>
      <c r="H6" s="45">
        <v>0</v>
      </c>
      <c r="I6" s="45">
        <v>0</v>
      </c>
      <c r="J6" s="37">
        <f>B6</f>
        <v>1.3342668806294978E+24</v>
      </c>
    </row>
    <row r="7" spans="1:11" ht="15" customHeight="1" x14ac:dyDescent="0.3">
      <c r="A7" s="9" t="s">
        <v>237</v>
      </c>
      <c r="B7" s="36">
        <f>SUMIFS(Compras_y_Lotes!$I$18:$I$25,Compras_y_Lotes!$K$18:$K$25,B$5)</f>
        <v>0</v>
      </c>
      <c r="C7" s="36">
        <f>SUMIFS(Compras_y_Lotes!$I$18:$I$25,Compras_y_Lotes!$K$18:$K$25,C$5)</f>
        <v>0</v>
      </c>
      <c r="D7" s="36">
        <f>SUMIFS(Compras_y_Lotes!$I$18:$I$25,Compras_y_Lotes!$K$18:$K$25,D$5)</f>
        <v>0</v>
      </c>
      <c r="E7" s="36">
        <f>SUMIFS(Compras_y_Lotes!$I$18:$I$25,Compras_y_Lotes!$K$18:$K$25,E$5)</f>
        <v>0</v>
      </c>
      <c r="F7" s="36">
        <f>SUMIFS(Compras_y_Lotes!$I$18:$I$25,Compras_y_Lotes!$K$18:$K$25,F$5)</f>
        <v>0</v>
      </c>
      <c r="G7" s="36">
        <f>SUMIFS(Compras_y_Lotes!$I$18:$I$25,Compras_y_Lotes!$K$18:$K$25,G$5)</f>
        <v>0</v>
      </c>
      <c r="H7" s="36">
        <f>SUMIFS(Compras_y_Lotes!$I$18:$I$25,Compras_y_Lotes!$K$18:$K$25,H$5)</f>
        <v>0</v>
      </c>
      <c r="I7" s="36">
        <f>SUMIFS(Compras_y_Lotes!$I$18:$I$25,Compras_y_Lotes!$K$18:$K$25,I$5)</f>
        <v>0</v>
      </c>
      <c r="J7" s="37">
        <f>SUM(B7:I7)</f>
        <v>0</v>
      </c>
    </row>
    <row r="8" spans="1:11" ht="15" customHeight="1" x14ac:dyDescent="0.3">
      <c r="A8" s="9" t="s">
        <v>238</v>
      </c>
      <c r="B8" s="36">
        <f>SUMIFS(Compras_y_Lotes!$I$26:$I$33,Compras_y_Lotes!$K$26:$K$33,B$5)</f>
        <v>0</v>
      </c>
      <c r="C8" s="36">
        <f>SUMIFS(Compras_y_Lotes!$I$26:$I$33,Compras_y_Lotes!$K$26:$K$33,C$5)</f>
        <v>0</v>
      </c>
      <c r="D8" s="36">
        <f>SUMIFS(Compras_y_Lotes!$I$26:$I$33,Compras_y_Lotes!$K$26:$K$33,D$5)</f>
        <v>0</v>
      </c>
      <c r="E8" s="36">
        <f>SUMIFS(Compras_y_Lotes!$I$26:$I$33,Compras_y_Lotes!$K$26:$K$33,E$5)</f>
        <v>0</v>
      </c>
      <c r="F8" s="36">
        <f>SUMIFS(Compras_y_Lotes!$I$26:$I$33,Compras_y_Lotes!$K$26:$K$33,F$5)</f>
        <v>0</v>
      </c>
      <c r="G8" s="36">
        <f>SUMIFS(Compras_y_Lotes!$I$26:$I$33,Compras_y_Lotes!$K$26:$K$33,G$5)</f>
        <v>0</v>
      </c>
      <c r="H8" s="36">
        <f>SUMIFS(Compras_y_Lotes!$I$26:$I$33,Compras_y_Lotes!$K$26:$K$33,H$5)</f>
        <v>0</v>
      </c>
      <c r="I8" s="36">
        <f>SUMIFS(Compras_y_Lotes!$I$26:$I$33,Compras_y_Lotes!$K$26:$K$33,I$5)</f>
        <v>0</v>
      </c>
      <c r="J8" s="37">
        <f>SUM(B8:I8)</f>
        <v>0</v>
      </c>
    </row>
    <row r="9" spans="1:11" ht="15" customHeight="1" x14ac:dyDescent="0.3">
      <c r="A9" s="5" t="s">
        <v>239</v>
      </c>
      <c r="B9" s="67">
        <f t="shared" ref="B9:J9" si="0">SUM(B6:B8)</f>
        <v>1.3342668806294978E+24</v>
      </c>
      <c r="C9" s="67">
        <f t="shared" si="0"/>
        <v>0</v>
      </c>
      <c r="D9" s="67">
        <f t="shared" si="0"/>
        <v>0</v>
      </c>
      <c r="E9" s="67">
        <f t="shared" si="0"/>
        <v>0</v>
      </c>
      <c r="F9" s="67">
        <f t="shared" si="0"/>
        <v>0</v>
      </c>
      <c r="G9" s="67">
        <f t="shared" si="0"/>
        <v>0</v>
      </c>
      <c r="H9" s="67">
        <f t="shared" si="0"/>
        <v>0</v>
      </c>
      <c r="I9" s="67">
        <f t="shared" si="0"/>
        <v>0</v>
      </c>
      <c r="J9" s="67">
        <f t="shared" si="0"/>
        <v>1.3342668806294978E+24</v>
      </c>
    </row>
    <row r="12" spans="1:11" ht="15" customHeight="1" x14ac:dyDescent="0.3">
      <c r="A12" s="78" t="s">
        <v>240</v>
      </c>
      <c r="B12" s="78"/>
      <c r="C12" s="78"/>
      <c r="D12" s="78"/>
      <c r="E12" s="78"/>
      <c r="F12" s="78"/>
      <c r="G12" s="78"/>
      <c r="H12" s="78"/>
      <c r="I12" s="78"/>
      <c r="J12" s="78"/>
    </row>
    <row r="13" spans="1:11" ht="15" customHeight="1" x14ac:dyDescent="0.3">
      <c r="A13" s="8" t="s">
        <v>100</v>
      </c>
      <c r="B13" s="8" t="s">
        <v>4</v>
      </c>
      <c r="C13" s="8" t="s">
        <v>5</v>
      </c>
      <c r="D13" s="8" t="s">
        <v>6</v>
      </c>
      <c r="E13" s="8" t="s">
        <v>7</v>
      </c>
      <c r="F13" s="8" t="s">
        <v>8</v>
      </c>
      <c r="G13" s="8" t="s">
        <v>9</v>
      </c>
      <c r="H13" s="8" t="s">
        <v>10</v>
      </c>
      <c r="I13" s="8" t="s">
        <v>11</v>
      </c>
      <c r="J13" s="8" t="s">
        <v>12</v>
      </c>
    </row>
    <row r="14" spans="1:11" ht="15" customHeight="1" x14ac:dyDescent="0.3">
      <c r="A14" s="9" t="s">
        <v>19</v>
      </c>
      <c r="B14" s="37">
        <f>IF(INDEX(Compras_y_Lotes!$F$18:$F$25,COLUMN(B14)-COLUMN($B$14)+1)&gt;0,Inputs!$B$59,0)</f>
        <v>0</v>
      </c>
      <c r="C14" s="37">
        <f>IF(INDEX(Compras_y_Lotes!$F$18:$F$25,COLUMN(C14)-COLUMN($B$14)+1)&gt;0,Inputs!$B$59,0)</f>
        <v>0</v>
      </c>
      <c r="D14" s="37">
        <f>IF(INDEX(Compras_y_Lotes!$F$18:$F$25,COLUMN(D14)-COLUMN($B$14)+1)&gt;0,Inputs!$B$59,0)</f>
        <v>0</v>
      </c>
      <c r="E14" s="37">
        <f>IF(INDEX(Compras_y_Lotes!$F$18:$F$25,COLUMN(E14)-COLUMN($B$14)+1)&gt;0,Inputs!$B$59,0)</f>
        <v>0</v>
      </c>
      <c r="F14" s="37">
        <f>IF(INDEX(Compras_y_Lotes!$F$18:$F$25,COLUMN(F14)-COLUMN($B$14)+1)&gt;0,Inputs!$B$59,0)</f>
        <v>0</v>
      </c>
      <c r="G14" s="37">
        <f>IF(INDEX(Compras_y_Lotes!$F$18:$F$25,COLUMN(G14)-COLUMN($B$14)+1)&gt;0,Inputs!$B$59,0)</f>
        <v>0</v>
      </c>
      <c r="H14" s="37">
        <f>IF(INDEX(Compras_y_Lotes!$F$18:$F$25,COLUMN(H14)-COLUMN($B$14)+1)&gt;0,Inputs!$B$59,0)</f>
        <v>0</v>
      </c>
      <c r="I14" s="37">
        <f>IF(INDEX(Compras_y_Lotes!$F$18:$F$25,COLUMN(I14)-COLUMN($B$14)+1)&gt;0,Inputs!$B$59,0)</f>
        <v>0</v>
      </c>
      <c r="J14" s="37">
        <f>SUM(B14:I14)</f>
        <v>0</v>
      </c>
    </row>
    <row r="15" spans="1:11" ht="15" customHeight="1" x14ac:dyDescent="0.3">
      <c r="A15" s="9" t="s">
        <v>22</v>
      </c>
      <c r="B15" s="37">
        <f>IF(INDEX(Compras_y_Lotes!$F$26:$F$33,COLUMN(B15)-COLUMN($B$15)+1)&gt;0,Inputs!$B$60,0)</f>
        <v>0</v>
      </c>
      <c r="C15" s="37">
        <f>IF(INDEX(Compras_y_Lotes!$F$26:$F$33,COLUMN(C15)-COLUMN($B$15)+1)&gt;0,Inputs!$B$60,0)</f>
        <v>0</v>
      </c>
      <c r="D15" s="37">
        <f>IF(INDEX(Compras_y_Lotes!$F$26:$F$33,COLUMN(D15)-COLUMN($B$15)+1)&gt;0,Inputs!$B$60,0)</f>
        <v>0</v>
      </c>
      <c r="E15" s="37">
        <f>IF(INDEX(Compras_y_Lotes!$F$26:$F$33,COLUMN(E15)-COLUMN($B$15)+1)&gt;0,Inputs!$B$60,0)</f>
        <v>0</v>
      </c>
      <c r="F15" s="37">
        <f>IF(INDEX(Compras_y_Lotes!$F$26:$F$33,COLUMN(F15)-COLUMN($B$15)+1)&gt;0,Inputs!$B$60,0)</f>
        <v>0</v>
      </c>
      <c r="G15" s="37">
        <f>IF(INDEX(Compras_y_Lotes!$F$26:$F$33,COLUMN(G15)-COLUMN($B$15)+1)&gt;0,Inputs!$B$60,0)</f>
        <v>0</v>
      </c>
      <c r="H15" s="37">
        <f>IF(INDEX(Compras_y_Lotes!$F$26:$F$33,COLUMN(H15)-COLUMN($B$15)+1)&gt;0,Inputs!$B$60,0)</f>
        <v>0</v>
      </c>
      <c r="I15" s="37">
        <f>IF(INDEX(Compras_y_Lotes!$F$26:$F$33,COLUMN(I15)-COLUMN($B$15)+1)&gt;0,Inputs!$B$60,0)</f>
        <v>0</v>
      </c>
      <c r="J15" s="37">
        <f>SUM(B15:I15)</f>
        <v>0</v>
      </c>
    </row>
    <row r="16" spans="1:11" ht="15" customHeight="1" x14ac:dyDescent="0.3">
      <c r="A16" s="5" t="s">
        <v>241</v>
      </c>
      <c r="B16" s="67">
        <f t="shared" ref="B16:J16" si="1">SUM(B14:B15)</f>
        <v>0</v>
      </c>
      <c r="C16" s="67">
        <f t="shared" si="1"/>
        <v>0</v>
      </c>
      <c r="D16" s="67">
        <f t="shared" si="1"/>
        <v>0</v>
      </c>
      <c r="E16" s="67">
        <f t="shared" si="1"/>
        <v>0</v>
      </c>
      <c r="F16" s="67">
        <f t="shared" si="1"/>
        <v>0</v>
      </c>
      <c r="G16" s="67">
        <f t="shared" si="1"/>
        <v>0</v>
      </c>
      <c r="H16" s="67">
        <f t="shared" si="1"/>
        <v>0</v>
      </c>
      <c r="I16" s="67">
        <f t="shared" si="1"/>
        <v>0</v>
      </c>
      <c r="J16" s="67">
        <f t="shared" si="1"/>
        <v>0</v>
      </c>
    </row>
    <row r="19" spans="1:10" ht="15" customHeight="1" x14ac:dyDescent="0.3">
      <c r="A19" s="78" t="s">
        <v>242</v>
      </c>
      <c r="B19" s="78"/>
      <c r="C19" s="78"/>
      <c r="D19" s="78"/>
      <c r="E19" s="78"/>
      <c r="F19" s="78"/>
      <c r="G19" s="78"/>
      <c r="H19" s="78"/>
      <c r="I19" s="78"/>
      <c r="J19" s="78"/>
    </row>
    <row r="20" spans="1:10" ht="15" customHeight="1" x14ac:dyDescent="0.3">
      <c r="A20" s="8" t="s">
        <v>100</v>
      </c>
      <c r="B20" s="8" t="s">
        <v>4</v>
      </c>
      <c r="C20" s="8" t="s">
        <v>5</v>
      </c>
      <c r="D20" s="8" t="s">
        <v>6</v>
      </c>
      <c r="E20" s="8" t="s">
        <v>7</v>
      </c>
      <c r="F20" s="8" t="s">
        <v>8</v>
      </c>
      <c r="G20" s="8" t="s">
        <v>9</v>
      </c>
      <c r="H20" s="8" t="s">
        <v>10</v>
      </c>
      <c r="I20" s="8" t="s">
        <v>11</v>
      </c>
      <c r="J20" s="8" t="s">
        <v>12</v>
      </c>
    </row>
    <row r="21" spans="1:10" ht="15" customHeight="1" x14ac:dyDescent="0.3">
      <c r="A21" s="9" t="s">
        <v>19</v>
      </c>
      <c r="B21" s="37">
        <f>(Inventario_Dinamico!B7+Inventario_Dinamico!B10)/2*Inputs!$C$59</f>
        <v>1076.0999999999999</v>
      </c>
      <c r="C21" s="37">
        <f>(Inventario_Dinamico!C7+Inventario_Dinamico!C10)/2*Inputs!$C$59</f>
        <v>-512576.39999999997</v>
      </c>
      <c r="D21" s="37">
        <f>(Inventario_Dinamico!D7+Inventario_Dinamico!D10)/2*Inputs!$C$59</f>
        <v>-950769701.39999998</v>
      </c>
      <c r="E21" s="37">
        <f>(Inventario_Dinamico!E7+Inventario_Dinamico!E10)/2*Inputs!$C$59</f>
        <v>-1758926450951.3999</v>
      </c>
      <c r="F21" s="37">
        <f>(Inventario_Dinamico!F7+Inventario_Dinamico!F10)/2*Inputs!$C$59</f>
        <v>-3515952388451.3999</v>
      </c>
      <c r="G21" s="37">
        <f>(Inventario_Dinamico!G7+Inventario_Dinamico!G10)/2*Inputs!$C$59</f>
        <v>-3515952388451.3999</v>
      </c>
      <c r="H21" s="37">
        <f>(Inventario_Dinamico!H7+Inventario_Dinamico!H10)/2*Inputs!$C$59</f>
        <v>-3515952388451.3999</v>
      </c>
      <c r="I21" s="37">
        <f>(Inventario_Dinamico!I7+Inventario_Dinamico!I10)/2*Inputs!$C$59</f>
        <v>-3515952388728.8999</v>
      </c>
      <c r="J21" s="37">
        <f>SUM(B21:I21)</f>
        <v>-15823687286236.201</v>
      </c>
    </row>
    <row r="22" spans="1:10" ht="15" customHeight="1" x14ac:dyDescent="0.3">
      <c r="A22" s="9" t="s">
        <v>22</v>
      </c>
      <c r="B22" s="37">
        <f>(Inventario_Dinamico!B13+Inventario_Dinamico!B16)/2*Inputs!$C$60</f>
        <v>3928.5</v>
      </c>
      <c r="C22" s="37">
        <f>(Inventario_Dinamico!C13+Inventario_Dinamico!C16)/2*Inputs!$C$60</f>
        <v>-1537029</v>
      </c>
      <c r="D22" s="37">
        <f>(Inventario_Dinamico!D13+Inventario_Dinamico!D16)/2*Inputs!$C$60</f>
        <v>-2852308404</v>
      </c>
      <c r="E22" s="37">
        <f>(Inventario_Dinamico!E13+Inventario_Dinamico!E16)/2*Inputs!$C$60</f>
        <v>-5276779352154</v>
      </c>
      <c r="F22" s="37">
        <f>(Inventario_Dinamico!F13+Inventario_Dinamico!F16)/2*Inputs!$C$60</f>
        <v>-9762041810289654</v>
      </c>
      <c r="G22" s="37">
        <f>(Inventario_Dinamico!G13+Inventario_Dinamico!G16)/2*Inputs!$C$60</f>
        <v>-1.9513535763414656E+16</v>
      </c>
      <c r="H22" s="37">
        <f>(Inventario_Dinamico!H13+Inventario_Dinamico!H16)/2*Inputs!$C$60</f>
        <v>-1.9513535763414656E+16</v>
      </c>
      <c r="I22" s="37">
        <f>(Inventario_Dinamico!I13+Inventario_Dinamico!I16)/2*Inputs!$C$60</f>
        <v>-1.9513535763415488E+16</v>
      </c>
      <c r="J22" s="37">
        <f>SUM(B22:I22)</f>
        <v>-6.8307928733728112E+16</v>
      </c>
    </row>
    <row r="23" spans="1:10" ht="15" customHeight="1" x14ac:dyDescent="0.3">
      <c r="A23" s="5" t="s">
        <v>243</v>
      </c>
      <c r="B23" s="67">
        <f t="shared" ref="B23:J23" si="2">SUM(B21:B22)</f>
        <v>5004.6000000000004</v>
      </c>
      <c r="C23" s="67">
        <f t="shared" si="2"/>
        <v>-2049605.4</v>
      </c>
      <c r="D23" s="67">
        <f t="shared" si="2"/>
        <v>-3803078105.4000001</v>
      </c>
      <c r="E23" s="67">
        <f t="shared" si="2"/>
        <v>-7035705803105.4004</v>
      </c>
      <c r="F23" s="67">
        <f t="shared" si="2"/>
        <v>-9765557762678106</v>
      </c>
      <c r="G23" s="67">
        <f t="shared" si="2"/>
        <v>-1.9517051715803108E+16</v>
      </c>
      <c r="H23" s="67">
        <f t="shared" si="2"/>
        <v>-1.9517051715803108E+16</v>
      </c>
      <c r="I23" s="67">
        <f t="shared" si="2"/>
        <v>-1.9517051715804216E+16</v>
      </c>
      <c r="J23" s="67">
        <f t="shared" si="2"/>
        <v>-6.8323752421014352E+16</v>
      </c>
    </row>
    <row r="26" spans="1:10" ht="15" customHeight="1" x14ac:dyDescent="0.3">
      <c r="A26" s="92" t="s">
        <v>244</v>
      </c>
      <c r="B26" s="68">
        <f t="shared" ref="B26:J26" si="3">B9+B16+B23</f>
        <v>1.3342668806294978E+24</v>
      </c>
      <c r="C26" s="68">
        <f t="shared" si="3"/>
        <v>-2049605.4</v>
      </c>
      <c r="D26" s="68">
        <f t="shared" si="3"/>
        <v>-3803078105.4000001</v>
      </c>
      <c r="E26" s="68">
        <f t="shared" si="3"/>
        <v>-7035705803105.4004</v>
      </c>
      <c r="F26" s="68">
        <f t="shared" si="3"/>
        <v>-9765557762678106</v>
      </c>
      <c r="G26" s="68">
        <f t="shared" si="3"/>
        <v>-1.9517051715803108E+16</v>
      </c>
      <c r="H26" s="68">
        <f t="shared" si="3"/>
        <v>-1.9517051715803108E+16</v>
      </c>
      <c r="I26" s="68">
        <f t="shared" si="3"/>
        <v>-1.9517051715804216E+16</v>
      </c>
      <c r="J26" s="68">
        <f t="shared" si="3"/>
        <v>1.3342668123057454E+24</v>
      </c>
    </row>
    <row r="27" spans="1:10" ht="15" customHeight="1" x14ac:dyDescent="0.3">
      <c r="A27" s="92"/>
    </row>
    <row r="28" spans="1:10" ht="15" customHeight="1" x14ac:dyDescent="0.3">
      <c r="A28" s="78" t="s">
        <v>245</v>
      </c>
      <c r="B28" s="78"/>
      <c r="C28" s="78"/>
      <c r="D28" s="78"/>
    </row>
    <row r="30" spans="1:10" ht="15" customHeight="1" x14ac:dyDescent="0.3">
      <c r="A30" s="54" t="s">
        <v>246</v>
      </c>
      <c r="B30" s="69">
        <f>MAX(B26:I26)</f>
        <v>1.3342668806294978E+24</v>
      </c>
      <c r="C30" s="2" t="s">
        <v>247</v>
      </c>
    </row>
    <row r="31" spans="1:10" ht="15" customHeight="1" x14ac:dyDescent="0.3">
      <c r="A31" s="54" t="s">
        <v>248</v>
      </c>
      <c r="B31" s="69">
        <f>MIN(B26:I26)</f>
        <v>-1.9517051715804216E+16</v>
      </c>
      <c r="C31" s="2" t="s">
        <v>249</v>
      </c>
    </row>
    <row r="32" spans="1:10" ht="15" customHeight="1" x14ac:dyDescent="0.3">
      <c r="A32" s="54" t="s">
        <v>250</v>
      </c>
      <c r="B32" s="69">
        <f>AVERAGE(B26:I26)</f>
        <v>1.6678335153821821E+23</v>
      </c>
      <c r="C32" s="2" t="s">
        <v>251</v>
      </c>
    </row>
    <row r="33" spans="1:3" ht="15" customHeight="1" x14ac:dyDescent="0.3">
      <c r="A33" s="54" t="s">
        <v>252</v>
      </c>
      <c r="B33" s="69">
        <f>STDEV(B26:I26)</f>
        <v>4.7173458305374049E+23</v>
      </c>
      <c r="C33" s="2" t="s">
        <v>253</v>
      </c>
    </row>
  </sheetData>
  <mergeCells count="7">
    <mergeCell ref="A26:A27"/>
    <mergeCell ref="A28:D28"/>
    <mergeCell ref="A1:K1"/>
    <mergeCell ref="A2:K2"/>
    <mergeCell ref="A4:J4"/>
    <mergeCell ref="A12:J12"/>
    <mergeCell ref="A19:J19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3"/>
  <sheetViews>
    <sheetView zoomScaleNormal="100" workbookViewId="0">
      <selection sqref="A1:XFD1048576"/>
    </sheetView>
  </sheetViews>
  <sheetFormatPr baseColWidth="10" defaultColWidth="8.6640625" defaultRowHeight="14.4" x14ac:dyDescent="0.3"/>
  <cols>
    <col min="1" max="1" width="8.21875" bestFit="1" customWidth="1"/>
    <col min="2" max="2" width="9.109375" bestFit="1" customWidth="1"/>
    <col min="3" max="3" width="26.6640625" bestFit="1" customWidth="1"/>
    <col min="4" max="4" width="8.33203125" bestFit="1" customWidth="1"/>
    <col min="5" max="5" width="8.109375" bestFit="1" customWidth="1"/>
  </cols>
  <sheetData>
    <row r="1" spans="1:5" ht="17.25" customHeight="1" x14ac:dyDescent="0.3">
      <c r="A1" s="93" t="s">
        <v>254</v>
      </c>
      <c r="B1" s="93"/>
      <c r="C1" s="93"/>
      <c r="D1" s="93"/>
      <c r="E1" s="93"/>
    </row>
    <row r="2" spans="1:5" ht="15" customHeight="1" x14ac:dyDescent="0.3">
      <c r="A2" s="82" t="s">
        <v>255</v>
      </c>
      <c r="B2" s="82"/>
      <c r="C2" s="82"/>
      <c r="D2" s="82"/>
      <c r="E2" s="82"/>
    </row>
    <row r="4" spans="1:5" ht="15" customHeight="1" x14ac:dyDescent="0.3">
      <c r="A4" s="78" t="s">
        <v>256</v>
      </c>
      <c r="B4" s="78"/>
      <c r="C4" s="78"/>
      <c r="D4" s="78"/>
      <c r="E4" s="78"/>
    </row>
    <row r="5" spans="1:5" ht="15" customHeight="1" x14ac:dyDescent="0.3">
      <c r="A5" s="8" t="s">
        <v>15</v>
      </c>
      <c r="B5" s="8" t="s">
        <v>257</v>
      </c>
      <c r="C5" s="8" t="s">
        <v>258</v>
      </c>
      <c r="D5" s="8" t="s">
        <v>259</v>
      </c>
      <c r="E5" s="8" t="s">
        <v>260</v>
      </c>
    </row>
    <row r="6" spans="1:5" ht="15" customHeight="1" x14ac:dyDescent="0.3">
      <c r="A6" s="9" t="s">
        <v>23</v>
      </c>
      <c r="B6" s="70">
        <v>0</v>
      </c>
      <c r="C6" s="33">
        <f>Compras_y_Lotes!E7</f>
        <v>2.4735213389001101E+19</v>
      </c>
      <c r="D6" s="10" t="s">
        <v>261</v>
      </c>
      <c r="E6" s="23" t="str">
        <f t="shared" ref="E6:E11" si="0">IF(C6&gt;0,"Comprar","NO COMPRAR")</f>
        <v>Comprar</v>
      </c>
    </row>
    <row r="7" spans="1:5" ht="15" customHeight="1" x14ac:dyDescent="0.3">
      <c r="A7" s="9" t="s">
        <v>24</v>
      </c>
      <c r="B7" s="70">
        <v>0</v>
      </c>
      <c r="C7" s="33">
        <f>Compras_y_Lotes!E8</f>
        <v>4.9470426778002203E+22</v>
      </c>
      <c r="D7" s="10" t="s">
        <v>261</v>
      </c>
      <c r="E7" s="23" t="str">
        <f t="shared" si="0"/>
        <v>Comprar</v>
      </c>
    </row>
    <row r="8" spans="1:5" ht="15" customHeight="1" x14ac:dyDescent="0.3">
      <c r="A8" s="9" t="s">
        <v>25</v>
      </c>
      <c r="B8" s="70">
        <v>0</v>
      </c>
      <c r="C8" s="33">
        <f>Compras_y_Lotes!E9</f>
        <v>2.2261692050100999E+22</v>
      </c>
      <c r="D8" s="10" t="s">
        <v>261</v>
      </c>
      <c r="E8" s="23" t="str">
        <f t="shared" si="0"/>
        <v>Comprar</v>
      </c>
    </row>
    <row r="9" spans="1:5" ht="15" customHeight="1" x14ac:dyDescent="0.3">
      <c r="A9" s="9" t="s">
        <v>26</v>
      </c>
      <c r="B9" s="70">
        <v>0</v>
      </c>
      <c r="C9" s="33">
        <f>Compras_y_Lotes!E10</f>
        <v>4.4523384100202001E+20</v>
      </c>
      <c r="D9" s="10" t="s">
        <v>261</v>
      </c>
      <c r="E9" s="23" t="str">
        <f t="shared" si="0"/>
        <v>Comprar</v>
      </c>
    </row>
    <row r="10" spans="1:5" ht="15" customHeight="1" x14ac:dyDescent="0.3">
      <c r="A10" s="9" t="s">
        <v>27</v>
      </c>
      <c r="B10" s="70">
        <v>0</v>
      </c>
      <c r="C10" s="33">
        <f>Compras_y_Lotes!E11</f>
        <v>4.9470426778002197E+21</v>
      </c>
      <c r="D10" s="10" t="s">
        <v>261</v>
      </c>
      <c r="E10" s="23" t="str">
        <f t="shared" si="0"/>
        <v>Comprar</v>
      </c>
    </row>
    <row r="11" spans="1:5" ht="15" customHeight="1" x14ac:dyDescent="0.3">
      <c r="A11" s="9" t="s">
        <v>28</v>
      </c>
      <c r="B11" s="70">
        <v>0</v>
      </c>
      <c r="C11" s="33">
        <f>Compras_y_Lotes!E12</f>
        <v>9.27570502087541E+20</v>
      </c>
      <c r="D11" s="10" t="s">
        <v>261</v>
      </c>
      <c r="E11" s="23" t="str">
        <f t="shared" si="0"/>
        <v>Comprar</v>
      </c>
    </row>
    <row r="13" spans="1:5" ht="15" customHeight="1" x14ac:dyDescent="0.3">
      <c r="A13" s="78" t="s">
        <v>262</v>
      </c>
      <c r="B13" s="78"/>
      <c r="C13" s="78"/>
      <c r="D13" s="78"/>
      <c r="E13" s="78"/>
    </row>
    <row r="14" spans="1:5" ht="15" customHeight="1" x14ac:dyDescent="0.3">
      <c r="A14" s="8" t="s">
        <v>15</v>
      </c>
      <c r="B14" s="8" t="s">
        <v>257</v>
      </c>
      <c r="C14" s="8" t="s">
        <v>258</v>
      </c>
      <c r="D14" s="8" t="s">
        <v>259</v>
      </c>
      <c r="E14" s="8" t="s">
        <v>260</v>
      </c>
    </row>
    <row r="15" spans="1:5" ht="15" customHeight="1" x14ac:dyDescent="0.3">
      <c r="A15" s="9" t="s">
        <v>19</v>
      </c>
      <c r="B15" s="70">
        <v>1</v>
      </c>
      <c r="C15" s="33">
        <f>Compras_y_Lotes!F18</f>
        <v>0</v>
      </c>
      <c r="D15" s="60" t="str">
        <f>Inputs!$B$69</f>
        <v>A</v>
      </c>
      <c r="E15" s="23" t="str">
        <f t="shared" ref="E15:E22" si="1">IF(C15&gt;0,"Comprar","-")</f>
        <v>-</v>
      </c>
    </row>
    <row r="16" spans="1:5" ht="15" customHeight="1" x14ac:dyDescent="0.3">
      <c r="A16" s="9" t="s">
        <v>19</v>
      </c>
      <c r="B16" s="70">
        <v>2</v>
      </c>
      <c r="C16" s="33">
        <f>Compras_y_Lotes!F19</f>
        <v>0</v>
      </c>
      <c r="D16" s="60" t="str">
        <f>Inputs!$B$69</f>
        <v>A</v>
      </c>
      <c r="E16" s="23" t="str">
        <f t="shared" si="1"/>
        <v>-</v>
      </c>
    </row>
    <row r="17" spans="1:5" ht="15" customHeight="1" x14ac:dyDescent="0.3">
      <c r="A17" s="9" t="s">
        <v>19</v>
      </c>
      <c r="B17" s="70">
        <v>3</v>
      </c>
      <c r="C17" s="33">
        <f>Compras_y_Lotes!F20</f>
        <v>0</v>
      </c>
      <c r="D17" s="60" t="str">
        <f>Inputs!$B$69</f>
        <v>A</v>
      </c>
      <c r="E17" s="23" t="str">
        <f t="shared" si="1"/>
        <v>-</v>
      </c>
    </row>
    <row r="18" spans="1:5" ht="15" customHeight="1" x14ac:dyDescent="0.3">
      <c r="A18" s="9" t="s">
        <v>19</v>
      </c>
      <c r="B18" s="70">
        <v>4</v>
      </c>
      <c r="C18" s="33">
        <f>Compras_y_Lotes!F21</f>
        <v>0</v>
      </c>
      <c r="D18" s="60" t="str">
        <f>Inputs!$B$69</f>
        <v>A</v>
      </c>
      <c r="E18" s="23" t="str">
        <f t="shared" si="1"/>
        <v>-</v>
      </c>
    </row>
    <row r="19" spans="1:5" ht="15" customHeight="1" x14ac:dyDescent="0.3">
      <c r="A19" s="9" t="s">
        <v>19</v>
      </c>
      <c r="B19" s="70">
        <v>5</v>
      </c>
      <c r="C19" s="33">
        <f>Compras_y_Lotes!F22</f>
        <v>0</v>
      </c>
      <c r="D19" s="60" t="str">
        <f>Inputs!$B$69</f>
        <v>A</v>
      </c>
      <c r="E19" s="23" t="str">
        <f t="shared" si="1"/>
        <v>-</v>
      </c>
    </row>
    <row r="20" spans="1:5" ht="15" customHeight="1" x14ac:dyDescent="0.3">
      <c r="A20" s="9" t="s">
        <v>19</v>
      </c>
      <c r="B20" s="70">
        <v>6</v>
      </c>
      <c r="C20" s="33">
        <f>Compras_y_Lotes!F23</f>
        <v>0</v>
      </c>
      <c r="D20" s="60" t="str">
        <f>Inputs!$B$69</f>
        <v>A</v>
      </c>
      <c r="E20" s="23" t="str">
        <f t="shared" si="1"/>
        <v>-</v>
      </c>
    </row>
    <row r="21" spans="1:5" ht="15" customHeight="1" x14ac:dyDescent="0.3">
      <c r="A21" s="9" t="s">
        <v>19</v>
      </c>
      <c r="B21" s="70">
        <v>7</v>
      </c>
      <c r="C21" s="33">
        <f>Compras_y_Lotes!F24</f>
        <v>0</v>
      </c>
      <c r="D21" s="60" t="str">
        <f>Inputs!$B$69</f>
        <v>A</v>
      </c>
      <c r="E21" s="23" t="str">
        <f t="shared" si="1"/>
        <v>-</v>
      </c>
    </row>
    <row r="22" spans="1:5" ht="15" customHeight="1" x14ac:dyDescent="0.3">
      <c r="A22" s="9" t="s">
        <v>19</v>
      </c>
      <c r="B22" s="70">
        <v>8</v>
      </c>
      <c r="C22" s="33">
        <f>Compras_y_Lotes!F25</f>
        <v>0</v>
      </c>
      <c r="D22" s="60" t="str">
        <f>Inputs!$B$69</f>
        <v>A</v>
      </c>
      <c r="E22" s="23" t="str">
        <f t="shared" si="1"/>
        <v>-</v>
      </c>
    </row>
    <row r="24" spans="1:5" ht="15" customHeight="1" x14ac:dyDescent="0.3">
      <c r="A24" s="78" t="s">
        <v>263</v>
      </c>
      <c r="B24" s="78"/>
      <c r="C24" s="78"/>
      <c r="D24" s="78"/>
      <c r="E24" s="78"/>
    </row>
    <row r="25" spans="1:5" ht="15" customHeight="1" x14ac:dyDescent="0.3">
      <c r="A25" s="8" t="s">
        <v>15</v>
      </c>
      <c r="B25" s="8" t="s">
        <v>257</v>
      </c>
      <c r="C25" s="8" t="s">
        <v>258</v>
      </c>
      <c r="D25" s="8" t="s">
        <v>259</v>
      </c>
      <c r="E25" s="8" t="s">
        <v>260</v>
      </c>
    </row>
    <row r="26" spans="1:5" ht="15" customHeight="1" x14ac:dyDescent="0.3">
      <c r="A26" s="9" t="s">
        <v>22</v>
      </c>
      <c r="B26" s="70">
        <v>1</v>
      </c>
      <c r="C26" s="33">
        <f>Compras_y_Lotes!F26</f>
        <v>0</v>
      </c>
      <c r="D26" s="60" t="str">
        <f>Inputs!$B$77</f>
        <v>A</v>
      </c>
      <c r="E26" s="23" t="str">
        <f t="shared" ref="E26:E33" si="2">IF(C26&gt;0,"Comprar","-")</f>
        <v>-</v>
      </c>
    </row>
    <row r="27" spans="1:5" ht="15" customHeight="1" x14ac:dyDescent="0.3">
      <c r="A27" s="9" t="s">
        <v>22</v>
      </c>
      <c r="B27" s="70">
        <v>2</v>
      </c>
      <c r="C27" s="33">
        <f>Compras_y_Lotes!F27</f>
        <v>0</v>
      </c>
      <c r="D27" s="60" t="str">
        <f>Inputs!$B$77</f>
        <v>A</v>
      </c>
      <c r="E27" s="23" t="str">
        <f t="shared" si="2"/>
        <v>-</v>
      </c>
    </row>
    <row r="28" spans="1:5" ht="15" customHeight="1" x14ac:dyDescent="0.3">
      <c r="A28" s="9" t="s">
        <v>22</v>
      </c>
      <c r="B28" s="70">
        <v>3</v>
      </c>
      <c r="C28" s="33">
        <f>Compras_y_Lotes!F28</f>
        <v>0</v>
      </c>
      <c r="D28" s="60" t="str">
        <f>Inputs!$B$77</f>
        <v>A</v>
      </c>
      <c r="E28" s="23" t="str">
        <f t="shared" si="2"/>
        <v>-</v>
      </c>
    </row>
    <row r="29" spans="1:5" ht="15" customHeight="1" x14ac:dyDescent="0.3">
      <c r="A29" s="9" t="s">
        <v>22</v>
      </c>
      <c r="B29" s="70">
        <v>4</v>
      </c>
      <c r="C29" s="33">
        <f>Compras_y_Lotes!F29</f>
        <v>0</v>
      </c>
      <c r="D29" s="60" t="str">
        <f>Inputs!$B$77</f>
        <v>A</v>
      </c>
      <c r="E29" s="23" t="str">
        <f t="shared" si="2"/>
        <v>-</v>
      </c>
    </row>
    <row r="30" spans="1:5" ht="15" customHeight="1" x14ac:dyDescent="0.3">
      <c r="A30" s="9" t="s">
        <v>22</v>
      </c>
      <c r="B30" s="70">
        <v>5</v>
      </c>
      <c r="C30" s="33">
        <f>Compras_y_Lotes!F30</f>
        <v>0</v>
      </c>
      <c r="D30" s="60" t="str">
        <f>Inputs!$B$77</f>
        <v>A</v>
      </c>
      <c r="E30" s="23" t="str">
        <f t="shared" si="2"/>
        <v>-</v>
      </c>
    </row>
    <row r="31" spans="1:5" ht="15" customHeight="1" x14ac:dyDescent="0.3">
      <c r="A31" s="9" t="s">
        <v>22</v>
      </c>
      <c r="B31" s="70">
        <v>6</v>
      </c>
      <c r="C31" s="33">
        <f>Compras_y_Lotes!F31</f>
        <v>0</v>
      </c>
      <c r="D31" s="60" t="str">
        <f>Inputs!$B$77</f>
        <v>A</v>
      </c>
      <c r="E31" s="23" t="str">
        <f t="shared" si="2"/>
        <v>-</v>
      </c>
    </row>
    <row r="32" spans="1:5" ht="15" customHeight="1" x14ac:dyDescent="0.3">
      <c r="A32" s="9" t="s">
        <v>22</v>
      </c>
      <c r="B32" s="70">
        <v>7</v>
      </c>
      <c r="C32" s="33">
        <f>Compras_y_Lotes!F32</f>
        <v>0</v>
      </c>
      <c r="D32" s="60" t="str">
        <f>Inputs!$B$77</f>
        <v>A</v>
      </c>
      <c r="E32" s="23" t="str">
        <f t="shared" si="2"/>
        <v>-</v>
      </c>
    </row>
    <row r="33" spans="1:5" ht="15" customHeight="1" x14ac:dyDescent="0.3">
      <c r="A33" s="9" t="s">
        <v>22</v>
      </c>
      <c r="B33" s="70">
        <v>8</v>
      </c>
      <c r="C33" s="33">
        <f>Compras_y_Lotes!F33</f>
        <v>0</v>
      </c>
      <c r="D33" s="60" t="str">
        <f>Inputs!$B$77</f>
        <v>A</v>
      </c>
      <c r="E33" s="23" t="str">
        <f t="shared" si="2"/>
        <v>-</v>
      </c>
    </row>
  </sheetData>
  <mergeCells count="5">
    <mergeCell ref="A1:E1"/>
    <mergeCell ref="A2:E2"/>
    <mergeCell ref="A4:E4"/>
    <mergeCell ref="A13:E13"/>
    <mergeCell ref="A24:E24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3"/>
  <sheetViews>
    <sheetView zoomScaleNormal="100" workbookViewId="0">
      <selection sqref="A1:XFD1048576"/>
    </sheetView>
  </sheetViews>
  <sheetFormatPr baseColWidth="10" defaultColWidth="8.6640625" defaultRowHeight="14.4" x14ac:dyDescent="0.3"/>
  <cols>
    <col min="1" max="1" width="8.21875" bestFit="1" customWidth="1"/>
    <col min="2" max="2" width="6.88671875" bestFit="1" customWidth="1"/>
    <col min="3" max="3" width="5.88671875" bestFit="1" customWidth="1"/>
    <col min="4" max="4" width="7" bestFit="1" customWidth="1"/>
    <col min="5" max="5" width="9.21875" bestFit="1" customWidth="1"/>
  </cols>
  <sheetData>
    <row r="1" spans="1:5" ht="17.25" customHeight="1" x14ac:dyDescent="0.3">
      <c r="A1" s="76" t="s">
        <v>264</v>
      </c>
      <c r="B1" s="76"/>
      <c r="C1" s="76"/>
      <c r="D1" s="76"/>
      <c r="E1" s="76"/>
    </row>
    <row r="2" spans="1:5" ht="15" customHeight="1" x14ac:dyDescent="0.3">
      <c r="A2" s="81" t="s">
        <v>265</v>
      </c>
      <c r="B2" s="81"/>
      <c r="C2" s="81"/>
      <c r="D2" s="81"/>
      <c r="E2" s="81"/>
    </row>
    <row r="4" spans="1:5" ht="15" customHeight="1" x14ac:dyDescent="0.3">
      <c r="A4" s="78" t="s">
        <v>266</v>
      </c>
      <c r="B4" s="78"/>
      <c r="C4" s="78"/>
      <c r="D4" s="78"/>
      <c r="E4" s="78"/>
    </row>
    <row r="5" spans="1:5" ht="15" customHeight="1" x14ac:dyDescent="0.3">
      <c r="A5" s="8" t="s">
        <v>15</v>
      </c>
      <c r="B5" s="8" t="s">
        <v>267</v>
      </c>
      <c r="C5" s="8" t="s">
        <v>268</v>
      </c>
      <c r="D5" s="8" t="s">
        <v>12</v>
      </c>
      <c r="E5" s="8" t="s">
        <v>269</v>
      </c>
    </row>
    <row r="6" spans="1:5" ht="15" customHeight="1" x14ac:dyDescent="0.3">
      <c r="A6" s="9" t="s">
        <v>19</v>
      </c>
      <c r="B6" s="35">
        <v>3496</v>
      </c>
      <c r="C6" s="35">
        <v>1016</v>
      </c>
      <c r="D6" s="7">
        <v>4512</v>
      </c>
      <c r="E6" s="61">
        <f t="shared" ref="E6:E13" si="0">B6/D6</f>
        <v>0.77482269503546097</v>
      </c>
    </row>
    <row r="7" spans="1:5" ht="15" customHeight="1" x14ac:dyDescent="0.3">
      <c r="A7" s="9" t="s">
        <v>22</v>
      </c>
      <c r="B7" s="35">
        <v>765</v>
      </c>
      <c r="C7" s="35">
        <v>293</v>
      </c>
      <c r="D7" s="7">
        <v>1058</v>
      </c>
      <c r="E7" s="61">
        <f t="shared" si="0"/>
        <v>0.72306238185255201</v>
      </c>
    </row>
    <row r="8" spans="1:5" ht="15" customHeight="1" x14ac:dyDescent="0.3">
      <c r="A8" s="9" t="s">
        <v>23</v>
      </c>
      <c r="B8" s="35">
        <v>94</v>
      </c>
      <c r="C8" s="35">
        <v>36</v>
      </c>
      <c r="D8" s="7">
        <v>130</v>
      </c>
      <c r="E8" s="61">
        <f t="shared" si="0"/>
        <v>0.72307692307692306</v>
      </c>
    </row>
    <row r="9" spans="1:5" ht="15" customHeight="1" x14ac:dyDescent="0.3">
      <c r="A9" s="9" t="s">
        <v>24</v>
      </c>
      <c r="B9" s="35">
        <v>3844</v>
      </c>
      <c r="C9" s="35">
        <v>1424</v>
      </c>
      <c r="D9" s="7">
        <v>5268</v>
      </c>
      <c r="E9" s="61">
        <f t="shared" si="0"/>
        <v>0.72968868640850415</v>
      </c>
    </row>
    <row r="10" spans="1:5" ht="15" customHeight="1" x14ac:dyDescent="0.3">
      <c r="A10" s="9" t="s">
        <v>25</v>
      </c>
      <c r="B10" s="35">
        <v>3125</v>
      </c>
      <c r="C10" s="35">
        <v>1208</v>
      </c>
      <c r="D10" s="7">
        <v>4333</v>
      </c>
      <c r="E10" s="61">
        <f t="shared" si="0"/>
        <v>0.72120932379413805</v>
      </c>
    </row>
    <row r="11" spans="1:5" ht="15" customHeight="1" x14ac:dyDescent="0.3">
      <c r="A11" s="9" t="s">
        <v>26</v>
      </c>
      <c r="B11" s="35">
        <v>6131</v>
      </c>
      <c r="C11" s="35">
        <v>2356</v>
      </c>
      <c r="D11" s="7">
        <v>8487</v>
      </c>
      <c r="E11" s="61">
        <f t="shared" si="0"/>
        <v>0.72239896312006602</v>
      </c>
    </row>
    <row r="12" spans="1:5" ht="15" customHeight="1" x14ac:dyDescent="0.3">
      <c r="A12" s="9" t="s">
        <v>27</v>
      </c>
      <c r="B12" s="35">
        <v>16736</v>
      </c>
      <c r="C12" s="35">
        <v>6456</v>
      </c>
      <c r="D12" s="7">
        <v>23192</v>
      </c>
      <c r="E12" s="61">
        <f t="shared" si="0"/>
        <v>0.72162814763711625</v>
      </c>
    </row>
    <row r="13" spans="1:5" ht="15" customHeight="1" x14ac:dyDescent="0.3">
      <c r="A13" s="9" t="s">
        <v>28</v>
      </c>
      <c r="B13" s="35">
        <v>4439</v>
      </c>
      <c r="C13" s="35">
        <v>1596</v>
      </c>
      <c r="D13" s="7">
        <v>6035</v>
      </c>
      <c r="E13" s="61">
        <f t="shared" si="0"/>
        <v>0.73554266777133392</v>
      </c>
    </row>
  </sheetData>
  <mergeCells count="3">
    <mergeCell ref="A1:E1"/>
    <mergeCell ref="A2:E2"/>
    <mergeCell ref="A4:E4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8"/>
  <sheetViews>
    <sheetView zoomScaleNormal="100" workbookViewId="0">
      <selection sqref="A1:F1"/>
    </sheetView>
  </sheetViews>
  <sheetFormatPr baseColWidth="10" defaultColWidth="8.6640625" defaultRowHeight="14.4" x14ac:dyDescent="0.3"/>
  <cols>
    <col min="1" max="1" width="15" customWidth="1"/>
  </cols>
  <sheetData>
    <row r="1" spans="1:9" ht="17.25" customHeight="1" x14ac:dyDescent="0.3">
      <c r="A1" s="76" t="s">
        <v>270</v>
      </c>
      <c r="B1" s="76"/>
      <c r="C1" s="76"/>
      <c r="D1" s="76"/>
      <c r="E1" s="76"/>
      <c r="F1" s="76"/>
    </row>
    <row r="2" spans="1:9" ht="15" customHeight="1" x14ac:dyDescent="0.3">
      <c r="A2" s="81" t="s">
        <v>271</v>
      </c>
      <c r="B2" s="81"/>
      <c r="C2" s="81"/>
      <c r="D2" s="81"/>
      <c r="E2" s="81"/>
      <c r="F2" s="81"/>
    </row>
    <row r="4" spans="1:9" ht="15" customHeight="1" x14ac:dyDescent="0.3">
      <c r="A4" s="78" t="s">
        <v>272</v>
      </c>
      <c r="B4" s="78"/>
      <c r="C4" s="78"/>
      <c r="D4" s="78"/>
      <c r="E4" s="78"/>
      <c r="F4" s="78"/>
    </row>
    <row r="5" spans="1:9" ht="15" customHeight="1" x14ac:dyDescent="0.3">
      <c r="A5" s="8" t="s">
        <v>273</v>
      </c>
      <c r="B5" s="8" t="s">
        <v>274</v>
      </c>
      <c r="C5" s="8" t="s">
        <v>275</v>
      </c>
      <c r="D5" s="8" t="s">
        <v>276</v>
      </c>
      <c r="E5" s="8" t="s">
        <v>277</v>
      </c>
    </row>
    <row r="6" spans="1:9" ht="15" customHeight="1" x14ac:dyDescent="0.3">
      <c r="A6" s="9" t="s">
        <v>278</v>
      </c>
      <c r="B6" s="9" t="s">
        <v>19</v>
      </c>
      <c r="C6" s="9" t="s">
        <v>279</v>
      </c>
      <c r="D6" s="9" t="s">
        <v>280</v>
      </c>
      <c r="E6" s="9" t="s">
        <v>281</v>
      </c>
    </row>
    <row r="7" spans="1:9" ht="15" customHeight="1" x14ac:dyDescent="0.3">
      <c r="A7" s="9" t="s">
        <v>282</v>
      </c>
      <c r="B7" s="9" t="s">
        <v>22</v>
      </c>
      <c r="C7" s="9" t="s">
        <v>279</v>
      </c>
      <c r="D7" s="9" t="s">
        <v>283</v>
      </c>
      <c r="E7" s="9" t="s">
        <v>281</v>
      </c>
    </row>
    <row r="8" spans="1:9" ht="15" customHeight="1" x14ac:dyDescent="0.3">
      <c r="A8" s="9" t="s">
        <v>284</v>
      </c>
      <c r="B8" s="9" t="s">
        <v>44</v>
      </c>
      <c r="C8" s="9" t="s">
        <v>25</v>
      </c>
      <c r="D8" s="9" t="s">
        <v>285</v>
      </c>
      <c r="E8" s="9" t="s">
        <v>281</v>
      </c>
    </row>
    <row r="9" spans="1:9" ht="15" customHeight="1" x14ac:dyDescent="0.3">
      <c r="A9" s="9" t="s">
        <v>286</v>
      </c>
      <c r="B9" s="9" t="s">
        <v>44</v>
      </c>
      <c r="C9" s="9" t="s">
        <v>28</v>
      </c>
      <c r="D9" s="9" t="s">
        <v>287</v>
      </c>
      <c r="E9" s="9" t="s">
        <v>281</v>
      </c>
    </row>
    <row r="10" spans="1:9" ht="15" customHeight="1" x14ac:dyDescent="0.3">
      <c r="A10" s="9" t="s">
        <v>288</v>
      </c>
      <c r="B10" s="9" t="s">
        <v>289</v>
      </c>
      <c r="C10" s="9" t="s">
        <v>290</v>
      </c>
      <c r="D10" s="9" t="s">
        <v>291</v>
      </c>
      <c r="E10" s="9" t="s">
        <v>281</v>
      </c>
    </row>
    <row r="12" spans="1:9" x14ac:dyDescent="0.3">
      <c r="A12" t="s">
        <v>304</v>
      </c>
    </row>
    <row r="13" spans="1:9" x14ac:dyDescent="0.3">
      <c r="A13" t="s">
        <v>305</v>
      </c>
      <c r="B13" t="s">
        <v>4</v>
      </c>
      <c r="C13" t="s">
        <v>5</v>
      </c>
      <c r="D13" t="s">
        <v>6</v>
      </c>
      <c r="E13" t="s">
        <v>7</v>
      </c>
      <c r="F13" t="s">
        <v>8</v>
      </c>
      <c r="G13" t="s">
        <v>9</v>
      </c>
      <c r="H13" t="s">
        <v>10</v>
      </c>
      <c r="I13" t="s">
        <v>11</v>
      </c>
    </row>
    <row r="14" spans="1:9" x14ac:dyDescent="0.3">
      <c r="A14" t="s">
        <v>306</v>
      </c>
      <c r="B14">
        <f>Inputs!B6*Inputs!$B$101</f>
        <v>1850</v>
      </c>
      <c r="C14">
        <f>Inputs!C6*Inputs!$B$101</f>
        <v>1850</v>
      </c>
      <c r="D14">
        <f>Inputs!D6*Inputs!$B$101</f>
        <v>1850</v>
      </c>
      <c r="E14">
        <f>Inputs!E6*Inputs!$B$101</f>
        <v>1850</v>
      </c>
      <c r="F14">
        <f>Inputs!F6*Inputs!$B$101</f>
        <v>1850</v>
      </c>
      <c r="G14">
        <f>Inputs!G6*Inputs!$B$101</f>
        <v>1850</v>
      </c>
      <c r="H14">
        <f>Inputs!H6*Inputs!$B$101</f>
        <v>1850</v>
      </c>
      <c r="I14">
        <f>Inputs!I6*Inputs!$B$101</f>
        <v>1850</v>
      </c>
    </row>
    <row r="15" spans="1:9" x14ac:dyDescent="0.3">
      <c r="A15" t="s">
        <v>307</v>
      </c>
      <c r="B15">
        <f>IFERROR(C14,0)</f>
        <v>1850</v>
      </c>
      <c r="C15">
        <f t="shared" ref="C15:I18" si="0">IFERROR(D14,0)</f>
        <v>1850</v>
      </c>
      <c r="D15">
        <f t="shared" si="0"/>
        <v>1850</v>
      </c>
      <c r="E15">
        <f t="shared" si="0"/>
        <v>1850</v>
      </c>
      <c r="F15">
        <f t="shared" si="0"/>
        <v>1850</v>
      </c>
      <c r="G15">
        <f t="shared" si="0"/>
        <v>1850</v>
      </c>
      <c r="H15">
        <f t="shared" si="0"/>
        <v>1850</v>
      </c>
      <c r="I15">
        <f t="shared" si="0"/>
        <v>0</v>
      </c>
    </row>
    <row r="16" spans="1:9" x14ac:dyDescent="0.3">
      <c r="A16" t="s">
        <v>308</v>
      </c>
      <c r="B16">
        <f>IFERROR(C15,0)</f>
        <v>1850</v>
      </c>
      <c r="C16">
        <f t="shared" si="0"/>
        <v>1850</v>
      </c>
      <c r="D16">
        <f t="shared" si="0"/>
        <v>1850</v>
      </c>
      <c r="E16">
        <f t="shared" si="0"/>
        <v>1850</v>
      </c>
      <c r="F16">
        <f t="shared" si="0"/>
        <v>1850</v>
      </c>
      <c r="G16">
        <f t="shared" si="0"/>
        <v>1850</v>
      </c>
      <c r="H16">
        <f t="shared" si="0"/>
        <v>0</v>
      </c>
      <c r="I16">
        <f t="shared" si="0"/>
        <v>0</v>
      </c>
    </row>
    <row r="17" spans="1:9" x14ac:dyDescent="0.3">
      <c r="A17" t="s">
        <v>309</v>
      </c>
      <c r="B17">
        <f>IFERROR(C16,0)</f>
        <v>1850</v>
      </c>
      <c r="C17">
        <f t="shared" si="0"/>
        <v>1850</v>
      </c>
      <c r="D17">
        <f t="shared" si="0"/>
        <v>1850</v>
      </c>
      <c r="E17">
        <f t="shared" si="0"/>
        <v>1850</v>
      </c>
      <c r="F17">
        <f t="shared" si="0"/>
        <v>1850</v>
      </c>
      <c r="G17">
        <f t="shared" si="0"/>
        <v>0</v>
      </c>
      <c r="H17">
        <f t="shared" si="0"/>
        <v>0</v>
      </c>
      <c r="I17">
        <f t="shared" si="0"/>
        <v>0</v>
      </c>
    </row>
    <row r="18" spans="1:9" x14ac:dyDescent="0.3">
      <c r="A18" t="s">
        <v>310</v>
      </c>
      <c r="B18">
        <f>IFERROR(C17,0)</f>
        <v>1850</v>
      </c>
      <c r="C18">
        <f t="shared" si="0"/>
        <v>1850</v>
      </c>
      <c r="D18">
        <f t="shared" si="0"/>
        <v>1850</v>
      </c>
      <c r="E18">
        <f t="shared" si="0"/>
        <v>1850</v>
      </c>
      <c r="F18">
        <f t="shared" si="0"/>
        <v>0</v>
      </c>
      <c r="G18">
        <f t="shared" si="0"/>
        <v>0</v>
      </c>
      <c r="H18">
        <f t="shared" si="0"/>
        <v>0</v>
      </c>
      <c r="I18">
        <f t="shared" si="0"/>
        <v>0</v>
      </c>
    </row>
  </sheetData>
  <mergeCells count="3">
    <mergeCell ref="A1:F1"/>
    <mergeCell ref="A2:F2"/>
    <mergeCell ref="A4:F4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7"/>
  <sheetViews>
    <sheetView zoomScaleNormal="100" workbookViewId="0">
      <selection sqref="A1:H1"/>
    </sheetView>
  </sheetViews>
  <sheetFormatPr baseColWidth="10" defaultColWidth="8.6640625" defaultRowHeight="14.4" x14ac:dyDescent="0.3"/>
  <cols>
    <col min="1" max="1" width="15" customWidth="1"/>
  </cols>
  <sheetData>
    <row r="1" spans="1:11" ht="17.25" customHeight="1" x14ac:dyDescent="0.3">
      <c r="A1" s="94" t="s">
        <v>311</v>
      </c>
      <c r="B1" s="94"/>
      <c r="C1" s="94"/>
      <c r="D1" s="94"/>
      <c r="E1" s="94"/>
      <c r="F1" s="94"/>
      <c r="G1" s="94"/>
      <c r="H1" s="94"/>
    </row>
    <row r="2" spans="1:11" ht="15" customHeight="1" x14ac:dyDescent="0.3">
      <c r="A2" s="81" t="s">
        <v>312</v>
      </c>
      <c r="B2" s="81"/>
      <c r="C2" s="81"/>
      <c r="D2" s="81"/>
      <c r="E2" s="81"/>
      <c r="F2" s="81"/>
      <c r="G2" s="81"/>
      <c r="H2" s="81"/>
    </row>
    <row r="4" spans="1:11" ht="15" customHeight="1" x14ac:dyDescent="0.3">
      <c r="A4" s="78" t="s">
        <v>292</v>
      </c>
      <c r="B4" s="78"/>
      <c r="C4" s="78"/>
      <c r="D4" s="78"/>
      <c r="E4" s="78"/>
      <c r="F4" s="78"/>
      <c r="G4" s="78"/>
      <c r="H4" s="78"/>
    </row>
    <row r="5" spans="1:11" ht="15" customHeight="1" x14ac:dyDescent="0.3">
      <c r="A5" s="8" t="s">
        <v>313</v>
      </c>
      <c r="B5" s="8"/>
      <c r="C5" s="8"/>
      <c r="D5" s="8"/>
      <c r="E5" s="8"/>
      <c r="J5" t="s">
        <v>314</v>
      </c>
      <c r="K5">
        <v>100</v>
      </c>
    </row>
    <row r="6" spans="1:11" ht="15" customHeight="1" x14ac:dyDescent="0.3">
      <c r="A6" s="9" t="s">
        <v>15</v>
      </c>
      <c r="B6" s="35" t="s">
        <v>4</v>
      </c>
      <c r="C6" s="71" t="s">
        <v>5</v>
      </c>
      <c r="D6" s="72" t="s">
        <v>6</v>
      </c>
      <c r="E6" s="9" t="s">
        <v>7</v>
      </c>
      <c r="F6" t="s">
        <v>8</v>
      </c>
      <c r="G6" t="s">
        <v>9</v>
      </c>
      <c r="H6" t="s">
        <v>10</v>
      </c>
      <c r="I6" t="s">
        <v>11</v>
      </c>
    </row>
    <row r="7" spans="1:11" ht="15" customHeight="1" x14ac:dyDescent="0.3">
      <c r="A7" s="9" t="s">
        <v>19</v>
      </c>
      <c r="B7" s="35"/>
      <c r="C7" s="71"/>
      <c r="D7" s="72"/>
      <c r="E7" s="9"/>
    </row>
    <row r="8" spans="1:11" ht="15" customHeight="1" x14ac:dyDescent="0.3">
      <c r="A8" s="9" t="s">
        <v>22</v>
      </c>
      <c r="B8" s="35"/>
      <c r="C8" s="71"/>
      <c r="D8" s="72"/>
      <c r="E8" s="9"/>
    </row>
    <row r="9" spans="1:11" ht="15" customHeight="1" x14ac:dyDescent="0.3">
      <c r="A9" s="9" t="s">
        <v>23</v>
      </c>
      <c r="B9" s="35"/>
      <c r="C9" s="71"/>
      <c r="D9" s="72"/>
      <c r="E9" s="9"/>
    </row>
    <row r="10" spans="1:11" ht="15" customHeight="1" x14ac:dyDescent="0.3">
      <c r="A10" s="9" t="s">
        <v>24</v>
      </c>
      <c r="B10" s="35"/>
      <c r="C10" s="71"/>
      <c r="D10" s="72"/>
      <c r="E10" s="9"/>
    </row>
    <row r="11" spans="1:11" ht="15" customHeight="1" x14ac:dyDescent="0.3">
      <c r="A11" s="9" t="s">
        <v>25</v>
      </c>
      <c r="B11" s="35"/>
      <c r="C11" s="71"/>
      <c r="D11" s="72"/>
      <c r="E11" s="9"/>
    </row>
    <row r="12" spans="1:11" ht="15" customHeight="1" x14ac:dyDescent="0.3">
      <c r="A12" s="9" t="s">
        <v>26</v>
      </c>
      <c r="B12" s="35"/>
      <c r="C12" s="71"/>
      <c r="D12" s="72"/>
      <c r="E12" s="9"/>
    </row>
    <row r="13" spans="1:11" ht="15" customHeight="1" x14ac:dyDescent="0.3">
      <c r="A13" s="9" t="s">
        <v>27</v>
      </c>
      <c r="B13" s="35"/>
      <c r="C13" s="71"/>
      <c r="D13" s="72"/>
      <c r="E13" s="9"/>
    </row>
    <row r="14" spans="1:11" x14ac:dyDescent="0.3">
      <c r="A14" t="s">
        <v>28</v>
      </c>
    </row>
    <row r="16" spans="1:11" x14ac:dyDescent="0.3">
      <c r="A16" t="s">
        <v>315</v>
      </c>
    </row>
    <row r="17" spans="1:11" x14ac:dyDescent="0.3">
      <c r="A17" t="s">
        <v>15</v>
      </c>
      <c r="B17" t="s">
        <v>4</v>
      </c>
      <c r="C17" t="s">
        <v>5</v>
      </c>
      <c r="D17" t="s">
        <v>6</v>
      </c>
      <c r="E17" t="s">
        <v>7</v>
      </c>
      <c r="F17" t="s">
        <v>8</v>
      </c>
      <c r="G17" t="s">
        <v>9</v>
      </c>
      <c r="H17" t="s">
        <v>10</v>
      </c>
      <c r="I17" t="s">
        <v>11</v>
      </c>
    </row>
    <row r="18" spans="1:11" x14ac:dyDescent="0.3">
      <c r="A18" t="s">
        <v>19</v>
      </c>
      <c r="B18" s="75">
        <f>Inventario_Dinamico!B10</f>
        <v>2662</v>
      </c>
      <c r="C18" s="75">
        <f>Inventario_Dinamico!C10</f>
        <v>-3419838</v>
      </c>
      <c r="D18" s="75">
        <f>Inventario_Dinamico!D10</f>
        <v>-6335044838</v>
      </c>
      <c r="E18" s="75">
        <f>Inventario_Dinamico!E10</f>
        <v>-11719841294838</v>
      </c>
      <c r="F18" s="75">
        <f>Inventario_Dinamico!F10</f>
        <v>-11719841294838</v>
      </c>
      <c r="G18" s="75">
        <f>Inventario_Dinamico!G10</f>
        <v>-11719841294838</v>
      </c>
      <c r="H18" s="75">
        <f>Inventario_Dinamico!H10</f>
        <v>-11719841294838</v>
      </c>
      <c r="I18" s="75">
        <f>Inventario_Dinamico!I10</f>
        <v>-11719841296688</v>
      </c>
    </row>
    <row r="19" spans="1:11" x14ac:dyDescent="0.3">
      <c r="A19" t="s">
        <v>22</v>
      </c>
      <c r="B19" s="75">
        <f>Inventario_Dinamico!B16</f>
        <v>688</v>
      </c>
      <c r="C19" s="75">
        <f>Inventario_Dinamico!C16</f>
        <v>-683812</v>
      </c>
      <c r="D19" s="75">
        <f>Inventario_Dinamico!D16</f>
        <v>-1267008812</v>
      </c>
      <c r="E19" s="75">
        <f>Inventario_Dinamico!E16</f>
        <v>-2343968258812</v>
      </c>
      <c r="F19" s="75">
        <f>Inventario_Dinamico!F16</f>
        <v>-4336341280758812</v>
      </c>
      <c r="G19" s="75">
        <f>Inventario_Dinamico!G16</f>
        <v>-4336341280758812</v>
      </c>
      <c r="H19" s="75">
        <f>Inventario_Dinamico!H16</f>
        <v>-4336341280758812</v>
      </c>
      <c r="I19" s="75">
        <f>Inventario_Dinamico!I16</f>
        <v>-4336341280759182</v>
      </c>
    </row>
    <row r="20" spans="1:11" x14ac:dyDescent="0.3">
      <c r="A20" t="s">
        <v>23</v>
      </c>
      <c r="B20" s="75">
        <f>Inventario_Dinamico!B22</f>
        <v>111.5</v>
      </c>
      <c r="C20" s="75">
        <f>Inventario_Dinamico!C22</f>
        <v>-34113.5</v>
      </c>
      <c r="D20" s="75">
        <f>Inventario_Dinamico!D22</f>
        <v>-63350363.5</v>
      </c>
      <c r="E20" s="75">
        <f>Inventario_Dinamico!E22</f>
        <v>-117198412863.5</v>
      </c>
      <c r="F20" s="75">
        <f>Inventario_Dinamico!F22</f>
        <v>-216817064037863.5</v>
      </c>
      <c r="G20" s="75">
        <f>Inventario_Dinamico!G22</f>
        <v>-4.0111156847028787E+17</v>
      </c>
      <c r="H20" s="75">
        <f>Inventario_Dinamico!H22</f>
        <v>-7.4205640167003272E+20</v>
      </c>
      <c r="I20" s="75">
        <f>Inventario_Dinamico!I22</f>
        <v>-7.4205640167003272E+20</v>
      </c>
    </row>
    <row r="21" spans="1:11" x14ac:dyDescent="0.3">
      <c r="A21" t="s">
        <v>24</v>
      </c>
      <c r="B21" s="75">
        <f>Inventario_Dinamico!B28</f>
        <v>-9532</v>
      </c>
      <c r="C21" s="75">
        <f>Inventario_Dinamico!C28</f>
        <v>-27389532</v>
      </c>
      <c r="D21" s="75">
        <f>Inventario_Dinamico!D28</f>
        <v>-50680389532</v>
      </c>
      <c r="E21" s="75">
        <f>Inventario_Dinamico!E28</f>
        <v>-93758730389532</v>
      </c>
      <c r="F21" s="75">
        <f>Inventario_Dinamico!F28</f>
        <v>-1.7345365123038954E+17</v>
      </c>
      <c r="G21" s="75">
        <f>Inventario_Dinamico!G28</f>
        <v>-3.2088925477623038E+20</v>
      </c>
      <c r="H21" s="75">
        <f>Inventario_Dinamico!H28</f>
        <v>-5.9364512133602621E+23</v>
      </c>
      <c r="I21" s="75">
        <f>Inventario_Dinamico!I28</f>
        <v>-5.9364512133602621E+23</v>
      </c>
    </row>
    <row r="22" spans="1:11" x14ac:dyDescent="0.3">
      <c r="A22" t="s">
        <v>25</v>
      </c>
      <c r="B22" s="75">
        <f>Inventario_Dinamico!B34</f>
        <v>3778</v>
      </c>
      <c r="C22" s="75">
        <f>Inventario_Dinamico!C34</f>
        <v>-1022972</v>
      </c>
      <c r="D22" s="75">
        <f>Inventario_Dinamico!D34</f>
        <v>-1900510472</v>
      </c>
      <c r="E22" s="75">
        <f>Inventario_Dinamico!E34</f>
        <v>-3515952385472</v>
      </c>
      <c r="F22" s="75">
        <f>Inventario_Dinamico!F34</f>
        <v>-6504511921135472</v>
      </c>
      <c r="G22" s="75">
        <f>Inventario_Dinamico!G34</f>
        <v>-1.2033347054108635E+19</v>
      </c>
      <c r="H22" s="75">
        <f>Inventario_Dinamico!H34</f>
        <v>-2.2261692050100986E+22</v>
      </c>
      <c r="I22" s="75">
        <f>Inventario_Dinamico!I34</f>
        <v>-2.2261692050100986E+22</v>
      </c>
    </row>
    <row r="23" spans="1:11" x14ac:dyDescent="0.3">
      <c r="A23" t="s">
        <v>26</v>
      </c>
      <c r="B23" s="75">
        <f>Inventario_Dinamico!B40</f>
        <v>7377</v>
      </c>
      <c r="C23" s="75">
        <f>Inventario_Dinamico!C40</f>
        <v>-2046123</v>
      </c>
      <c r="D23" s="75">
        <f>Inventario_Dinamico!D40</f>
        <v>-3801021123</v>
      </c>
      <c r="E23" s="75">
        <f>Inventario_Dinamico!E40</f>
        <v>-7031904771123</v>
      </c>
      <c r="F23" s="75">
        <f>Inventario_Dinamico!F40</f>
        <v>-1.3009023842271124E+16</v>
      </c>
      <c r="G23" s="75">
        <f>Inventario_Dinamico!G40</f>
        <v>-2.406669410821727E+19</v>
      </c>
      <c r="H23" s="75">
        <f>Inventario_Dinamico!H40</f>
        <v>-4.4523384100201972E+22</v>
      </c>
      <c r="I23" s="75">
        <f>Inventario_Dinamico!I40</f>
        <v>-4.4523384100201972E+22</v>
      </c>
    </row>
    <row r="24" spans="1:11" x14ac:dyDescent="0.3">
      <c r="A24" t="s">
        <v>27</v>
      </c>
      <c r="B24" s="75">
        <f>Inventario_Dinamico!B46</f>
        <v>19492</v>
      </c>
      <c r="C24" s="75">
        <f>Inventario_Dinamico!C46</f>
        <v>-6825508</v>
      </c>
      <c r="D24" s="75">
        <f>Inventario_Dinamico!D46</f>
        <v>-12670075508</v>
      </c>
      <c r="E24" s="75">
        <f>Inventario_Dinamico!E46</f>
        <v>-23439682575508</v>
      </c>
      <c r="F24" s="75">
        <f>Inventario_Dinamico!F46</f>
        <v>-4.3363412807575504E+16</v>
      </c>
      <c r="G24" s="75">
        <f>Inventario_Dinamico!G46</f>
        <v>-8.0222313694057578E+19</v>
      </c>
      <c r="H24" s="75">
        <f>Inventario_Dinamico!H46</f>
        <v>-1.4841128033400655E+23</v>
      </c>
      <c r="I24" s="75">
        <f>Inventario_Dinamico!I46</f>
        <v>-1.4841128033400655E+23</v>
      </c>
    </row>
    <row r="25" spans="1:11" x14ac:dyDescent="0.3">
      <c r="A25" t="s">
        <v>28</v>
      </c>
      <c r="B25" s="75">
        <f>Inventario_Dinamico!B52</f>
        <v>4647.5</v>
      </c>
      <c r="C25" s="75">
        <f>Inventario_Dinamico!C52</f>
        <v>-2562227.5</v>
      </c>
      <c r="D25" s="75">
        <f>Inventario_Dinamico!D52</f>
        <v>-4751280977.5</v>
      </c>
      <c r="E25" s="75">
        <f>Inventario_Dinamico!E52</f>
        <v>-8789880968477.5</v>
      </c>
      <c r="F25" s="75">
        <f>Inventario_Dinamico!F52</f>
        <v>-1.6261279802843478E+16</v>
      </c>
      <c r="G25" s="75">
        <f>Inventario_Dinamico!G52</f>
        <v>-3.0083367635271594E+19</v>
      </c>
      <c r="H25" s="75">
        <f>Inventario_Dinamico!H52</f>
        <v>-5.5654230125252467E+22</v>
      </c>
      <c r="I25" s="75">
        <f>Inventario_Dinamico!I52</f>
        <v>-5.5654230125252467E+22</v>
      </c>
    </row>
    <row r="27" spans="1:11" x14ac:dyDescent="0.3">
      <c r="A27" t="s">
        <v>316</v>
      </c>
    </row>
    <row r="28" spans="1:11" x14ac:dyDescent="0.3">
      <c r="A28" t="s">
        <v>15</v>
      </c>
      <c r="B28" t="s">
        <v>4</v>
      </c>
      <c r="C28" t="s">
        <v>5</v>
      </c>
      <c r="D28" t="s">
        <v>6</v>
      </c>
      <c r="E28" t="s">
        <v>7</v>
      </c>
      <c r="F28" t="s">
        <v>8</v>
      </c>
      <c r="G28" t="s">
        <v>9</v>
      </c>
      <c r="H28" t="s">
        <v>10</v>
      </c>
      <c r="I28" t="s">
        <v>11</v>
      </c>
      <c r="J28" t="s">
        <v>317</v>
      </c>
      <c r="K28" t="s">
        <v>318</v>
      </c>
    </row>
    <row r="29" spans="1:11" x14ac:dyDescent="0.3">
      <c r="A29" t="s">
        <v>19</v>
      </c>
      <c r="B29" s="75">
        <f t="shared" ref="B29:B36" si="0">B7-B18</f>
        <v>-2662</v>
      </c>
      <c r="C29" s="75">
        <f t="shared" ref="C29:I29" si="1">C7-C18</f>
        <v>3419838</v>
      </c>
      <c r="D29" s="75">
        <f t="shared" si="1"/>
        <v>6335044838</v>
      </c>
      <c r="E29" s="75">
        <f t="shared" si="1"/>
        <v>11719841294838</v>
      </c>
      <c r="F29" s="75">
        <f t="shared" si="1"/>
        <v>11719841294838</v>
      </c>
      <c r="G29" s="75">
        <f t="shared" si="1"/>
        <v>11719841294838</v>
      </c>
      <c r="H29" s="75">
        <f t="shared" si="1"/>
        <v>11719841294838</v>
      </c>
      <c r="I29" s="75">
        <f t="shared" si="1"/>
        <v>11719841296688</v>
      </c>
      <c r="J29" t="e">
        <f>SUM(ABS(B29:I29))</f>
        <v>#VALUE!</v>
      </c>
      <c r="K29" t="e">
        <f>IF(J29&gt;$K$5,"REVISAR","OK")</f>
        <v>#VALUE!</v>
      </c>
    </row>
    <row r="30" spans="1:11" x14ac:dyDescent="0.3">
      <c r="A30" t="s">
        <v>22</v>
      </c>
      <c r="B30" s="75">
        <f t="shared" si="0"/>
        <v>-688</v>
      </c>
      <c r="C30" s="75">
        <f t="shared" ref="C30:I30" si="2">C8-C19</f>
        <v>683812</v>
      </c>
      <c r="D30" s="75">
        <f t="shared" si="2"/>
        <v>1267008812</v>
      </c>
      <c r="E30" s="75">
        <f t="shared" si="2"/>
        <v>2343968258812</v>
      </c>
      <c r="F30" s="75">
        <f t="shared" si="2"/>
        <v>4336341280758812</v>
      </c>
      <c r="G30" s="75">
        <f t="shared" si="2"/>
        <v>4336341280758812</v>
      </c>
      <c r="H30" s="75">
        <f t="shared" si="2"/>
        <v>4336341280758812</v>
      </c>
      <c r="I30" s="75">
        <f t="shared" si="2"/>
        <v>4336341280759182</v>
      </c>
      <c r="J30" t="e">
        <f t="shared" ref="J30:J36" si="3">SUM(ABS(B30:I30))</f>
        <v>#VALUE!</v>
      </c>
      <c r="K30" t="e">
        <f t="shared" ref="K30:K36" si="4">IF(J30&gt;$K$5,"REVISAR","OK")</f>
        <v>#VALUE!</v>
      </c>
    </row>
    <row r="31" spans="1:11" x14ac:dyDescent="0.3">
      <c r="A31" t="s">
        <v>23</v>
      </c>
      <c r="B31" s="75">
        <f t="shared" si="0"/>
        <v>-111.5</v>
      </c>
      <c r="C31" s="75">
        <f t="shared" ref="C31:I31" si="5">C9-C20</f>
        <v>34113.5</v>
      </c>
      <c r="D31" s="75">
        <f t="shared" si="5"/>
        <v>63350363.5</v>
      </c>
      <c r="E31" s="75">
        <f t="shared" si="5"/>
        <v>117198412863.5</v>
      </c>
      <c r="F31" s="75">
        <f t="shared" si="5"/>
        <v>216817064037863.5</v>
      </c>
      <c r="G31" s="75">
        <f t="shared" si="5"/>
        <v>4.0111156847028787E+17</v>
      </c>
      <c r="H31" s="75">
        <f t="shared" si="5"/>
        <v>7.4205640167003272E+20</v>
      </c>
      <c r="I31" s="75">
        <f t="shared" si="5"/>
        <v>7.4205640167003272E+20</v>
      </c>
      <c r="J31" t="e">
        <f t="shared" si="3"/>
        <v>#VALUE!</v>
      </c>
      <c r="K31" t="e">
        <f t="shared" si="4"/>
        <v>#VALUE!</v>
      </c>
    </row>
    <row r="32" spans="1:11" x14ac:dyDescent="0.3">
      <c r="A32" t="s">
        <v>24</v>
      </c>
      <c r="B32" s="75">
        <f t="shared" si="0"/>
        <v>9532</v>
      </c>
      <c r="C32" s="75">
        <f t="shared" ref="C32:I32" si="6">C10-C21</f>
        <v>27389532</v>
      </c>
      <c r="D32" s="75">
        <f t="shared" si="6"/>
        <v>50680389532</v>
      </c>
      <c r="E32" s="75">
        <f t="shared" si="6"/>
        <v>93758730389532</v>
      </c>
      <c r="F32" s="75">
        <f t="shared" si="6"/>
        <v>1.7345365123038954E+17</v>
      </c>
      <c r="G32" s="75">
        <f t="shared" si="6"/>
        <v>3.2088925477623038E+20</v>
      </c>
      <c r="H32" s="75">
        <f t="shared" si="6"/>
        <v>5.9364512133602621E+23</v>
      </c>
      <c r="I32" s="75">
        <f t="shared" si="6"/>
        <v>5.9364512133602621E+23</v>
      </c>
      <c r="J32" t="e">
        <f t="shared" si="3"/>
        <v>#VALUE!</v>
      </c>
      <c r="K32" t="e">
        <f t="shared" si="4"/>
        <v>#VALUE!</v>
      </c>
    </row>
    <row r="33" spans="1:11" x14ac:dyDescent="0.3">
      <c r="A33" t="s">
        <v>25</v>
      </c>
      <c r="B33" s="75">
        <f t="shared" si="0"/>
        <v>-3778</v>
      </c>
      <c r="C33" s="75">
        <f t="shared" ref="C33:I33" si="7">C11-C22</f>
        <v>1022972</v>
      </c>
      <c r="D33" s="75">
        <f t="shared" si="7"/>
        <v>1900510472</v>
      </c>
      <c r="E33" s="75">
        <f t="shared" si="7"/>
        <v>3515952385472</v>
      </c>
      <c r="F33" s="75">
        <f t="shared" si="7"/>
        <v>6504511921135472</v>
      </c>
      <c r="G33" s="75">
        <f t="shared" si="7"/>
        <v>1.2033347054108635E+19</v>
      </c>
      <c r="H33" s="75">
        <f t="shared" si="7"/>
        <v>2.2261692050100986E+22</v>
      </c>
      <c r="I33" s="75">
        <f t="shared" si="7"/>
        <v>2.2261692050100986E+22</v>
      </c>
      <c r="J33" t="e">
        <f t="shared" si="3"/>
        <v>#VALUE!</v>
      </c>
      <c r="K33" t="e">
        <f t="shared" si="4"/>
        <v>#VALUE!</v>
      </c>
    </row>
    <row r="34" spans="1:11" x14ac:dyDescent="0.3">
      <c r="A34" t="s">
        <v>26</v>
      </c>
      <c r="B34" s="75">
        <f t="shared" si="0"/>
        <v>-7377</v>
      </c>
      <c r="C34" s="75">
        <f t="shared" ref="C34:I34" si="8">C12-C23</f>
        <v>2046123</v>
      </c>
      <c r="D34" s="75">
        <f t="shared" si="8"/>
        <v>3801021123</v>
      </c>
      <c r="E34" s="75">
        <f t="shared" si="8"/>
        <v>7031904771123</v>
      </c>
      <c r="F34" s="75">
        <f t="shared" si="8"/>
        <v>1.3009023842271124E+16</v>
      </c>
      <c r="G34" s="75">
        <f t="shared" si="8"/>
        <v>2.406669410821727E+19</v>
      </c>
      <c r="H34" s="75">
        <f t="shared" si="8"/>
        <v>4.4523384100201972E+22</v>
      </c>
      <c r="I34" s="75">
        <f t="shared" si="8"/>
        <v>4.4523384100201972E+22</v>
      </c>
      <c r="J34" t="e">
        <f t="shared" si="3"/>
        <v>#VALUE!</v>
      </c>
      <c r="K34" t="e">
        <f t="shared" si="4"/>
        <v>#VALUE!</v>
      </c>
    </row>
    <row r="35" spans="1:11" x14ac:dyDescent="0.3">
      <c r="A35" t="s">
        <v>27</v>
      </c>
      <c r="B35" s="75">
        <f t="shared" si="0"/>
        <v>-19492</v>
      </c>
      <c r="C35" s="75">
        <f t="shared" ref="C35:I35" si="9">C13-C24</f>
        <v>6825508</v>
      </c>
      <c r="D35" s="75">
        <f t="shared" si="9"/>
        <v>12670075508</v>
      </c>
      <c r="E35" s="75">
        <f t="shared" si="9"/>
        <v>23439682575508</v>
      </c>
      <c r="F35" s="75">
        <f t="shared" si="9"/>
        <v>4.3363412807575504E+16</v>
      </c>
      <c r="G35" s="75">
        <f t="shared" si="9"/>
        <v>8.0222313694057578E+19</v>
      </c>
      <c r="H35" s="75">
        <f t="shared" si="9"/>
        <v>1.4841128033400655E+23</v>
      </c>
      <c r="I35" s="75">
        <f t="shared" si="9"/>
        <v>1.4841128033400655E+23</v>
      </c>
      <c r="J35" t="e">
        <f t="shared" si="3"/>
        <v>#VALUE!</v>
      </c>
      <c r="K35" t="e">
        <f t="shared" si="4"/>
        <v>#VALUE!</v>
      </c>
    </row>
    <row r="36" spans="1:11" x14ac:dyDescent="0.3">
      <c r="A36" t="s">
        <v>28</v>
      </c>
      <c r="B36" s="75">
        <f t="shared" si="0"/>
        <v>-4647.5</v>
      </c>
      <c r="C36" s="75">
        <f t="shared" ref="C36:I36" si="10">C14-C25</f>
        <v>2562227.5</v>
      </c>
      <c r="D36" s="75">
        <f t="shared" si="10"/>
        <v>4751280977.5</v>
      </c>
      <c r="E36" s="75">
        <f t="shared" si="10"/>
        <v>8789880968477.5</v>
      </c>
      <c r="F36" s="75">
        <f t="shared" si="10"/>
        <v>1.6261279802843478E+16</v>
      </c>
      <c r="G36" s="75">
        <f t="shared" si="10"/>
        <v>3.0083367635271594E+19</v>
      </c>
      <c r="H36" s="75">
        <f t="shared" si="10"/>
        <v>5.5654230125252467E+22</v>
      </c>
      <c r="I36" s="75">
        <f t="shared" si="10"/>
        <v>5.5654230125252467E+22</v>
      </c>
      <c r="J36" t="e">
        <f t="shared" si="3"/>
        <v>#VALUE!</v>
      </c>
      <c r="K36" t="e">
        <f t="shared" si="4"/>
        <v>#VALUE!</v>
      </c>
    </row>
    <row r="37" spans="1:11" x14ac:dyDescent="0.3">
      <c r="A37" t="s">
        <v>319</v>
      </c>
      <c r="J37" t="e">
        <f>SUM(J29:J36)</f>
        <v>#VALUE!</v>
      </c>
      <c r="K37" t="e">
        <f>IF(J37&gt;$K$5*8,"REVISAR","OK")</f>
        <v>#VALUE!</v>
      </c>
    </row>
  </sheetData>
  <mergeCells count="3">
    <mergeCell ref="A1:H1"/>
    <mergeCell ref="A2:H2"/>
    <mergeCell ref="A4:H4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7"/>
  <sheetViews>
    <sheetView zoomScaleNormal="100" workbookViewId="0">
      <selection sqref="A1:G1"/>
    </sheetView>
  </sheetViews>
  <sheetFormatPr baseColWidth="10" defaultColWidth="8.6640625" defaultRowHeight="14.4" x14ac:dyDescent="0.3"/>
  <cols>
    <col min="1" max="1" width="15" customWidth="1"/>
  </cols>
  <sheetData>
    <row r="1" spans="1:7" ht="17.25" customHeight="1" x14ac:dyDescent="0.3">
      <c r="A1" s="95" t="s">
        <v>293</v>
      </c>
      <c r="B1" s="95"/>
      <c r="C1" s="95"/>
      <c r="D1" s="95"/>
      <c r="E1" s="95"/>
      <c r="F1" s="95"/>
      <c r="G1" s="95"/>
    </row>
    <row r="2" spans="1:7" ht="15" customHeight="1" x14ac:dyDescent="0.3">
      <c r="A2" s="81" t="s">
        <v>294</v>
      </c>
      <c r="B2" s="81"/>
      <c r="C2" s="81"/>
      <c r="D2" s="81"/>
      <c r="E2" s="81"/>
      <c r="F2" s="81"/>
      <c r="G2" s="81"/>
    </row>
    <row r="4" spans="1:7" ht="15" customHeight="1" x14ac:dyDescent="0.3">
      <c r="A4" s="78" t="s">
        <v>295</v>
      </c>
      <c r="B4" s="78"/>
      <c r="C4" s="78"/>
      <c r="D4" s="78"/>
      <c r="E4" s="78"/>
      <c r="F4" s="78"/>
      <c r="G4" s="78"/>
    </row>
    <row r="5" spans="1:7" ht="15" customHeight="1" x14ac:dyDescent="0.3">
      <c r="A5" s="8" t="s">
        <v>15</v>
      </c>
      <c r="B5" s="8" t="s">
        <v>296</v>
      </c>
      <c r="C5" s="8" t="s">
        <v>297</v>
      </c>
      <c r="D5" s="8" t="s">
        <v>298</v>
      </c>
      <c r="E5" s="8" t="s">
        <v>299</v>
      </c>
      <c r="F5" s="8" t="s">
        <v>122</v>
      </c>
      <c r="G5" s="8" t="s">
        <v>300</v>
      </c>
    </row>
    <row r="6" spans="1:7" ht="15" customHeight="1" x14ac:dyDescent="0.3">
      <c r="A6" s="9" t="s">
        <v>19</v>
      </c>
      <c r="B6" s="73">
        <v>3.67</v>
      </c>
      <c r="C6" s="73">
        <v>6.18</v>
      </c>
      <c r="D6" s="73">
        <v>3.58</v>
      </c>
      <c r="E6" s="74" t="str">
        <f>Inputs!B69</f>
        <v>A</v>
      </c>
      <c r="F6" s="71">
        <f>SUM(Compras_y_Lotes!G18:G25)</f>
        <v>0</v>
      </c>
      <c r="G6" s="72">
        <f>IFERROR(F6*CHOOSE(MATCH(E6,{"A","B","C"},0),B6,C6,D6),0)</f>
        <v>0</v>
      </c>
    </row>
    <row r="7" spans="1:7" ht="15" customHeight="1" x14ac:dyDescent="0.3">
      <c r="A7" s="9" t="s">
        <v>22</v>
      </c>
      <c r="B7" s="73">
        <v>5.46</v>
      </c>
      <c r="C7" s="73">
        <v>8.33</v>
      </c>
      <c r="D7" s="73">
        <v>5.33</v>
      </c>
      <c r="E7" s="74" t="str">
        <f>Inputs!B77</f>
        <v>A</v>
      </c>
      <c r="F7" s="71">
        <f>SUM(Compras_y_Lotes!G26:G33)</f>
        <v>0</v>
      </c>
      <c r="G7" s="72">
        <f>IFERROR(F7*CHOOSE(MATCH(E7,{"A","B","C"},0),B7,C7,D7),0)</f>
        <v>0</v>
      </c>
    </row>
  </sheetData>
  <mergeCells count="3">
    <mergeCell ref="A1:G1"/>
    <mergeCell ref="A2:G2"/>
    <mergeCell ref="A4:G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Inputs</vt:lpstr>
      <vt:lpstr>BOM_Consumo</vt:lpstr>
      <vt:lpstr>Inventario_Dinamico</vt:lpstr>
      <vt:lpstr>Compras_y_Lotes</vt:lpstr>
      <vt:lpstr>Costos</vt:lpstr>
      <vt:lpstr>Cashflow_Compras</vt:lpstr>
      <vt:lpstr>Escenarios</vt:lpstr>
      <vt:lpstr>Analisis_Proveedores</vt:lpstr>
      <vt:lpstr>Dashboard</vt:lpstr>
      <vt:lpstr>Riesgo_Proveedor_B</vt:lpstr>
      <vt:lpstr>Cashflow_Integrado</vt:lpstr>
      <vt:lpstr>EXSIM_Upload</vt:lpstr>
      <vt:lpstr>Multi_Planta</vt:lpstr>
      <vt:lpstr>MRP_LeadTimes</vt:lpstr>
      <vt:lpstr>Reconciliacion</vt:lpstr>
      <vt:lpstr>ESG_CO2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Alberto Daniel Quiroga Villalobos</cp:lastModifiedBy>
  <cp:revision>0</cp:revision>
  <dcterms:created xsi:type="dcterms:W3CDTF">2026-01-12T17:03:36Z</dcterms:created>
  <dcterms:modified xsi:type="dcterms:W3CDTF">2026-01-12T21:21:16Z</dcterms:modified>
  <dc:language>en-US</dc:language>
</cp:coreProperties>
</file>