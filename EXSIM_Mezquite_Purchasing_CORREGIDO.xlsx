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1452" documentId="11_300C377E292435E26BC7E9727970CF20457E0EE2" xr6:coauthVersionLast="47" xr6:coauthVersionMax="47" xr10:uidLastSave="{9E874E53-20F8-40C6-9FB0-788DAACAD874}"/>
  <bookViews>
    <workbookView xWindow="-108" yWindow="-108" windowWidth="23256" windowHeight="12456" tabRatio="500" xr2:uid="{00000000-000D-0000-FFFF-FFFF00000000}"/>
  </bookViews>
  <sheets>
    <sheet name="BUYING_PLAN_FINAL" sheetId="18" r:id="rId1"/>
    <sheet name="MRP_NetReq" sheetId="17" r:id="rId2"/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8" l="1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J113" i="17"/>
  <c r="E112" i="17"/>
  <c r="E113" i="17" s="1"/>
  <c r="F112" i="17"/>
  <c r="F113" i="17" s="1"/>
  <c r="G112" i="17"/>
  <c r="G113" i="17" s="1"/>
  <c r="H112" i="17"/>
  <c r="H113" i="17" s="1"/>
  <c r="I112" i="17"/>
  <c r="I113" i="17" s="1"/>
  <c r="J112" i="17"/>
  <c r="K112" i="17"/>
  <c r="K113" i="17" s="1"/>
  <c r="D112" i="17"/>
  <c r="D114" i="17" s="1"/>
  <c r="E110" i="17" s="1"/>
  <c r="D111" i="17"/>
  <c r="D110" i="17"/>
  <c r="D109" i="17"/>
  <c r="E109" i="17"/>
  <c r="F109" i="17"/>
  <c r="G109" i="17"/>
  <c r="H109" i="17"/>
  <c r="I109" i="17"/>
  <c r="J109" i="17"/>
  <c r="K109" i="17"/>
  <c r="D108" i="17"/>
  <c r="E108" i="17"/>
  <c r="F108" i="17"/>
  <c r="G108" i="17"/>
  <c r="H108" i="17"/>
  <c r="I108" i="17"/>
  <c r="J108" i="17"/>
  <c r="K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E105" i="17"/>
  <c r="E106" i="17" s="1"/>
  <c r="F105" i="17"/>
  <c r="F106" i="17" s="1"/>
  <c r="G105" i="17"/>
  <c r="G106" i="17" s="1"/>
  <c r="H105" i="17"/>
  <c r="H106" i="17" s="1"/>
  <c r="I105" i="17"/>
  <c r="I106" i="17" s="1"/>
  <c r="J105" i="17"/>
  <c r="J106" i="17" s="1"/>
  <c r="K105" i="17"/>
  <c r="K106" i="17" s="1"/>
  <c r="D105" i="17"/>
  <c r="D107" i="17" s="1"/>
  <c r="E103" i="17" s="1"/>
  <c r="D104" i="17"/>
  <c r="D103" i="17"/>
  <c r="D102" i="17"/>
  <c r="E102" i="17"/>
  <c r="F102" i="17"/>
  <c r="G102" i="17"/>
  <c r="H102" i="17"/>
  <c r="I102" i="17"/>
  <c r="J102" i="17"/>
  <c r="K102" i="17"/>
  <c r="D101" i="17"/>
  <c r="E101" i="17"/>
  <c r="F101" i="17"/>
  <c r="G101" i="17"/>
  <c r="H101" i="17"/>
  <c r="I101" i="17"/>
  <c r="J101" i="17"/>
  <c r="K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E99" i="17"/>
  <c r="H99" i="17"/>
  <c r="K99" i="17"/>
  <c r="E98" i="17"/>
  <c r="F98" i="17"/>
  <c r="F99" i="17" s="1"/>
  <c r="G98" i="17"/>
  <c r="G99" i="17" s="1"/>
  <c r="H98" i="17"/>
  <c r="I98" i="17"/>
  <c r="I99" i="17" s="1"/>
  <c r="J98" i="17"/>
  <c r="J99" i="17" s="1"/>
  <c r="K98" i="17"/>
  <c r="D98" i="17"/>
  <c r="D100" i="17" s="1"/>
  <c r="E96" i="17" s="1"/>
  <c r="D97" i="17"/>
  <c r="D96" i="17"/>
  <c r="D95" i="17"/>
  <c r="E95" i="17"/>
  <c r="F95" i="17"/>
  <c r="G95" i="17"/>
  <c r="H95" i="17"/>
  <c r="I95" i="17"/>
  <c r="J95" i="17"/>
  <c r="K95" i="17"/>
  <c r="D94" i="17"/>
  <c r="E94" i="17"/>
  <c r="F94" i="17"/>
  <c r="G94" i="17"/>
  <c r="H94" i="17"/>
  <c r="I94" i="17"/>
  <c r="J94" i="17"/>
  <c r="K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K92" i="17"/>
  <c r="E91" i="17"/>
  <c r="E92" i="17" s="1"/>
  <c r="F91" i="17"/>
  <c r="F92" i="17" s="1"/>
  <c r="G91" i="17"/>
  <c r="G92" i="17" s="1"/>
  <c r="H91" i="17"/>
  <c r="H92" i="17" s="1"/>
  <c r="I91" i="17"/>
  <c r="I92" i="17" s="1"/>
  <c r="J91" i="17"/>
  <c r="J92" i="17" s="1"/>
  <c r="K91" i="17"/>
  <c r="D91" i="17"/>
  <c r="D93" i="17" s="1"/>
  <c r="E89" i="17" s="1"/>
  <c r="D90" i="17"/>
  <c r="D89" i="17"/>
  <c r="D88" i="17"/>
  <c r="E88" i="17"/>
  <c r="F88" i="17"/>
  <c r="G88" i="17"/>
  <c r="H88" i="17"/>
  <c r="I88" i="17"/>
  <c r="J88" i="17"/>
  <c r="K88" i="17"/>
  <c r="D87" i="17"/>
  <c r="E87" i="17"/>
  <c r="F87" i="17"/>
  <c r="G87" i="17"/>
  <c r="H87" i="17"/>
  <c r="I87" i="17"/>
  <c r="J87" i="17"/>
  <c r="K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E84" i="17"/>
  <c r="E85" i="17" s="1"/>
  <c r="F84" i="17"/>
  <c r="F85" i="17" s="1"/>
  <c r="G84" i="17"/>
  <c r="G85" i="17" s="1"/>
  <c r="H84" i="17"/>
  <c r="H85" i="17" s="1"/>
  <c r="I84" i="17"/>
  <c r="I85" i="17" s="1"/>
  <c r="J84" i="17"/>
  <c r="J85" i="17" s="1"/>
  <c r="K84" i="17"/>
  <c r="K85" i="17" s="1"/>
  <c r="D84" i="17"/>
  <c r="D86" i="17" s="1"/>
  <c r="E82" i="17" s="1"/>
  <c r="D83" i="17"/>
  <c r="D82" i="17"/>
  <c r="D81" i="17"/>
  <c r="E81" i="17"/>
  <c r="F81" i="17"/>
  <c r="G81" i="17"/>
  <c r="H81" i="17"/>
  <c r="I81" i="17"/>
  <c r="J81" i="17"/>
  <c r="K81" i="17"/>
  <c r="D80" i="17"/>
  <c r="E80" i="17"/>
  <c r="F80" i="17"/>
  <c r="G80" i="17"/>
  <c r="H80" i="17"/>
  <c r="I80" i="17"/>
  <c r="J80" i="17"/>
  <c r="K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G78" i="17"/>
  <c r="K78" i="17"/>
  <c r="E77" i="17"/>
  <c r="E78" i="17" s="1"/>
  <c r="F77" i="17"/>
  <c r="F78" i="17" s="1"/>
  <c r="G77" i="17"/>
  <c r="H77" i="17"/>
  <c r="H78" i="17" s="1"/>
  <c r="I77" i="17"/>
  <c r="I78" i="17" s="1"/>
  <c r="J77" i="17"/>
  <c r="J78" i="17" s="1"/>
  <c r="K77" i="17"/>
  <c r="D77" i="17"/>
  <c r="D79" i="17" s="1"/>
  <c r="E75" i="17" s="1"/>
  <c r="D76" i="17"/>
  <c r="D75" i="17"/>
  <c r="D74" i="17"/>
  <c r="E74" i="17"/>
  <c r="F74" i="17"/>
  <c r="G74" i="17"/>
  <c r="H74" i="17"/>
  <c r="I74" i="17"/>
  <c r="J74" i="17"/>
  <c r="K74" i="17"/>
  <c r="D73" i="17"/>
  <c r="E73" i="17"/>
  <c r="F73" i="17"/>
  <c r="G73" i="17"/>
  <c r="H73" i="17"/>
  <c r="I73" i="17"/>
  <c r="J73" i="17"/>
  <c r="K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D70" i="17"/>
  <c r="D72" i="17" s="1"/>
  <c r="E68" i="17" s="1"/>
  <c r="E69" i="17" s="1"/>
  <c r="E70" i="17" s="1"/>
  <c r="E71" i="17" s="1"/>
  <c r="D69" i="17"/>
  <c r="D68" i="17"/>
  <c r="D67" i="17"/>
  <c r="E67" i="17"/>
  <c r="F67" i="17"/>
  <c r="G67" i="17"/>
  <c r="H67" i="17"/>
  <c r="I67" i="17"/>
  <c r="J67" i="17"/>
  <c r="K67" i="17"/>
  <c r="D66" i="17"/>
  <c r="E66" i="17"/>
  <c r="F66" i="17"/>
  <c r="G66" i="17"/>
  <c r="H66" i="17"/>
  <c r="I66" i="17"/>
  <c r="J66" i="17"/>
  <c r="K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D63" i="17"/>
  <c r="D65" i="17" s="1"/>
  <c r="E61" i="17" s="1"/>
  <c r="E62" i="17" s="1"/>
  <c r="E63" i="17" s="1"/>
  <c r="E64" i="17" s="1"/>
  <c r="D62" i="17"/>
  <c r="D61" i="17"/>
  <c r="D60" i="17"/>
  <c r="E60" i="17"/>
  <c r="F60" i="17"/>
  <c r="G60" i="17"/>
  <c r="H60" i="17"/>
  <c r="I60" i="17"/>
  <c r="J60" i="17"/>
  <c r="K60" i="17"/>
  <c r="D59" i="17"/>
  <c r="E59" i="17"/>
  <c r="F59" i="17"/>
  <c r="G59" i="17"/>
  <c r="H59" i="17"/>
  <c r="I59" i="17"/>
  <c r="J59" i="17"/>
  <c r="K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H57" i="17"/>
  <c r="J57" i="17"/>
  <c r="E56" i="17"/>
  <c r="E57" i="17" s="1"/>
  <c r="F56" i="17"/>
  <c r="F57" i="17" s="1"/>
  <c r="G56" i="17"/>
  <c r="G57" i="17" s="1"/>
  <c r="H56" i="17"/>
  <c r="I56" i="17"/>
  <c r="I57" i="17" s="1"/>
  <c r="J56" i="17"/>
  <c r="K56" i="17"/>
  <c r="K57" i="17" s="1"/>
  <c r="D56" i="17"/>
  <c r="D58" i="17" s="1"/>
  <c r="E54" i="17" s="1"/>
  <c r="D55" i="17"/>
  <c r="D54" i="17"/>
  <c r="D53" i="17"/>
  <c r="E53" i="17"/>
  <c r="F53" i="17"/>
  <c r="G53" i="17"/>
  <c r="H53" i="17"/>
  <c r="I53" i="17"/>
  <c r="J53" i="17"/>
  <c r="K53" i="17"/>
  <c r="D52" i="17"/>
  <c r="E52" i="17"/>
  <c r="F52" i="17"/>
  <c r="G52" i="17"/>
  <c r="H52" i="17"/>
  <c r="I52" i="17"/>
  <c r="J52" i="17"/>
  <c r="K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H50" i="17"/>
  <c r="I50" i="17"/>
  <c r="E49" i="17"/>
  <c r="E50" i="17" s="1"/>
  <c r="F49" i="17"/>
  <c r="F50" i="17" s="1"/>
  <c r="G49" i="17"/>
  <c r="G50" i="17" s="1"/>
  <c r="H49" i="17"/>
  <c r="I49" i="17"/>
  <c r="J49" i="17"/>
  <c r="J50" i="17" s="1"/>
  <c r="K49" i="17"/>
  <c r="K50" i="17" s="1"/>
  <c r="D49" i="17"/>
  <c r="D51" i="17" s="1"/>
  <c r="E47" i="17" s="1"/>
  <c r="D48" i="17"/>
  <c r="D47" i="17"/>
  <c r="D46" i="17"/>
  <c r="E46" i="17"/>
  <c r="F46" i="17"/>
  <c r="G46" i="17"/>
  <c r="H46" i="17"/>
  <c r="I46" i="17"/>
  <c r="J46" i="17"/>
  <c r="K46" i="17"/>
  <c r="D45" i="17"/>
  <c r="E45" i="17"/>
  <c r="F45" i="17"/>
  <c r="G45" i="17"/>
  <c r="H45" i="17"/>
  <c r="I45" i="17"/>
  <c r="J45" i="17"/>
  <c r="K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I43" i="17"/>
  <c r="J43" i="17"/>
  <c r="K43" i="17"/>
  <c r="E42" i="17"/>
  <c r="E43" i="17" s="1"/>
  <c r="F42" i="17"/>
  <c r="F43" i="17" s="1"/>
  <c r="G42" i="17"/>
  <c r="G43" i="17" s="1"/>
  <c r="H42" i="17"/>
  <c r="H43" i="17" s="1"/>
  <c r="I42" i="17"/>
  <c r="J42" i="17"/>
  <c r="K42" i="17"/>
  <c r="D42" i="17"/>
  <c r="D44" i="17" s="1"/>
  <c r="E40" i="17" s="1"/>
  <c r="E44" i="17" s="1"/>
  <c r="F40" i="17" s="1"/>
  <c r="D41" i="17"/>
  <c r="D40" i="17"/>
  <c r="D39" i="17"/>
  <c r="E39" i="17"/>
  <c r="F39" i="17"/>
  <c r="G39" i="17"/>
  <c r="H39" i="17"/>
  <c r="I39" i="17"/>
  <c r="J39" i="17"/>
  <c r="K39" i="17"/>
  <c r="D38" i="17"/>
  <c r="E38" i="17"/>
  <c r="F38" i="17"/>
  <c r="G38" i="17"/>
  <c r="H38" i="17"/>
  <c r="I38" i="17"/>
  <c r="J38" i="17"/>
  <c r="K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I36" i="17"/>
  <c r="J36" i="17"/>
  <c r="K36" i="17"/>
  <c r="E35" i="17"/>
  <c r="E36" i="17" s="1"/>
  <c r="F35" i="17"/>
  <c r="F36" i="17" s="1"/>
  <c r="G35" i="17"/>
  <c r="G36" i="17" s="1"/>
  <c r="H35" i="17"/>
  <c r="H36" i="17" s="1"/>
  <c r="I35" i="17"/>
  <c r="J35" i="17"/>
  <c r="K35" i="17"/>
  <c r="D35" i="17"/>
  <c r="D37" i="17" s="1"/>
  <c r="E33" i="17" s="1"/>
  <c r="D34" i="17"/>
  <c r="D33" i="17"/>
  <c r="D32" i="17"/>
  <c r="E32" i="17"/>
  <c r="F32" i="17"/>
  <c r="G32" i="17"/>
  <c r="H32" i="17"/>
  <c r="I32" i="17"/>
  <c r="J32" i="17"/>
  <c r="K32" i="17"/>
  <c r="D31" i="17"/>
  <c r="E31" i="17"/>
  <c r="F31" i="17"/>
  <c r="G31" i="17"/>
  <c r="H31" i="17"/>
  <c r="I31" i="17"/>
  <c r="J31" i="17"/>
  <c r="K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D28" i="17" s="1"/>
  <c r="I29" i="17"/>
  <c r="E28" i="17"/>
  <c r="E29" i="17" s="1"/>
  <c r="F28" i="17"/>
  <c r="F29" i="17" s="1"/>
  <c r="G28" i="17"/>
  <c r="G29" i="17" s="1"/>
  <c r="H28" i="17"/>
  <c r="H29" i="17" s="1"/>
  <c r="I28" i="17"/>
  <c r="J28" i="17"/>
  <c r="J29" i="17" s="1"/>
  <c r="K28" i="17"/>
  <c r="K29" i="17" s="1"/>
  <c r="D27" i="17"/>
  <c r="D26" i="17"/>
  <c r="D25" i="17"/>
  <c r="E25" i="17"/>
  <c r="F25" i="17"/>
  <c r="G25" i="17"/>
  <c r="H25" i="17"/>
  <c r="I25" i="17"/>
  <c r="J25" i="17"/>
  <c r="K25" i="17"/>
  <c r="D24" i="17"/>
  <c r="E24" i="17"/>
  <c r="F24" i="17"/>
  <c r="G24" i="17"/>
  <c r="H24" i="17"/>
  <c r="I24" i="17"/>
  <c r="J24" i="17"/>
  <c r="K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D22" i="17"/>
  <c r="J22" i="17"/>
  <c r="E21" i="17"/>
  <c r="E22" i="17" s="1"/>
  <c r="F21" i="17"/>
  <c r="F22" i="17" s="1"/>
  <c r="G21" i="17"/>
  <c r="G22" i="17" s="1"/>
  <c r="H21" i="17"/>
  <c r="H22" i="17" s="1"/>
  <c r="I21" i="17"/>
  <c r="I22" i="17" s="1"/>
  <c r="J21" i="17"/>
  <c r="K21" i="17"/>
  <c r="K22" i="17" s="1"/>
  <c r="D21" i="17"/>
  <c r="D23" i="17" s="1"/>
  <c r="E19" i="17" s="1"/>
  <c r="D20" i="17"/>
  <c r="D19" i="17"/>
  <c r="D18" i="17"/>
  <c r="E18" i="17"/>
  <c r="F18" i="17"/>
  <c r="G18" i="17"/>
  <c r="H18" i="17"/>
  <c r="I18" i="17"/>
  <c r="J18" i="17"/>
  <c r="K18" i="17"/>
  <c r="D17" i="17"/>
  <c r="E17" i="17"/>
  <c r="F17" i="17"/>
  <c r="G17" i="17"/>
  <c r="H17" i="17"/>
  <c r="I17" i="17"/>
  <c r="J17" i="17"/>
  <c r="K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D16" i="17"/>
  <c r="E12" i="17" s="1"/>
  <c r="D14" i="17"/>
  <c r="D15" i="17" s="1"/>
  <c r="D13" i="17"/>
  <c r="D12" i="17"/>
  <c r="D11" i="17"/>
  <c r="E11" i="17"/>
  <c r="F11" i="17"/>
  <c r="G11" i="17"/>
  <c r="H11" i="17"/>
  <c r="I11" i="17"/>
  <c r="J11" i="17"/>
  <c r="K11" i="17"/>
  <c r="D10" i="17"/>
  <c r="E10" i="17"/>
  <c r="F10" i="17"/>
  <c r="G10" i="17"/>
  <c r="H10" i="17"/>
  <c r="I10" i="17"/>
  <c r="J10" i="17"/>
  <c r="K10" i="17"/>
  <c r="M9" i="17"/>
  <c r="L9" i="17"/>
  <c r="M8" i="17"/>
  <c r="L8" i="17"/>
  <c r="M7" i="17"/>
  <c r="L7" i="17"/>
  <c r="M6" i="17"/>
  <c r="L6" i="17"/>
  <c r="M5" i="17"/>
  <c r="L5" i="17"/>
  <c r="M4" i="17"/>
  <c r="L4" i="17"/>
  <c r="M3" i="17"/>
  <c r="L3" i="17"/>
  <c r="D7" i="17"/>
  <c r="D9" i="17" s="1"/>
  <c r="E5" i="17" s="1"/>
  <c r="E6" i="17" s="1"/>
  <c r="E7" i="17" s="1"/>
  <c r="D6" i="17"/>
  <c r="D5" i="17"/>
  <c r="D4" i="17"/>
  <c r="E4" i="17"/>
  <c r="F4" i="17"/>
  <c r="G4" i="17"/>
  <c r="H4" i="17"/>
  <c r="I4" i="17"/>
  <c r="J4" i="17"/>
  <c r="K4" i="17"/>
  <c r="D3" i="17"/>
  <c r="E3" i="17"/>
  <c r="F3" i="17"/>
  <c r="G3" i="17"/>
  <c r="H3" i="17"/>
  <c r="I3" i="17"/>
  <c r="J3" i="17"/>
  <c r="K3" i="17"/>
  <c r="G7" i="13"/>
  <c r="G8" i="13"/>
  <c r="G9" i="13"/>
  <c r="G10" i="13"/>
  <c r="G11" i="13"/>
  <c r="G12" i="13"/>
  <c r="G13" i="13"/>
  <c r="G6" i="13"/>
  <c r="B113" i="1"/>
  <c r="B112" i="1"/>
  <c r="B111" i="1"/>
  <c r="B106" i="1"/>
  <c r="C35" i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E114" i="17" l="1"/>
  <c r="F110" i="17" s="1"/>
  <c r="F114" i="17" s="1"/>
  <c r="G110" i="17" s="1"/>
  <c r="G114" i="17" s="1"/>
  <c r="H110" i="17" s="1"/>
  <c r="E111" i="17"/>
  <c r="D113" i="17"/>
  <c r="G111" i="17"/>
  <c r="F111" i="17"/>
  <c r="E107" i="17"/>
  <c r="F103" i="17" s="1"/>
  <c r="E104" i="17"/>
  <c r="D106" i="17"/>
  <c r="F107" i="17"/>
  <c r="G103" i="17" s="1"/>
  <c r="F104" i="17"/>
  <c r="E97" i="17"/>
  <c r="E100" i="17"/>
  <c r="F96" i="17" s="1"/>
  <c r="F100" i="17" s="1"/>
  <c r="G96" i="17" s="1"/>
  <c r="G97" i="17" s="1"/>
  <c r="D99" i="17"/>
  <c r="E93" i="17"/>
  <c r="F89" i="17" s="1"/>
  <c r="E90" i="17"/>
  <c r="D92" i="17"/>
  <c r="F93" i="17"/>
  <c r="G89" i="17" s="1"/>
  <c r="F90" i="17"/>
  <c r="E86" i="17"/>
  <c r="F82" i="17" s="1"/>
  <c r="F86" i="17" s="1"/>
  <c r="G82" i="17" s="1"/>
  <c r="E83" i="17"/>
  <c r="D85" i="17"/>
  <c r="E76" i="17"/>
  <c r="E79" i="17"/>
  <c r="F75" i="17" s="1"/>
  <c r="F79" i="17" s="1"/>
  <c r="G75" i="17" s="1"/>
  <c r="G79" i="17" s="1"/>
  <c r="H75" i="17" s="1"/>
  <c r="D78" i="17"/>
  <c r="G76" i="17"/>
  <c r="F76" i="17"/>
  <c r="D71" i="17"/>
  <c r="E72" i="17"/>
  <c r="F68" i="17" s="1"/>
  <c r="D64" i="17"/>
  <c r="E65" i="17"/>
  <c r="F61" i="17" s="1"/>
  <c r="E58" i="17"/>
  <c r="F54" i="17" s="1"/>
  <c r="E55" i="17"/>
  <c r="D57" i="17"/>
  <c r="F58" i="17"/>
  <c r="G54" i="17" s="1"/>
  <c r="F55" i="17"/>
  <c r="E51" i="17"/>
  <c r="F47" i="17" s="1"/>
  <c r="F51" i="17" s="1"/>
  <c r="G47" i="17" s="1"/>
  <c r="E48" i="17"/>
  <c r="D50" i="17"/>
  <c r="D43" i="17"/>
  <c r="F44" i="17"/>
  <c r="G40" i="17" s="1"/>
  <c r="F41" i="17"/>
  <c r="E41" i="17"/>
  <c r="E37" i="17"/>
  <c r="F33" i="17" s="1"/>
  <c r="F37" i="17" s="1"/>
  <c r="G33" i="17" s="1"/>
  <c r="E34" i="17"/>
  <c r="D36" i="17"/>
  <c r="D30" i="17"/>
  <c r="E26" i="17" s="1"/>
  <c r="D29" i="17"/>
  <c r="E23" i="17"/>
  <c r="F19" i="17" s="1"/>
  <c r="E20" i="17"/>
  <c r="F23" i="17"/>
  <c r="G19" i="17" s="1"/>
  <c r="F20" i="17"/>
  <c r="E13" i="17"/>
  <c r="E14" i="17" s="1"/>
  <c r="E15" i="17" s="1"/>
  <c r="D8" i="17"/>
  <c r="E9" i="17"/>
  <c r="F5" i="17" s="1"/>
  <c r="E8" i="17"/>
  <c r="H7" i="2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H114" i="17" l="1"/>
  <c r="I110" i="17" s="1"/>
  <c r="H111" i="17"/>
  <c r="G107" i="17"/>
  <c r="H103" i="17" s="1"/>
  <c r="G104" i="17"/>
  <c r="F97" i="17"/>
  <c r="G100" i="17"/>
  <c r="H96" i="17" s="1"/>
  <c r="H100" i="17"/>
  <c r="I96" i="17" s="1"/>
  <c r="H97" i="17"/>
  <c r="G93" i="17"/>
  <c r="H89" i="17" s="1"/>
  <c r="G90" i="17"/>
  <c r="F83" i="17"/>
  <c r="G86" i="17"/>
  <c r="H82" i="17" s="1"/>
  <c r="G83" i="17"/>
  <c r="H79" i="17"/>
  <c r="I75" i="17" s="1"/>
  <c r="H76" i="17"/>
  <c r="F69" i="17"/>
  <c r="F70" i="17" s="1"/>
  <c r="F71" i="17" s="1"/>
  <c r="F62" i="17"/>
  <c r="F63" i="17" s="1"/>
  <c r="F64" i="17" s="1"/>
  <c r="G58" i="17"/>
  <c r="H54" i="17" s="1"/>
  <c r="G55" i="17"/>
  <c r="F48" i="17"/>
  <c r="G51" i="17"/>
  <c r="H47" i="17" s="1"/>
  <c r="G48" i="17"/>
  <c r="G41" i="17"/>
  <c r="G44" i="17"/>
  <c r="H40" i="17" s="1"/>
  <c r="F34" i="17"/>
  <c r="G37" i="17"/>
  <c r="H33" i="17" s="1"/>
  <c r="G34" i="17"/>
  <c r="E30" i="17"/>
  <c r="F26" i="17" s="1"/>
  <c r="E27" i="17"/>
  <c r="G23" i="17"/>
  <c r="H19" i="17" s="1"/>
  <c r="G20" i="17"/>
  <c r="E16" i="17"/>
  <c r="F12" i="17" s="1"/>
  <c r="F6" i="17"/>
  <c r="F7" i="17" s="1"/>
  <c r="F8" i="17" s="1"/>
  <c r="E16" i="14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I114" i="17" l="1"/>
  <c r="J110" i="17" s="1"/>
  <c r="I111" i="17"/>
  <c r="H107" i="17"/>
  <c r="I103" i="17" s="1"/>
  <c r="H104" i="17"/>
  <c r="I100" i="17"/>
  <c r="J96" i="17" s="1"/>
  <c r="I97" i="17"/>
  <c r="H93" i="17"/>
  <c r="I89" i="17" s="1"/>
  <c r="H90" i="17"/>
  <c r="H86" i="17"/>
  <c r="I82" i="17" s="1"/>
  <c r="H83" i="17"/>
  <c r="I79" i="17"/>
  <c r="J75" i="17" s="1"/>
  <c r="I76" i="17"/>
  <c r="F72" i="17"/>
  <c r="G68" i="17" s="1"/>
  <c r="F65" i="17"/>
  <c r="G61" i="17" s="1"/>
  <c r="H58" i="17"/>
  <c r="I54" i="17" s="1"/>
  <c r="H55" i="17"/>
  <c r="H51" i="17"/>
  <c r="I47" i="17" s="1"/>
  <c r="H48" i="17"/>
  <c r="H44" i="17"/>
  <c r="I40" i="17" s="1"/>
  <c r="H41" i="17"/>
  <c r="H37" i="17"/>
  <c r="I33" i="17" s="1"/>
  <c r="H34" i="17"/>
  <c r="F30" i="17"/>
  <c r="G26" i="17" s="1"/>
  <c r="F27" i="17"/>
  <c r="H23" i="17"/>
  <c r="I19" i="17" s="1"/>
  <c r="H20" i="17"/>
  <c r="F13" i="17"/>
  <c r="F14" i="17" s="1"/>
  <c r="F15" i="17" s="1"/>
  <c r="F9" i="17"/>
  <c r="G5" i="17" s="1"/>
  <c r="C16" i="14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J111" i="17" l="1"/>
  <c r="J114" i="17"/>
  <c r="K110" i="17" s="1"/>
  <c r="I107" i="17"/>
  <c r="J103" i="17" s="1"/>
  <c r="I104" i="17"/>
  <c r="J100" i="17"/>
  <c r="K96" i="17" s="1"/>
  <c r="J97" i="17"/>
  <c r="I93" i="17"/>
  <c r="J89" i="17" s="1"/>
  <c r="I90" i="17"/>
  <c r="I86" i="17"/>
  <c r="J82" i="17" s="1"/>
  <c r="I83" i="17"/>
  <c r="J79" i="17"/>
  <c r="K75" i="17" s="1"/>
  <c r="J76" i="17"/>
  <c r="G69" i="17"/>
  <c r="G70" i="17" s="1"/>
  <c r="G71" i="17" s="1"/>
  <c r="G62" i="17"/>
  <c r="G63" i="17" s="1"/>
  <c r="G64" i="17" s="1"/>
  <c r="I58" i="17"/>
  <c r="J54" i="17" s="1"/>
  <c r="I55" i="17"/>
  <c r="I51" i="17"/>
  <c r="J47" i="17" s="1"/>
  <c r="I48" i="17"/>
  <c r="I44" i="17"/>
  <c r="J40" i="17" s="1"/>
  <c r="I41" i="17"/>
  <c r="I37" i="17"/>
  <c r="J33" i="17" s="1"/>
  <c r="I34" i="17"/>
  <c r="G30" i="17"/>
  <c r="H26" i="17" s="1"/>
  <c r="G27" i="17"/>
  <c r="I23" i="17"/>
  <c r="J19" i="17" s="1"/>
  <c r="I20" i="17"/>
  <c r="F16" i="17"/>
  <c r="G12" i="17" s="1"/>
  <c r="G6" i="17"/>
  <c r="G7" i="17" s="1"/>
  <c r="G8" i="17" s="1"/>
  <c r="B18" i="14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K114" i="17" l="1"/>
  <c r="K111" i="17"/>
  <c r="J107" i="17"/>
  <c r="K103" i="17" s="1"/>
  <c r="J104" i="17"/>
  <c r="K97" i="17"/>
  <c r="K100" i="17"/>
  <c r="J93" i="17"/>
  <c r="K89" i="17" s="1"/>
  <c r="J90" i="17"/>
  <c r="J86" i="17"/>
  <c r="K82" i="17" s="1"/>
  <c r="J83" i="17"/>
  <c r="K79" i="17"/>
  <c r="K76" i="17"/>
  <c r="G72" i="17"/>
  <c r="H68" i="17" s="1"/>
  <c r="G65" i="17"/>
  <c r="H61" i="17" s="1"/>
  <c r="J58" i="17"/>
  <c r="K54" i="17" s="1"/>
  <c r="J55" i="17"/>
  <c r="J51" i="17"/>
  <c r="K47" i="17" s="1"/>
  <c r="J48" i="17"/>
  <c r="J44" i="17"/>
  <c r="K40" i="17" s="1"/>
  <c r="J41" i="17"/>
  <c r="J34" i="17"/>
  <c r="J37" i="17"/>
  <c r="K33" i="17" s="1"/>
  <c r="H30" i="17"/>
  <c r="I26" i="17" s="1"/>
  <c r="H27" i="17"/>
  <c r="J23" i="17"/>
  <c r="K19" i="17" s="1"/>
  <c r="J20" i="17"/>
  <c r="G13" i="17"/>
  <c r="G14" i="17" s="1"/>
  <c r="G15" i="17" s="1"/>
  <c r="G9" i="17"/>
  <c r="H5" i="17" s="1"/>
  <c r="D9" i="3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K107" i="17" l="1"/>
  <c r="K104" i="17"/>
  <c r="K90" i="17"/>
  <c r="K93" i="17"/>
  <c r="K86" i="17"/>
  <c r="K83" i="17"/>
  <c r="H69" i="17"/>
  <c r="H70" i="17" s="1"/>
  <c r="H71" i="17" s="1"/>
  <c r="H62" i="17"/>
  <c r="H63" i="17" s="1"/>
  <c r="H64" i="17" s="1"/>
  <c r="K58" i="17"/>
  <c r="K55" i="17"/>
  <c r="K51" i="17"/>
  <c r="K48" i="17"/>
  <c r="K44" i="17"/>
  <c r="K41" i="17"/>
  <c r="K34" i="17"/>
  <c r="K37" i="17"/>
  <c r="I30" i="17"/>
  <c r="J26" i="17" s="1"/>
  <c r="I27" i="17"/>
  <c r="K20" i="17"/>
  <c r="K23" i="17"/>
  <c r="G16" i="17"/>
  <c r="H12" i="17" s="1"/>
  <c r="H6" i="17"/>
  <c r="H7" i="17" s="1"/>
  <c r="H8" i="17" s="1"/>
  <c r="B18" i="15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H72" i="17" l="1"/>
  <c r="I68" i="17" s="1"/>
  <c r="H65" i="17"/>
  <c r="I61" i="17" s="1"/>
  <c r="J30" i="17"/>
  <c r="K26" i="17" s="1"/>
  <c r="J27" i="17"/>
  <c r="H13" i="17"/>
  <c r="H14" i="17" s="1"/>
  <c r="H15" i="17" s="1"/>
  <c r="H9" i="17"/>
  <c r="I5" i="17" s="1"/>
  <c r="F25" i="3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I69" i="17" l="1"/>
  <c r="I70" i="17" s="1"/>
  <c r="I71" i="17" s="1"/>
  <c r="I62" i="17"/>
  <c r="I63" i="17" s="1"/>
  <c r="I64" i="17" s="1"/>
  <c r="K30" i="17"/>
  <c r="K27" i="17"/>
  <c r="H16" i="17"/>
  <c r="I12" i="17" s="1"/>
  <c r="I6" i="17"/>
  <c r="I7" i="17" s="1"/>
  <c r="I8" i="17" s="1"/>
  <c r="C18" i="15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I72" i="17" l="1"/>
  <c r="J68" i="17" s="1"/>
  <c r="I65" i="17"/>
  <c r="J61" i="17" s="1"/>
  <c r="I13" i="17"/>
  <c r="I14" i="17" s="1"/>
  <c r="I15" i="17" s="1"/>
  <c r="I9" i="17"/>
  <c r="J5" i="17" s="1"/>
  <c r="F22" i="15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J69" i="17" l="1"/>
  <c r="J70" i="17" s="1"/>
  <c r="J71" i="17" s="1"/>
  <c r="J62" i="17"/>
  <c r="J63" i="17" s="1"/>
  <c r="J64" i="17" s="1"/>
  <c r="I16" i="17"/>
  <c r="J12" i="17" s="1"/>
  <c r="J6" i="17"/>
  <c r="J7" i="17" s="1"/>
  <c r="J8" i="17" s="1"/>
  <c r="G60" i="3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J72" i="17" l="1"/>
  <c r="K68" i="17" s="1"/>
  <c r="J65" i="17"/>
  <c r="K61" i="17" s="1"/>
  <c r="J13" i="17"/>
  <c r="J14" i="17" s="1"/>
  <c r="J15" i="17" s="1"/>
  <c r="J9" i="17"/>
  <c r="K5" i="17" s="1"/>
  <c r="H9" i="4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K69" i="17" l="1"/>
  <c r="K70" i="17" s="1"/>
  <c r="K71" i="17" s="1"/>
  <c r="K62" i="17"/>
  <c r="K63" i="17" s="1"/>
  <c r="K64" i="17" s="1"/>
  <c r="J16" i="17"/>
  <c r="K12" i="17" s="1"/>
  <c r="K6" i="17"/>
  <c r="K7" i="17" s="1"/>
  <c r="K8" i="17" s="1"/>
  <c r="I60" i="3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K72" i="17" l="1"/>
  <c r="K65" i="17"/>
  <c r="K13" i="17"/>
  <c r="K14" i="17" s="1"/>
  <c r="K15" i="17" s="1"/>
  <c r="K9" i="17"/>
  <c r="F10" i="3"/>
  <c r="F21" i="11"/>
  <c r="F23" i="11" s="1"/>
  <c r="F26" i="11" s="1"/>
  <c r="B9" i="6"/>
  <c r="J6" i="6"/>
  <c r="B9" i="11"/>
  <c r="B26" i="11" s="1"/>
  <c r="J6" i="11"/>
  <c r="J9" i="11" s="1"/>
  <c r="J22" i="11"/>
  <c r="K16" i="17" l="1"/>
  <c r="F18" i="15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<sst xmlns="http://schemas.openxmlformats.org/spreadsheetml/2006/main" count="1360" uniqueCount="363">
  <si>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</si>
  <si>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</si>
  <si>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</si>
  <si>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</si>
  <si>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</si>
  <si>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</si>
  <si>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</si>
  <si>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</si>
  <si>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</si>
  <si>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</si>
  <si>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</si>
  <si>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</si>
  <si>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</si>
  <si>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</si>
  <si>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</si>
  <si>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</si>
  <si>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</si>
  <si>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</si>
  <si>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</si>
  <si>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</si>
  <si>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</si>
  <si>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</si>
  <si>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</si>
  <si>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</si>
  <si>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</si>
  <si>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</si>
  <si>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</si>
  <si>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</si>
  <si>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</si>
  <si>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</si>
  <si>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</si>
  <si>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</si>
  <si>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</si>
  <si>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</si>
  <si>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</si>
  <si>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</si>
  <si>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</si>
  <si>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</si>
  <si>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</si>
  <si>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</si>
  <si>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</si>
  <si>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</si>
  <si>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</si>
  <si>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</si>
  <si>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</si>
  <si>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</si>
  <si>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</si>
  <si>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</si>
  <si>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</si>
  <si>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</si>
  <si>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</si>
  <si>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</si>
  <si>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</si>
  <si>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</si>
  <si>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</si>
  <si>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</si>
  <si>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</si>
  <si>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</si>
  <si>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</si>
  <si>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</si>
  <si>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</si>
  <si>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</si>
  <si>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</si>
  <si>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</si>
  <si>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</si>
  <si>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</si>
  <si>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</si>
  <si>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</si>
  <si>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</si>
  <si>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</si>
  <si>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</si>
  <si>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</si>
  <si>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</si>
  <si>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</si>
  <si>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</si>
  <si>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</si>
  <si>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</si>
  <si>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</si>
  <si>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</si>
  <si>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</si>
  <si>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</si>
  <si>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</si>
  <si>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</si>
  <si>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</si>
  <si>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</si>
  <si>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</si>
  <si>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</si>
  <si>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</si>
  <si>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</si>
  <si>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</si>
  <si>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</si>
  <si>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</si>
  <si>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</si>
  <si>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</si>
  <si>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</si>
  <si>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</si>
  <si>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</si>
  <si>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</si>
  <si>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</si>
  <si>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</si>
  <si>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</si>
  <si>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</si>
  <si>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</si>
  <si>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</si>
  <si>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</si>
  <si>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</si>
  <si>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</si>
  <si>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</si>
  <si>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</si>
  <si>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</si>
  <si>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</si>
  <si>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</si>
  <si>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</si>
  <si>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</si>
  <si>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</si>
  <si>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</si>
  <si>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</si>
  <si>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</si>
  <si>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</si>
  <si>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</si>
  <si>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</si>
  <si>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</si>
  <si>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</si>
  <si>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</si>
  <si>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</si>
  <si>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</si>
  <si>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</si>
  <si>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</si>
  <si>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</si>
  <si>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</si>
  <si>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</si>
  <si>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</si>
  <si>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</si>
  <si>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</si>
  <si>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</si>
  <si>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</si>
  <si>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</si>
  <si>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</si>
  <si>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</si>
  <si>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</si>
  <si>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</si>
  <si>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</si>
  <si>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</si>
  <si>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</si>
  <si>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</si>
  <si>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</si>
  <si>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</si>
  <si>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</si>
  <si>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</si>
  <si>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</si>
  <si>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</si>
  <si>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</si>
  <si>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</si>
  <si>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</si>
  <si>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</si>
  <si>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</si>
  <si>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</si>
  <si>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</si>
  <si>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</si>
  <si>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</si>
  <si>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</si>
  <si>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</si>
  <si>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</si>
  <si>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</si>
  <si>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</si>
  <si>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</si>
  <si>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</si>
  <si>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</si>
  <si>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</si>
  <si>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</si>
  <si>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</si>
  <si>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</si>
  <si>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</si>
  <si>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</si>
  <si>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</si>
  <si>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</si>
  <si>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</si>
  <si>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</si>
  <si>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</si>
  <si>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</si>
  <si>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</si>
  <si>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</si>
  <si>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</si>
  <si>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</si>
  <si>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</si>
  <si>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</si>
  <si>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</si>
  <si>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</si>
  <si>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</si>
  <si>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</si>
  <si>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</si>
  <si>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</si>
  <si>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</si>
  <si>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</si>
  <si>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</si>
  <si>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</si>
  <si>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</si>
  <si>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</si>
  <si>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</si>
  <si>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</si>
  <si>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</si>
  <si>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</si>
  <si>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</si>
  <si>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</si>
  <si>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</si>
  <si>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</si>
  <si>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</si>
  <si>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</si>
  <si>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</si>
  <si>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</si>
  <si>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</si>
  <si>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</si>
  <si>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</si>
  <si>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</si>
  <si>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</si>
  <si>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</si>
  <si>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</si>
  <si>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</si>
  <si>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</si>
  <si>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</si>
  <si>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</si>
  <si>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</si>
  <si>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</si>
  <si>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</si>
  <si>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</si>
  <si>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</si>
  <si>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</si>
  <si>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</si>
  <si>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</si>
  <si>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</si>
  <si>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</si>
  <si>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</si>
  <si>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</si>
  <si>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</si>
  <si>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</si>
  <si>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</si>
  <si>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</si>
  <si>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</si>
  <si>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</si>
  <si>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</si>
  <si>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</si>
  <si>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</si>
  <si>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</si>
  <si>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</si>
  <si>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</si>
  <si>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</si>
  <si>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</si>
  <si>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</si>
  <si>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</si>
  <si>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</si>
  <si>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</si>
  <si>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</si>
  <si>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</si>
  <si>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</si>
  <si>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</si>
  <si>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</si>
  <si>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</si>
  <si>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</si>
  <si>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</si>
  <si>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</si>
  <si>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</si>
  <si>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</si>
  <si>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</si>
  <si>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</si>
  <si>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</si>
  <si>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</si>
  <si>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</si>
  <si>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</si>
  <si>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</si>
  <si>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</si>
  <si>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</si>
  <si>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</si>
  <si>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</si>
  <si>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</si>
  <si>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</si>
  <si>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</si>
  <si>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</si>
  <si>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</si>
  <si>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</si>
  <si>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</si>
  <si>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</si>
  <si>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</si>
  <si>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</si>
  <si>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</si>
  <si>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</si>
  <si>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</si>
  <si>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</si>
  <si>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</si>
  <si>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</si>
  <si>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</si>
  <si>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</si>
  <si>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</si>
  <si>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</si>
  <si>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</si>
  <si>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</si>
  <si>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</si>
  <si>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</si>
  <si>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</si>
  <si>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</si>
  <si>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</si>
  <si>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</si>
  <si>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</si>
  <si>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</si>
  <si>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</si>
  <si>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</si>
  <si>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</si>
  <si>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</si>
  <si>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</si>
  <si>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</si>
  <si>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</si>
  <si>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</si>
  <si>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</si>
  <si>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</si>
  <si>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</si>
  <si>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</si>
  <si>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</si>
  <si>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</si>
  <si>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</si>
  <si>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</si>
  <si>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</si>
  <si>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</si>
  <si>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</si>
  <si>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</si>
  <si>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</si>
  <si>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</si>
  <si>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</si>
  <si>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</si>
  <si>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</si>
  <si>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</si>
  <si>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</si>
  <si>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</si>
  <si>
    <t>Discount Threshold (batches)</t>
  </si>
  <si>
    <t>MOQ (Batch Size)</t>
  </si>
  <si>
    <t>12. PLANNING PARAMETERS</t>
  </si>
  <si>
    <t>Parameter</t>
  </si>
  <si>
    <t>Value</t>
  </si>
  <si>
    <t>Stockout penalty ($/EC)</t>
  </si>
  <si>
    <t>Financing cost per Q</t>
  </si>
  <si>
    <t>0 = ignore cash cost</t>
  </si>
  <si>
    <t>Review period R (Q)</t>
  </si>
  <si>
    <t>Order-up-to coverage (Q)</t>
  </si>
  <si>
    <t>Pieces buy at t=0 (1/0)</t>
  </si>
  <si>
    <t>Disc rate Part A (B)</t>
  </si>
  <si>
    <t>Disc rate Part B (B)</t>
  </si>
  <si>
    <t>Prob fail Supplier B</t>
  </si>
  <si>
    <t>Pct Centro (input)</t>
  </si>
  <si>
    <t>Pct Centro (used)</t>
  </si>
  <si>
    <t>MRP NET REQUIREMENTS (periodo 6 base, ajustable)</t>
  </si>
  <si>
    <t>Plant</t>
  </si>
  <si>
    <t>Metric</t>
  </si>
  <si>
    <t>Total</t>
  </si>
  <si>
    <t>Key</t>
  </si>
  <si>
    <t>Gross Req</t>
  </si>
  <si>
    <t>POH Start</t>
  </si>
  <si>
    <t>Net Req</t>
  </si>
  <si>
    <t>Planned Receipt</t>
  </si>
  <si>
    <t>Planned Release</t>
  </si>
  <si>
    <t>POH End</t>
  </si>
  <si>
    <t>BUYING PLAN FINAL (ajustable)</t>
  </si>
  <si>
    <t>Units</t>
  </si>
  <si>
    <t>Expected Cost</t>
  </si>
  <si>
    <t>Payment Q</t>
  </si>
  <si>
    <t>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</si>
</sst>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9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00F51-E34A-4A09-95B7-36AB560DF3C2}">
  <dimension ref="A1:I46"/>
  <sheetViews>
    <sheetView tabSelected="1" workbookViewId="0"/>
  </sheetViews>
  <sheetFormatPr baseColWidth="10" defaultRowHeight="14.4" x14ac:dyDescent="0.3"/>
  <sheetData>
    <row r="1" spans="1:9" x14ac:dyDescent="0.3">
      <c r="A1" t="s">
        <v>358</v>
      </c>
    </row>
    <row r="2" spans="1:9" x14ac:dyDescent="0.3">
      <c r="A2" t="s">
        <v>348</v>
      </c>
      <c r="B2" t="s">
        <v>15</v>
      </c>
      <c r="C2" t="s">
        <v>118</v>
      </c>
      <c r="D2" t="s">
        <v>256</v>
      </c>
      <c r="E2" t="s">
        <v>359</v>
      </c>
      <c r="F2" t="s">
        <v>257</v>
      </c>
      <c r="G2" t="s">
        <v>360</v>
      </c>
      <c r="H2" t="s">
        <v>361</v>
      </c>
      <c r="I2" t="s">
        <v>258</v>
      </c>
    </row>
    <row r="3" spans="1:9" x14ac:dyDescent="0.3">
      <c r="A3" t="s">
        <v>265</v>
      </c>
      <c r="B3" t="s">
        <v>19</v>
      </c>
      <c r="C3" t="s">
        <v>4</v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>0</v>
      </c>
      <c r="E3">
        <f>D3*_xlfn.XLOOKUP(B3,Inputs!$A$35:$A$42,Inputs!$B$35:$B$42)</f>
        <v>0</v>
      </c>
      <c r="F3" t="str">
        <f>IF(LEFT(B3,5)="Pieza","Unico",IF(B3="Parte A",Inputs!$B$69,IF(B3="Parte B",Inputs!$B$77,"A")))</f>
        <v>A</v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>0</v>
      </c>
      <c r="H3" t="str">
        <f t="shared" ref="H3:H46" si="0">IF(C3="Q0","Q0",IF(LEFT(F3,5)="Unico",C3,IF(VALUE(MID(C3,2,2))+IF(F3="B",2,IF(F3="C",8,0))&gt;8,"Next period","Q"&amp;(VALUE(MID(C3,2,2))+IF(F3="B",2,IF(F3="C",8,0))))) )</f>
        <v>Q1</v>
      </c>
      <c r="I3" t="str">
        <f t="shared" ref="I3:I46" si="1">IF(LEFT(B3,5)="Pieza","Compra unica t=0","")</f>
        <v/>
      </c>
    </row>
    <row r="4" spans="1:9" x14ac:dyDescent="0.3">
      <c r="A4" t="s">
        <v>265</v>
      </c>
      <c r="B4" t="s">
        <v>19</v>
      </c>
      <c r="C4" t="s">
        <v>5</v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>31</v>
      </c>
      <c r="E4">
        <f>D4*_xlfn.XLOOKUP(B4,Inputs!$A$35:$A$42,Inputs!$B$35:$B$42)</f>
        <v>930</v>
      </c>
      <c r="F4" t="str">
        <f>IF(LEFT(B4,5)="Pieza","Unico",IF(B4="Parte A",Inputs!$B$69,IF(B4="Parte B",Inputs!$B$77,"A")))</f>
        <v>A</v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>6175</v>
      </c>
      <c r="H4" t="str">
        <f t="shared" si="0"/>
        <v>Q2</v>
      </c>
      <c r="I4" t="str">
        <f t="shared" si="1"/>
        <v/>
      </c>
    </row>
    <row r="5" spans="1:9" x14ac:dyDescent="0.3">
      <c r="A5" t="s">
        <v>265</v>
      </c>
      <c r="B5" t="s">
        <v>19</v>
      </c>
      <c r="C5" t="s">
        <v>6</v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>48</v>
      </c>
      <c r="E5">
        <f>D5*_xlfn.XLOOKUP(B5,Inputs!$A$35:$A$42,Inputs!$B$35:$B$42)</f>
        <v>1440</v>
      </c>
      <c r="F5" t="str">
        <f>IF(LEFT(B5,5)="Pieza","Unico",IF(B5="Parte A",Inputs!$B$69,IF(B5="Parte B",Inputs!$B$77,"A")))</f>
        <v>A</v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>8300</v>
      </c>
      <c r="H5" t="str">
        <f t="shared" si="0"/>
        <v>Q3</v>
      </c>
      <c r="I5" t="str">
        <f t="shared" si="1"/>
        <v/>
      </c>
    </row>
    <row r="6" spans="1:9" x14ac:dyDescent="0.3">
      <c r="A6" t="s">
        <v>265</v>
      </c>
      <c r="B6" t="s">
        <v>19</v>
      </c>
      <c r="C6" t="s">
        <v>7</v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>48</v>
      </c>
      <c r="E6">
        <f>D6*_xlfn.XLOOKUP(B6,Inputs!$A$35:$A$42,Inputs!$B$35:$B$42)</f>
        <v>1440</v>
      </c>
      <c r="F6" t="str">
        <f>IF(LEFT(B6,5)="Pieza","Unico",IF(B6="Parte A",Inputs!$B$69,IF(B6="Parte B",Inputs!$B$77,"A")))</f>
        <v>A</v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>8300</v>
      </c>
      <c r="H6" t="str">
        <f t="shared" si="0"/>
        <v>Q4</v>
      </c>
      <c r="I6" t="str">
        <f t="shared" si="1"/>
        <v/>
      </c>
    </row>
    <row r="7" spans="1:9" x14ac:dyDescent="0.3">
      <c r="A7" t="s">
        <v>265</v>
      </c>
      <c r="B7" t="s">
        <v>19</v>
      </c>
      <c r="C7" t="s">
        <v>8</v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>0</v>
      </c>
      <c r="E7">
        <f>D7*_xlfn.XLOOKUP(B7,Inputs!$A$35:$A$42,Inputs!$B$35:$B$42)</f>
        <v>0</v>
      </c>
      <c r="F7" t="str">
        <f>IF(LEFT(B7,5)="Pieza","Unico",IF(B7="Parte A",Inputs!$B$69,IF(B7="Parte B",Inputs!$B$77,"A")))</f>
        <v>A</v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>0</v>
      </c>
      <c r="H7" t="str">
        <f t="shared" si="0"/>
        <v>Q5</v>
      </c>
      <c r="I7" t="str">
        <f t="shared" si="1"/>
        <v/>
      </c>
    </row>
    <row r="8" spans="1:9" x14ac:dyDescent="0.3">
      <c r="A8" t="s">
        <v>265</v>
      </c>
      <c r="B8" t="s">
        <v>19</v>
      </c>
      <c r="C8" t="s">
        <v>9</v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>0</v>
      </c>
      <c r="E8">
        <f>D8*_xlfn.XLOOKUP(B8,Inputs!$A$35:$A$42,Inputs!$B$35:$B$42)</f>
        <v>0</v>
      </c>
      <c r="F8" t="str">
        <f>IF(LEFT(B8,5)="Pieza","Unico",IF(B8="Parte A",Inputs!$B$69,IF(B8="Parte B",Inputs!$B$77,"A")))</f>
        <v>A</v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>0</v>
      </c>
      <c r="H8" t="str">
        <f t="shared" si="0"/>
        <v>Q6</v>
      </c>
      <c r="I8" t="str">
        <f t="shared" si="1"/>
        <v/>
      </c>
    </row>
    <row r="9" spans="1:9" x14ac:dyDescent="0.3">
      <c r="A9" t="s">
        <v>265</v>
      </c>
      <c r="B9" t="s">
        <v>19</v>
      </c>
      <c r="C9" t="s">
        <v>10</v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>0</v>
      </c>
      <c r="E9">
        <f>D9*_xlfn.XLOOKUP(B9,Inputs!$A$35:$A$42,Inputs!$B$35:$B$42)</f>
        <v>0</v>
      </c>
      <c r="F9" t="str">
        <f>IF(LEFT(B9,5)="Pieza","Unico",IF(B9="Parte A",Inputs!$B$69,IF(B9="Parte B",Inputs!$B$77,"A")))</f>
        <v>A</v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>0</v>
      </c>
      <c r="H9" t="str">
        <f t="shared" si="0"/>
        <v>Q7</v>
      </c>
      <c r="I9" t="str">
        <f t="shared" si="1"/>
        <v/>
      </c>
    </row>
    <row r="10" spans="1:9" x14ac:dyDescent="0.3">
      <c r="A10" t="s">
        <v>265</v>
      </c>
      <c r="B10" t="s">
        <v>19</v>
      </c>
      <c r="C10" t="s">
        <v>11</v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>0</v>
      </c>
      <c r="E10">
        <f>D10*_xlfn.XLOOKUP(B10,Inputs!$A$35:$A$42,Inputs!$B$35:$B$42)</f>
        <v>0</v>
      </c>
      <c r="F10" t="str">
        <f>IF(LEFT(B10,5)="Pieza","Unico",IF(B10="Parte A",Inputs!$B$69,IF(B10="Parte B",Inputs!$B$77,"A")))</f>
        <v>A</v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>0</v>
      </c>
      <c r="H10" t="str">
        <f t="shared" si="0"/>
        <v>Q8</v>
      </c>
      <c r="I10" t="str">
        <f t="shared" si="1"/>
        <v/>
      </c>
    </row>
    <row r="11" spans="1:9" x14ac:dyDescent="0.3">
      <c r="A11" t="s">
        <v>265</v>
      </c>
      <c r="B11" t="s">
        <v>22</v>
      </c>
      <c r="C11" t="s">
        <v>4</v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>0</v>
      </c>
      <c r="E11">
        <f>D11*_xlfn.XLOOKUP(B11,Inputs!$A$35:$A$42,Inputs!$B$35:$B$42)</f>
        <v>0</v>
      </c>
      <c r="F11" t="str">
        <f>IF(LEFT(B11,5)="Pieza","Unico",IF(B11="Parte A",Inputs!$B$69,IF(B11="Parte B",Inputs!$B$77,"A")))</f>
        <v>A</v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>0</v>
      </c>
      <c r="H11" t="str">
        <f t="shared" si="0"/>
        <v>Q1</v>
      </c>
      <c r="I11" t="str">
        <f t="shared" si="1"/>
        <v/>
      </c>
    </row>
    <row r="12" spans="1:9" x14ac:dyDescent="0.3">
      <c r="A12" t="s">
        <v>265</v>
      </c>
      <c r="B12" t="s">
        <v>22</v>
      </c>
      <c r="C12" t="s">
        <v>5</v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>11</v>
      </c>
      <c r="E12">
        <f>D12*_xlfn.XLOOKUP(B12,Inputs!$A$35:$A$42,Inputs!$B$35:$B$42)</f>
        <v>132</v>
      </c>
      <c r="F12" t="str">
        <f>IF(LEFT(B12,5)="Pieza","Unico",IF(B12="Parte A",Inputs!$B$69,IF(B12="Parte B",Inputs!$B$77,"A")))</f>
        <v>A</v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>9630</v>
      </c>
      <c r="H12" t="str">
        <f t="shared" si="0"/>
        <v>Q2</v>
      </c>
      <c r="I12" t="str">
        <f t="shared" si="1"/>
        <v/>
      </c>
    </row>
    <row r="13" spans="1:9" x14ac:dyDescent="0.3">
      <c r="A13" t="s">
        <v>265</v>
      </c>
      <c r="B13" t="s">
        <v>22</v>
      </c>
      <c r="C13" t="s">
        <v>6</v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>23</v>
      </c>
      <c r="E13">
        <f>D13*_xlfn.XLOOKUP(B13,Inputs!$A$35:$A$42,Inputs!$B$35:$B$42)</f>
        <v>276</v>
      </c>
      <c r="F13" t="str">
        <f>IF(LEFT(B13,5)="Pieza","Unico",IF(B13="Parte A",Inputs!$B$69,IF(B13="Parte B",Inputs!$B$77,"A")))</f>
        <v>A</v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>13590</v>
      </c>
      <c r="H13" t="str">
        <f t="shared" si="0"/>
        <v>Q3</v>
      </c>
      <c r="I13" t="str">
        <f t="shared" si="1"/>
        <v/>
      </c>
    </row>
    <row r="14" spans="1:9" x14ac:dyDescent="0.3">
      <c r="A14" t="s">
        <v>265</v>
      </c>
      <c r="B14" t="s">
        <v>22</v>
      </c>
      <c r="C14" t="s">
        <v>7</v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>22</v>
      </c>
      <c r="E14">
        <f>D14*_xlfn.XLOOKUP(B14,Inputs!$A$35:$A$42,Inputs!$B$35:$B$42)</f>
        <v>264</v>
      </c>
      <c r="F14" t="str">
        <f>IF(LEFT(B14,5)="Pieza","Unico",IF(B14="Parte A",Inputs!$B$69,IF(B14="Parte B",Inputs!$B$77,"A")))</f>
        <v>A</v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>13260</v>
      </c>
      <c r="H14" t="str">
        <f t="shared" si="0"/>
        <v>Q4</v>
      </c>
      <c r="I14" t="str">
        <f t="shared" si="1"/>
        <v/>
      </c>
    </row>
    <row r="15" spans="1:9" x14ac:dyDescent="0.3">
      <c r="A15" t="s">
        <v>265</v>
      </c>
      <c r="B15" t="s">
        <v>22</v>
      </c>
      <c r="C15" t="s">
        <v>8</v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>22</v>
      </c>
      <c r="E15">
        <f>D15*_xlfn.XLOOKUP(B15,Inputs!$A$35:$A$42,Inputs!$B$35:$B$42)</f>
        <v>264</v>
      </c>
      <c r="F15" t="str">
        <f>IF(LEFT(B15,5)="Pieza","Unico",IF(B15="Parte A",Inputs!$B$69,IF(B15="Parte B",Inputs!$B$77,"A")))</f>
        <v>A</v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>13260</v>
      </c>
      <c r="H15" t="str">
        <f t="shared" si="0"/>
        <v>Q5</v>
      </c>
      <c r="I15" t="str">
        <f t="shared" si="1"/>
        <v/>
      </c>
    </row>
    <row r="16" spans="1:9" x14ac:dyDescent="0.3">
      <c r="A16" t="s">
        <v>265</v>
      </c>
      <c r="B16" t="s">
        <v>22</v>
      </c>
      <c r="C16" t="s">
        <v>9</v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>0</v>
      </c>
      <c r="E16">
        <f>D16*_xlfn.XLOOKUP(B16,Inputs!$A$35:$A$42,Inputs!$B$35:$B$42)</f>
        <v>0</v>
      </c>
      <c r="F16" t="str">
        <f>IF(LEFT(B16,5)="Pieza","Unico",IF(B16="Parte A",Inputs!$B$69,IF(B16="Parte B",Inputs!$B$77,"A")))</f>
        <v>A</v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>0</v>
      </c>
      <c r="H16" t="str">
        <f t="shared" si="0"/>
        <v>Q6</v>
      </c>
      <c r="I16" t="str">
        <f t="shared" si="1"/>
        <v/>
      </c>
    </row>
    <row r="17" spans="1:9" x14ac:dyDescent="0.3">
      <c r="A17" t="s">
        <v>265</v>
      </c>
      <c r="B17" t="s">
        <v>22</v>
      </c>
      <c r="C17" t="s">
        <v>10</v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>0</v>
      </c>
      <c r="E17">
        <f>D17*_xlfn.XLOOKUP(B17,Inputs!$A$35:$A$42,Inputs!$B$35:$B$42)</f>
        <v>0</v>
      </c>
      <c r="F17" t="str">
        <f>IF(LEFT(B17,5)="Pieza","Unico",IF(B17="Parte A",Inputs!$B$69,IF(B17="Parte B",Inputs!$B$77,"A")))</f>
        <v>A</v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>0</v>
      </c>
      <c r="H17" t="str">
        <f t="shared" si="0"/>
        <v>Q7</v>
      </c>
      <c r="I17" t="str">
        <f t="shared" si="1"/>
        <v/>
      </c>
    </row>
    <row r="18" spans="1:9" x14ac:dyDescent="0.3">
      <c r="A18" t="s">
        <v>265</v>
      </c>
      <c r="B18" t="s">
        <v>22</v>
      </c>
      <c r="C18" t="s">
        <v>11</v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>0</v>
      </c>
      <c r="E18">
        <f>D18*_xlfn.XLOOKUP(B18,Inputs!$A$35:$A$42,Inputs!$B$35:$B$42)</f>
        <v>0</v>
      </c>
      <c r="F18" t="str">
        <f>IF(LEFT(B18,5)="Pieza","Unico",IF(B18="Parte A",Inputs!$B$69,IF(B18="Parte B",Inputs!$B$77,"A")))</f>
        <v>A</v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>0</v>
      </c>
      <c r="H18" t="str">
        <f t="shared" si="0"/>
        <v>Q8</v>
      </c>
      <c r="I18" t="str">
        <f t="shared" si="1"/>
        <v/>
      </c>
    </row>
    <row r="19" spans="1:9" x14ac:dyDescent="0.3">
      <c r="A19" t="s">
        <v>266</v>
      </c>
      <c r="B19" t="s">
        <v>19</v>
      </c>
      <c r="C19" t="s">
        <v>4</v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>0</v>
      </c>
      <c r="E19">
        <f>D19*_xlfn.XLOOKUP(B19,Inputs!$A$35:$A$42,Inputs!$B$35:$B$42)</f>
        <v>0</v>
      </c>
      <c r="F19" t="str">
        <f>IF(LEFT(B19,5)="Pieza","Unico",IF(B19="Parte A",Inputs!$B$69,IF(B19="Parte B",Inputs!$B$77,"A")))</f>
        <v>A</v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>0</v>
      </c>
      <c r="H19" t="str">
        <f t="shared" si="0"/>
        <v>Q1</v>
      </c>
      <c r="I19" t="str">
        <f t="shared" si="1"/>
        <v/>
      </c>
    </row>
    <row r="20" spans="1:9" x14ac:dyDescent="0.3">
      <c r="A20" t="s">
        <v>266</v>
      </c>
      <c r="B20" t="s">
        <v>19</v>
      </c>
      <c r="C20" t="s">
        <v>5</v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>9</v>
      </c>
      <c r="E20">
        <f>D20*_xlfn.XLOOKUP(B20,Inputs!$A$35:$A$42,Inputs!$B$35:$B$42)</f>
        <v>270</v>
      </c>
      <c r="F20" t="str">
        <f>IF(LEFT(B20,5)="Pieza","Unico",IF(B20="Parte A",Inputs!$B$69,IF(B20="Parte B",Inputs!$B$77,"A")))</f>
        <v>A</v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>3425</v>
      </c>
      <c r="H20" t="str">
        <f t="shared" si="0"/>
        <v>Q2</v>
      </c>
      <c r="I20" t="str">
        <f t="shared" si="1"/>
        <v/>
      </c>
    </row>
    <row r="21" spans="1:9" x14ac:dyDescent="0.3">
      <c r="A21" t="s">
        <v>266</v>
      </c>
      <c r="B21" t="s">
        <v>19</v>
      </c>
      <c r="C21" t="s">
        <v>6</v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>14</v>
      </c>
      <c r="E21">
        <f>D21*_xlfn.XLOOKUP(B21,Inputs!$A$35:$A$42,Inputs!$B$35:$B$42)</f>
        <v>420</v>
      </c>
      <c r="F21" t="str">
        <f>IF(LEFT(B21,5)="Pieza","Unico",IF(B21="Parte A",Inputs!$B$69,IF(B21="Parte B",Inputs!$B$77,"A")))</f>
        <v>A</v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>4050</v>
      </c>
      <c r="H21" t="str">
        <f t="shared" si="0"/>
        <v>Q3</v>
      </c>
      <c r="I21" t="str">
        <f t="shared" si="1"/>
        <v/>
      </c>
    </row>
    <row r="22" spans="1:9" x14ac:dyDescent="0.3">
      <c r="A22" t="s">
        <v>266</v>
      </c>
      <c r="B22" t="s">
        <v>19</v>
      </c>
      <c r="C22" t="s">
        <v>7</v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>14</v>
      </c>
      <c r="E22">
        <f>D22*_xlfn.XLOOKUP(B22,Inputs!$A$35:$A$42,Inputs!$B$35:$B$42)</f>
        <v>420</v>
      </c>
      <c r="F22" t="str">
        <f>IF(LEFT(B22,5)="Pieza","Unico",IF(B22="Parte A",Inputs!$B$69,IF(B22="Parte B",Inputs!$B$77,"A")))</f>
        <v>A</v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>4050</v>
      </c>
      <c r="H22" t="str">
        <f t="shared" si="0"/>
        <v>Q4</v>
      </c>
      <c r="I22" t="str">
        <f t="shared" si="1"/>
        <v/>
      </c>
    </row>
    <row r="23" spans="1:9" x14ac:dyDescent="0.3">
      <c r="A23" t="s">
        <v>266</v>
      </c>
      <c r="B23" t="s">
        <v>19</v>
      </c>
      <c r="C23" t="s">
        <v>8</v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>0</v>
      </c>
      <c r="E23">
        <f>D23*_xlfn.XLOOKUP(B23,Inputs!$A$35:$A$42,Inputs!$B$35:$B$42)</f>
        <v>0</v>
      </c>
      <c r="F23" t="str">
        <f>IF(LEFT(B23,5)="Pieza","Unico",IF(B23="Parte A",Inputs!$B$69,IF(B23="Parte B",Inputs!$B$77,"A")))</f>
        <v>A</v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>0</v>
      </c>
      <c r="H23" t="str">
        <f t="shared" si="0"/>
        <v>Q5</v>
      </c>
      <c r="I23" t="str">
        <f t="shared" si="1"/>
        <v/>
      </c>
    </row>
    <row r="24" spans="1:9" x14ac:dyDescent="0.3">
      <c r="A24" t="s">
        <v>266</v>
      </c>
      <c r="B24" t="s">
        <v>19</v>
      </c>
      <c r="C24" t="s">
        <v>9</v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>0</v>
      </c>
      <c r="E24">
        <f>D24*_xlfn.XLOOKUP(B24,Inputs!$A$35:$A$42,Inputs!$B$35:$B$42)</f>
        <v>0</v>
      </c>
      <c r="F24" t="str">
        <f>IF(LEFT(B24,5)="Pieza","Unico",IF(B24="Parte A",Inputs!$B$69,IF(B24="Parte B",Inputs!$B$77,"A")))</f>
        <v>A</v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>0</v>
      </c>
      <c r="H24" t="str">
        <f t="shared" si="0"/>
        <v>Q6</v>
      </c>
      <c r="I24" t="str">
        <f t="shared" si="1"/>
        <v/>
      </c>
    </row>
    <row r="25" spans="1:9" x14ac:dyDescent="0.3">
      <c r="A25" t="s">
        <v>266</v>
      </c>
      <c r="B25" t="s">
        <v>19</v>
      </c>
      <c r="C25" t="s">
        <v>10</v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>0</v>
      </c>
      <c r="E25">
        <f>D25*_xlfn.XLOOKUP(B25,Inputs!$A$35:$A$42,Inputs!$B$35:$B$42)</f>
        <v>0</v>
      </c>
      <c r="F25" t="str">
        <f>IF(LEFT(B25,5)="Pieza","Unico",IF(B25="Parte A",Inputs!$B$69,IF(B25="Parte B",Inputs!$B$77,"A")))</f>
        <v>A</v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>0</v>
      </c>
      <c r="H25" t="str">
        <f t="shared" si="0"/>
        <v>Q7</v>
      </c>
      <c r="I25" t="str">
        <f t="shared" si="1"/>
        <v/>
      </c>
    </row>
    <row r="26" spans="1:9" x14ac:dyDescent="0.3">
      <c r="A26" t="s">
        <v>266</v>
      </c>
      <c r="B26" t="s">
        <v>19</v>
      </c>
      <c r="C26" t="s">
        <v>11</v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>0</v>
      </c>
      <c r="E26">
        <f>D26*_xlfn.XLOOKUP(B26,Inputs!$A$35:$A$42,Inputs!$B$35:$B$42)</f>
        <v>0</v>
      </c>
      <c r="F26" t="str">
        <f>IF(LEFT(B26,5)="Pieza","Unico",IF(B26="Parte A",Inputs!$B$69,IF(B26="Parte B",Inputs!$B$77,"A")))</f>
        <v>A</v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>0</v>
      </c>
      <c r="H26" t="str">
        <f t="shared" si="0"/>
        <v>Q8</v>
      </c>
      <c r="I26" t="str">
        <f t="shared" si="1"/>
        <v/>
      </c>
    </row>
    <row r="27" spans="1:9" x14ac:dyDescent="0.3">
      <c r="A27" t="s">
        <v>266</v>
      </c>
      <c r="B27" t="s">
        <v>22</v>
      </c>
      <c r="C27" t="s">
        <v>4</v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>0</v>
      </c>
      <c r="E27">
        <f>D27*_xlfn.XLOOKUP(B27,Inputs!$A$35:$A$42,Inputs!$B$35:$B$42)</f>
        <v>0</v>
      </c>
      <c r="F27" t="str">
        <f>IF(LEFT(B27,5)="Pieza","Unico",IF(B27="Parte A",Inputs!$B$69,IF(B27="Parte B",Inputs!$B$77,"A")))</f>
        <v>A</v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>0</v>
      </c>
      <c r="H27" t="str">
        <f t="shared" si="0"/>
        <v>Q1</v>
      </c>
      <c r="I27" t="str">
        <f t="shared" si="1"/>
        <v/>
      </c>
    </row>
    <row r="28" spans="1:9" x14ac:dyDescent="0.3">
      <c r="A28" t="s">
        <v>266</v>
      </c>
      <c r="B28" t="s">
        <v>22</v>
      </c>
      <c r="C28" t="s">
        <v>5</v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>5</v>
      </c>
      <c r="E28">
        <f>D28*_xlfn.XLOOKUP(B28,Inputs!$A$35:$A$42,Inputs!$B$35:$B$42)</f>
        <v>60</v>
      </c>
      <c r="F28" t="str">
        <f>IF(LEFT(B28,5)="Pieza","Unico",IF(B28="Parte A",Inputs!$B$69,IF(B28="Parte B",Inputs!$B$77,"A")))</f>
        <v>A</v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>7650</v>
      </c>
      <c r="H28" t="str">
        <f t="shared" si="0"/>
        <v>Q2</v>
      </c>
      <c r="I28" t="str">
        <f t="shared" si="1"/>
        <v/>
      </c>
    </row>
    <row r="29" spans="1:9" x14ac:dyDescent="0.3">
      <c r="A29" t="s">
        <v>266</v>
      </c>
      <c r="B29" t="s">
        <v>22</v>
      </c>
      <c r="C29" t="s">
        <v>6</v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>8</v>
      </c>
      <c r="E29">
        <f>D29*_xlfn.XLOOKUP(B29,Inputs!$A$35:$A$42,Inputs!$B$35:$B$42)</f>
        <v>96</v>
      </c>
      <c r="F29" t="str">
        <f>IF(LEFT(B29,5)="Pieza","Unico",IF(B29="Parte A",Inputs!$B$69,IF(B29="Parte B",Inputs!$B$77,"A")))</f>
        <v>A</v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>8640</v>
      </c>
      <c r="H29" t="str">
        <f t="shared" si="0"/>
        <v>Q3</v>
      </c>
      <c r="I29" t="str">
        <f t="shared" si="1"/>
        <v/>
      </c>
    </row>
    <row r="30" spans="1:9" x14ac:dyDescent="0.3">
      <c r="A30" t="s">
        <v>266</v>
      </c>
      <c r="B30" t="s">
        <v>22</v>
      </c>
      <c r="C30" t="s">
        <v>7</v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>9</v>
      </c>
      <c r="E30">
        <f>D30*_xlfn.XLOOKUP(B30,Inputs!$A$35:$A$42,Inputs!$B$35:$B$42)</f>
        <v>108</v>
      </c>
      <c r="F30" t="str">
        <f>IF(LEFT(B30,5)="Pieza","Unico",IF(B30="Parte A",Inputs!$B$69,IF(B30="Parte B",Inputs!$B$77,"A")))</f>
        <v>A</v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>8970</v>
      </c>
      <c r="H30" t="str">
        <f t="shared" si="0"/>
        <v>Q4</v>
      </c>
      <c r="I30" t="str">
        <f t="shared" si="1"/>
        <v/>
      </c>
    </row>
    <row r="31" spans="1:9" x14ac:dyDescent="0.3">
      <c r="A31" t="s">
        <v>266</v>
      </c>
      <c r="B31" t="s">
        <v>22</v>
      </c>
      <c r="C31" t="s">
        <v>8</v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>8</v>
      </c>
      <c r="E31">
        <f>D31*_xlfn.XLOOKUP(B31,Inputs!$A$35:$A$42,Inputs!$B$35:$B$42)</f>
        <v>96</v>
      </c>
      <c r="F31" t="str">
        <f>IF(LEFT(B31,5)="Pieza","Unico",IF(B31="Parte A",Inputs!$B$69,IF(B31="Parte B",Inputs!$B$77,"A")))</f>
        <v>A</v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>8640</v>
      </c>
      <c r="H31" t="str">
        <f t="shared" si="0"/>
        <v>Q5</v>
      </c>
      <c r="I31" t="str">
        <f t="shared" si="1"/>
        <v/>
      </c>
    </row>
    <row r="32" spans="1:9" x14ac:dyDescent="0.3">
      <c r="A32" t="s">
        <v>266</v>
      </c>
      <c r="B32" t="s">
        <v>22</v>
      </c>
      <c r="C32" t="s">
        <v>9</v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>0</v>
      </c>
      <c r="E32">
        <f>D32*_xlfn.XLOOKUP(B32,Inputs!$A$35:$A$42,Inputs!$B$35:$B$42)</f>
        <v>0</v>
      </c>
      <c r="F32" t="str">
        <f>IF(LEFT(B32,5)="Pieza","Unico",IF(B32="Parte A",Inputs!$B$69,IF(B32="Parte B",Inputs!$B$77,"A")))</f>
        <v>A</v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>0</v>
      </c>
      <c r="H32" t="str">
        <f t="shared" si="0"/>
        <v>Q6</v>
      </c>
      <c r="I32" t="str">
        <f t="shared" si="1"/>
        <v/>
      </c>
    </row>
    <row r="33" spans="1:9" x14ac:dyDescent="0.3">
      <c r="A33" t="s">
        <v>266</v>
      </c>
      <c r="B33" t="s">
        <v>22</v>
      </c>
      <c r="C33" t="s">
        <v>10</v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>0</v>
      </c>
      <c r="E33">
        <f>D33*_xlfn.XLOOKUP(B33,Inputs!$A$35:$A$42,Inputs!$B$35:$B$42)</f>
        <v>0</v>
      </c>
      <c r="F33" t="str">
        <f>IF(LEFT(B33,5)="Pieza","Unico",IF(B33="Parte A",Inputs!$B$69,IF(B33="Parte B",Inputs!$B$77,"A")))</f>
        <v>A</v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>0</v>
      </c>
      <c r="H33" t="str">
        <f t="shared" si="0"/>
        <v>Q7</v>
      </c>
      <c r="I33" t="str">
        <f t="shared" si="1"/>
        <v/>
      </c>
    </row>
    <row r="34" spans="1:9" x14ac:dyDescent="0.3">
      <c r="A34" t="s">
        <v>266</v>
      </c>
      <c r="B34" t="s">
        <v>22</v>
      </c>
      <c r="C34" t="s">
        <v>11</v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>0</v>
      </c>
      <c r="E34">
        <f>D34*_xlfn.XLOOKUP(B34,Inputs!$A$35:$A$42,Inputs!$B$35:$B$42)</f>
        <v>0</v>
      </c>
      <c r="F34" t="str">
        <f>IF(LEFT(B34,5)="Pieza","Unico",IF(B34="Parte A",Inputs!$B$69,IF(B34="Parte B",Inputs!$B$77,"A")))</f>
        <v>A</v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>0</v>
      </c>
      <c r="H34" t="str">
        <f t="shared" si="0"/>
        <v>Q8</v>
      </c>
      <c r="I34" t="str">
        <f t="shared" si="1"/>
        <v/>
      </c>
    </row>
    <row r="35" spans="1:9" x14ac:dyDescent="0.3">
      <c r="A35" t="s">
        <v>265</v>
      </c>
      <c r="B35" t="s">
        <v>23</v>
      </c>
      <c r="C35" t="s">
        <v>362</v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>94</v>
      </c>
      <c r="E35">
        <f>D35*_xlfn.XLOOKUP(B35,Inputs!$A$35:$A$42,Inputs!$B$35:$B$42)</f>
        <v>94</v>
      </c>
      <c r="F35" t="str">
        <f>IF(LEFT(B35,5)="Pieza","Unico",IF(B35="Parte A",Inputs!$B$69,IF(B35="Parte B",Inputs!$B$77,"A")))</f>
        <v>Unico</v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>5640</v>
      </c>
      <c r="H35" t="str">
        <f t="shared" si="0"/>
        <v>Q0</v>
      </c>
      <c r="I35" t="str">
        <f t="shared" si="1"/>
        <v>Compra unica t=0</v>
      </c>
    </row>
    <row r="36" spans="1:9" x14ac:dyDescent="0.3">
      <c r="A36" t="s">
        <v>265</v>
      </c>
      <c r="B36" t="s">
        <v>24</v>
      </c>
      <c r="C36" t="s">
        <v>362</v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>756</v>
      </c>
      <c r="E36">
        <f>D36*_xlfn.XLOOKUP(B36,Inputs!$A$35:$A$42,Inputs!$B$35:$B$42)</f>
        <v>75600</v>
      </c>
      <c r="F36" t="str">
        <f>IF(LEFT(B36,5)="Pieza","Unico",IF(B36="Parte A",Inputs!$B$69,IF(B36="Parte B",Inputs!$B$77,"A")))</f>
        <v>Unico</v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>5292</v>
      </c>
      <c r="H36" t="str">
        <f t="shared" si="0"/>
        <v>Q0</v>
      </c>
      <c r="I36" t="str">
        <f t="shared" si="1"/>
        <v>Compra unica t=0</v>
      </c>
    </row>
    <row r="37" spans="1:9" x14ac:dyDescent="0.3">
      <c r="A37" t="s">
        <v>265</v>
      </c>
      <c r="B37" t="s">
        <v>25</v>
      </c>
      <c r="C37" t="s">
        <v>362</v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>94</v>
      </c>
      <c r="E37">
        <f>D37*_xlfn.XLOOKUP(B37,Inputs!$A$35:$A$42,Inputs!$B$35:$B$42)</f>
        <v>2820</v>
      </c>
      <c r="F37" t="str">
        <f>IF(LEFT(B37,5)="Pieza","Unico",IF(B37="Parte A",Inputs!$B$69,IF(B37="Parte B",Inputs!$B$77,"A")))</f>
        <v>Unico</v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>3384</v>
      </c>
      <c r="H37" t="str">
        <f t="shared" si="0"/>
        <v>Q0</v>
      </c>
      <c r="I37" t="str">
        <f t="shared" si="1"/>
        <v>Compra unica t=0</v>
      </c>
    </row>
    <row r="38" spans="1:9" x14ac:dyDescent="0.3">
      <c r="A38" t="s">
        <v>265</v>
      </c>
      <c r="B38" t="s">
        <v>26</v>
      </c>
      <c r="C38" t="s">
        <v>362</v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>94</v>
      </c>
      <c r="E38">
        <f>D38*_xlfn.XLOOKUP(B38,Inputs!$A$35:$A$42,Inputs!$B$35:$B$42)</f>
        <v>5640</v>
      </c>
      <c r="F38" t="str">
        <f>IF(LEFT(B38,5)="Pieza","Unico",IF(B38="Parte A",Inputs!$B$69,IF(B38="Parte B",Inputs!$B$77,"A")))</f>
        <v>Unico</v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>2256</v>
      </c>
      <c r="H38" t="str">
        <f t="shared" si="0"/>
        <v>Q0</v>
      </c>
      <c r="I38" t="str">
        <f t="shared" si="1"/>
        <v>Compra unica t=0</v>
      </c>
    </row>
    <row r="39" spans="1:9" x14ac:dyDescent="0.3">
      <c r="A39" t="s">
        <v>265</v>
      </c>
      <c r="B39" t="s">
        <v>27</v>
      </c>
      <c r="C39" t="s">
        <v>362</v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>187</v>
      </c>
      <c r="E39">
        <f>D39*_xlfn.XLOOKUP(B39,Inputs!$A$35:$A$42,Inputs!$B$35:$B$42)</f>
        <v>18700</v>
      </c>
      <c r="F39" t="str">
        <f>IF(LEFT(B39,5)="Pieza","Unico",IF(B39="Parte A",Inputs!$B$69,IF(B39="Parte B",Inputs!$B$77,"A")))</f>
        <v>Unico</v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>5610</v>
      </c>
      <c r="H39" t="str">
        <f t="shared" si="0"/>
        <v>Q0</v>
      </c>
      <c r="I39" t="str">
        <f t="shared" si="1"/>
        <v>Compra unica t=0</v>
      </c>
    </row>
    <row r="40" spans="1:9" x14ac:dyDescent="0.3">
      <c r="A40" t="s">
        <v>265</v>
      </c>
      <c r="B40" t="s">
        <v>28</v>
      </c>
      <c r="C40" t="s">
        <v>362</v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>48</v>
      </c>
      <c r="E40">
        <f>D40*_xlfn.XLOOKUP(B40,Inputs!$A$35:$A$42,Inputs!$B$35:$B$42)</f>
        <v>7200</v>
      </c>
      <c r="F40" t="str">
        <f>IF(LEFT(B40,5)="Pieza","Unico",IF(B40="Parte A",Inputs!$B$69,IF(B40="Parte B",Inputs!$B$77,"A")))</f>
        <v>Unico</v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>1344</v>
      </c>
      <c r="H40" t="str">
        <f t="shared" si="0"/>
        <v>Q0</v>
      </c>
      <c r="I40" t="str">
        <f t="shared" si="1"/>
        <v>Compra unica t=0</v>
      </c>
    </row>
    <row r="41" spans="1:9" x14ac:dyDescent="0.3">
      <c r="A41" t="s">
        <v>266</v>
      </c>
      <c r="B41" t="s">
        <v>23</v>
      </c>
      <c r="C41" t="s">
        <v>362</v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>36</v>
      </c>
      <c r="E41">
        <f>D41*_xlfn.XLOOKUP(B41,Inputs!$A$35:$A$42,Inputs!$B$35:$B$42)</f>
        <v>36</v>
      </c>
      <c r="F41" t="str">
        <f>IF(LEFT(B41,5)="Pieza","Unico",IF(B41="Parte A",Inputs!$B$69,IF(B41="Parte B",Inputs!$B$77,"A")))</f>
        <v>Unico</v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>2160</v>
      </c>
      <c r="H41" t="str">
        <f t="shared" si="0"/>
        <v>Q0</v>
      </c>
      <c r="I41" t="str">
        <f t="shared" si="1"/>
        <v>Compra unica t=0</v>
      </c>
    </row>
    <row r="42" spans="1:9" x14ac:dyDescent="0.3">
      <c r="A42" t="s">
        <v>266</v>
      </c>
      <c r="B42" t="s">
        <v>24</v>
      </c>
      <c r="C42" t="s">
        <v>362</v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>281</v>
      </c>
      <c r="E42">
        <f>D42*_xlfn.XLOOKUP(B42,Inputs!$A$35:$A$42,Inputs!$B$35:$B$42)</f>
        <v>28100</v>
      </c>
      <c r="F42" t="str">
        <f>IF(LEFT(B42,5)="Pieza","Unico",IF(B42="Parte A",Inputs!$B$69,IF(B42="Parte B",Inputs!$B$77,"A")))</f>
        <v>Unico</v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>1967</v>
      </c>
      <c r="H42" t="str">
        <f t="shared" si="0"/>
        <v>Q0</v>
      </c>
      <c r="I42" t="str">
        <f t="shared" si="1"/>
        <v>Compra unica t=0</v>
      </c>
    </row>
    <row r="43" spans="1:9" x14ac:dyDescent="0.3">
      <c r="A43" t="s">
        <v>266</v>
      </c>
      <c r="B43" t="s">
        <v>25</v>
      </c>
      <c r="C43" t="s">
        <v>362</v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>37</v>
      </c>
      <c r="E43">
        <f>D43*_xlfn.XLOOKUP(B43,Inputs!$A$35:$A$42,Inputs!$B$35:$B$42)</f>
        <v>1110</v>
      </c>
      <c r="F43" t="str">
        <f>IF(LEFT(B43,5)="Pieza","Unico",IF(B43="Parte A",Inputs!$B$69,IF(B43="Parte B",Inputs!$B$77,"A")))</f>
        <v>Unico</v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>1332</v>
      </c>
      <c r="H43" t="str">
        <f t="shared" si="0"/>
        <v>Q0</v>
      </c>
      <c r="I43" t="str">
        <f t="shared" si="1"/>
        <v>Compra unica t=0</v>
      </c>
    </row>
    <row r="44" spans="1:9" x14ac:dyDescent="0.3">
      <c r="A44" t="s">
        <v>266</v>
      </c>
      <c r="B44" t="s">
        <v>26</v>
      </c>
      <c r="C44" t="s">
        <v>362</v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>36</v>
      </c>
      <c r="E44">
        <f>D44*_xlfn.XLOOKUP(B44,Inputs!$A$35:$A$42,Inputs!$B$35:$B$42)</f>
        <v>2160</v>
      </c>
      <c r="F44" t="str">
        <f>IF(LEFT(B44,5)="Pieza","Unico",IF(B44="Parte A",Inputs!$B$69,IF(B44="Parte B",Inputs!$B$77,"A")))</f>
        <v>Unico</v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>864</v>
      </c>
      <c r="H44" t="str">
        <f t="shared" si="0"/>
        <v>Q0</v>
      </c>
      <c r="I44" t="str">
        <f t="shared" si="1"/>
        <v>Compra unica t=0</v>
      </c>
    </row>
    <row r="45" spans="1:9" x14ac:dyDescent="0.3">
      <c r="A45" t="s">
        <v>266</v>
      </c>
      <c r="B45" t="s">
        <v>27</v>
      </c>
      <c r="C45" t="s">
        <v>362</v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>73</v>
      </c>
      <c r="E45">
        <f>D45*_xlfn.XLOOKUP(B45,Inputs!$A$35:$A$42,Inputs!$B$35:$B$42)</f>
        <v>7300</v>
      </c>
      <c r="F45" t="str">
        <f>IF(LEFT(B45,5)="Pieza","Unico",IF(B45="Parte A",Inputs!$B$69,IF(B45="Parte B",Inputs!$B$77,"A")))</f>
        <v>Unico</v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>2190</v>
      </c>
      <c r="H45" t="str">
        <f t="shared" si="0"/>
        <v>Q0</v>
      </c>
      <c r="I45" t="str">
        <f t="shared" si="1"/>
        <v>Compra unica t=0</v>
      </c>
    </row>
    <row r="46" spans="1:9" x14ac:dyDescent="0.3">
      <c r="A46" t="s">
        <v>266</v>
      </c>
      <c r="B46" t="s">
        <v>28</v>
      </c>
      <c r="C46" t="s">
        <v>362</v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>18</v>
      </c>
      <c r="E46">
        <f>D46*_xlfn.XLOOKUP(B46,Inputs!$A$35:$A$42,Inputs!$B$35:$B$42)</f>
        <v>2700</v>
      </c>
      <c r="F46" t="str">
        <f>IF(LEFT(B46,5)="Pieza","Unico",IF(B46="Parte A",Inputs!$B$69,IF(B46="Parte B",Inputs!$B$77,"A")))</f>
        <v>Unico</v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>504</v>
      </c>
      <c r="H46" t="str">
        <f t="shared" si="0"/>
        <v>Q0</v>
      </c>
      <c r="I46" t="str">
        <f t="shared" si="1"/>
        <v>Compra unica t=0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8A6-7983-4B6F-A007-D25FFAED40DF}">
  <dimension ref="A1:M114"/>
  <sheetViews>
    <sheetView workbookViewId="0"/>
  </sheetViews>
  <sheetFormatPr baseColWidth="10" defaultRowHeight="14.4" x14ac:dyDescent="0.3"/>
  <sheetData>
    <row r="1" spans="1:13" x14ac:dyDescent="0.3">
      <c r="A1" t="s">
        <v>347</v>
      </c>
    </row>
    <row r="2" spans="1:13" x14ac:dyDescent="0.3">
      <c r="A2" t="s">
        <v>348</v>
      </c>
      <c r="B2" t="s">
        <v>15</v>
      </c>
      <c r="C2" t="s">
        <v>349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350</v>
      </c>
      <c r="M2" t="s">
        <v>351</v>
      </c>
    </row>
    <row r="3" spans="1:13" x14ac:dyDescent="0.3">
      <c r="A3" t="s">
        <v>265</v>
      </c>
      <c r="B3" t="s">
        <v>19</v>
      </c>
      <c r="C3" t="s">
        <v>352</v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L3">
        <f t="shared" ref="L3:L34" si="0">SUM(D3:K3)</f>
        <v>5733.687943262411</v>
      </c>
      <c r="M3" t="str">
        <f t="shared" ref="M3:M34" si="1">A3&amp;"|"&amp;B3&amp;"|"&amp;C3</f>
        <v>Centro|Parte A|Gross Req</v>
      </c>
    </row>
    <row r="4" spans="1:13" x14ac:dyDescent="0.3">
      <c r="A4" t="s">
        <v>265</v>
      </c>
      <c r="B4" t="s">
        <v>19</v>
      </c>
      <c r="C4" t="s">
        <v>81</v>
      </c>
      <c r="D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E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F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G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H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I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J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K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L4">
        <f t="shared" si="0"/>
        <v>12397.163120567375</v>
      </c>
      <c r="M4" t="str">
        <f t="shared" si="1"/>
        <v>Centro|Parte A|Safety Stock</v>
      </c>
    </row>
    <row r="5" spans="1:13" x14ac:dyDescent="0.3">
      <c r="A5" t="s">
        <v>265</v>
      </c>
      <c r="B5" t="s">
        <v>19</v>
      </c>
      <c r="C5" t="s">
        <v>353</v>
      </c>
      <c r="D5">
        <f>IF($A5="Centro",_xlfn.XLOOKUP($B5,Multi_Planta!$A$6:$A$13,Multi_Planta!$B$6:$B$13),_xlfn.XLOOKUP($B5,Multi_Planta!$A$6:$A$13,Multi_Planta!$C$6:$C$13))</f>
        <v>3496</v>
      </c>
      <c r="E5">
        <f t="shared" ref="E5:K5" si="2">D9</f>
        <v>2062.578014184397</v>
      </c>
      <c r="F5">
        <f t="shared" si="2"/>
        <v>1559.1560283687943</v>
      </c>
      <c r="G5">
        <f t="shared" si="2"/>
        <v>1565.7340425531913</v>
      </c>
      <c r="H5">
        <f t="shared" si="2"/>
        <v>1572.3120567375884</v>
      </c>
      <c r="I5">
        <f t="shared" si="2"/>
        <v>1572.3120567375884</v>
      </c>
      <c r="J5">
        <f t="shared" si="2"/>
        <v>1572.3120567375884</v>
      </c>
      <c r="K5">
        <f t="shared" si="2"/>
        <v>1572.3120567375884</v>
      </c>
      <c r="L5">
        <f t="shared" si="0"/>
        <v>14972.716312056735</v>
      </c>
      <c r="M5" t="str">
        <f t="shared" si="1"/>
        <v>Centro|Parte A|POH Start</v>
      </c>
    </row>
    <row r="6" spans="1:13" x14ac:dyDescent="0.3">
      <c r="A6" t="s">
        <v>265</v>
      </c>
      <c r="B6" t="s">
        <v>19</v>
      </c>
      <c r="C6" t="s">
        <v>354</v>
      </c>
      <c r="D6">
        <f t="shared" ref="D6:K6" si="3">MAX(0,D3+D4-D5)</f>
        <v>0</v>
      </c>
      <c r="E6">
        <f t="shared" si="3"/>
        <v>920.48936170212755</v>
      </c>
      <c r="F6">
        <f t="shared" si="3"/>
        <v>1423.9113475177303</v>
      </c>
      <c r="G6">
        <f t="shared" si="3"/>
        <v>1417.3333333333333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0"/>
        <v>3761.7340425531911</v>
      </c>
      <c r="M6" t="str">
        <f t="shared" si="1"/>
        <v>Centro|Parte A|Net Req</v>
      </c>
    </row>
    <row r="7" spans="1:13" x14ac:dyDescent="0.3">
      <c r="A7" t="s">
        <v>265</v>
      </c>
      <c r="B7" t="s">
        <v>19</v>
      </c>
      <c r="C7" t="s">
        <v>355</v>
      </c>
      <c r="D7">
        <f>IF(AND(LEFT($B7,5)="Pieza",Inputs!$B$110=1),_xlfn.CEILING.MATH(L3,_xlfn.XLOOKUP($B7,Inputs!$A$35:$A$42,Inputs!$B$35:$B$42)),_xlfn.CEILING.MATH(D6,_xlfn.XLOOKUP($B7,Inputs!$A$35:$A$42,Inputs!$B$35:$B$42)))</f>
        <v>0</v>
      </c>
      <c r="E7">
        <f>IF(AND(LEFT($B7,5)="Pieza",Inputs!$B$110=1),0,_xlfn.CEILING.MATH(E6,_xlfn.XLOOKUP($B7,Inputs!$A$35:$A$42,Inputs!$B$35:$B$42)))</f>
        <v>930</v>
      </c>
      <c r="F7">
        <f>IF(AND(LEFT($B7,5)="Pieza",Inputs!$B$110=1),0,_xlfn.CEILING.MATH(F6,_xlfn.XLOOKUP($B7,Inputs!$A$35:$A$42,Inputs!$B$35:$B$42)))</f>
        <v>1440</v>
      </c>
      <c r="G7">
        <f>IF(AND(LEFT($B7,5)="Pieza",Inputs!$B$110=1),0,_xlfn.CEILING.MATH(G6,_xlfn.XLOOKUP($B7,Inputs!$A$35:$A$42,Inputs!$B$35:$B$42)))</f>
        <v>1440</v>
      </c>
      <c r="H7">
        <f>IF(AND(LEFT($B7,5)="Pieza",Inputs!$B$110=1),0,_xlfn.CEILING.MATH(H6,_xlfn.XLOOKUP($B7,Inputs!$A$35:$A$42,Inputs!$B$35:$B$42)))</f>
        <v>0</v>
      </c>
      <c r="I7">
        <f>IF(AND(LEFT($B7,5)="Pieza",Inputs!$B$110=1),0,_xlfn.CEILING.MATH(I6,_xlfn.XLOOKUP($B7,Inputs!$A$35:$A$42,Inputs!$B$35:$B$42)))</f>
        <v>0</v>
      </c>
      <c r="J7">
        <f>IF(AND(LEFT($B7,5)="Pieza",Inputs!$B$110=1),0,_xlfn.CEILING.MATH(J6,_xlfn.XLOOKUP($B7,Inputs!$A$35:$A$42,Inputs!$B$35:$B$42)))</f>
        <v>0</v>
      </c>
      <c r="K7">
        <f>IF(AND(LEFT($B7,5)="Pieza",Inputs!$B$110=1),0,_xlfn.CEILING.MATH(K6,_xlfn.XLOOKUP($B7,Inputs!$A$35:$A$42,Inputs!$B$35:$B$42)))</f>
        <v>0</v>
      </c>
      <c r="L7">
        <f t="shared" si="0"/>
        <v>3810</v>
      </c>
      <c r="M7" t="str">
        <f t="shared" si="1"/>
        <v>Centro|Parte A|Planned Receipt</v>
      </c>
    </row>
    <row r="8" spans="1:13" x14ac:dyDescent="0.3">
      <c r="A8" t="s">
        <v>265</v>
      </c>
      <c r="B8" t="s">
        <v>19</v>
      </c>
      <c r="C8" t="s">
        <v>356</v>
      </c>
      <c r="D8">
        <f t="shared" ref="D8:K8" si="4">D7</f>
        <v>0</v>
      </c>
      <c r="E8">
        <f t="shared" si="4"/>
        <v>930</v>
      </c>
      <c r="F8">
        <f t="shared" si="4"/>
        <v>1440</v>
      </c>
      <c r="G8">
        <f t="shared" si="4"/>
        <v>1440</v>
      </c>
      <c r="H8">
        <f t="shared" si="4"/>
        <v>0</v>
      </c>
      <c r="I8">
        <f t="shared" si="4"/>
        <v>0</v>
      </c>
      <c r="J8">
        <f t="shared" si="4"/>
        <v>0</v>
      </c>
      <c r="K8">
        <f t="shared" si="4"/>
        <v>0</v>
      </c>
      <c r="L8">
        <f t="shared" si="0"/>
        <v>3810</v>
      </c>
      <c r="M8" t="str">
        <f t="shared" si="1"/>
        <v>Centro|Parte A|Planned Release</v>
      </c>
    </row>
    <row r="9" spans="1:13" x14ac:dyDescent="0.3">
      <c r="A9" t="s">
        <v>265</v>
      </c>
      <c r="B9" t="s">
        <v>19</v>
      </c>
      <c r="C9" t="s">
        <v>357</v>
      </c>
      <c r="D9">
        <f t="shared" ref="D9:K9" si="5">D5+D7-D3</f>
        <v>2062.578014184397</v>
      </c>
      <c r="E9">
        <f t="shared" si="5"/>
        <v>1559.1560283687943</v>
      </c>
      <c r="F9">
        <f t="shared" si="5"/>
        <v>1565.7340425531913</v>
      </c>
      <c r="G9">
        <f t="shared" si="5"/>
        <v>1572.3120567375884</v>
      </c>
      <c r="H9">
        <f t="shared" si="5"/>
        <v>1572.3120567375884</v>
      </c>
      <c r="I9">
        <f t="shared" si="5"/>
        <v>1572.3120567375884</v>
      </c>
      <c r="J9">
        <f t="shared" si="5"/>
        <v>1572.3120567375884</v>
      </c>
      <c r="K9">
        <f t="shared" si="5"/>
        <v>1572.3120567375884</v>
      </c>
      <c r="L9">
        <f t="shared" si="0"/>
        <v>13049.028368794323</v>
      </c>
      <c r="M9" t="str">
        <f t="shared" si="1"/>
        <v>Centro|Parte A|POH End</v>
      </c>
    </row>
    <row r="10" spans="1:13" x14ac:dyDescent="0.3">
      <c r="A10" t="s">
        <v>265</v>
      </c>
      <c r="B10" t="s">
        <v>22</v>
      </c>
      <c r="C10" t="s">
        <v>352</v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L10">
        <f t="shared" si="0"/>
        <v>1337.6654064272213</v>
      </c>
      <c r="M10" t="str">
        <f t="shared" si="1"/>
        <v>Centro|Parte B|Gross Req</v>
      </c>
    </row>
    <row r="11" spans="1:13" x14ac:dyDescent="0.3">
      <c r="A11" t="s">
        <v>265</v>
      </c>
      <c r="B11" t="s">
        <v>22</v>
      </c>
      <c r="C11" t="s">
        <v>81</v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L11">
        <f t="shared" si="0"/>
        <v>2892.249527410208</v>
      </c>
      <c r="M11" t="str">
        <f t="shared" si="1"/>
        <v>Centro|Parte B|Safety Stock</v>
      </c>
    </row>
    <row r="12" spans="1:13" x14ac:dyDescent="0.3">
      <c r="A12" t="s">
        <v>265</v>
      </c>
      <c r="B12" t="s">
        <v>22</v>
      </c>
      <c r="C12" t="s">
        <v>353</v>
      </c>
      <c r="D12">
        <f>IF($A12="Centro",_xlfn.XLOOKUP($B12,Multi_Planta!$A$6:$A$13,Multi_Planta!$B$6:$B$13),_xlfn.XLOOKUP($B12,Multi_Planta!$A$6:$A$13,Multi_Planta!$C$6:$C$13))</f>
        <v>765</v>
      </c>
      <c r="E12">
        <f t="shared" ref="E12:K12" si="6">D16</f>
        <v>497.46691871455573</v>
      </c>
      <c r="F12">
        <f t="shared" si="6"/>
        <v>361.93383742911146</v>
      </c>
      <c r="G12">
        <f t="shared" si="6"/>
        <v>370.40075614366719</v>
      </c>
      <c r="H12">
        <f t="shared" si="6"/>
        <v>366.86767485822293</v>
      </c>
      <c r="I12">
        <f t="shared" si="6"/>
        <v>363.33459357277866</v>
      </c>
      <c r="J12">
        <f t="shared" si="6"/>
        <v>363.33459357277866</v>
      </c>
      <c r="K12">
        <f t="shared" si="6"/>
        <v>363.33459357277866</v>
      </c>
      <c r="L12">
        <f t="shared" si="0"/>
        <v>3451.6729678638931</v>
      </c>
      <c r="M12" t="str">
        <f t="shared" si="1"/>
        <v>Centro|Parte B|POH Start</v>
      </c>
    </row>
    <row r="13" spans="1:13" x14ac:dyDescent="0.3">
      <c r="A13" t="s">
        <v>265</v>
      </c>
      <c r="B13" t="s">
        <v>22</v>
      </c>
      <c r="C13" t="s">
        <v>354</v>
      </c>
      <c r="D13">
        <f t="shared" ref="D13:K13" si="7">MAX(0,D10+D11-D12)</f>
        <v>0</v>
      </c>
      <c r="E13">
        <f t="shared" si="7"/>
        <v>131.59735349716448</v>
      </c>
      <c r="F13">
        <f t="shared" si="7"/>
        <v>267.13043478260875</v>
      </c>
      <c r="G13">
        <f t="shared" si="7"/>
        <v>258.66351606805301</v>
      </c>
      <c r="H13">
        <f t="shared" si="7"/>
        <v>262.19659735349728</v>
      </c>
      <c r="I13">
        <f t="shared" si="7"/>
        <v>0</v>
      </c>
      <c r="J13">
        <f t="shared" si="7"/>
        <v>0</v>
      </c>
      <c r="K13">
        <f t="shared" si="7"/>
        <v>0</v>
      </c>
      <c r="L13">
        <f t="shared" si="0"/>
        <v>919.58790170132352</v>
      </c>
      <c r="M13" t="str">
        <f t="shared" si="1"/>
        <v>Centro|Parte B|Net Req</v>
      </c>
    </row>
    <row r="14" spans="1:13" x14ac:dyDescent="0.3">
      <c r="A14" t="s">
        <v>265</v>
      </c>
      <c r="B14" t="s">
        <v>22</v>
      </c>
      <c r="C14" t="s">
        <v>355</v>
      </c>
      <c r="D14">
        <f>IF(AND(LEFT($B14,5)="Pieza",Inputs!$B$110=1),_xlfn.CEILING.MATH(L10,_xlfn.XLOOKUP($B14,Inputs!$A$35:$A$42,Inputs!$B$35:$B$42)),_xlfn.CEILING.MATH(D13,_xlfn.XLOOKUP($B14,Inputs!$A$35:$A$42,Inputs!$B$35:$B$42)))</f>
        <v>0</v>
      </c>
      <c r="E14">
        <f>IF(AND(LEFT($B14,5)="Pieza",Inputs!$B$110=1),0,_xlfn.CEILING.MATH(E13,_xlfn.XLOOKUP($B14,Inputs!$A$35:$A$42,Inputs!$B$35:$B$42)))</f>
        <v>132</v>
      </c>
      <c r="F14">
        <f>IF(AND(LEFT($B14,5)="Pieza",Inputs!$B$110=1),0,_xlfn.CEILING.MATH(F13,_xlfn.XLOOKUP($B14,Inputs!$A$35:$A$42,Inputs!$B$35:$B$42)))</f>
        <v>276</v>
      </c>
      <c r="G14">
        <f>IF(AND(LEFT($B14,5)="Pieza",Inputs!$B$110=1),0,_xlfn.CEILING.MATH(G13,_xlfn.XLOOKUP($B14,Inputs!$A$35:$A$42,Inputs!$B$35:$B$42)))</f>
        <v>264</v>
      </c>
      <c r="H14">
        <f>IF(AND(LEFT($B14,5)="Pieza",Inputs!$B$110=1),0,_xlfn.CEILING.MATH(H13,_xlfn.XLOOKUP($B14,Inputs!$A$35:$A$42,Inputs!$B$35:$B$42)))</f>
        <v>264</v>
      </c>
      <c r="I14">
        <f>IF(AND(LEFT($B14,5)="Pieza",Inputs!$B$110=1),0,_xlfn.CEILING.MATH(I13,_xlfn.XLOOKUP($B14,Inputs!$A$35:$A$42,Inputs!$B$35:$B$42)))</f>
        <v>0</v>
      </c>
      <c r="J14">
        <f>IF(AND(LEFT($B14,5)="Pieza",Inputs!$B$110=1),0,_xlfn.CEILING.MATH(J13,_xlfn.XLOOKUP($B14,Inputs!$A$35:$A$42,Inputs!$B$35:$B$42)))</f>
        <v>0</v>
      </c>
      <c r="K14">
        <f>IF(AND(LEFT($B14,5)="Pieza",Inputs!$B$110=1),0,_xlfn.CEILING.MATH(K13,_xlfn.XLOOKUP($B14,Inputs!$A$35:$A$42,Inputs!$B$35:$B$42)))</f>
        <v>0</v>
      </c>
      <c r="L14">
        <f t="shared" si="0"/>
        <v>936</v>
      </c>
      <c r="M14" t="str">
        <f t="shared" si="1"/>
        <v>Centro|Parte B|Planned Receipt</v>
      </c>
    </row>
    <row r="15" spans="1:13" x14ac:dyDescent="0.3">
      <c r="A15" t="s">
        <v>265</v>
      </c>
      <c r="B15" t="s">
        <v>22</v>
      </c>
      <c r="C15" t="s">
        <v>356</v>
      </c>
      <c r="D15">
        <f t="shared" ref="D15:K15" si="8">D14</f>
        <v>0</v>
      </c>
      <c r="E15">
        <f t="shared" si="8"/>
        <v>132</v>
      </c>
      <c r="F15">
        <f t="shared" si="8"/>
        <v>276</v>
      </c>
      <c r="G15">
        <f t="shared" si="8"/>
        <v>264</v>
      </c>
      <c r="H15">
        <f t="shared" si="8"/>
        <v>264</v>
      </c>
      <c r="I15">
        <f t="shared" si="8"/>
        <v>0</v>
      </c>
      <c r="J15">
        <f t="shared" si="8"/>
        <v>0</v>
      </c>
      <c r="K15">
        <f t="shared" si="8"/>
        <v>0</v>
      </c>
      <c r="L15">
        <f t="shared" si="0"/>
        <v>936</v>
      </c>
      <c r="M15" t="str">
        <f t="shared" si="1"/>
        <v>Centro|Parte B|Planned Release</v>
      </c>
    </row>
    <row r="16" spans="1:13" x14ac:dyDescent="0.3">
      <c r="A16" t="s">
        <v>265</v>
      </c>
      <c r="B16" t="s">
        <v>22</v>
      </c>
      <c r="C16" t="s">
        <v>357</v>
      </c>
      <c r="D16">
        <f t="shared" ref="D16:K16" si="9">D12+D14-D10</f>
        <v>497.46691871455573</v>
      </c>
      <c r="E16">
        <f t="shared" si="9"/>
        <v>361.93383742911146</v>
      </c>
      <c r="F16">
        <f t="shared" si="9"/>
        <v>370.40075614366719</v>
      </c>
      <c r="G16">
        <f t="shared" si="9"/>
        <v>366.86767485822293</v>
      </c>
      <c r="H16">
        <f t="shared" si="9"/>
        <v>363.33459357277866</v>
      </c>
      <c r="I16">
        <f t="shared" si="9"/>
        <v>363.33459357277866</v>
      </c>
      <c r="J16">
        <f t="shared" si="9"/>
        <v>363.33459357277866</v>
      </c>
      <c r="K16">
        <f t="shared" si="9"/>
        <v>363.33459357277866</v>
      </c>
      <c r="L16">
        <f t="shared" si="0"/>
        <v>3050.0075614366715</v>
      </c>
      <c r="M16" t="str">
        <f t="shared" si="1"/>
        <v>Centro|Parte B|POH End</v>
      </c>
    </row>
    <row r="17" spans="1:13" x14ac:dyDescent="0.3">
      <c r="A17" t="s">
        <v>265</v>
      </c>
      <c r="B17" t="s">
        <v>23</v>
      </c>
      <c r="C17" t="s">
        <v>352</v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>0</v>
      </c>
      <c r="L17">
        <f t="shared" si="0"/>
        <v>93.638461538461542</v>
      </c>
      <c r="M17" t="str">
        <f t="shared" si="1"/>
        <v>Centro|Pieza 1|Gross Req</v>
      </c>
    </row>
    <row r="18" spans="1:13" x14ac:dyDescent="0.3">
      <c r="A18" t="s">
        <v>265</v>
      </c>
      <c r="B18" t="s">
        <v>23</v>
      </c>
      <c r="C18" t="s">
        <v>81</v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L18">
        <f t="shared" si="0"/>
        <v>289.23076923076923</v>
      </c>
      <c r="M18" t="str">
        <f t="shared" si="1"/>
        <v>Centro|Pieza 1|Safety Stock</v>
      </c>
    </row>
    <row r="19" spans="1:13" x14ac:dyDescent="0.3">
      <c r="A19" t="s">
        <v>265</v>
      </c>
      <c r="B19" t="s">
        <v>23</v>
      </c>
      <c r="C19" t="s">
        <v>353</v>
      </c>
      <c r="D19">
        <f>IF($A19="Centro",_xlfn.XLOOKUP($B19,Multi_Planta!$A$6:$A$13,Multi_Planta!$B$6:$B$13),_xlfn.XLOOKUP($B19,Multi_Planta!$A$6:$A$13,Multi_Planta!$C$6:$C$13))</f>
        <v>94</v>
      </c>
      <c r="E19">
        <f t="shared" ref="E19:K19" si="10">D23</f>
        <v>174.62307692307692</v>
      </c>
      <c r="F19">
        <f t="shared" si="10"/>
        <v>161.24615384615385</v>
      </c>
      <c r="G19">
        <f t="shared" si="10"/>
        <v>147.86923076923077</v>
      </c>
      <c r="H19">
        <f t="shared" si="10"/>
        <v>134.49230769230769</v>
      </c>
      <c r="I19">
        <f t="shared" si="10"/>
        <v>121.11538461538461</v>
      </c>
      <c r="J19">
        <f t="shared" si="10"/>
        <v>107.73846153846154</v>
      </c>
      <c r="K19">
        <f t="shared" si="10"/>
        <v>94.361538461538458</v>
      </c>
      <c r="L19">
        <f t="shared" si="0"/>
        <v>1035.4461538461539</v>
      </c>
      <c r="M19" t="str">
        <f t="shared" si="1"/>
        <v>Centro|Pieza 1|POH Start</v>
      </c>
    </row>
    <row r="20" spans="1:13" x14ac:dyDescent="0.3">
      <c r="A20" t="s">
        <v>265</v>
      </c>
      <c r="B20" t="s">
        <v>23</v>
      </c>
      <c r="C20" t="s">
        <v>354</v>
      </c>
      <c r="D20">
        <f t="shared" ref="D20:K20" si="11">MAX(0,D17+D18-D19)</f>
        <v>0</v>
      </c>
      <c r="E20">
        <f t="shared" si="11"/>
        <v>0</v>
      </c>
      <c r="F20">
        <f t="shared" si="11"/>
        <v>0</v>
      </c>
      <c r="G20">
        <f t="shared" si="11"/>
        <v>0</v>
      </c>
      <c r="H20">
        <f t="shared" si="11"/>
        <v>0</v>
      </c>
      <c r="I20">
        <f t="shared" si="11"/>
        <v>0</v>
      </c>
      <c r="J20">
        <f t="shared" si="11"/>
        <v>0</v>
      </c>
      <c r="K20">
        <f t="shared" si="11"/>
        <v>0</v>
      </c>
      <c r="L20">
        <f t="shared" si="0"/>
        <v>0</v>
      </c>
      <c r="M20" t="str">
        <f t="shared" si="1"/>
        <v>Centro|Pieza 1|Net Req</v>
      </c>
    </row>
    <row r="21" spans="1:13" x14ac:dyDescent="0.3">
      <c r="A21" t="s">
        <v>265</v>
      </c>
      <c r="B21" t="s">
        <v>23</v>
      </c>
      <c r="C21" t="s">
        <v>355</v>
      </c>
      <c r="D21">
        <f>IF(AND(LEFT($B21,5)="Pieza",Inputs!$B$110=1),_xlfn.CEILING.MATH(L17,_xlfn.XLOOKUP($B21,Inputs!$A$35:$A$42,Inputs!$B$35:$B$42)),_xlfn.CEILING.MATH(D20,_xlfn.XLOOKUP($B21,Inputs!$A$35:$A$42,Inputs!$B$35:$B$42)))</f>
        <v>94</v>
      </c>
      <c r="E21">
        <f>IF(AND(LEFT($B21,5)="Pieza",Inputs!$B$110=1),0,_xlfn.CEILING.MATH(E20,_xlfn.XLOOKUP($B21,Inputs!$A$35:$A$42,Inputs!$B$35:$B$42)))</f>
        <v>0</v>
      </c>
      <c r="F21">
        <f>IF(AND(LEFT($B21,5)="Pieza",Inputs!$B$110=1),0,_xlfn.CEILING.MATH(F20,_xlfn.XLOOKUP($B21,Inputs!$A$35:$A$42,Inputs!$B$35:$B$42)))</f>
        <v>0</v>
      </c>
      <c r="G21">
        <f>IF(AND(LEFT($B21,5)="Pieza",Inputs!$B$110=1),0,_xlfn.CEILING.MATH(G20,_xlfn.XLOOKUP($B21,Inputs!$A$35:$A$42,Inputs!$B$35:$B$42)))</f>
        <v>0</v>
      </c>
      <c r="H21">
        <f>IF(AND(LEFT($B21,5)="Pieza",Inputs!$B$110=1),0,_xlfn.CEILING.MATH(H20,_xlfn.XLOOKUP($B21,Inputs!$A$35:$A$42,Inputs!$B$35:$B$42)))</f>
        <v>0</v>
      </c>
      <c r="I21">
        <f>IF(AND(LEFT($B21,5)="Pieza",Inputs!$B$110=1),0,_xlfn.CEILING.MATH(I20,_xlfn.XLOOKUP($B21,Inputs!$A$35:$A$42,Inputs!$B$35:$B$42)))</f>
        <v>0</v>
      </c>
      <c r="J21">
        <f>IF(AND(LEFT($B21,5)="Pieza",Inputs!$B$110=1),0,_xlfn.CEILING.MATH(J20,_xlfn.XLOOKUP($B21,Inputs!$A$35:$A$42,Inputs!$B$35:$B$42)))</f>
        <v>0</v>
      </c>
      <c r="K21">
        <f>IF(AND(LEFT($B21,5)="Pieza",Inputs!$B$110=1),0,_xlfn.CEILING.MATH(K20,_xlfn.XLOOKUP($B21,Inputs!$A$35:$A$42,Inputs!$B$35:$B$42)))</f>
        <v>0</v>
      </c>
      <c r="L21">
        <f t="shared" si="0"/>
        <v>94</v>
      </c>
      <c r="M21" t="str">
        <f t="shared" si="1"/>
        <v>Centro|Pieza 1|Planned Receipt</v>
      </c>
    </row>
    <row r="22" spans="1:13" x14ac:dyDescent="0.3">
      <c r="A22" t="s">
        <v>265</v>
      </c>
      <c r="B22" t="s">
        <v>23</v>
      </c>
      <c r="C22" t="s">
        <v>356</v>
      </c>
      <c r="D22">
        <f t="shared" ref="D22:K22" si="12">D21</f>
        <v>94</v>
      </c>
      <c r="E22">
        <f t="shared" si="12"/>
        <v>0</v>
      </c>
      <c r="F22">
        <f t="shared" si="12"/>
        <v>0</v>
      </c>
      <c r="G22">
        <f t="shared" si="12"/>
        <v>0</v>
      </c>
      <c r="H22">
        <f t="shared" si="12"/>
        <v>0</v>
      </c>
      <c r="I22">
        <f t="shared" si="12"/>
        <v>0</v>
      </c>
      <c r="J22">
        <f t="shared" si="12"/>
        <v>0</v>
      </c>
      <c r="K22">
        <f t="shared" si="12"/>
        <v>0</v>
      </c>
      <c r="L22">
        <f t="shared" si="0"/>
        <v>94</v>
      </c>
      <c r="M22" t="str">
        <f t="shared" si="1"/>
        <v>Centro|Pieza 1|Planned Release</v>
      </c>
    </row>
    <row r="23" spans="1:13" x14ac:dyDescent="0.3">
      <c r="A23" t="s">
        <v>265</v>
      </c>
      <c r="B23" t="s">
        <v>23</v>
      </c>
      <c r="C23" t="s">
        <v>357</v>
      </c>
      <c r="D23">
        <f t="shared" ref="D23:K23" si="13">D19+D21-D17</f>
        <v>174.62307692307692</v>
      </c>
      <c r="E23">
        <f t="shared" si="13"/>
        <v>161.24615384615385</v>
      </c>
      <c r="F23">
        <f t="shared" si="13"/>
        <v>147.86923076923077</v>
      </c>
      <c r="G23">
        <f t="shared" si="13"/>
        <v>134.49230769230769</v>
      </c>
      <c r="H23">
        <f t="shared" si="13"/>
        <v>121.11538461538461</v>
      </c>
      <c r="I23">
        <f t="shared" si="13"/>
        <v>107.73846153846154</v>
      </c>
      <c r="J23">
        <f t="shared" si="13"/>
        <v>94.361538461538458</v>
      </c>
      <c r="K23">
        <f t="shared" si="13"/>
        <v>94.361538461538458</v>
      </c>
      <c r="L23">
        <f t="shared" si="0"/>
        <v>1035.8076923076922</v>
      </c>
      <c r="M23" t="str">
        <f t="shared" si="1"/>
        <v>Centro|Pieza 1|POH End</v>
      </c>
    </row>
    <row r="24" spans="1:13" x14ac:dyDescent="0.3">
      <c r="A24" t="s">
        <v>265</v>
      </c>
      <c r="B24" t="s">
        <v>24</v>
      </c>
      <c r="C24" t="s">
        <v>352</v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>0</v>
      </c>
      <c r="L24">
        <f t="shared" si="0"/>
        <v>75595.747911921018</v>
      </c>
      <c r="M24" t="str">
        <f t="shared" si="1"/>
        <v>Centro|Pieza 2|Gross Req</v>
      </c>
    </row>
    <row r="25" spans="1:13" x14ac:dyDescent="0.3">
      <c r="A25" t="s">
        <v>265</v>
      </c>
      <c r="B25" t="s">
        <v>24</v>
      </c>
      <c r="C25" t="s">
        <v>81</v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L25">
        <f t="shared" si="0"/>
        <v>58375.094912680332</v>
      </c>
      <c r="M25" t="str">
        <f t="shared" si="1"/>
        <v>Centro|Pieza 2|Safety Stock</v>
      </c>
    </row>
    <row r="26" spans="1:13" x14ac:dyDescent="0.3">
      <c r="A26" t="s">
        <v>265</v>
      </c>
      <c r="B26" t="s">
        <v>24</v>
      </c>
      <c r="C26" t="s">
        <v>353</v>
      </c>
      <c r="D26">
        <f>IF($A26="Centro",_xlfn.XLOOKUP($B26,Multi_Planta!$A$6:$A$13,Multi_Planta!$B$6:$B$13),_xlfn.XLOOKUP($B26,Multi_Planta!$A$6:$A$13,Multi_Planta!$C$6:$C$13))</f>
        <v>3844</v>
      </c>
      <c r="E26">
        <f t="shared" ref="E26:K26" si="14">D30</f>
        <v>68644.607441154134</v>
      </c>
      <c r="F26">
        <f t="shared" si="14"/>
        <v>57845.214882308275</v>
      </c>
      <c r="G26">
        <f t="shared" si="14"/>
        <v>47045.822323462417</v>
      </c>
      <c r="H26">
        <f t="shared" si="14"/>
        <v>36246.429764616558</v>
      </c>
      <c r="I26">
        <f t="shared" si="14"/>
        <v>25447.037205770699</v>
      </c>
      <c r="J26">
        <f t="shared" si="14"/>
        <v>14647.644646924839</v>
      </c>
      <c r="K26">
        <f t="shared" si="14"/>
        <v>3848.252088078978</v>
      </c>
      <c r="L26">
        <f t="shared" si="0"/>
        <v>257569.00835231587</v>
      </c>
      <c r="M26" t="str">
        <f t="shared" si="1"/>
        <v>Centro|Pieza 2|POH Start</v>
      </c>
    </row>
    <row r="27" spans="1:13" x14ac:dyDescent="0.3">
      <c r="A27" t="s">
        <v>265</v>
      </c>
      <c r="B27" t="s">
        <v>24</v>
      </c>
      <c r="C27" t="s">
        <v>354</v>
      </c>
      <c r="D27">
        <f t="shared" ref="D27:K27" si="15">MAX(0,D24+D25-D26)</f>
        <v>14252.2794229309</v>
      </c>
      <c r="E27">
        <f t="shared" si="15"/>
        <v>0</v>
      </c>
      <c r="F27">
        <f t="shared" si="15"/>
        <v>0</v>
      </c>
      <c r="G27">
        <f t="shared" si="15"/>
        <v>0</v>
      </c>
      <c r="H27">
        <f t="shared" si="15"/>
        <v>0</v>
      </c>
      <c r="I27">
        <f t="shared" si="15"/>
        <v>0</v>
      </c>
      <c r="J27">
        <f t="shared" si="15"/>
        <v>3448.6347760060617</v>
      </c>
      <c r="K27">
        <f t="shared" si="15"/>
        <v>3448.6347760060635</v>
      </c>
      <c r="L27">
        <f t="shared" si="0"/>
        <v>21149.548974943023</v>
      </c>
      <c r="M27" t="str">
        <f t="shared" si="1"/>
        <v>Centro|Pieza 2|Net Req</v>
      </c>
    </row>
    <row r="28" spans="1:13" x14ac:dyDescent="0.3">
      <c r="A28" t="s">
        <v>265</v>
      </c>
      <c r="B28" t="s">
        <v>24</v>
      </c>
      <c r="C28" t="s">
        <v>355</v>
      </c>
      <c r="D28">
        <f>IF(AND(LEFT($B28,5)="Pieza",Inputs!$B$110=1),_xlfn.CEILING.MATH(L24,_xlfn.XLOOKUP($B28,Inputs!$A$35:$A$42,Inputs!$B$35:$B$42)),_xlfn.CEILING.MATH(D27,_xlfn.XLOOKUP($B28,Inputs!$A$35:$A$42,Inputs!$B$35:$B$42)))</f>
        <v>75600</v>
      </c>
      <c r="E28">
        <f>IF(AND(LEFT($B28,5)="Pieza",Inputs!$B$110=1),0,_xlfn.CEILING.MATH(E27,_xlfn.XLOOKUP($B28,Inputs!$A$35:$A$42,Inputs!$B$35:$B$42)))</f>
        <v>0</v>
      </c>
      <c r="F28">
        <f>IF(AND(LEFT($B28,5)="Pieza",Inputs!$B$110=1),0,_xlfn.CEILING.MATH(F27,_xlfn.XLOOKUP($B28,Inputs!$A$35:$A$42,Inputs!$B$35:$B$42)))</f>
        <v>0</v>
      </c>
      <c r="G28">
        <f>IF(AND(LEFT($B28,5)="Pieza",Inputs!$B$110=1),0,_xlfn.CEILING.MATH(G27,_xlfn.XLOOKUP($B28,Inputs!$A$35:$A$42,Inputs!$B$35:$B$42)))</f>
        <v>0</v>
      </c>
      <c r="H28">
        <f>IF(AND(LEFT($B28,5)="Pieza",Inputs!$B$110=1),0,_xlfn.CEILING.MATH(H27,_xlfn.XLOOKUP($B28,Inputs!$A$35:$A$42,Inputs!$B$35:$B$42)))</f>
        <v>0</v>
      </c>
      <c r="I28">
        <f>IF(AND(LEFT($B28,5)="Pieza",Inputs!$B$110=1),0,_xlfn.CEILING.MATH(I27,_xlfn.XLOOKUP($B28,Inputs!$A$35:$A$42,Inputs!$B$35:$B$42)))</f>
        <v>0</v>
      </c>
      <c r="J28">
        <f>IF(AND(LEFT($B28,5)="Pieza",Inputs!$B$110=1),0,_xlfn.CEILING.MATH(J27,_xlfn.XLOOKUP($B28,Inputs!$A$35:$A$42,Inputs!$B$35:$B$42)))</f>
        <v>0</v>
      </c>
      <c r="K28">
        <f>IF(AND(LEFT($B28,5)="Pieza",Inputs!$B$110=1),0,_xlfn.CEILING.MATH(K27,_xlfn.XLOOKUP($B28,Inputs!$A$35:$A$42,Inputs!$B$35:$B$42)))</f>
        <v>0</v>
      </c>
      <c r="L28">
        <f t="shared" si="0"/>
        <v>75600</v>
      </c>
      <c r="M28" t="str">
        <f t="shared" si="1"/>
        <v>Centro|Pieza 2|Planned Receipt</v>
      </c>
    </row>
    <row r="29" spans="1:13" x14ac:dyDescent="0.3">
      <c r="A29" t="s">
        <v>265</v>
      </c>
      <c r="B29" t="s">
        <v>24</v>
      </c>
      <c r="C29" t="s">
        <v>356</v>
      </c>
      <c r="D29">
        <f t="shared" ref="D29:K29" si="16">D28</f>
        <v>75600</v>
      </c>
      <c r="E29">
        <f t="shared" si="16"/>
        <v>0</v>
      </c>
      <c r="F29">
        <f t="shared" si="16"/>
        <v>0</v>
      </c>
      <c r="G29">
        <f t="shared" si="16"/>
        <v>0</v>
      </c>
      <c r="H29">
        <f t="shared" si="16"/>
        <v>0</v>
      </c>
      <c r="I29">
        <f t="shared" si="16"/>
        <v>0</v>
      </c>
      <c r="J29">
        <f t="shared" si="16"/>
        <v>0</v>
      </c>
      <c r="K29">
        <f t="shared" si="16"/>
        <v>0</v>
      </c>
      <c r="L29">
        <f t="shared" si="0"/>
        <v>75600</v>
      </c>
      <c r="M29" t="str">
        <f t="shared" si="1"/>
        <v>Centro|Pieza 2|Planned Release</v>
      </c>
    </row>
    <row r="30" spans="1:13" x14ac:dyDescent="0.3">
      <c r="A30" t="s">
        <v>265</v>
      </c>
      <c r="B30" t="s">
        <v>24</v>
      </c>
      <c r="C30" t="s">
        <v>357</v>
      </c>
      <c r="D30">
        <f t="shared" ref="D30:K30" si="17">D26+D28-D24</f>
        <v>68644.607441154134</v>
      </c>
      <c r="E30">
        <f t="shared" si="17"/>
        <v>57845.214882308275</v>
      </c>
      <c r="F30">
        <f t="shared" si="17"/>
        <v>47045.822323462417</v>
      </c>
      <c r="G30">
        <f t="shared" si="17"/>
        <v>36246.429764616558</v>
      </c>
      <c r="H30">
        <f t="shared" si="17"/>
        <v>25447.037205770699</v>
      </c>
      <c r="I30">
        <f t="shared" si="17"/>
        <v>14647.644646924839</v>
      </c>
      <c r="J30">
        <f t="shared" si="17"/>
        <v>3848.252088078978</v>
      </c>
      <c r="K30">
        <f t="shared" si="17"/>
        <v>3848.252088078978</v>
      </c>
      <c r="L30">
        <f t="shared" si="0"/>
        <v>257573.26044039484</v>
      </c>
      <c r="M30" t="str">
        <f t="shared" si="1"/>
        <v>Centro|Pieza 2|POH End</v>
      </c>
    </row>
    <row r="31" spans="1:13" x14ac:dyDescent="0.3">
      <c r="A31" t="s">
        <v>265</v>
      </c>
      <c r="B31" t="s">
        <v>25</v>
      </c>
      <c r="C31" t="s">
        <v>352</v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>0</v>
      </c>
      <c r="L31">
        <f t="shared" si="0"/>
        <v>2801.8982229402259</v>
      </c>
      <c r="M31" t="str">
        <f t="shared" si="1"/>
        <v>Centro|Pieza 3|Gross Req</v>
      </c>
    </row>
    <row r="32" spans="1:13" x14ac:dyDescent="0.3">
      <c r="A32" t="s">
        <v>265</v>
      </c>
      <c r="B32" t="s">
        <v>25</v>
      </c>
      <c r="C32" t="s">
        <v>81</v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L32">
        <f t="shared" si="0"/>
        <v>5769.6745903531046</v>
      </c>
      <c r="M32" t="str">
        <f t="shared" si="1"/>
        <v>Centro|Pieza 3|Safety Stock</v>
      </c>
    </row>
    <row r="33" spans="1:13" x14ac:dyDescent="0.3">
      <c r="A33" t="s">
        <v>265</v>
      </c>
      <c r="B33" t="s">
        <v>25</v>
      </c>
      <c r="C33" t="s">
        <v>353</v>
      </c>
      <c r="D33">
        <f>IF($A33="Centro",_xlfn.XLOOKUP($B33,Multi_Planta!$A$6:$A$13,Multi_Planta!$B$6:$B$13),_xlfn.XLOOKUP($B33,Multi_Planta!$A$6:$A$13,Multi_Planta!$C$6:$C$13))</f>
        <v>3125</v>
      </c>
      <c r="E33">
        <f t="shared" ref="E33:K33" si="18">D37</f>
        <v>5544.7288252942535</v>
      </c>
      <c r="F33">
        <f t="shared" si="18"/>
        <v>5144.457650588507</v>
      </c>
      <c r="G33">
        <f t="shared" si="18"/>
        <v>4744.1864758827605</v>
      </c>
      <c r="H33">
        <f t="shared" si="18"/>
        <v>4343.915301177014</v>
      </c>
      <c r="I33">
        <f t="shared" si="18"/>
        <v>3943.6441264712676</v>
      </c>
      <c r="J33">
        <f t="shared" si="18"/>
        <v>3543.3729517655211</v>
      </c>
      <c r="K33">
        <f t="shared" si="18"/>
        <v>3143.1017770597746</v>
      </c>
      <c r="L33">
        <f t="shared" si="0"/>
        <v>33532.407108239095</v>
      </c>
      <c r="M33" t="str">
        <f t="shared" si="1"/>
        <v>Centro|Pieza 3|POH Start</v>
      </c>
    </row>
    <row r="34" spans="1:13" x14ac:dyDescent="0.3">
      <c r="A34" t="s">
        <v>265</v>
      </c>
      <c r="B34" t="s">
        <v>25</v>
      </c>
      <c r="C34" t="s">
        <v>354</v>
      </c>
      <c r="D34">
        <f t="shared" ref="D34:K34" si="19">MAX(0,D31+D32-D33)</f>
        <v>0</v>
      </c>
      <c r="E34">
        <f t="shared" si="19"/>
        <v>0</v>
      </c>
      <c r="F34">
        <f t="shared" si="19"/>
        <v>0</v>
      </c>
      <c r="G34">
        <f t="shared" si="19"/>
        <v>0</v>
      </c>
      <c r="H34">
        <f t="shared" si="19"/>
        <v>0</v>
      </c>
      <c r="I34">
        <f t="shared" si="19"/>
        <v>0</v>
      </c>
      <c r="J34">
        <f t="shared" si="19"/>
        <v>0</v>
      </c>
      <c r="K34">
        <f t="shared" si="19"/>
        <v>0</v>
      </c>
      <c r="L34">
        <f t="shared" si="0"/>
        <v>0</v>
      </c>
      <c r="M34" t="str">
        <f t="shared" si="1"/>
        <v>Centro|Pieza 3|Net Req</v>
      </c>
    </row>
    <row r="35" spans="1:13" x14ac:dyDescent="0.3">
      <c r="A35" t="s">
        <v>265</v>
      </c>
      <c r="B35" t="s">
        <v>25</v>
      </c>
      <c r="C35" t="s">
        <v>355</v>
      </c>
      <c r="D35">
        <f>IF(AND(LEFT($B35,5)="Pieza",Inputs!$B$110=1),_xlfn.CEILING.MATH(L31,_xlfn.XLOOKUP($B35,Inputs!$A$35:$A$42,Inputs!$B$35:$B$42)),_xlfn.CEILING.MATH(D34,_xlfn.XLOOKUP($B35,Inputs!$A$35:$A$42,Inputs!$B$35:$B$42)))</f>
        <v>2820</v>
      </c>
      <c r="E35">
        <f>IF(AND(LEFT($B35,5)="Pieza",Inputs!$B$110=1),0,_xlfn.CEILING.MATH(E34,_xlfn.XLOOKUP($B35,Inputs!$A$35:$A$42,Inputs!$B$35:$B$42)))</f>
        <v>0</v>
      </c>
      <c r="F35">
        <f>IF(AND(LEFT($B35,5)="Pieza",Inputs!$B$110=1),0,_xlfn.CEILING.MATH(F34,_xlfn.XLOOKUP($B35,Inputs!$A$35:$A$42,Inputs!$B$35:$B$42)))</f>
        <v>0</v>
      </c>
      <c r="G35">
        <f>IF(AND(LEFT($B35,5)="Pieza",Inputs!$B$110=1),0,_xlfn.CEILING.MATH(G34,_xlfn.XLOOKUP($B35,Inputs!$A$35:$A$42,Inputs!$B$35:$B$42)))</f>
        <v>0</v>
      </c>
      <c r="H35">
        <f>IF(AND(LEFT($B35,5)="Pieza",Inputs!$B$110=1),0,_xlfn.CEILING.MATH(H34,_xlfn.XLOOKUP($B35,Inputs!$A$35:$A$42,Inputs!$B$35:$B$42)))</f>
        <v>0</v>
      </c>
      <c r="I35">
        <f>IF(AND(LEFT($B35,5)="Pieza",Inputs!$B$110=1),0,_xlfn.CEILING.MATH(I34,_xlfn.XLOOKUP($B35,Inputs!$A$35:$A$42,Inputs!$B$35:$B$42)))</f>
        <v>0</v>
      </c>
      <c r="J35">
        <f>IF(AND(LEFT($B35,5)="Pieza",Inputs!$B$110=1),0,_xlfn.CEILING.MATH(J34,_xlfn.XLOOKUP($B35,Inputs!$A$35:$A$42,Inputs!$B$35:$B$42)))</f>
        <v>0</v>
      </c>
      <c r="K35">
        <f>IF(AND(LEFT($B35,5)="Pieza",Inputs!$B$110=1),0,_xlfn.CEILING.MATH(K34,_xlfn.XLOOKUP($B35,Inputs!$A$35:$A$42,Inputs!$B$35:$B$42)))</f>
        <v>0</v>
      </c>
      <c r="L35">
        <f t="shared" ref="L35:L66" si="20">SUM(D35:K35)</f>
        <v>2820</v>
      </c>
      <c r="M35" t="str">
        <f t="shared" ref="M35:M66" si="21">A35&amp;"|"&amp;B35&amp;"|"&amp;C35</f>
        <v>Centro|Pieza 3|Planned Receipt</v>
      </c>
    </row>
    <row r="36" spans="1:13" x14ac:dyDescent="0.3">
      <c r="A36" t="s">
        <v>265</v>
      </c>
      <c r="B36" t="s">
        <v>25</v>
      </c>
      <c r="C36" t="s">
        <v>356</v>
      </c>
      <c r="D36">
        <f t="shared" ref="D36:K36" si="22">D35</f>
        <v>2820</v>
      </c>
      <c r="E36">
        <f t="shared" si="22"/>
        <v>0</v>
      </c>
      <c r="F36">
        <f t="shared" si="22"/>
        <v>0</v>
      </c>
      <c r="G36">
        <f t="shared" si="22"/>
        <v>0</v>
      </c>
      <c r="H36">
        <f t="shared" si="22"/>
        <v>0</v>
      </c>
      <c r="I36">
        <f t="shared" si="22"/>
        <v>0</v>
      </c>
      <c r="J36">
        <f t="shared" si="22"/>
        <v>0</v>
      </c>
      <c r="K36">
        <f t="shared" si="22"/>
        <v>0</v>
      </c>
      <c r="L36">
        <f t="shared" si="20"/>
        <v>2820</v>
      </c>
      <c r="M36" t="str">
        <f t="shared" si="21"/>
        <v>Centro|Pieza 3|Planned Release</v>
      </c>
    </row>
    <row r="37" spans="1:13" x14ac:dyDescent="0.3">
      <c r="A37" t="s">
        <v>265</v>
      </c>
      <c r="B37" t="s">
        <v>25</v>
      </c>
      <c r="C37" t="s">
        <v>357</v>
      </c>
      <c r="D37">
        <f t="shared" ref="D37:K37" si="23">D33+D35-D31</f>
        <v>5544.7288252942535</v>
      </c>
      <c r="E37">
        <f t="shared" si="23"/>
        <v>5144.457650588507</v>
      </c>
      <c r="F37">
        <f t="shared" si="23"/>
        <v>4744.1864758827605</v>
      </c>
      <c r="G37">
        <f t="shared" si="23"/>
        <v>4343.915301177014</v>
      </c>
      <c r="H37">
        <f t="shared" si="23"/>
        <v>3943.6441264712676</v>
      </c>
      <c r="I37">
        <f t="shared" si="23"/>
        <v>3543.3729517655211</v>
      </c>
      <c r="J37">
        <f t="shared" si="23"/>
        <v>3143.1017770597746</v>
      </c>
      <c r="K37">
        <f t="shared" si="23"/>
        <v>3143.1017770597746</v>
      </c>
      <c r="L37">
        <f t="shared" si="20"/>
        <v>33550.508885298877</v>
      </c>
      <c r="M37" t="str">
        <f t="shared" si="21"/>
        <v>Centro|Pieza 3|POH End</v>
      </c>
    </row>
    <row r="38" spans="1:13" x14ac:dyDescent="0.3">
      <c r="A38" t="s">
        <v>265</v>
      </c>
      <c r="B38" t="s">
        <v>26</v>
      </c>
      <c r="C38" t="s">
        <v>352</v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>0</v>
      </c>
      <c r="L38">
        <f t="shared" si="20"/>
        <v>5613.0399434429137</v>
      </c>
      <c r="M38" t="str">
        <f t="shared" si="21"/>
        <v>Centro|Pieza 4|Gross Req</v>
      </c>
    </row>
    <row r="39" spans="1:13" x14ac:dyDescent="0.3">
      <c r="A39" t="s">
        <v>265</v>
      </c>
      <c r="B39" t="s">
        <v>26</v>
      </c>
      <c r="C39" t="s">
        <v>81</v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L39">
        <f t="shared" si="20"/>
        <v>11558.383409921054</v>
      </c>
      <c r="M39" t="str">
        <f t="shared" si="21"/>
        <v>Centro|Pieza 4|Safety Stock</v>
      </c>
    </row>
    <row r="40" spans="1:13" x14ac:dyDescent="0.3">
      <c r="A40" t="s">
        <v>265</v>
      </c>
      <c r="B40" t="s">
        <v>26</v>
      </c>
      <c r="C40" t="s">
        <v>353</v>
      </c>
      <c r="D40">
        <f>IF($A40="Centro",_xlfn.XLOOKUP($B40,Multi_Planta!$A$6:$A$13,Multi_Planta!$B$6:$B$13),_xlfn.XLOOKUP($B40,Multi_Planta!$A$6:$A$13,Multi_Planta!$C$6:$C$13))</f>
        <v>6131</v>
      </c>
      <c r="E40">
        <f t="shared" ref="E40:K40" si="24">D44</f>
        <v>10969.137150936727</v>
      </c>
      <c r="F40">
        <f t="shared" si="24"/>
        <v>10167.274301873455</v>
      </c>
      <c r="G40">
        <f t="shared" si="24"/>
        <v>9365.4114528101818</v>
      </c>
      <c r="H40">
        <f t="shared" si="24"/>
        <v>8563.5486037469091</v>
      </c>
      <c r="I40">
        <f t="shared" si="24"/>
        <v>7761.6857546836354</v>
      </c>
      <c r="J40">
        <f t="shared" si="24"/>
        <v>6959.8229056203618</v>
      </c>
      <c r="K40">
        <f t="shared" si="24"/>
        <v>6157.9600565570881</v>
      </c>
      <c r="L40">
        <f t="shared" si="20"/>
        <v>66075.840226228363</v>
      </c>
      <c r="M40" t="str">
        <f t="shared" si="21"/>
        <v>Centro|Pieza 4|POH Start</v>
      </c>
    </row>
    <row r="41" spans="1:13" x14ac:dyDescent="0.3">
      <c r="A41" t="s">
        <v>265</v>
      </c>
      <c r="B41" t="s">
        <v>26</v>
      </c>
      <c r="C41" t="s">
        <v>354</v>
      </c>
      <c r="D41">
        <f t="shared" ref="D41:K41" si="25">MAX(0,D38+D39-D40)</f>
        <v>0</v>
      </c>
      <c r="E41">
        <f t="shared" si="25"/>
        <v>0</v>
      </c>
      <c r="F41">
        <f t="shared" si="25"/>
        <v>0</v>
      </c>
      <c r="G41">
        <f t="shared" si="25"/>
        <v>0</v>
      </c>
      <c r="H41">
        <f t="shared" si="25"/>
        <v>0</v>
      </c>
      <c r="I41">
        <f t="shared" si="25"/>
        <v>0</v>
      </c>
      <c r="J41">
        <f t="shared" si="25"/>
        <v>0</v>
      </c>
      <c r="K41">
        <f t="shared" si="25"/>
        <v>0</v>
      </c>
      <c r="L41">
        <f t="shared" si="20"/>
        <v>0</v>
      </c>
      <c r="M41" t="str">
        <f t="shared" si="21"/>
        <v>Centro|Pieza 4|Net Req</v>
      </c>
    </row>
    <row r="42" spans="1:13" x14ac:dyDescent="0.3">
      <c r="A42" t="s">
        <v>265</v>
      </c>
      <c r="B42" t="s">
        <v>26</v>
      </c>
      <c r="C42" t="s">
        <v>355</v>
      </c>
      <c r="D42">
        <f>IF(AND(LEFT($B42,5)="Pieza",Inputs!$B$110=1),_xlfn.CEILING.MATH(L38,_xlfn.XLOOKUP($B42,Inputs!$A$35:$A$42,Inputs!$B$35:$B$42)),_xlfn.CEILING.MATH(D41,_xlfn.XLOOKUP($B42,Inputs!$A$35:$A$42,Inputs!$B$35:$B$42)))</f>
        <v>5640</v>
      </c>
      <c r="E42">
        <f>IF(AND(LEFT($B42,5)="Pieza",Inputs!$B$110=1),0,_xlfn.CEILING.MATH(E41,_xlfn.XLOOKUP($B42,Inputs!$A$35:$A$42,Inputs!$B$35:$B$42)))</f>
        <v>0</v>
      </c>
      <c r="F42">
        <f>IF(AND(LEFT($B42,5)="Pieza",Inputs!$B$110=1),0,_xlfn.CEILING.MATH(F41,_xlfn.XLOOKUP($B42,Inputs!$A$35:$A$42,Inputs!$B$35:$B$42)))</f>
        <v>0</v>
      </c>
      <c r="G42">
        <f>IF(AND(LEFT($B42,5)="Pieza",Inputs!$B$110=1),0,_xlfn.CEILING.MATH(G41,_xlfn.XLOOKUP($B42,Inputs!$A$35:$A$42,Inputs!$B$35:$B$42)))</f>
        <v>0</v>
      </c>
      <c r="H42">
        <f>IF(AND(LEFT($B42,5)="Pieza",Inputs!$B$110=1),0,_xlfn.CEILING.MATH(H41,_xlfn.XLOOKUP($B42,Inputs!$A$35:$A$42,Inputs!$B$35:$B$42)))</f>
        <v>0</v>
      </c>
      <c r="I42">
        <f>IF(AND(LEFT($B42,5)="Pieza",Inputs!$B$110=1),0,_xlfn.CEILING.MATH(I41,_xlfn.XLOOKUP($B42,Inputs!$A$35:$A$42,Inputs!$B$35:$B$42)))</f>
        <v>0</v>
      </c>
      <c r="J42">
        <f>IF(AND(LEFT($B42,5)="Pieza",Inputs!$B$110=1),0,_xlfn.CEILING.MATH(J41,_xlfn.XLOOKUP($B42,Inputs!$A$35:$A$42,Inputs!$B$35:$B$42)))</f>
        <v>0</v>
      </c>
      <c r="K42">
        <f>IF(AND(LEFT($B42,5)="Pieza",Inputs!$B$110=1),0,_xlfn.CEILING.MATH(K41,_xlfn.XLOOKUP($B42,Inputs!$A$35:$A$42,Inputs!$B$35:$B$42)))</f>
        <v>0</v>
      </c>
      <c r="L42">
        <f t="shared" si="20"/>
        <v>5640</v>
      </c>
      <c r="M42" t="str">
        <f t="shared" si="21"/>
        <v>Centro|Pieza 4|Planned Receipt</v>
      </c>
    </row>
    <row r="43" spans="1:13" x14ac:dyDescent="0.3">
      <c r="A43" t="s">
        <v>265</v>
      </c>
      <c r="B43" t="s">
        <v>26</v>
      </c>
      <c r="C43" t="s">
        <v>356</v>
      </c>
      <c r="D43">
        <f t="shared" ref="D43:K43" si="26">D42</f>
        <v>5640</v>
      </c>
      <c r="E43">
        <f t="shared" si="26"/>
        <v>0</v>
      </c>
      <c r="F43">
        <f t="shared" si="26"/>
        <v>0</v>
      </c>
      <c r="G43">
        <f t="shared" si="26"/>
        <v>0</v>
      </c>
      <c r="H43">
        <f t="shared" si="26"/>
        <v>0</v>
      </c>
      <c r="I43">
        <f t="shared" si="26"/>
        <v>0</v>
      </c>
      <c r="J43">
        <f t="shared" si="26"/>
        <v>0</v>
      </c>
      <c r="K43">
        <f t="shared" si="26"/>
        <v>0</v>
      </c>
      <c r="L43">
        <f t="shared" si="20"/>
        <v>5640</v>
      </c>
      <c r="M43" t="str">
        <f t="shared" si="21"/>
        <v>Centro|Pieza 4|Planned Release</v>
      </c>
    </row>
    <row r="44" spans="1:13" x14ac:dyDescent="0.3">
      <c r="A44" t="s">
        <v>265</v>
      </c>
      <c r="B44" t="s">
        <v>26</v>
      </c>
      <c r="C44" t="s">
        <v>357</v>
      </c>
      <c r="D44">
        <f t="shared" ref="D44:K44" si="27">D40+D42-D38</f>
        <v>10969.137150936727</v>
      </c>
      <c r="E44">
        <f t="shared" si="27"/>
        <v>10167.274301873455</v>
      </c>
      <c r="F44">
        <f t="shared" si="27"/>
        <v>9365.4114528101818</v>
      </c>
      <c r="G44">
        <f t="shared" si="27"/>
        <v>8563.5486037469091</v>
      </c>
      <c r="H44">
        <f t="shared" si="27"/>
        <v>7761.6857546836354</v>
      </c>
      <c r="I44">
        <f t="shared" si="27"/>
        <v>6959.8229056203618</v>
      </c>
      <c r="J44">
        <f t="shared" si="27"/>
        <v>6157.9600565570881</v>
      </c>
      <c r="K44">
        <f t="shared" si="27"/>
        <v>6157.9600565570881</v>
      </c>
      <c r="L44">
        <f t="shared" si="20"/>
        <v>66102.800282785451</v>
      </c>
      <c r="M44" t="str">
        <f t="shared" si="21"/>
        <v>Centro|Pieza 4|POH End</v>
      </c>
    </row>
    <row r="45" spans="1:13" x14ac:dyDescent="0.3">
      <c r="A45" t="s">
        <v>265</v>
      </c>
      <c r="B45" t="s">
        <v>27</v>
      </c>
      <c r="C45" t="s">
        <v>352</v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>0</v>
      </c>
      <c r="L45">
        <f t="shared" si="20"/>
        <v>18690.169023801311</v>
      </c>
      <c r="M45" t="str">
        <f t="shared" si="21"/>
        <v>Centro|Pieza 5|Gross Req</v>
      </c>
    </row>
    <row r="46" spans="1:13" x14ac:dyDescent="0.3">
      <c r="A46" t="s">
        <v>265</v>
      </c>
      <c r="B46" t="s">
        <v>27</v>
      </c>
      <c r="C46" t="s">
        <v>81</v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L46">
        <f t="shared" si="20"/>
        <v>0</v>
      </c>
      <c r="M46" t="str">
        <f t="shared" si="21"/>
        <v>Centro|Pieza 5|Safety Stock</v>
      </c>
    </row>
    <row r="47" spans="1:13" x14ac:dyDescent="0.3">
      <c r="A47" t="s">
        <v>265</v>
      </c>
      <c r="B47" t="s">
        <v>27</v>
      </c>
      <c r="C47" t="s">
        <v>353</v>
      </c>
      <c r="D47">
        <f>IF($A47="Centro",_xlfn.XLOOKUP($B47,Multi_Planta!$A$6:$A$13,Multi_Planta!$B$6:$B$13),_xlfn.XLOOKUP($B47,Multi_Planta!$A$6:$A$13,Multi_Planta!$C$6:$C$13))</f>
        <v>16736</v>
      </c>
      <c r="E47">
        <f t="shared" ref="E47:K47" si="28">D51</f>
        <v>32765.975853742671</v>
      </c>
      <c r="F47">
        <f t="shared" si="28"/>
        <v>30095.951707485343</v>
      </c>
      <c r="G47">
        <f t="shared" si="28"/>
        <v>27425.927561228014</v>
      </c>
      <c r="H47">
        <f t="shared" si="28"/>
        <v>24755.903414970686</v>
      </c>
      <c r="I47">
        <f t="shared" si="28"/>
        <v>22085.879268713357</v>
      </c>
      <c r="J47">
        <f t="shared" si="28"/>
        <v>19415.855122456029</v>
      </c>
      <c r="K47">
        <f t="shared" si="28"/>
        <v>16745.8309761987</v>
      </c>
      <c r="L47">
        <f t="shared" si="20"/>
        <v>190027.32390479479</v>
      </c>
      <c r="M47" t="str">
        <f t="shared" si="21"/>
        <v>Centro|Pieza 5|POH Start</v>
      </c>
    </row>
    <row r="48" spans="1:13" x14ac:dyDescent="0.3">
      <c r="A48" t="s">
        <v>265</v>
      </c>
      <c r="B48" t="s">
        <v>27</v>
      </c>
      <c r="C48" t="s">
        <v>354</v>
      </c>
      <c r="D48">
        <f t="shared" ref="D48:K48" si="29">MAX(0,D45+D46-D47)</f>
        <v>0</v>
      </c>
      <c r="E48">
        <f t="shared" si="29"/>
        <v>0</v>
      </c>
      <c r="F48">
        <f t="shared" si="29"/>
        <v>0</v>
      </c>
      <c r="G48">
        <f t="shared" si="29"/>
        <v>0</v>
      </c>
      <c r="H48">
        <f t="shared" si="29"/>
        <v>0</v>
      </c>
      <c r="I48">
        <f t="shared" si="29"/>
        <v>0</v>
      </c>
      <c r="J48">
        <f t="shared" si="29"/>
        <v>0</v>
      </c>
      <c r="K48">
        <f t="shared" si="29"/>
        <v>0</v>
      </c>
      <c r="L48">
        <f t="shared" si="20"/>
        <v>0</v>
      </c>
      <c r="M48" t="str">
        <f t="shared" si="21"/>
        <v>Centro|Pieza 5|Net Req</v>
      </c>
    </row>
    <row r="49" spans="1:13" x14ac:dyDescent="0.3">
      <c r="A49" t="s">
        <v>265</v>
      </c>
      <c r="B49" t="s">
        <v>27</v>
      </c>
      <c r="C49" t="s">
        <v>355</v>
      </c>
      <c r="D49">
        <f>IF(AND(LEFT($B49,5)="Pieza",Inputs!$B$110=1),_xlfn.CEILING.MATH(L45,_xlfn.XLOOKUP($B49,Inputs!$A$35:$A$42,Inputs!$B$35:$B$42)),_xlfn.CEILING.MATH(D48,_xlfn.XLOOKUP($B49,Inputs!$A$35:$A$42,Inputs!$B$35:$B$42)))</f>
        <v>18700</v>
      </c>
      <c r="E49">
        <f>IF(AND(LEFT($B49,5)="Pieza",Inputs!$B$110=1),0,_xlfn.CEILING.MATH(E48,_xlfn.XLOOKUP($B49,Inputs!$A$35:$A$42,Inputs!$B$35:$B$42)))</f>
        <v>0</v>
      </c>
      <c r="F49">
        <f>IF(AND(LEFT($B49,5)="Pieza",Inputs!$B$110=1),0,_xlfn.CEILING.MATH(F48,_xlfn.XLOOKUP($B49,Inputs!$A$35:$A$42,Inputs!$B$35:$B$42)))</f>
        <v>0</v>
      </c>
      <c r="G49">
        <f>IF(AND(LEFT($B49,5)="Pieza",Inputs!$B$110=1),0,_xlfn.CEILING.MATH(G48,_xlfn.XLOOKUP($B49,Inputs!$A$35:$A$42,Inputs!$B$35:$B$42)))</f>
        <v>0</v>
      </c>
      <c r="H49">
        <f>IF(AND(LEFT($B49,5)="Pieza",Inputs!$B$110=1),0,_xlfn.CEILING.MATH(H48,_xlfn.XLOOKUP($B49,Inputs!$A$35:$A$42,Inputs!$B$35:$B$42)))</f>
        <v>0</v>
      </c>
      <c r="I49">
        <f>IF(AND(LEFT($B49,5)="Pieza",Inputs!$B$110=1),0,_xlfn.CEILING.MATH(I48,_xlfn.XLOOKUP($B49,Inputs!$A$35:$A$42,Inputs!$B$35:$B$42)))</f>
        <v>0</v>
      </c>
      <c r="J49">
        <f>IF(AND(LEFT($B49,5)="Pieza",Inputs!$B$110=1),0,_xlfn.CEILING.MATH(J48,_xlfn.XLOOKUP($B49,Inputs!$A$35:$A$42,Inputs!$B$35:$B$42)))</f>
        <v>0</v>
      </c>
      <c r="K49">
        <f>IF(AND(LEFT($B49,5)="Pieza",Inputs!$B$110=1),0,_xlfn.CEILING.MATH(K48,_xlfn.XLOOKUP($B49,Inputs!$A$35:$A$42,Inputs!$B$35:$B$42)))</f>
        <v>0</v>
      </c>
      <c r="L49">
        <f t="shared" si="20"/>
        <v>18700</v>
      </c>
      <c r="M49" t="str">
        <f t="shared" si="21"/>
        <v>Centro|Pieza 5|Planned Receipt</v>
      </c>
    </row>
    <row r="50" spans="1:13" x14ac:dyDescent="0.3">
      <c r="A50" t="s">
        <v>265</v>
      </c>
      <c r="B50" t="s">
        <v>27</v>
      </c>
      <c r="C50" t="s">
        <v>356</v>
      </c>
      <c r="D50">
        <f t="shared" ref="D50:K50" si="30">D49</f>
        <v>18700</v>
      </c>
      <c r="E50">
        <f t="shared" si="30"/>
        <v>0</v>
      </c>
      <c r="F50">
        <f t="shared" si="30"/>
        <v>0</v>
      </c>
      <c r="G50">
        <f t="shared" si="30"/>
        <v>0</v>
      </c>
      <c r="H50">
        <f t="shared" si="30"/>
        <v>0</v>
      </c>
      <c r="I50">
        <f t="shared" si="30"/>
        <v>0</v>
      </c>
      <c r="J50">
        <f t="shared" si="30"/>
        <v>0</v>
      </c>
      <c r="K50">
        <f t="shared" si="30"/>
        <v>0</v>
      </c>
      <c r="L50">
        <f t="shared" si="20"/>
        <v>18700</v>
      </c>
      <c r="M50" t="str">
        <f t="shared" si="21"/>
        <v>Centro|Pieza 5|Planned Release</v>
      </c>
    </row>
    <row r="51" spans="1:13" x14ac:dyDescent="0.3">
      <c r="A51" t="s">
        <v>265</v>
      </c>
      <c r="B51" t="s">
        <v>27</v>
      </c>
      <c r="C51" t="s">
        <v>357</v>
      </c>
      <c r="D51">
        <f t="shared" ref="D51:K51" si="31">D47+D49-D45</f>
        <v>32765.975853742671</v>
      </c>
      <c r="E51">
        <f t="shared" si="31"/>
        <v>30095.951707485343</v>
      </c>
      <c r="F51">
        <f t="shared" si="31"/>
        <v>27425.927561228014</v>
      </c>
      <c r="G51">
        <f t="shared" si="31"/>
        <v>24755.903414970686</v>
      </c>
      <c r="H51">
        <f t="shared" si="31"/>
        <v>22085.879268713357</v>
      </c>
      <c r="I51">
        <f t="shared" si="31"/>
        <v>19415.855122456029</v>
      </c>
      <c r="J51">
        <f t="shared" si="31"/>
        <v>16745.8309761987</v>
      </c>
      <c r="K51">
        <f t="shared" si="31"/>
        <v>16745.8309761987</v>
      </c>
      <c r="L51">
        <f t="shared" si="20"/>
        <v>190037.1548809935</v>
      </c>
      <c r="M51" t="str">
        <f t="shared" si="21"/>
        <v>Centro|Pieza 5|POH End</v>
      </c>
    </row>
    <row r="52" spans="1:13" x14ac:dyDescent="0.3">
      <c r="A52" t="s">
        <v>265</v>
      </c>
      <c r="B52" t="s">
        <v>28</v>
      </c>
      <c r="C52" t="s">
        <v>352</v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>0</v>
      </c>
      <c r="L52">
        <f t="shared" si="20"/>
        <v>7143.9581607290811</v>
      </c>
      <c r="M52" t="str">
        <f t="shared" si="21"/>
        <v>Centro|Pieza 6|Gross Req</v>
      </c>
    </row>
    <row r="53" spans="1:13" x14ac:dyDescent="0.3">
      <c r="A53" t="s">
        <v>265</v>
      </c>
      <c r="B53" t="s">
        <v>28</v>
      </c>
      <c r="C53" t="s">
        <v>81</v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L53">
        <f t="shared" si="20"/>
        <v>0</v>
      </c>
      <c r="M53" t="str">
        <f t="shared" si="21"/>
        <v>Centro|Pieza 6|Safety Stock</v>
      </c>
    </row>
    <row r="54" spans="1:13" x14ac:dyDescent="0.3">
      <c r="A54" t="s">
        <v>265</v>
      </c>
      <c r="B54" t="s">
        <v>28</v>
      </c>
      <c r="C54" t="s">
        <v>353</v>
      </c>
      <c r="D54">
        <f>IF($A54="Centro",_xlfn.XLOOKUP($B54,Multi_Planta!$A$6:$A$13,Multi_Planta!$B$6:$B$13),_xlfn.XLOOKUP($B54,Multi_Planta!$A$6:$A$13,Multi_Planta!$C$6:$C$13))</f>
        <v>4439</v>
      </c>
      <c r="E54">
        <f t="shared" ref="E54:K54" si="32">D58</f>
        <v>10618.434548467274</v>
      </c>
      <c r="F54">
        <f t="shared" si="32"/>
        <v>9597.869096934548</v>
      </c>
      <c r="G54">
        <f t="shared" si="32"/>
        <v>8577.303645401822</v>
      </c>
      <c r="H54">
        <f t="shared" si="32"/>
        <v>7556.738193869096</v>
      </c>
      <c r="I54">
        <f t="shared" si="32"/>
        <v>6536.17274233637</v>
      </c>
      <c r="J54">
        <f t="shared" si="32"/>
        <v>5515.607290803644</v>
      </c>
      <c r="K54">
        <f t="shared" si="32"/>
        <v>4495.041839270918</v>
      </c>
      <c r="L54">
        <f t="shared" si="20"/>
        <v>57336.167357083672</v>
      </c>
      <c r="M54" t="str">
        <f t="shared" si="21"/>
        <v>Centro|Pieza 6|POH Start</v>
      </c>
    </row>
    <row r="55" spans="1:13" x14ac:dyDescent="0.3">
      <c r="A55" t="s">
        <v>265</v>
      </c>
      <c r="B55" t="s">
        <v>28</v>
      </c>
      <c r="C55" t="s">
        <v>354</v>
      </c>
      <c r="D55">
        <f t="shared" ref="D55:K55" si="33">MAX(0,D52+D53-D54)</f>
        <v>0</v>
      </c>
      <c r="E55">
        <f t="shared" si="33"/>
        <v>0</v>
      </c>
      <c r="F55">
        <f t="shared" si="33"/>
        <v>0</v>
      </c>
      <c r="G55">
        <f t="shared" si="33"/>
        <v>0</v>
      </c>
      <c r="H55">
        <f t="shared" si="33"/>
        <v>0</v>
      </c>
      <c r="I55">
        <f t="shared" si="33"/>
        <v>0</v>
      </c>
      <c r="J55">
        <f t="shared" si="33"/>
        <v>0</v>
      </c>
      <c r="K55">
        <f t="shared" si="33"/>
        <v>0</v>
      </c>
      <c r="L55">
        <f t="shared" si="20"/>
        <v>0</v>
      </c>
      <c r="M55" t="str">
        <f t="shared" si="21"/>
        <v>Centro|Pieza 6|Net Req</v>
      </c>
    </row>
    <row r="56" spans="1:13" x14ac:dyDescent="0.3">
      <c r="A56" t="s">
        <v>265</v>
      </c>
      <c r="B56" t="s">
        <v>28</v>
      </c>
      <c r="C56" t="s">
        <v>355</v>
      </c>
      <c r="D56">
        <f>IF(AND(LEFT($B56,5)="Pieza",Inputs!$B$110=1),_xlfn.CEILING.MATH(L52,_xlfn.XLOOKUP($B56,Inputs!$A$35:$A$42,Inputs!$B$35:$B$42)),_xlfn.CEILING.MATH(D55,_xlfn.XLOOKUP($B56,Inputs!$A$35:$A$42,Inputs!$B$35:$B$42)))</f>
        <v>7200</v>
      </c>
      <c r="E56">
        <f>IF(AND(LEFT($B56,5)="Pieza",Inputs!$B$110=1),0,_xlfn.CEILING.MATH(E55,_xlfn.XLOOKUP($B56,Inputs!$A$35:$A$42,Inputs!$B$35:$B$42)))</f>
        <v>0</v>
      </c>
      <c r="F56">
        <f>IF(AND(LEFT($B56,5)="Pieza",Inputs!$B$110=1),0,_xlfn.CEILING.MATH(F55,_xlfn.XLOOKUP($B56,Inputs!$A$35:$A$42,Inputs!$B$35:$B$42)))</f>
        <v>0</v>
      </c>
      <c r="G56">
        <f>IF(AND(LEFT($B56,5)="Pieza",Inputs!$B$110=1),0,_xlfn.CEILING.MATH(G55,_xlfn.XLOOKUP($B56,Inputs!$A$35:$A$42,Inputs!$B$35:$B$42)))</f>
        <v>0</v>
      </c>
      <c r="H56">
        <f>IF(AND(LEFT($B56,5)="Pieza",Inputs!$B$110=1),0,_xlfn.CEILING.MATH(H55,_xlfn.XLOOKUP($B56,Inputs!$A$35:$A$42,Inputs!$B$35:$B$42)))</f>
        <v>0</v>
      </c>
      <c r="I56">
        <f>IF(AND(LEFT($B56,5)="Pieza",Inputs!$B$110=1),0,_xlfn.CEILING.MATH(I55,_xlfn.XLOOKUP($B56,Inputs!$A$35:$A$42,Inputs!$B$35:$B$42)))</f>
        <v>0</v>
      </c>
      <c r="J56">
        <f>IF(AND(LEFT($B56,5)="Pieza",Inputs!$B$110=1),0,_xlfn.CEILING.MATH(J55,_xlfn.XLOOKUP($B56,Inputs!$A$35:$A$42,Inputs!$B$35:$B$42)))</f>
        <v>0</v>
      </c>
      <c r="K56">
        <f>IF(AND(LEFT($B56,5)="Pieza",Inputs!$B$110=1),0,_xlfn.CEILING.MATH(K55,_xlfn.XLOOKUP($B56,Inputs!$A$35:$A$42,Inputs!$B$35:$B$42)))</f>
        <v>0</v>
      </c>
      <c r="L56">
        <f t="shared" si="20"/>
        <v>7200</v>
      </c>
      <c r="M56" t="str">
        <f t="shared" si="21"/>
        <v>Centro|Pieza 6|Planned Receipt</v>
      </c>
    </row>
    <row r="57" spans="1:13" x14ac:dyDescent="0.3">
      <c r="A57" t="s">
        <v>265</v>
      </c>
      <c r="B57" t="s">
        <v>28</v>
      </c>
      <c r="C57" t="s">
        <v>356</v>
      </c>
      <c r="D57">
        <f t="shared" ref="D57:K57" si="34">D56</f>
        <v>7200</v>
      </c>
      <c r="E57">
        <f t="shared" si="34"/>
        <v>0</v>
      </c>
      <c r="F57">
        <f t="shared" si="34"/>
        <v>0</v>
      </c>
      <c r="G57">
        <f t="shared" si="34"/>
        <v>0</v>
      </c>
      <c r="H57">
        <f t="shared" si="34"/>
        <v>0</v>
      </c>
      <c r="I57">
        <f t="shared" si="34"/>
        <v>0</v>
      </c>
      <c r="J57">
        <f t="shared" si="34"/>
        <v>0</v>
      </c>
      <c r="K57">
        <f t="shared" si="34"/>
        <v>0</v>
      </c>
      <c r="L57">
        <f t="shared" si="20"/>
        <v>7200</v>
      </c>
      <c r="M57" t="str">
        <f t="shared" si="21"/>
        <v>Centro|Pieza 6|Planned Release</v>
      </c>
    </row>
    <row r="58" spans="1:13" x14ac:dyDescent="0.3">
      <c r="A58" t="s">
        <v>265</v>
      </c>
      <c r="B58" t="s">
        <v>28</v>
      </c>
      <c r="C58" t="s">
        <v>357</v>
      </c>
      <c r="D58">
        <f t="shared" ref="D58:K58" si="35">D54+D56-D52</f>
        <v>10618.434548467274</v>
      </c>
      <c r="E58">
        <f t="shared" si="35"/>
        <v>9597.869096934548</v>
      </c>
      <c r="F58">
        <f t="shared" si="35"/>
        <v>8577.303645401822</v>
      </c>
      <c r="G58">
        <f t="shared" si="35"/>
        <v>7556.738193869096</v>
      </c>
      <c r="H58">
        <f t="shared" si="35"/>
        <v>6536.17274233637</v>
      </c>
      <c r="I58">
        <f t="shared" si="35"/>
        <v>5515.607290803644</v>
      </c>
      <c r="J58">
        <f t="shared" si="35"/>
        <v>4495.041839270918</v>
      </c>
      <c r="K58">
        <f t="shared" si="35"/>
        <v>4495.041839270918</v>
      </c>
      <c r="L58">
        <f t="shared" si="20"/>
        <v>57392.20919635459</v>
      </c>
      <c r="M58" t="str">
        <f t="shared" si="21"/>
        <v>Centro|Pieza 6|POH End</v>
      </c>
    </row>
    <row r="59" spans="1:13" x14ac:dyDescent="0.3">
      <c r="A59" t="s">
        <v>266</v>
      </c>
      <c r="B59" t="s">
        <v>19</v>
      </c>
      <c r="C59" t="s">
        <v>352</v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L59">
        <f t="shared" si="20"/>
        <v>1666.3120567375888</v>
      </c>
      <c r="M59" t="str">
        <f t="shared" si="21"/>
        <v>Oeste|Parte A|Gross Req</v>
      </c>
    </row>
    <row r="60" spans="1:13" x14ac:dyDescent="0.3">
      <c r="A60" t="s">
        <v>266</v>
      </c>
      <c r="B60" t="s">
        <v>19</v>
      </c>
      <c r="C60" t="s">
        <v>81</v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L60">
        <f t="shared" si="20"/>
        <v>3602.8368794326238</v>
      </c>
      <c r="M60" t="str">
        <f t="shared" si="21"/>
        <v>Oeste|Parte A|Safety Stock</v>
      </c>
    </row>
    <row r="61" spans="1:13" x14ac:dyDescent="0.3">
      <c r="A61" t="s">
        <v>266</v>
      </c>
      <c r="B61" t="s">
        <v>19</v>
      </c>
      <c r="C61" t="s">
        <v>353</v>
      </c>
      <c r="D61">
        <f>IF($A61="Centro",_xlfn.XLOOKUP($B61,Multi_Planta!$A$6:$A$13,Multi_Planta!$B$6:$B$13),_xlfn.XLOOKUP($B61,Multi_Planta!$A$6:$A$13,Multi_Planta!$C$6:$C$13))</f>
        <v>1016</v>
      </c>
      <c r="E61">
        <f t="shared" ref="E61:K61" si="36">D65</f>
        <v>599.42198581560274</v>
      </c>
      <c r="F61">
        <f t="shared" si="36"/>
        <v>452.84397163120553</v>
      </c>
      <c r="G61">
        <f t="shared" si="36"/>
        <v>456.26595744680827</v>
      </c>
      <c r="H61">
        <f t="shared" si="36"/>
        <v>459.68794326241101</v>
      </c>
      <c r="I61">
        <f t="shared" si="36"/>
        <v>459.68794326241101</v>
      </c>
      <c r="J61">
        <f t="shared" si="36"/>
        <v>459.68794326241101</v>
      </c>
      <c r="K61">
        <f t="shared" si="36"/>
        <v>459.68794326241101</v>
      </c>
      <c r="L61">
        <f t="shared" si="20"/>
        <v>4363.2836879432607</v>
      </c>
      <c r="M61" t="str">
        <f t="shared" si="21"/>
        <v>Oeste|Parte A|POH Start</v>
      </c>
    </row>
    <row r="62" spans="1:13" x14ac:dyDescent="0.3">
      <c r="A62" t="s">
        <v>266</v>
      </c>
      <c r="B62" t="s">
        <v>19</v>
      </c>
      <c r="C62" t="s">
        <v>354</v>
      </c>
      <c r="D62">
        <f t="shared" ref="D62:K62" si="37">MAX(0,D59+D60-D61)</f>
        <v>0</v>
      </c>
      <c r="E62">
        <f t="shared" si="37"/>
        <v>267.51063829787245</v>
      </c>
      <c r="F62">
        <f t="shared" si="37"/>
        <v>414.08865248226965</v>
      </c>
      <c r="G62">
        <f t="shared" si="37"/>
        <v>410.66666666666691</v>
      </c>
      <c r="H62">
        <f t="shared" si="37"/>
        <v>0</v>
      </c>
      <c r="I62">
        <f t="shared" si="37"/>
        <v>0</v>
      </c>
      <c r="J62">
        <f t="shared" si="37"/>
        <v>0</v>
      </c>
      <c r="K62">
        <f t="shared" si="37"/>
        <v>0</v>
      </c>
      <c r="L62">
        <f t="shared" si="20"/>
        <v>1092.2659574468091</v>
      </c>
      <c r="M62" t="str">
        <f t="shared" si="21"/>
        <v>Oeste|Parte A|Net Req</v>
      </c>
    </row>
    <row r="63" spans="1:13" x14ac:dyDescent="0.3">
      <c r="A63" t="s">
        <v>266</v>
      </c>
      <c r="B63" t="s">
        <v>19</v>
      </c>
      <c r="C63" t="s">
        <v>355</v>
      </c>
      <c r="D63">
        <f>IF(AND(LEFT($B63,5)="Pieza",Inputs!$B$110=1),_xlfn.CEILING.MATH(L59,_xlfn.XLOOKUP($B63,Inputs!$A$35:$A$42,Inputs!$B$35:$B$42)),_xlfn.CEILING.MATH(D62,_xlfn.XLOOKUP($B63,Inputs!$A$35:$A$42,Inputs!$B$35:$B$42)))</f>
        <v>0</v>
      </c>
      <c r="E63">
        <f>IF(AND(LEFT($B63,5)="Pieza",Inputs!$B$110=1),0,_xlfn.CEILING.MATH(E62,_xlfn.XLOOKUP($B63,Inputs!$A$35:$A$42,Inputs!$B$35:$B$42)))</f>
        <v>270</v>
      </c>
      <c r="F63">
        <f>IF(AND(LEFT($B63,5)="Pieza",Inputs!$B$110=1),0,_xlfn.CEILING.MATH(F62,_xlfn.XLOOKUP($B63,Inputs!$A$35:$A$42,Inputs!$B$35:$B$42)))</f>
        <v>420</v>
      </c>
      <c r="G63">
        <f>IF(AND(LEFT($B63,5)="Pieza",Inputs!$B$110=1),0,_xlfn.CEILING.MATH(G62,_xlfn.XLOOKUP($B63,Inputs!$A$35:$A$42,Inputs!$B$35:$B$42)))</f>
        <v>420</v>
      </c>
      <c r="H63">
        <f>IF(AND(LEFT($B63,5)="Pieza",Inputs!$B$110=1),0,_xlfn.CEILING.MATH(H62,_xlfn.XLOOKUP($B63,Inputs!$A$35:$A$42,Inputs!$B$35:$B$42)))</f>
        <v>0</v>
      </c>
      <c r="I63">
        <f>IF(AND(LEFT($B63,5)="Pieza",Inputs!$B$110=1),0,_xlfn.CEILING.MATH(I62,_xlfn.XLOOKUP($B63,Inputs!$A$35:$A$42,Inputs!$B$35:$B$42)))</f>
        <v>0</v>
      </c>
      <c r="J63">
        <f>IF(AND(LEFT($B63,5)="Pieza",Inputs!$B$110=1),0,_xlfn.CEILING.MATH(J62,_xlfn.XLOOKUP($B63,Inputs!$A$35:$A$42,Inputs!$B$35:$B$42)))</f>
        <v>0</v>
      </c>
      <c r="K63">
        <f>IF(AND(LEFT($B63,5)="Pieza",Inputs!$B$110=1),0,_xlfn.CEILING.MATH(K62,_xlfn.XLOOKUP($B63,Inputs!$A$35:$A$42,Inputs!$B$35:$B$42)))</f>
        <v>0</v>
      </c>
      <c r="L63">
        <f t="shared" si="20"/>
        <v>1110</v>
      </c>
      <c r="M63" t="str">
        <f t="shared" si="21"/>
        <v>Oeste|Parte A|Planned Receipt</v>
      </c>
    </row>
    <row r="64" spans="1:13" x14ac:dyDescent="0.3">
      <c r="A64" t="s">
        <v>266</v>
      </c>
      <c r="B64" t="s">
        <v>19</v>
      </c>
      <c r="C64" t="s">
        <v>356</v>
      </c>
      <c r="D64">
        <f t="shared" ref="D64:K64" si="38">D63</f>
        <v>0</v>
      </c>
      <c r="E64">
        <f t="shared" si="38"/>
        <v>270</v>
      </c>
      <c r="F64">
        <f t="shared" si="38"/>
        <v>420</v>
      </c>
      <c r="G64">
        <f t="shared" si="38"/>
        <v>420</v>
      </c>
      <c r="H64">
        <f t="shared" si="38"/>
        <v>0</v>
      </c>
      <c r="I64">
        <f t="shared" si="38"/>
        <v>0</v>
      </c>
      <c r="J64">
        <f t="shared" si="38"/>
        <v>0</v>
      </c>
      <c r="K64">
        <f t="shared" si="38"/>
        <v>0</v>
      </c>
      <c r="L64">
        <f t="shared" si="20"/>
        <v>1110</v>
      </c>
      <c r="M64" t="str">
        <f t="shared" si="21"/>
        <v>Oeste|Parte A|Planned Release</v>
      </c>
    </row>
    <row r="65" spans="1:13" x14ac:dyDescent="0.3">
      <c r="A65" t="s">
        <v>266</v>
      </c>
      <c r="B65" t="s">
        <v>19</v>
      </c>
      <c r="C65" t="s">
        <v>357</v>
      </c>
      <c r="D65">
        <f t="shared" ref="D65:K65" si="39">D61+D63-D59</f>
        <v>599.42198581560274</v>
      </c>
      <c r="E65">
        <f t="shared" si="39"/>
        <v>452.84397163120553</v>
      </c>
      <c r="F65">
        <f t="shared" si="39"/>
        <v>456.26595744680827</v>
      </c>
      <c r="G65">
        <f t="shared" si="39"/>
        <v>459.68794326241101</v>
      </c>
      <c r="H65">
        <f t="shared" si="39"/>
        <v>459.68794326241101</v>
      </c>
      <c r="I65">
        <f t="shared" si="39"/>
        <v>459.68794326241101</v>
      </c>
      <c r="J65">
        <f t="shared" si="39"/>
        <v>459.68794326241101</v>
      </c>
      <c r="K65">
        <f t="shared" si="39"/>
        <v>459.68794326241101</v>
      </c>
      <c r="L65">
        <f t="shared" si="20"/>
        <v>3806.9716312056712</v>
      </c>
      <c r="M65" t="str">
        <f t="shared" si="21"/>
        <v>Oeste|Parte A|POH End</v>
      </c>
    </row>
    <row r="66" spans="1:13" x14ac:dyDescent="0.3">
      <c r="A66" t="s">
        <v>266</v>
      </c>
      <c r="B66" t="s">
        <v>22</v>
      </c>
      <c r="C66" t="s">
        <v>352</v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L66">
        <f t="shared" si="20"/>
        <v>512.33459357277877</v>
      </c>
      <c r="M66" t="str">
        <f t="shared" si="21"/>
        <v>Oeste|Parte B|Gross Req</v>
      </c>
    </row>
    <row r="67" spans="1:13" x14ac:dyDescent="0.3">
      <c r="A67" t="s">
        <v>266</v>
      </c>
      <c r="B67" t="s">
        <v>22</v>
      </c>
      <c r="C67" t="s">
        <v>81</v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L67">
        <f t="shared" ref="L67:L98" si="40">SUM(D67:K67)</f>
        <v>1107.7504725897923</v>
      </c>
      <c r="M67" t="str">
        <f t="shared" ref="M67:M98" si="41">A67&amp;"|"&amp;B67&amp;"|"&amp;C67</f>
        <v>Oeste|Parte B|Safety Stock</v>
      </c>
    </row>
    <row r="68" spans="1:13" x14ac:dyDescent="0.3">
      <c r="A68" t="s">
        <v>266</v>
      </c>
      <c r="B68" t="s">
        <v>22</v>
      </c>
      <c r="C68" t="s">
        <v>353</v>
      </c>
      <c r="D68">
        <f>IF($A68="Centro",_xlfn.XLOOKUP($B68,Multi_Planta!$A$6:$A$13,Multi_Planta!$B$6:$B$13),_xlfn.XLOOKUP($B68,Multi_Planta!$A$6:$A$13,Multi_Planta!$C$6:$C$13))</f>
        <v>293</v>
      </c>
      <c r="E68">
        <f t="shared" ref="E68:K68" si="42">D72</f>
        <v>190.53308128544424</v>
      </c>
      <c r="F68">
        <f t="shared" si="42"/>
        <v>148.06616257088848</v>
      </c>
      <c r="G68">
        <f t="shared" si="42"/>
        <v>141.59924385633272</v>
      </c>
      <c r="H68">
        <f t="shared" si="42"/>
        <v>147.13232514177696</v>
      </c>
      <c r="I68">
        <f t="shared" si="42"/>
        <v>140.6654064272212</v>
      </c>
      <c r="J68">
        <f t="shared" si="42"/>
        <v>140.6654064272212</v>
      </c>
      <c r="K68">
        <f t="shared" si="42"/>
        <v>140.6654064272212</v>
      </c>
      <c r="L68">
        <f t="shared" si="40"/>
        <v>1342.3270321361058</v>
      </c>
      <c r="M68" t="str">
        <f t="shared" si="41"/>
        <v>Oeste|Parte B|POH Start</v>
      </c>
    </row>
    <row r="69" spans="1:13" x14ac:dyDescent="0.3">
      <c r="A69" t="s">
        <v>266</v>
      </c>
      <c r="B69" t="s">
        <v>22</v>
      </c>
      <c r="C69" t="s">
        <v>354</v>
      </c>
      <c r="D69">
        <f t="shared" ref="D69:K69" si="43">MAX(0,D66+D67-D68)</f>
        <v>0</v>
      </c>
      <c r="E69">
        <f t="shared" si="43"/>
        <v>50.402646502835523</v>
      </c>
      <c r="F69">
        <f t="shared" si="43"/>
        <v>92.869565217391283</v>
      </c>
      <c r="G69">
        <f t="shared" si="43"/>
        <v>99.336483931947043</v>
      </c>
      <c r="H69">
        <f t="shared" si="43"/>
        <v>93.803402646502803</v>
      </c>
      <c r="I69">
        <f t="shared" si="43"/>
        <v>0</v>
      </c>
      <c r="J69">
        <f t="shared" si="43"/>
        <v>0</v>
      </c>
      <c r="K69">
        <f t="shared" si="43"/>
        <v>0</v>
      </c>
      <c r="L69">
        <f t="shared" si="40"/>
        <v>336.41209829867665</v>
      </c>
      <c r="M69" t="str">
        <f t="shared" si="41"/>
        <v>Oeste|Parte B|Net Req</v>
      </c>
    </row>
    <row r="70" spans="1:13" x14ac:dyDescent="0.3">
      <c r="A70" t="s">
        <v>266</v>
      </c>
      <c r="B70" t="s">
        <v>22</v>
      </c>
      <c r="C70" t="s">
        <v>355</v>
      </c>
      <c r="D70">
        <f>IF(AND(LEFT($B70,5)="Pieza",Inputs!$B$110=1),_xlfn.CEILING.MATH(L66,_xlfn.XLOOKUP($B70,Inputs!$A$35:$A$42,Inputs!$B$35:$B$42)),_xlfn.CEILING.MATH(D69,_xlfn.XLOOKUP($B70,Inputs!$A$35:$A$42,Inputs!$B$35:$B$42)))</f>
        <v>0</v>
      </c>
      <c r="E70">
        <f>IF(AND(LEFT($B70,5)="Pieza",Inputs!$B$110=1),0,_xlfn.CEILING.MATH(E69,_xlfn.XLOOKUP($B70,Inputs!$A$35:$A$42,Inputs!$B$35:$B$42)))</f>
        <v>60</v>
      </c>
      <c r="F70">
        <f>IF(AND(LEFT($B70,5)="Pieza",Inputs!$B$110=1),0,_xlfn.CEILING.MATH(F69,_xlfn.XLOOKUP($B70,Inputs!$A$35:$A$42,Inputs!$B$35:$B$42)))</f>
        <v>96</v>
      </c>
      <c r="G70">
        <f>IF(AND(LEFT($B70,5)="Pieza",Inputs!$B$110=1),0,_xlfn.CEILING.MATH(G69,_xlfn.XLOOKUP($B70,Inputs!$A$35:$A$42,Inputs!$B$35:$B$42)))</f>
        <v>108</v>
      </c>
      <c r="H70">
        <f>IF(AND(LEFT($B70,5)="Pieza",Inputs!$B$110=1),0,_xlfn.CEILING.MATH(H69,_xlfn.XLOOKUP($B70,Inputs!$A$35:$A$42,Inputs!$B$35:$B$42)))</f>
        <v>96</v>
      </c>
      <c r="I70">
        <f>IF(AND(LEFT($B70,5)="Pieza",Inputs!$B$110=1),0,_xlfn.CEILING.MATH(I69,_xlfn.XLOOKUP($B70,Inputs!$A$35:$A$42,Inputs!$B$35:$B$42)))</f>
        <v>0</v>
      </c>
      <c r="J70">
        <f>IF(AND(LEFT($B70,5)="Pieza",Inputs!$B$110=1),0,_xlfn.CEILING.MATH(J69,_xlfn.XLOOKUP($B70,Inputs!$A$35:$A$42,Inputs!$B$35:$B$42)))</f>
        <v>0</v>
      </c>
      <c r="K70">
        <f>IF(AND(LEFT($B70,5)="Pieza",Inputs!$B$110=1),0,_xlfn.CEILING.MATH(K69,_xlfn.XLOOKUP($B70,Inputs!$A$35:$A$42,Inputs!$B$35:$B$42)))</f>
        <v>0</v>
      </c>
      <c r="L70">
        <f t="shared" si="40"/>
        <v>360</v>
      </c>
      <c r="M70" t="str">
        <f t="shared" si="41"/>
        <v>Oeste|Parte B|Planned Receipt</v>
      </c>
    </row>
    <row r="71" spans="1:13" x14ac:dyDescent="0.3">
      <c r="A71" t="s">
        <v>266</v>
      </c>
      <c r="B71" t="s">
        <v>22</v>
      </c>
      <c r="C71" t="s">
        <v>356</v>
      </c>
      <c r="D71">
        <f t="shared" ref="D71:K71" si="44">D70</f>
        <v>0</v>
      </c>
      <c r="E71">
        <f t="shared" si="44"/>
        <v>60</v>
      </c>
      <c r="F71">
        <f t="shared" si="44"/>
        <v>96</v>
      </c>
      <c r="G71">
        <f t="shared" si="44"/>
        <v>108</v>
      </c>
      <c r="H71">
        <f t="shared" si="44"/>
        <v>96</v>
      </c>
      <c r="I71">
        <f t="shared" si="44"/>
        <v>0</v>
      </c>
      <c r="J71">
        <f t="shared" si="44"/>
        <v>0</v>
      </c>
      <c r="K71">
        <f t="shared" si="44"/>
        <v>0</v>
      </c>
      <c r="L71">
        <f t="shared" si="40"/>
        <v>360</v>
      </c>
      <c r="M71" t="str">
        <f t="shared" si="41"/>
        <v>Oeste|Parte B|Planned Release</v>
      </c>
    </row>
    <row r="72" spans="1:13" x14ac:dyDescent="0.3">
      <c r="A72" t="s">
        <v>266</v>
      </c>
      <c r="B72" t="s">
        <v>22</v>
      </c>
      <c r="C72" t="s">
        <v>357</v>
      </c>
      <c r="D72">
        <f t="shared" ref="D72:K72" si="45">D68+D70-D66</f>
        <v>190.53308128544424</v>
      </c>
      <c r="E72">
        <f t="shared" si="45"/>
        <v>148.06616257088848</v>
      </c>
      <c r="F72">
        <f t="shared" si="45"/>
        <v>141.59924385633272</v>
      </c>
      <c r="G72">
        <f t="shared" si="45"/>
        <v>147.13232514177696</v>
      </c>
      <c r="H72">
        <f t="shared" si="45"/>
        <v>140.6654064272212</v>
      </c>
      <c r="I72">
        <f t="shared" si="45"/>
        <v>140.6654064272212</v>
      </c>
      <c r="J72">
        <f t="shared" si="45"/>
        <v>140.6654064272212</v>
      </c>
      <c r="K72">
        <f t="shared" si="45"/>
        <v>140.6654064272212</v>
      </c>
      <c r="L72">
        <f t="shared" si="40"/>
        <v>1189.9924385633271</v>
      </c>
      <c r="M72" t="str">
        <f t="shared" si="41"/>
        <v>Oeste|Parte B|POH End</v>
      </c>
    </row>
    <row r="73" spans="1:13" x14ac:dyDescent="0.3">
      <c r="A73" t="s">
        <v>266</v>
      </c>
      <c r="B73" t="s">
        <v>23</v>
      </c>
      <c r="C73" t="s">
        <v>352</v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>0</v>
      </c>
      <c r="L73">
        <f t="shared" si="40"/>
        <v>35.861538461538466</v>
      </c>
      <c r="M73" t="str">
        <f t="shared" si="41"/>
        <v>Oeste|Pieza 1|Gross Req</v>
      </c>
    </row>
    <row r="74" spans="1:13" x14ac:dyDescent="0.3">
      <c r="A74" t="s">
        <v>266</v>
      </c>
      <c r="B74" t="s">
        <v>23</v>
      </c>
      <c r="C74" t="s">
        <v>81</v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L74">
        <f t="shared" si="40"/>
        <v>110.76923076923075</v>
      </c>
      <c r="M74" t="str">
        <f t="shared" si="41"/>
        <v>Oeste|Pieza 1|Safety Stock</v>
      </c>
    </row>
    <row r="75" spans="1:13" x14ac:dyDescent="0.3">
      <c r="A75" t="s">
        <v>266</v>
      </c>
      <c r="B75" t="s">
        <v>23</v>
      </c>
      <c r="C75" t="s">
        <v>353</v>
      </c>
      <c r="D75">
        <f>IF($A75="Centro",_xlfn.XLOOKUP($B75,Multi_Planta!$A$6:$A$13,Multi_Planta!$B$6:$B$13),_xlfn.XLOOKUP($B75,Multi_Planta!$A$6:$A$13,Multi_Planta!$C$6:$C$13))</f>
        <v>36</v>
      </c>
      <c r="E75">
        <f t="shared" ref="E75:K75" si="46">D79</f>
        <v>66.876923076923077</v>
      </c>
      <c r="F75">
        <f t="shared" si="46"/>
        <v>61.753846153846155</v>
      </c>
      <c r="G75">
        <f t="shared" si="46"/>
        <v>56.630769230769232</v>
      </c>
      <c r="H75">
        <f t="shared" si="46"/>
        <v>51.507692307692309</v>
      </c>
      <c r="I75">
        <f t="shared" si="46"/>
        <v>46.384615384615387</v>
      </c>
      <c r="J75">
        <f t="shared" si="46"/>
        <v>41.261538461538464</v>
      </c>
      <c r="K75">
        <f t="shared" si="46"/>
        <v>36.138461538461542</v>
      </c>
      <c r="L75">
        <f t="shared" si="40"/>
        <v>396.55384615384617</v>
      </c>
      <c r="M75" t="str">
        <f t="shared" si="41"/>
        <v>Oeste|Pieza 1|POH Start</v>
      </c>
    </row>
    <row r="76" spans="1:13" x14ac:dyDescent="0.3">
      <c r="A76" t="s">
        <v>266</v>
      </c>
      <c r="B76" t="s">
        <v>23</v>
      </c>
      <c r="C76" t="s">
        <v>354</v>
      </c>
      <c r="D76">
        <f t="shared" ref="D76:K76" si="47">MAX(0,D73+D74-D75)</f>
        <v>0</v>
      </c>
      <c r="E76">
        <f t="shared" si="47"/>
        <v>0</v>
      </c>
      <c r="F76">
        <f t="shared" si="47"/>
        <v>0</v>
      </c>
      <c r="G76">
        <f t="shared" si="47"/>
        <v>0</v>
      </c>
      <c r="H76">
        <f t="shared" si="47"/>
        <v>0</v>
      </c>
      <c r="I76">
        <f t="shared" si="47"/>
        <v>0</v>
      </c>
      <c r="J76">
        <f t="shared" si="47"/>
        <v>0</v>
      </c>
      <c r="K76">
        <f t="shared" si="47"/>
        <v>0</v>
      </c>
      <c r="L76">
        <f t="shared" si="40"/>
        <v>0</v>
      </c>
      <c r="M76" t="str">
        <f t="shared" si="41"/>
        <v>Oeste|Pieza 1|Net Req</v>
      </c>
    </row>
    <row r="77" spans="1:13" x14ac:dyDescent="0.3">
      <c r="A77" t="s">
        <v>266</v>
      </c>
      <c r="B77" t="s">
        <v>23</v>
      </c>
      <c r="C77" t="s">
        <v>355</v>
      </c>
      <c r="D77">
        <f>IF(AND(LEFT($B77,5)="Pieza",Inputs!$B$110=1),_xlfn.CEILING.MATH(L73,_xlfn.XLOOKUP($B77,Inputs!$A$35:$A$42,Inputs!$B$35:$B$42)),_xlfn.CEILING.MATH(D76,_xlfn.XLOOKUP($B77,Inputs!$A$35:$A$42,Inputs!$B$35:$B$42)))</f>
        <v>36</v>
      </c>
      <c r="E77">
        <f>IF(AND(LEFT($B77,5)="Pieza",Inputs!$B$110=1),0,_xlfn.CEILING.MATH(E76,_xlfn.XLOOKUP($B77,Inputs!$A$35:$A$42,Inputs!$B$35:$B$42)))</f>
        <v>0</v>
      </c>
      <c r="F77">
        <f>IF(AND(LEFT($B77,5)="Pieza",Inputs!$B$110=1),0,_xlfn.CEILING.MATH(F76,_xlfn.XLOOKUP($B77,Inputs!$A$35:$A$42,Inputs!$B$35:$B$42)))</f>
        <v>0</v>
      </c>
      <c r="G77">
        <f>IF(AND(LEFT($B77,5)="Pieza",Inputs!$B$110=1),0,_xlfn.CEILING.MATH(G76,_xlfn.XLOOKUP($B77,Inputs!$A$35:$A$42,Inputs!$B$35:$B$42)))</f>
        <v>0</v>
      </c>
      <c r="H77">
        <f>IF(AND(LEFT($B77,5)="Pieza",Inputs!$B$110=1),0,_xlfn.CEILING.MATH(H76,_xlfn.XLOOKUP($B77,Inputs!$A$35:$A$42,Inputs!$B$35:$B$42)))</f>
        <v>0</v>
      </c>
      <c r="I77">
        <f>IF(AND(LEFT($B77,5)="Pieza",Inputs!$B$110=1),0,_xlfn.CEILING.MATH(I76,_xlfn.XLOOKUP($B77,Inputs!$A$35:$A$42,Inputs!$B$35:$B$42)))</f>
        <v>0</v>
      </c>
      <c r="J77">
        <f>IF(AND(LEFT($B77,5)="Pieza",Inputs!$B$110=1),0,_xlfn.CEILING.MATH(J76,_xlfn.XLOOKUP($B77,Inputs!$A$35:$A$42,Inputs!$B$35:$B$42)))</f>
        <v>0</v>
      </c>
      <c r="K77">
        <f>IF(AND(LEFT($B77,5)="Pieza",Inputs!$B$110=1),0,_xlfn.CEILING.MATH(K76,_xlfn.XLOOKUP($B77,Inputs!$A$35:$A$42,Inputs!$B$35:$B$42)))</f>
        <v>0</v>
      </c>
      <c r="L77">
        <f t="shared" si="40"/>
        <v>36</v>
      </c>
      <c r="M77" t="str">
        <f t="shared" si="41"/>
        <v>Oeste|Pieza 1|Planned Receipt</v>
      </c>
    </row>
    <row r="78" spans="1:13" x14ac:dyDescent="0.3">
      <c r="A78" t="s">
        <v>266</v>
      </c>
      <c r="B78" t="s">
        <v>23</v>
      </c>
      <c r="C78" t="s">
        <v>356</v>
      </c>
      <c r="D78">
        <f t="shared" ref="D78:K78" si="48">D77</f>
        <v>36</v>
      </c>
      <c r="E78">
        <f t="shared" si="48"/>
        <v>0</v>
      </c>
      <c r="F78">
        <f t="shared" si="48"/>
        <v>0</v>
      </c>
      <c r="G78">
        <f t="shared" si="48"/>
        <v>0</v>
      </c>
      <c r="H78">
        <f t="shared" si="48"/>
        <v>0</v>
      </c>
      <c r="I78">
        <f t="shared" si="48"/>
        <v>0</v>
      </c>
      <c r="J78">
        <f t="shared" si="48"/>
        <v>0</v>
      </c>
      <c r="K78">
        <f t="shared" si="48"/>
        <v>0</v>
      </c>
      <c r="L78">
        <f t="shared" si="40"/>
        <v>36</v>
      </c>
      <c r="M78" t="str">
        <f t="shared" si="41"/>
        <v>Oeste|Pieza 1|Planned Release</v>
      </c>
    </row>
    <row r="79" spans="1:13" x14ac:dyDescent="0.3">
      <c r="A79" t="s">
        <v>266</v>
      </c>
      <c r="B79" t="s">
        <v>23</v>
      </c>
      <c r="C79" t="s">
        <v>357</v>
      </c>
      <c r="D79">
        <f t="shared" ref="D79:K79" si="49">D75+D77-D73</f>
        <v>66.876923076923077</v>
      </c>
      <c r="E79">
        <f t="shared" si="49"/>
        <v>61.753846153846155</v>
      </c>
      <c r="F79">
        <f t="shared" si="49"/>
        <v>56.630769230769232</v>
      </c>
      <c r="G79">
        <f t="shared" si="49"/>
        <v>51.507692307692309</v>
      </c>
      <c r="H79">
        <f t="shared" si="49"/>
        <v>46.384615384615387</v>
      </c>
      <c r="I79">
        <f t="shared" si="49"/>
        <v>41.261538461538464</v>
      </c>
      <c r="J79">
        <f t="shared" si="49"/>
        <v>36.138461538461542</v>
      </c>
      <c r="K79">
        <f t="shared" si="49"/>
        <v>36.138461538461542</v>
      </c>
      <c r="L79">
        <f t="shared" si="40"/>
        <v>396.69230769230774</v>
      </c>
      <c r="M79" t="str">
        <f t="shared" si="41"/>
        <v>Oeste|Pieza 1|POH End</v>
      </c>
    </row>
    <row r="80" spans="1:13" x14ac:dyDescent="0.3">
      <c r="A80" t="s">
        <v>266</v>
      </c>
      <c r="B80" t="s">
        <v>24</v>
      </c>
      <c r="C80" t="s">
        <v>352</v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>0</v>
      </c>
      <c r="L80">
        <f t="shared" si="40"/>
        <v>28004.252088078967</v>
      </c>
      <c r="M80" t="str">
        <f t="shared" si="41"/>
        <v>Oeste|Pieza 2|Gross Req</v>
      </c>
    </row>
    <row r="81" spans="1:13" x14ac:dyDescent="0.3">
      <c r="A81" t="s">
        <v>266</v>
      </c>
      <c r="B81" t="s">
        <v>24</v>
      </c>
      <c r="C81" t="s">
        <v>81</v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L81">
        <f t="shared" si="40"/>
        <v>21624.905087319668</v>
      </c>
      <c r="M81" t="str">
        <f t="shared" si="41"/>
        <v>Oeste|Pieza 2|Safety Stock</v>
      </c>
    </row>
    <row r="82" spans="1:13" x14ac:dyDescent="0.3">
      <c r="A82" t="s">
        <v>266</v>
      </c>
      <c r="B82" t="s">
        <v>24</v>
      </c>
      <c r="C82" t="s">
        <v>353</v>
      </c>
      <c r="D82">
        <f>IF($A82="Centro",_xlfn.XLOOKUP($B82,Multi_Planta!$A$6:$A$13,Multi_Planta!$B$6:$B$13),_xlfn.XLOOKUP($B82,Multi_Planta!$A$6:$A$13,Multi_Planta!$C$6:$C$13))</f>
        <v>1424</v>
      </c>
      <c r="E82">
        <f t="shared" ref="E82:K82" si="50">D86</f>
        <v>25523.392558845862</v>
      </c>
      <c r="F82">
        <f t="shared" si="50"/>
        <v>21522.785117691725</v>
      </c>
      <c r="G82">
        <f t="shared" si="50"/>
        <v>17522.177676537587</v>
      </c>
      <c r="H82">
        <f t="shared" si="50"/>
        <v>13521.570235383449</v>
      </c>
      <c r="I82">
        <f t="shared" si="50"/>
        <v>9520.9627942293118</v>
      </c>
      <c r="J82">
        <f t="shared" si="50"/>
        <v>5520.3553530751733</v>
      </c>
      <c r="K82">
        <f t="shared" si="50"/>
        <v>1519.7479119210348</v>
      </c>
      <c r="L82">
        <f t="shared" si="40"/>
        <v>96074.991647684132</v>
      </c>
      <c r="M82" t="str">
        <f t="shared" si="41"/>
        <v>Oeste|Pieza 2|POH Start</v>
      </c>
    </row>
    <row r="83" spans="1:13" x14ac:dyDescent="0.3">
      <c r="A83" t="s">
        <v>266</v>
      </c>
      <c r="B83" t="s">
        <v>24</v>
      </c>
      <c r="C83" t="s">
        <v>354</v>
      </c>
      <c r="D83">
        <f t="shared" ref="D83:K83" si="51">MAX(0,D80+D81-D82)</f>
        <v>5279.7205770690971</v>
      </c>
      <c r="E83">
        <f t="shared" si="51"/>
        <v>0</v>
      </c>
      <c r="F83">
        <f t="shared" si="51"/>
        <v>0</v>
      </c>
      <c r="G83">
        <f t="shared" si="51"/>
        <v>0</v>
      </c>
      <c r="H83">
        <f t="shared" si="51"/>
        <v>0</v>
      </c>
      <c r="I83">
        <f t="shared" si="51"/>
        <v>0</v>
      </c>
      <c r="J83">
        <f t="shared" si="51"/>
        <v>1183.3652239939238</v>
      </c>
      <c r="K83">
        <f t="shared" si="51"/>
        <v>1183.3652239939238</v>
      </c>
      <c r="L83">
        <f t="shared" si="40"/>
        <v>7646.4510250569447</v>
      </c>
      <c r="M83" t="str">
        <f t="shared" si="41"/>
        <v>Oeste|Pieza 2|Net Req</v>
      </c>
    </row>
    <row r="84" spans="1:13" x14ac:dyDescent="0.3">
      <c r="A84" t="s">
        <v>266</v>
      </c>
      <c r="B84" t="s">
        <v>24</v>
      </c>
      <c r="C84" t="s">
        <v>355</v>
      </c>
      <c r="D84">
        <f>IF(AND(LEFT($B84,5)="Pieza",Inputs!$B$110=1),_xlfn.CEILING.MATH(L80,_xlfn.XLOOKUP($B84,Inputs!$A$35:$A$42,Inputs!$B$35:$B$42)),_xlfn.CEILING.MATH(D83,_xlfn.XLOOKUP($B84,Inputs!$A$35:$A$42,Inputs!$B$35:$B$42)))</f>
        <v>28100</v>
      </c>
      <c r="E84">
        <f>IF(AND(LEFT($B84,5)="Pieza",Inputs!$B$110=1),0,_xlfn.CEILING.MATH(E83,_xlfn.XLOOKUP($B84,Inputs!$A$35:$A$42,Inputs!$B$35:$B$42)))</f>
        <v>0</v>
      </c>
      <c r="F84">
        <f>IF(AND(LEFT($B84,5)="Pieza",Inputs!$B$110=1),0,_xlfn.CEILING.MATH(F83,_xlfn.XLOOKUP($B84,Inputs!$A$35:$A$42,Inputs!$B$35:$B$42)))</f>
        <v>0</v>
      </c>
      <c r="G84">
        <f>IF(AND(LEFT($B84,5)="Pieza",Inputs!$B$110=1),0,_xlfn.CEILING.MATH(G83,_xlfn.XLOOKUP($B84,Inputs!$A$35:$A$42,Inputs!$B$35:$B$42)))</f>
        <v>0</v>
      </c>
      <c r="H84">
        <f>IF(AND(LEFT($B84,5)="Pieza",Inputs!$B$110=1),0,_xlfn.CEILING.MATH(H83,_xlfn.XLOOKUP($B84,Inputs!$A$35:$A$42,Inputs!$B$35:$B$42)))</f>
        <v>0</v>
      </c>
      <c r="I84">
        <f>IF(AND(LEFT($B84,5)="Pieza",Inputs!$B$110=1),0,_xlfn.CEILING.MATH(I83,_xlfn.XLOOKUP($B84,Inputs!$A$35:$A$42,Inputs!$B$35:$B$42)))</f>
        <v>0</v>
      </c>
      <c r="J84">
        <f>IF(AND(LEFT($B84,5)="Pieza",Inputs!$B$110=1),0,_xlfn.CEILING.MATH(J83,_xlfn.XLOOKUP($B84,Inputs!$A$35:$A$42,Inputs!$B$35:$B$42)))</f>
        <v>0</v>
      </c>
      <c r="K84">
        <f>IF(AND(LEFT($B84,5)="Pieza",Inputs!$B$110=1),0,_xlfn.CEILING.MATH(K83,_xlfn.XLOOKUP($B84,Inputs!$A$35:$A$42,Inputs!$B$35:$B$42)))</f>
        <v>0</v>
      </c>
      <c r="L84">
        <f t="shared" si="40"/>
        <v>28100</v>
      </c>
      <c r="M84" t="str">
        <f t="shared" si="41"/>
        <v>Oeste|Pieza 2|Planned Receipt</v>
      </c>
    </row>
    <row r="85" spans="1:13" x14ac:dyDescent="0.3">
      <c r="A85" t="s">
        <v>266</v>
      </c>
      <c r="B85" t="s">
        <v>24</v>
      </c>
      <c r="C85" t="s">
        <v>356</v>
      </c>
      <c r="D85">
        <f t="shared" ref="D85:K85" si="52">D84</f>
        <v>28100</v>
      </c>
      <c r="E85">
        <f t="shared" si="52"/>
        <v>0</v>
      </c>
      <c r="F85">
        <f t="shared" si="52"/>
        <v>0</v>
      </c>
      <c r="G85">
        <f t="shared" si="52"/>
        <v>0</v>
      </c>
      <c r="H85">
        <f t="shared" si="52"/>
        <v>0</v>
      </c>
      <c r="I85">
        <f t="shared" si="52"/>
        <v>0</v>
      </c>
      <c r="J85">
        <f t="shared" si="52"/>
        <v>0</v>
      </c>
      <c r="K85">
        <f t="shared" si="52"/>
        <v>0</v>
      </c>
      <c r="L85">
        <f t="shared" si="40"/>
        <v>28100</v>
      </c>
      <c r="M85" t="str">
        <f t="shared" si="41"/>
        <v>Oeste|Pieza 2|Planned Release</v>
      </c>
    </row>
    <row r="86" spans="1:13" x14ac:dyDescent="0.3">
      <c r="A86" t="s">
        <v>266</v>
      </c>
      <c r="B86" t="s">
        <v>24</v>
      </c>
      <c r="C86" t="s">
        <v>357</v>
      </c>
      <c r="D86">
        <f t="shared" ref="D86:K86" si="53">D82+D84-D80</f>
        <v>25523.392558845862</v>
      </c>
      <c r="E86">
        <f t="shared" si="53"/>
        <v>21522.785117691725</v>
      </c>
      <c r="F86">
        <f t="shared" si="53"/>
        <v>17522.177676537587</v>
      </c>
      <c r="G86">
        <f t="shared" si="53"/>
        <v>13521.570235383449</v>
      </c>
      <c r="H86">
        <f t="shared" si="53"/>
        <v>9520.9627942293118</v>
      </c>
      <c r="I86">
        <f t="shared" si="53"/>
        <v>5520.3553530751733</v>
      </c>
      <c r="J86">
        <f t="shared" si="53"/>
        <v>1519.7479119210348</v>
      </c>
      <c r="K86">
        <f t="shared" si="53"/>
        <v>1519.7479119210348</v>
      </c>
      <c r="L86">
        <f t="shared" si="40"/>
        <v>96170.739559605165</v>
      </c>
      <c r="M86" t="str">
        <f t="shared" si="41"/>
        <v>Oeste|Pieza 2|POH End</v>
      </c>
    </row>
    <row r="87" spans="1:13" x14ac:dyDescent="0.3">
      <c r="A87" t="s">
        <v>266</v>
      </c>
      <c r="B87" t="s">
        <v>25</v>
      </c>
      <c r="C87" t="s">
        <v>352</v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>0</v>
      </c>
      <c r="L87">
        <f t="shared" si="40"/>
        <v>1083.1017770597737</v>
      </c>
      <c r="M87" t="str">
        <f t="shared" si="41"/>
        <v>Oeste|Pieza 3|Gross Req</v>
      </c>
    </row>
    <row r="88" spans="1:13" x14ac:dyDescent="0.3">
      <c r="A88" t="s">
        <v>266</v>
      </c>
      <c r="B88" t="s">
        <v>25</v>
      </c>
      <c r="C88" t="s">
        <v>81</v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L88">
        <f t="shared" si="40"/>
        <v>2230.3254096468954</v>
      </c>
      <c r="M88" t="str">
        <f t="shared" si="41"/>
        <v>Oeste|Pieza 3|Safety Stock</v>
      </c>
    </row>
    <row r="89" spans="1:13" x14ac:dyDescent="0.3">
      <c r="A89" t="s">
        <v>266</v>
      </c>
      <c r="B89" t="s">
        <v>25</v>
      </c>
      <c r="C89" t="s">
        <v>353</v>
      </c>
      <c r="D89">
        <f>IF($A89="Centro",_xlfn.XLOOKUP($B89,Multi_Planta!$A$6:$A$13,Multi_Planta!$B$6:$B$13),_xlfn.XLOOKUP($B89,Multi_Planta!$A$6:$A$13,Multi_Planta!$C$6:$C$13))</f>
        <v>1208</v>
      </c>
      <c r="E89">
        <f t="shared" ref="E89:K89" si="54">D93</f>
        <v>2163.2711747057465</v>
      </c>
      <c r="F89">
        <f t="shared" si="54"/>
        <v>2008.542349411493</v>
      </c>
      <c r="G89">
        <f t="shared" si="54"/>
        <v>1853.8135241172395</v>
      </c>
      <c r="H89">
        <f t="shared" si="54"/>
        <v>1699.084698822986</v>
      </c>
      <c r="I89">
        <f t="shared" si="54"/>
        <v>1544.3558735287324</v>
      </c>
      <c r="J89">
        <f t="shared" si="54"/>
        <v>1389.6270482344789</v>
      </c>
      <c r="K89">
        <f t="shared" si="54"/>
        <v>1234.8982229402254</v>
      </c>
      <c r="L89">
        <f t="shared" si="40"/>
        <v>13101.592891760902</v>
      </c>
      <c r="M89" t="str">
        <f t="shared" si="41"/>
        <v>Oeste|Pieza 3|POH Start</v>
      </c>
    </row>
    <row r="90" spans="1:13" x14ac:dyDescent="0.3">
      <c r="A90" t="s">
        <v>266</v>
      </c>
      <c r="B90" t="s">
        <v>25</v>
      </c>
      <c r="C90" t="s">
        <v>354</v>
      </c>
      <c r="D90">
        <f t="shared" ref="D90:K90" si="55">MAX(0,D87+D88-D89)</f>
        <v>0</v>
      </c>
      <c r="E90">
        <f t="shared" si="55"/>
        <v>0</v>
      </c>
      <c r="F90">
        <f t="shared" si="55"/>
        <v>0</v>
      </c>
      <c r="G90">
        <f t="shared" si="55"/>
        <v>0</v>
      </c>
      <c r="H90">
        <f t="shared" si="55"/>
        <v>0</v>
      </c>
      <c r="I90">
        <f t="shared" si="55"/>
        <v>0</v>
      </c>
      <c r="J90">
        <f t="shared" si="55"/>
        <v>0</v>
      </c>
      <c r="K90">
        <f t="shared" si="55"/>
        <v>0</v>
      </c>
      <c r="L90">
        <f t="shared" si="40"/>
        <v>0</v>
      </c>
      <c r="M90" t="str">
        <f t="shared" si="41"/>
        <v>Oeste|Pieza 3|Net Req</v>
      </c>
    </row>
    <row r="91" spans="1:13" x14ac:dyDescent="0.3">
      <c r="A91" t="s">
        <v>266</v>
      </c>
      <c r="B91" t="s">
        <v>25</v>
      </c>
      <c r="C91" t="s">
        <v>355</v>
      </c>
      <c r="D91">
        <f>IF(AND(LEFT($B91,5)="Pieza",Inputs!$B$110=1),_xlfn.CEILING.MATH(L87,_xlfn.XLOOKUP($B91,Inputs!$A$35:$A$42,Inputs!$B$35:$B$42)),_xlfn.CEILING.MATH(D90,_xlfn.XLOOKUP($B91,Inputs!$A$35:$A$42,Inputs!$B$35:$B$42)))</f>
        <v>1110</v>
      </c>
      <c r="E91">
        <f>IF(AND(LEFT($B91,5)="Pieza",Inputs!$B$110=1),0,_xlfn.CEILING.MATH(E90,_xlfn.XLOOKUP($B91,Inputs!$A$35:$A$42,Inputs!$B$35:$B$42)))</f>
        <v>0</v>
      </c>
      <c r="F91">
        <f>IF(AND(LEFT($B91,5)="Pieza",Inputs!$B$110=1),0,_xlfn.CEILING.MATH(F90,_xlfn.XLOOKUP($B91,Inputs!$A$35:$A$42,Inputs!$B$35:$B$42)))</f>
        <v>0</v>
      </c>
      <c r="G91">
        <f>IF(AND(LEFT($B91,5)="Pieza",Inputs!$B$110=1),0,_xlfn.CEILING.MATH(G90,_xlfn.XLOOKUP($B91,Inputs!$A$35:$A$42,Inputs!$B$35:$B$42)))</f>
        <v>0</v>
      </c>
      <c r="H91">
        <f>IF(AND(LEFT($B91,5)="Pieza",Inputs!$B$110=1),0,_xlfn.CEILING.MATH(H90,_xlfn.XLOOKUP($B91,Inputs!$A$35:$A$42,Inputs!$B$35:$B$42)))</f>
        <v>0</v>
      </c>
      <c r="I91">
        <f>IF(AND(LEFT($B91,5)="Pieza",Inputs!$B$110=1),0,_xlfn.CEILING.MATH(I90,_xlfn.XLOOKUP($B91,Inputs!$A$35:$A$42,Inputs!$B$35:$B$42)))</f>
        <v>0</v>
      </c>
      <c r="J91">
        <f>IF(AND(LEFT($B91,5)="Pieza",Inputs!$B$110=1),0,_xlfn.CEILING.MATH(J90,_xlfn.XLOOKUP($B91,Inputs!$A$35:$A$42,Inputs!$B$35:$B$42)))</f>
        <v>0</v>
      </c>
      <c r="K91">
        <f>IF(AND(LEFT($B91,5)="Pieza",Inputs!$B$110=1),0,_xlfn.CEILING.MATH(K90,_xlfn.XLOOKUP($B91,Inputs!$A$35:$A$42,Inputs!$B$35:$B$42)))</f>
        <v>0</v>
      </c>
      <c r="L91">
        <f t="shared" si="40"/>
        <v>1110</v>
      </c>
      <c r="M91" t="str">
        <f t="shared" si="41"/>
        <v>Oeste|Pieza 3|Planned Receipt</v>
      </c>
    </row>
    <row r="92" spans="1:13" x14ac:dyDescent="0.3">
      <c r="A92" t="s">
        <v>266</v>
      </c>
      <c r="B92" t="s">
        <v>25</v>
      </c>
      <c r="C92" t="s">
        <v>356</v>
      </c>
      <c r="D92">
        <f t="shared" ref="D92:K92" si="56">D91</f>
        <v>1110</v>
      </c>
      <c r="E92">
        <f t="shared" si="56"/>
        <v>0</v>
      </c>
      <c r="F92">
        <f t="shared" si="56"/>
        <v>0</v>
      </c>
      <c r="G92">
        <f t="shared" si="56"/>
        <v>0</v>
      </c>
      <c r="H92">
        <f t="shared" si="56"/>
        <v>0</v>
      </c>
      <c r="I92">
        <f t="shared" si="56"/>
        <v>0</v>
      </c>
      <c r="J92">
        <f t="shared" si="56"/>
        <v>0</v>
      </c>
      <c r="K92">
        <f t="shared" si="56"/>
        <v>0</v>
      </c>
      <c r="L92">
        <f t="shared" si="40"/>
        <v>1110</v>
      </c>
      <c r="M92" t="str">
        <f t="shared" si="41"/>
        <v>Oeste|Pieza 3|Planned Release</v>
      </c>
    </row>
    <row r="93" spans="1:13" x14ac:dyDescent="0.3">
      <c r="A93" t="s">
        <v>266</v>
      </c>
      <c r="B93" t="s">
        <v>25</v>
      </c>
      <c r="C93" t="s">
        <v>357</v>
      </c>
      <c r="D93">
        <f t="shared" ref="D93:K93" si="57">D89+D91-D87</f>
        <v>2163.2711747057465</v>
      </c>
      <c r="E93">
        <f t="shared" si="57"/>
        <v>2008.542349411493</v>
      </c>
      <c r="F93">
        <f t="shared" si="57"/>
        <v>1853.8135241172395</v>
      </c>
      <c r="G93">
        <f t="shared" si="57"/>
        <v>1699.084698822986</v>
      </c>
      <c r="H93">
        <f t="shared" si="57"/>
        <v>1544.3558735287324</v>
      </c>
      <c r="I93">
        <f t="shared" si="57"/>
        <v>1389.6270482344789</v>
      </c>
      <c r="J93">
        <f t="shared" si="57"/>
        <v>1234.8982229402254</v>
      </c>
      <c r="K93">
        <f t="shared" si="57"/>
        <v>1234.8982229402254</v>
      </c>
      <c r="L93">
        <f t="shared" si="40"/>
        <v>13128.491114701126</v>
      </c>
      <c r="M93" t="str">
        <f t="shared" si="41"/>
        <v>Oeste|Pieza 3|POH End</v>
      </c>
    </row>
    <row r="94" spans="1:13" x14ac:dyDescent="0.3">
      <c r="A94" t="s">
        <v>266</v>
      </c>
      <c r="B94" t="s">
        <v>26</v>
      </c>
      <c r="C94" t="s">
        <v>352</v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>0</v>
      </c>
      <c r="L94">
        <f t="shared" si="40"/>
        <v>2156.9600565570872</v>
      </c>
      <c r="M94" t="str">
        <f t="shared" si="41"/>
        <v>Oeste|Pieza 4|Gross Req</v>
      </c>
    </row>
    <row r="95" spans="1:13" x14ac:dyDescent="0.3">
      <c r="A95" t="s">
        <v>266</v>
      </c>
      <c r="B95" t="s">
        <v>26</v>
      </c>
      <c r="C95" t="s">
        <v>81</v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L95">
        <f t="shared" si="40"/>
        <v>4441.6165900789429</v>
      </c>
      <c r="M95" t="str">
        <f t="shared" si="41"/>
        <v>Oeste|Pieza 4|Safety Stock</v>
      </c>
    </row>
    <row r="96" spans="1:13" x14ac:dyDescent="0.3">
      <c r="A96" t="s">
        <v>266</v>
      </c>
      <c r="B96" t="s">
        <v>26</v>
      </c>
      <c r="C96" t="s">
        <v>353</v>
      </c>
      <c r="D96">
        <f>IF($A96="Centro",_xlfn.XLOOKUP($B96,Multi_Planta!$A$6:$A$13,Multi_Planta!$B$6:$B$13),_xlfn.XLOOKUP($B96,Multi_Planta!$A$6:$A$13,Multi_Planta!$C$6:$C$13))</f>
        <v>2356</v>
      </c>
      <c r="E96">
        <f t="shared" ref="E96:K96" si="58">D100</f>
        <v>4207.8628490632736</v>
      </c>
      <c r="F96">
        <f t="shared" si="58"/>
        <v>3899.7256981265468</v>
      </c>
      <c r="G96">
        <f t="shared" si="58"/>
        <v>3591.58854718982</v>
      </c>
      <c r="H96">
        <f t="shared" si="58"/>
        <v>3283.4513962530932</v>
      </c>
      <c r="I96">
        <f t="shared" si="58"/>
        <v>2975.3142453163664</v>
      </c>
      <c r="J96">
        <f t="shared" si="58"/>
        <v>2667.1770943796396</v>
      </c>
      <c r="K96">
        <f t="shared" si="58"/>
        <v>2359.0399434429128</v>
      </c>
      <c r="L96">
        <f t="shared" si="40"/>
        <v>25340.159773771655</v>
      </c>
      <c r="M96" t="str">
        <f t="shared" si="41"/>
        <v>Oeste|Pieza 4|POH Start</v>
      </c>
    </row>
    <row r="97" spans="1:13" x14ac:dyDescent="0.3">
      <c r="A97" t="s">
        <v>266</v>
      </c>
      <c r="B97" t="s">
        <v>26</v>
      </c>
      <c r="C97" t="s">
        <v>354</v>
      </c>
      <c r="D97">
        <f t="shared" ref="D97:K97" si="59">MAX(0,D94+D95-D96)</f>
        <v>0</v>
      </c>
      <c r="E97">
        <f t="shared" si="59"/>
        <v>0</v>
      </c>
      <c r="F97">
        <f t="shared" si="59"/>
        <v>0</v>
      </c>
      <c r="G97">
        <f t="shared" si="59"/>
        <v>0</v>
      </c>
      <c r="H97">
        <f t="shared" si="59"/>
        <v>0</v>
      </c>
      <c r="I97">
        <f t="shared" si="59"/>
        <v>0</v>
      </c>
      <c r="J97">
        <f t="shared" si="59"/>
        <v>0</v>
      </c>
      <c r="K97">
        <f t="shared" si="59"/>
        <v>0</v>
      </c>
      <c r="L97">
        <f t="shared" si="40"/>
        <v>0</v>
      </c>
      <c r="M97" t="str">
        <f t="shared" si="41"/>
        <v>Oeste|Pieza 4|Net Req</v>
      </c>
    </row>
    <row r="98" spans="1:13" x14ac:dyDescent="0.3">
      <c r="A98" t="s">
        <v>266</v>
      </c>
      <c r="B98" t="s">
        <v>26</v>
      </c>
      <c r="C98" t="s">
        <v>355</v>
      </c>
      <c r="D98">
        <f>IF(AND(LEFT($B98,5)="Pieza",Inputs!$B$110=1),_xlfn.CEILING.MATH(L94,_xlfn.XLOOKUP($B98,Inputs!$A$35:$A$42,Inputs!$B$35:$B$42)),_xlfn.CEILING.MATH(D97,_xlfn.XLOOKUP($B98,Inputs!$A$35:$A$42,Inputs!$B$35:$B$42)))</f>
        <v>2160</v>
      </c>
      <c r="E98">
        <f>IF(AND(LEFT($B98,5)="Pieza",Inputs!$B$110=1),0,_xlfn.CEILING.MATH(E97,_xlfn.XLOOKUP($B98,Inputs!$A$35:$A$42,Inputs!$B$35:$B$42)))</f>
        <v>0</v>
      </c>
      <c r="F98">
        <f>IF(AND(LEFT($B98,5)="Pieza",Inputs!$B$110=1),0,_xlfn.CEILING.MATH(F97,_xlfn.XLOOKUP($B98,Inputs!$A$35:$A$42,Inputs!$B$35:$B$42)))</f>
        <v>0</v>
      </c>
      <c r="G98">
        <f>IF(AND(LEFT($B98,5)="Pieza",Inputs!$B$110=1),0,_xlfn.CEILING.MATH(G97,_xlfn.XLOOKUP($B98,Inputs!$A$35:$A$42,Inputs!$B$35:$B$42)))</f>
        <v>0</v>
      </c>
      <c r="H98">
        <f>IF(AND(LEFT($B98,5)="Pieza",Inputs!$B$110=1),0,_xlfn.CEILING.MATH(H97,_xlfn.XLOOKUP($B98,Inputs!$A$35:$A$42,Inputs!$B$35:$B$42)))</f>
        <v>0</v>
      </c>
      <c r="I98">
        <f>IF(AND(LEFT($B98,5)="Pieza",Inputs!$B$110=1),0,_xlfn.CEILING.MATH(I97,_xlfn.XLOOKUP($B98,Inputs!$A$35:$A$42,Inputs!$B$35:$B$42)))</f>
        <v>0</v>
      </c>
      <c r="J98">
        <f>IF(AND(LEFT($B98,5)="Pieza",Inputs!$B$110=1),0,_xlfn.CEILING.MATH(J97,_xlfn.XLOOKUP($B98,Inputs!$A$35:$A$42,Inputs!$B$35:$B$42)))</f>
        <v>0</v>
      </c>
      <c r="K98">
        <f>IF(AND(LEFT($B98,5)="Pieza",Inputs!$B$110=1),0,_xlfn.CEILING.MATH(K97,_xlfn.XLOOKUP($B98,Inputs!$A$35:$A$42,Inputs!$B$35:$B$42)))</f>
        <v>0</v>
      </c>
      <c r="L98">
        <f t="shared" si="40"/>
        <v>2160</v>
      </c>
      <c r="M98" t="str">
        <f t="shared" si="41"/>
        <v>Oeste|Pieza 4|Planned Receipt</v>
      </c>
    </row>
    <row r="99" spans="1:13" x14ac:dyDescent="0.3">
      <c r="A99" t="s">
        <v>266</v>
      </c>
      <c r="B99" t="s">
        <v>26</v>
      </c>
      <c r="C99" t="s">
        <v>356</v>
      </c>
      <c r="D99">
        <f t="shared" ref="D99:K99" si="60">D98</f>
        <v>2160</v>
      </c>
      <c r="E99">
        <f t="shared" si="60"/>
        <v>0</v>
      </c>
      <c r="F99">
        <f t="shared" si="60"/>
        <v>0</v>
      </c>
      <c r="G99">
        <f t="shared" si="60"/>
        <v>0</v>
      </c>
      <c r="H99">
        <f t="shared" si="60"/>
        <v>0</v>
      </c>
      <c r="I99">
        <f t="shared" si="60"/>
        <v>0</v>
      </c>
      <c r="J99">
        <f t="shared" si="60"/>
        <v>0</v>
      </c>
      <c r="K99">
        <f t="shared" si="60"/>
        <v>0</v>
      </c>
      <c r="L99">
        <f t="shared" ref="L99:L130" si="61">SUM(D99:K99)</f>
        <v>2160</v>
      </c>
      <c r="M99" t="str">
        <f t="shared" ref="M99:M114" si="62">A99&amp;"|"&amp;B99&amp;"|"&amp;C99</f>
        <v>Oeste|Pieza 4|Planned Release</v>
      </c>
    </row>
    <row r="100" spans="1:13" x14ac:dyDescent="0.3">
      <c r="A100" t="s">
        <v>266</v>
      </c>
      <c r="B100" t="s">
        <v>26</v>
      </c>
      <c r="C100" t="s">
        <v>357</v>
      </c>
      <c r="D100">
        <f t="shared" ref="D100:K100" si="63">D96+D98-D94</f>
        <v>4207.8628490632736</v>
      </c>
      <c r="E100">
        <f t="shared" si="63"/>
        <v>3899.7256981265468</v>
      </c>
      <c r="F100">
        <f t="shared" si="63"/>
        <v>3591.58854718982</v>
      </c>
      <c r="G100">
        <f t="shared" si="63"/>
        <v>3283.4513962530932</v>
      </c>
      <c r="H100">
        <f t="shared" si="63"/>
        <v>2975.3142453163664</v>
      </c>
      <c r="I100">
        <f t="shared" si="63"/>
        <v>2667.1770943796396</v>
      </c>
      <c r="J100">
        <f t="shared" si="63"/>
        <v>2359.0399434429128</v>
      </c>
      <c r="K100">
        <f t="shared" si="63"/>
        <v>2359.0399434429128</v>
      </c>
      <c r="L100">
        <f t="shared" si="61"/>
        <v>25343.199717214564</v>
      </c>
      <c r="M100" t="str">
        <f t="shared" si="62"/>
        <v>Oeste|Pieza 4|POH End</v>
      </c>
    </row>
    <row r="101" spans="1:13" x14ac:dyDescent="0.3">
      <c r="A101" t="s">
        <v>266</v>
      </c>
      <c r="B101" t="s">
        <v>27</v>
      </c>
      <c r="C101" t="s">
        <v>352</v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0</v>
      </c>
      <c r="L101">
        <f t="shared" si="61"/>
        <v>7209.8309761986884</v>
      </c>
      <c r="M101" t="str">
        <f t="shared" si="62"/>
        <v>Oeste|Pieza 5|Gross Req</v>
      </c>
    </row>
    <row r="102" spans="1:13" x14ac:dyDescent="0.3">
      <c r="A102" t="s">
        <v>266</v>
      </c>
      <c r="B102" t="s">
        <v>27</v>
      </c>
      <c r="C102" t="s">
        <v>81</v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L102">
        <f t="shared" si="61"/>
        <v>0</v>
      </c>
      <c r="M102" t="str">
        <f t="shared" si="62"/>
        <v>Oeste|Pieza 5|Safety Stock</v>
      </c>
    </row>
    <row r="103" spans="1:13" x14ac:dyDescent="0.3">
      <c r="A103" t="s">
        <v>266</v>
      </c>
      <c r="B103" t="s">
        <v>27</v>
      </c>
      <c r="C103" t="s">
        <v>353</v>
      </c>
      <c r="D103">
        <f>IF($A103="Centro",_xlfn.XLOOKUP($B103,Multi_Planta!$A$6:$A$13,Multi_Planta!$B$6:$B$13),_xlfn.XLOOKUP($B103,Multi_Planta!$A$6:$A$13,Multi_Planta!$C$6:$C$13))</f>
        <v>6456</v>
      </c>
      <c r="E103">
        <f t="shared" ref="E103:K103" si="64">D107</f>
        <v>12726.02414625733</v>
      </c>
      <c r="F103">
        <f t="shared" si="64"/>
        <v>11696.048292514661</v>
      </c>
      <c r="G103">
        <f t="shared" si="64"/>
        <v>10666.072438771991</v>
      </c>
      <c r="H103">
        <f t="shared" si="64"/>
        <v>9636.0965850293214</v>
      </c>
      <c r="I103">
        <f t="shared" si="64"/>
        <v>8606.1207312866518</v>
      </c>
      <c r="J103">
        <f t="shared" si="64"/>
        <v>7576.1448775439821</v>
      </c>
      <c r="K103">
        <f t="shared" si="64"/>
        <v>6546.1690238013125</v>
      </c>
      <c r="L103">
        <f t="shared" si="61"/>
        <v>73908.676095205257</v>
      </c>
      <c r="M103" t="str">
        <f t="shared" si="62"/>
        <v>Oeste|Pieza 5|POH Start</v>
      </c>
    </row>
    <row r="104" spans="1:13" x14ac:dyDescent="0.3">
      <c r="A104" t="s">
        <v>266</v>
      </c>
      <c r="B104" t="s">
        <v>27</v>
      </c>
      <c r="C104" t="s">
        <v>354</v>
      </c>
      <c r="D104">
        <f t="shared" ref="D104:K104" si="65">MAX(0,D101+D102-D103)</f>
        <v>0</v>
      </c>
      <c r="E104">
        <f t="shared" si="65"/>
        <v>0</v>
      </c>
      <c r="F104">
        <f t="shared" si="65"/>
        <v>0</v>
      </c>
      <c r="G104">
        <f t="shared" si="65"/>
        <v>0</v>
      </c>
      <c r="H104">
        <f t="shared" si="65"/>
        <v>0</v>
      </c>
      <c r="I104">
        <f t="shared" si="65"/>
        <v>0</v>
      </c>
      <c r="J104">
        <f t="shared" si="65"/>
        <v>0</v>
      </c>
      <c r="K104">
        <f t="shared" si="65"/>
        <v>0</v>
      </c>
      <c r="L104">
        <f t="shared" si="61"/>
        <v>0</v>
      </c>
      <c r="M104" t="str">
        <f t="shared" si="62"/>
        <v>Oeste|Pieza 5|Net Req</v>
      </c>
    </row>
    <row r="105" spans="1:13" x14ac:dyDescent="0.3">
      <c r="A105" t="s">
        <v>266</v>
      </c>
      <c r="B105" t="s">
        <v>27</v>
      </c>
      <c r="C105" t="s">
        <v>355</v>
      </c>
      <c r="D105">
        <f>IF(AND(LEFT($B105,5)="Pieza",Inputs!$B$110=1),_xlfn.CEILING.MATH(L101,_xlfn.XLOOKUP($B105,Inputs!$A$35:$A$42,Inputs!$B$35:$B$42)),_xlfn.CEILING.MATH(D104,_xlfn.XLOOKUP($B105,Inputs!$A$35:$A$42,Inputs!$B$35:$B$42)))</f>
        <v>7300</v>
      </c>
      <c r="E105">
        <f>IF(AND(LEFT($B105,5)="Pieza",Inputs!$B$110=1),0,_xlfn.CEILING.MATH(E104,_xlfn.XLOOKUP($B105,Inputs!$A$35:$A$42,Inputs!$B$35:$B$42)))</f>
        <v>0</v>
      </c>
      <c r="F105">
        <f>IF(AND(LEFT($B105,5)="Pieza",Inputs!$B$110=1),0,_xlfn.CEILING.MATH(F104,_xlfn.XLOOKUP($B105,Inputs!$A$35:$A$42,Inputs!$B$35:$B$42)))</f>
        <v>0</v>
      </c>
      <c r="G105">
        <f>IF(AND(LEFT($B105,5)="Pieza",Inputs!$B$110=1),0,_xlfn.CEILING.MATH(G104,_xlfn.XLOOKUP($B105,Inputs!$A$35:$A$42,Inputs!$B$35:$B$42)))</f>
        <v>0</v>
      </c>
      <c r="H105">
        <f>IF(AND(LEFT($B105,5)="Pieza",Inputs!$B$110=1),0,_xlfn.CEILING.MATH(H104,_xlfn.XLOOKUP($B105,Inputs!$A$35:$A$42,Inputs!$B$35:$B$42)))</f>
        <v>0</v>
      </c>
      <c r="I105">
        <f>IF(AND(LEFT($B105,5)="Pieza",Inputs!$B$110=1),0,_xlfn.CEILING.MATH(I104,_xlfn.XLOOKUP($B105,Inputs!$A$35:$A$42,Inputs!$B$35:$B$42)))</f>
        <v>0</v>
      </c>
      <c r="J105">
        <f>IF(AND(LEFT($B105,5)="Pieza",Inputs!$B$110=1),0,_xlfn.CEILING.MATH(J104,_xlfn.XLOOKUP($B105,Inputs!$A$35:$A$42,Inputs!$B$35:$B$42)))</f>
        <v>0</v>
      </c>
      <c r="K105">
        <f>IF(AND(LEFT($B105,5)="Pieza",Inputs!$B$110=1),0,_xlfn.CEILING.MATH(K104,_xlfn.XLOOKUP($B105,Inputs!$A$35:$A$42,Inputs!$B$35:$B$42)))</f>
        <v>0</v>
      </c>
      <c r="L105">
        <f t="shared" si="61"/>
        <v>7300</v>
      </c>
      <c r="M105" t="str">
        <f t="shared" si="62"/>
        <v>Oeste|Pieza 5|Planned Receipt</v>
      </c>
    </row>
    <row r="106" spans="1:13" x14ac:dyDescent="0.3">
      <c r="A106" t="s">
        <v>266</v>
      </c>
      <c r="B106" t="s">
        <v>27</v>
      </c>
      <c r="C106" t="s">
        <v>356</v>
      </c>
      <c r="D106">
        <f t="shared" ref="D106:K106" si="66">D105</f>
        <v>7300</v>
      </c>
      <c r="E106">
        <f t="shared" si="66"/>
        <v>0</v>
      </c>
      <c r="F106">
        <f t="shared" si="66"/>
        <v>0</v>
      </c>
      <c r="G106">
        <f t="shared" si="66"/>
        <v>0</v>
      </c>
      <c r="H106">
        <f t="shared" si="66"/>
        <v>0</v>
      </c>
      <c r="I106">
        <f t="shared" si="66"/>
        <v>0</v>
      </c>
      <c r="J106">
        <f t="shared" si="66"/>
        <v>0</v>
      </c>
      <c r="K106">
        <f t="shared" si="66"/>
        <v>0</v>
      </c>
      <c r="L106">
        <f t="shared" si="61"/>
        <v>7300</v>
      </c>
      <c r="M106" t="str">
        <f t="shared" si="62"/>
        <v>Oeste|Pieza 5|Planned Release</v>
      </c>
    </row>
    <row r="107" spans="1:13" x14ac:dyDescent="0.3">
      <c r="A107" t="s">
        <v>266</v>
      </c>
      <c r="B107" t="s">
        <v>27</v>
      </c>
      <c r="C107" t="s">
        <v>357</v>
      </c>
      <c r="D107">
        <f t="shared" ref="D107:K107" si="67">D103+D105-D101</f>
        <v>12726.02414625733</v>
      </c>
      <c r="E107">
        <f t="shared" si="67"/>
        <v>11696.048292514661</v>
      </c>
      <c r="F107">
        <f t="shared" si="67"/>
        <v>10666.072438771991</v>
      </c>
      <c r="G107">
        <f t="shared" si="67"/>
        <v>9636.0965850293214</v>
      </c>
      <c r="H107">
        <f t="shared" si="67"/>
        <v>8606.1207312866518</v>
      </c>
      <c r="I107">
        <f t="shared" si="67"/>
        <v>7576.1448775439821</v>
      </c>
      <c r="J107">
        <f t="shared" si="67"/>
        <v>6546.1690238013125</v>
      </c>
      <c r="K107">
        <f t="shared" si="67"/>
        <v>6546.1690238013125</v>
      </c>
      <c r="L107">
        <f t="shared" si="61"/>
        <v>73998.845119006553</v>
      </c>
      <c r="M107" t="str">
        <f t="shared" si="62"/>
        <v>Oeste|Pieza 5|POH End</v>
      </c>
    </row>
    <row r="108" spans="1:13" x14ac:dyDescent="0.3">
      <c r="A108" t="s">
        <v>266</v>
      </c>
      <c r="B108" t="s">
        <v>28</v>
      </c>
      <c r="C108" t="s">
        <v>352</v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0</v>
      </c>
      <c r="L108">
        <f t="shared" si="61"/>
        <v>2568.5418392709189</v>
      </c>
      <c r="M108" t="str">
        <f t="shared" si="62"/>
        <v>Oeste|Pieza 6|Gross Req</v>
      </c>
    </row>
    <row r="109" spans="1:13" x14ac:dyDescent="0.3">
      <c r="A109" t="s">
        <v>266</v>
      </c>
      <c r="B109" t="s">
        <v>28</v>
      </c>
      <c r="C109" t="s">
        <v>81</v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L109">
        <f t="shared" si="61"/>
        <v>0</v>
      </c>
      <c r="M109" t="str">
        <f t="shared" si="62"/>
        <v>Oeste|Pieza 6|Safety Stock</v>
      </c>
    </row>
    <row r="110" spans="1:13" x14ac:dyDescent="0.3">
      <c r="A110" t="s">
        <v>266</v>
      </c>
      <c r="B110" t="s">
        <v>28</v>
      </c>
      <c r="C110" t="s">
        <v>353</v>
      </c>
      <c r="D110">
        <f>IF($A110="Centro",_xlfn.XLOOKUP($B110,Multi_Planta!$A$6:$A$13,Multi_Planta!$B$6:$B$13),_xlfn.XLOOKUP($B110,Multi_Planta!$A$6:$A$13,Multi_Planta!$C$6:$C$13))</f>
        <v>1596</v>
      </c>
      <c r="E110">
        <f t="shared" ref="E110:K110" si="68">D114</f>
        <v>3929.065451532726</v>
      </c>
      <c r="F110">
        <f t="shared" si="68"/>
        <v>3562.130903065452</v>
      </c>
      <c r="G110">
        <f t="shared" si="68"/>
        <v>3195.196354598178</v>
      </c>
      <c r="H110">
        <f t="shared" si="68"/>
        <v>2828.261806130904</v>
      </c>
      <c r="I110">
        <f t="shared" si="68"/>
        <v>2461.32725766363</v>
      </c>
      <c r="J110">
        <f t="shared" si="68"/>
        <v>2094.392709196356</v>
      </c>
      <c r="K110">
        <f t="shared" si="68"/>
        <v>1727.4581607290818</v>
      </c>
      <c r="L110">
        <f t="shared" si="61"/>
        <v>21393.832642916328</v>
      </c>
      <c r="M110" t="str">
        <f t="shared" si="62"/>
        <v>Oeste|Pieza 6|POH Start</v>
      </c>
    </row>
    <row r="111" spans="1:13" x14ac:dyDescent="0.3">
      <c r="A111" t="s">
        <v>266</v>
      </c>
      <c r="B111" t="s">
        <v>28</v>
      </c>
      <c r="C111" t="s">
        <v>354</v>
      </c>
      <c r="D111">
        <f t="shared" ref="D111:K111" si="69">MAX(0,D108+D109-D110)</f>
        <v>0</v>
      </c>
      <c r="E111">
        <f t="shared" si="69"/>
        <v>0</v>
      </c>
      <c r="F111">
        <f t="shared" si="69"/>
        <v>0</v>
      </c>
      <c r="G111">
        <f t="shared" si="69"/>
        <v>0</v>
      </c>
      <c r="H111">
        <f t="shared" si="69"/>
        <v>0</v>
      </c>
      <c r="I111">
        <f t="shared" si="69"/>
        <v>0</v>
      </c>
      <c r="J111">
        <f t="shared" si="69"/>
        <v>0</v>
      </c>
      <c r="K111">
        <f t="shared" si="69"/>
        <v>0</v>
      </c>
      <c r="L111">
        <f t="shared" si="61"/>
        <v>0</v>
      </c>
      <c r="M111" t="str">
        <f t="shared" si="62"/>
        <v>Oeste|Pieza 6|Net Req</v>
      </c>
    </row>
    <row r="112" spans="1:13" x14ac:dyDescent="0.3">
      <c r="A112" t="s">
        <v>266</v>
      </c>
      <c r="B112" t="s">
        <v>28</v>
      </c>
      <c r="C112" t="s">
        <v>355</v>
      </c>
      <c r="D112">
        <f>IF(AND(LEFT($B112,5)="Pieza",Inputs!$B$110=1),_xlfn.CEILING.MATH(L108,_xlfn.XLOOKUP($B112,Inputs!$A$35:$A$42,Inputs!$B$35:$B$42)),_xlfn.CEILING.MATH(D111,_xlfn.XLOOKUP($B112,Inputs!$A$35:$A$42,Inputs!$B$35:$B$42)))</f>
        <v>2700</v>
      </c>
      <c r="E112">
        <f>IF(AND(LEFT($B112,5)="Pieza",Inputs!$B$110=1),0,_xlfn.CEILING.MATH(E111,_xlfn.XLOOKUP($B112,Inputs!$A$35:$A$42,Inputs!$B$35:$B$42)))</f>
        <v>0</v>
      </c>
      <c r="F112">
        <f>IF(AND(LEFT($B112,5)="Pieza",Inputs!$B$110=1),0,_xlfn.CEILING.MATH(F111,_xlfn.XLOOKUP($B112,Inputs!$A$35:$A$42,Inputs!$B$35:$B$42)))</f>
        <v>0</v>
      </c>
      <c r="G112">
        <f>IF(AND(LEFT($B112,5)="Pieza",Inputs!$B$110=1),0,_xlfn.CEILING.MATH(G111,_xlfn.XLOOKUP($B112,Inputs!$A$35:$A$42,Inputs!$B$35:$B$42)))</f>
        <v>0</v>
      </c>
      <c r="H112">
        <f>IF(AND(LEFT($B112,5)="Pieza",Inputs!$B$110=1),0,_xlfn.CEILING.MATH(H111,_xlfn.XLOOKUP($B112,Inputs!$A$35:$A$42,Inputs!$B$35:$B$42)))</f>
        <v>0</v>
      </c>
      <c r="I112">
        <f>IF(AND(LEFT($B112,5)="Pieza",Inputs!$B$110=1),0,_xlfn.CEILING.MATH(I111,_xlfn.XLOOKUP($B112,Inputs!$A$35:$A$42,Inputs!$B$35:$B$42)))</f>
        <v>0</v>
      </c>
      <c r="J112">
        <f>IF(AND(LEFT($B112,5)="Pieza",Inputs!$B$110=1),0,_xlfn.CEILING.MATH(J111,_xlfn.XLOOKUP($B112,Inputs!$A$35:$A$42,Inputs!$B$35:$B$42)))</f>
        <v>0</v>
      </c>
      <c r="K112">
        <f>IF(AND(LEFT($B112,5)="Pieza",Inputs!$B$110=1),0,_xlfn.CEILING.MATH(K111,_xlfn.XLOOKUP($B112,Inputs!$A$35:$A$42,Inputs!$B$35:$B$42)))</f>
        <v>0</v>
      </c>
      <c r="L112">
        <f t="shared" si="61"/>
        <v>2700</v>
      </c>
      <c r="M112" t="str">
        <f t="shared" si="62"/>
        <v>Oeste|Pieza 6|Planned Receipt</v>
      </c>
    </row>
    <row r="113" spans="1:13" x14ac:dyDescent="0.3">
      <c r="A113" t="s">
        <v>266</v>
      </c>
      <c r="B113" t="s">
        <v>28</v>
      </c>
      <c r="C113" t="s">
        <v>356</v>
      </c>
      <c r="D113">
        <f t="shared" ref="D113:K113" si="70">D112</f>
        <v>2700</v>
      </c>
      <c r="E113">
        <f t="shared" si="70"/>
        <v>0</v>
      </c>
      <c r="F113">
        <f t="shared" si="70"/>
        <v>0</v>
      </c>
      <c r="G113">
        <f t="shared" si="70"/>
        <v>0</v>
      </c>
      <c r="H113">
        <f t="shared" si="70"/>
        <v>0</v>
      </c>
      <c r="I113">
        <f t="shared" si="70"/>
        <v>0</v>
      </c>
      <c r="J113">
        <f t="shared" si="70"/>
        <v>0</v>
      </c>
      <c r="K113">
        <f t="shared" si="70"/>
        <v>0</v>
      </c>
      <c r="L113">
        <f t="shared" si="61"/>
        <v>2700</v>
      </c>
      <c r="M113" t="str">
        <f t="shared" si="62"/>
        <v>Oeste|Pieza 6|Planned Release</v>
      </c>
    </row>
    <row r="114" spans="1:13" x14ac:dyDescent="0.3">
      <c r="A114" t="s">
        <v>266</v>
      </c>
      <c r="B114" t="s">
        <v>28</v>
      </c>
      <c r="C114" t="s">
        <v>357</v>
      </c>
      <c r="D114">
        <f t="shared" ref="D114:K114" si="71">D110+D112-D108</f>
        <v>3929.065451532726</v>
      </c>
      <c r="E114">
        <f t="shared" si="71"/>
        <v>3562.130903065452</v>
      </c>
      <c r="F114">
        <f t="shared" si="71"/>
        <v>3195.196354598178</v>
      </c>
      <c r="G114">
        <f t="shared" si="71"/>
        <v>2828.261806130904</v>
      </c>
      <c r="H114">
        <f t="shared" si="71"/>
        <v>2461.32725766363</v>
      </c>
      <c r="I114">
        <f t="shared" si="71"/>
        <v>2094.392709196356</v>
      </c>
      <c r="J114">
        <f t="shared" si="71"/>
        <v>1727.4581607290818</v>
      </c>
      <c r="K114">
        <f t="shared" si="71"/>
        <v>1727.4581607290818</v>
      </c>
      <c r="L114">
        <f t="shared" si="61"/>
        <v>21525.29080364541</v>
      </c>
      <c r="M114" t="str">
        <f t="shared" si="62"/>
        <v>Oeste|Pieza 6|POH End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topLeftCell="A35" zoomScaleNormal="100" workbookViewId="0">
      <selection activeCell="C37" sqref="C37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4" spans="1:11" ht="15" customHeight="1" x14ac:dyDescent="0.3">
      <c r="A4" s="77" t="s">
        <v>2</v>
      </c>
      <c r="B4" s="77"/>
      <c r="C4" s="77"/>
      <c r="D4" s="77"/>
      <c r="E4" s="77"/>
      <c r="F4" s="77"/>
      <c r="G4" s="77"/>
      <c r="H4" s="77"/>
      <c r="I4" s="77"/>
      <c r="J4" s="77"/>
      <c r="K4" s="77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7" t="s">
        <v>14</v>
      </c>
      <c r="B9" s="77"/>
      <c r="C9" s="77"/>
      <c r="D9" s="77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7" t="s">
        <v>29</v>
      </c>
      <c r="B21" s="77"/>
      <c r="C21" s="77"/>
      <c r="D21" s="77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7" t="s">
        <v>41</v>
      </c>
      <c r="B33" s="77"/>
      <c r="C33" s="77"/>
      <c r="D33" s="77"/>
    </row>
    <row r="34" spans="1:4" ht="15" customHeight="1" x14ac:dyDescent="0.3">
      <c r="A34" s="8" t="s">
        <v>15</v>
      </c>
      <c r="B34" s="8" t="s">
        <v>42</v>
      </c>
      <c r="C34" s="8" t="s">
        <v>332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44</v>
      </c>
    </row>
    <row r="36" spans="1:4" ht="15" customHeight="1" x14ac:dyDescent="0.3">
      <c r="A36" s="9" t="s">
        <v>22</v>
      </c>
      <c r="B36" s="6">
        <v>12</v>
      </c>
      <c r="C36" s="75">
        <f t="shared" ref="C36:C42" si="0">B36</f>
        <v>12</v>
      </c>
      <c r="D36" s="11" t="s">
        <v>44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45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46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47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48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49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50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7" t="s">
        <v>51</v>
      </c>
      <c r="B45" s="77"/>
      <c r="C45" s="77"/>
      <c r="D45" s="77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52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53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53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53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53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53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53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53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53</v>
      </c>
    </row>
    <row r="57" spans="1:7" ht="15" customHeight="1" x14ac:dyDescent="0.3">
      <c r="A57" s="77" t="s">
        <v>54</v>
      </c>
      <c r="B57" s="77"/>
      <c r="C57" s="77"/>
      <c r="D57" s="77"/>
      <c r="E57" s="77"/>
    </row>
    <row r="58" spans="1:7" ht="15" customHeight="1" x14ac:dyDescent="0.3">
      <c r="A58" s="8" t="s">
        <v>15</v>
      </c>
      <c r="B58" s="8" t="s">
        <v>55</v>
      </c>
      <c r="C58" s="8" t="s">
        <v>56</v>
      </c>
      <c r="D58" s="8" t="s">
        <v>57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58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58</v>
      </c>
    </row>
    <row r="61" spans="1:7" ht="15" customHeight="1" x14ac:dyDescent="0.3">
      <c r="A61" s="9" t="s">
        <v>59</v>
      </c>
      <c r="B61" s="12">
        <v>0</v>
      </c>
      <c r="C61" s="14">
        <v>0</v>
      </c>
      <c r="D61" s="11" t="s">
        <v>60</v>
      </c>
    </row>
    <row r="64" spans="1:7" ht="15" customHeight="1" x14ac:dyDescent="0.3">
      <c r="A64" s="77" t="s">
        <v>61</v>
      </c>
      <c r="B64" s="77"/>
      <c r="C64" s="77"/>
      <c r="D64" s="77"/>
      <c r="E64" s="77"/>
      <c r="F64" s="77"/>
      <c r="G64" s="77"/>
    </row>
    <row r="65" spans="1:7" ht="15" customHeight="1" x14ac:dyDescent="0.3">
      <c r="A65" s="8" t="s">
        <v>62</v>
      </c>
      <c r="B65" s="8" t="s">
        <v>63</v>
      </c>
      <c r="C65" s="8" t="s">
        <v>64</v>
      </c>
      <c r="D65" s="8" t="s">
        <v>65</v>
      </c>
      <c r="E65" s="8" t="s">
        <v>331</v>
      </c>
      <c r="F65" s="8" t="s">
        <v>66</v>
      </c>
    </row>
    <row r="66" spans="1:7" ht="15" customHeight="1" x14ac:dyDescent="0.3">
      <c r="A66" s="10" t="s">
        <v>67</v>
      </c>
      <c r="B66" s="15">
        <v>125</v>
      </c>
      <c r="C66" s="16" t="s">
        <v>68</v>
      </c>
      <c r="D66" s="16" t="s">
        <v>69</v>
      </c>
      <c r="E66" s="16" t="s">
        <v>43</v>
      </c>
      <c r="F66" s="10" t="s">
        <v>70</v>
      </c>
    </row>
    <row r="67" spans="1:7" ht="15" customHeight="1" x14ac:dyDescent="0.3">
      <c r="A67" s="10" t="s">
        <v>71</v>
      </c>
      <c r="B67" s="15">
        <v>100</v>
      </c>
      <c r="C67" s="16" t="s">
        <v>72</v>
      </c>
      <c r="D67" s="16" t="s">
        <v>73</v>
      </c>
      <c r="E67" s="16">
        <v>150</v>
      </c>
      <c r="F67" s="10" t="s">
        <v>74</v>
      </c>
    </row>
    <row r="68" spans="1:7" ht="15" customHeight="1" x14ac:dyDescent="0.3">
      <c r="A68" s="10" t="s">
        <v>75</v>
      </c>
      <c r="B68" s="15">
        <v>140</v>
      </c>
      <c r="C68" s="16" t="s">
        <v>76</v>
      </c>
      <c r="D68" s="16" t="s">
        <v>69</v>
      </c>
      <c r="E68" s="16" t="s">
        <v>43</v>
      </c>
      <c r="F68" s="10" t="s">
        <v>70</v>
      </c>
    </row>
    <row r="69" spans="1:7" ht="15" customHeight="1" x14ac:dyDescent="0.3">
      <c r="A69" s="1" t="s">
        <v>77</v>
      </c>
      <c r="B69" s="17" t="s">
        <v>67</v>
      </c>
    </row>
    <row r="72" spans="1:7" ht="15" customHeight="1" x14ac:dyDescent="0.3">
      <c r="A72" s="77" t="s">
        <v>78</v>
      </c>
      <c r="B72" s="77"/>
      <c r="C72" s="77"/>
      <c r="D72" s="77"/>
      <c r="E72" s="77"/>
      <c r="F72" s="77"/>
      <c r="G72" s="77"/>
    </row>
    <row r="73" spans="1:7" ht="15" customHeight="1" x14ac:dyDescent="0.3">
      <c r="A73" s="8" t="s">
        <v>62</v>
      </c>
      <c r="B73" s="8" t="s">
        <v>63</v>
      </c>
      <c r="C73" s="8" t="s">
        <v>64</v>
      </c>
      <c r="D73" s="8" t="s">
        <v>65</v>
      </c>
      <c r="E73" s="8" t="s">
        <v>331</v>
      </c>
      <c r="F73" s="8" t="s">
        <v>66</v>
      </c>
    </row>
    <row r="74" spans="1:7" ht="15" customHeight="1" x14ac:dyDescent="0.3">
      <c r="A74" s="10" t="s">
        <v>67</v>
      </c>
      <c r="B74" s="15">
        <v>330</v>
      </c>
      <c r="C74" s="16" t="s">
        <v>68</v>
      </c>
      <c r="D74" s="16" t="s">
        <v>69</v>
      </c>
      <c r="E74" s="16" t="s">
        <v>43</v>
      </c>
      <c r="F74" s="10" t="s">
        <v>70</v>
      </c>
    </row>
    <row r="75" spans="1:7" ht="15" customHeight="1" x14ac:dyDescent="0.3">
      <c r="A75" s="10" t="s">
        <v>71</v>
      </c>
      <c r="B75" s="15">
        <v>264</v>
      </c>
      <c r="C75" s="16" t="s">
        <v>72</v>
      </c>
      <c r="D75" s="16" t="s">
        <v>79</v>
      </c>
      <c r="E75" s="16">
        <v>80</v>
      </c>
      <c r="F75" s="10" t="s">
        <v>74</v>
      </c>
    </row>
    <row r="76" spans="1:7" ht="15" customHeight="1" x14ac:dyDescent="0.3">
      <c r="A76" s="10" t="s">
        <v>75</v>
      </c>
      <c r="B76" s="15">
        <v>370</v>
      </c>
      <c r="C76" s="16" t="s">
        <v>76</v>
      </c>
      <c r="D76" s="16" t="s">
        <v>69</v>
      </c>
      <c r="E76" s="16" t="s">
        <v>43</v>
      </c>
      <c r="F76" s="10" t="s">
        <v>70</v>
      </c>
    </row>
    <row r="77" spans="1:7" ht="15" customHeight="1" x14ac:dyDescent="0.3">
      <c r="A77" s="1" t="s">
        <v>77</v>
      </c>
      <c r="B77" s="17" t="s">
        <v>67</v>
      </c>
    </row>
    <row r="80" spans="1:7" ht="15" customHeight="1" x14ac:dyDescent="0.3">
      <c r="A80" s="77" t="s">
        <v>80</v>
      </c>
      <c r="B80" s="77"/>
      <c r="C80" s="77"/>
      <c r="D80" s="77"/>
    </row>
    <row r="81" spans="1:5" ht="15" customHeight="1" x14ac:dyDescent="0.3">
      <c r="A81" s="8" t="s">
        <v>15</v>
      </c>
      <c r="B81" s="8" t="s">
        <v>81</v>
      </c>
      <c r="C81" s="8" t="s">
        <v>82</v>
      </c>
      <c r="D81" s="8" t="s">
        <v>83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78" t="s">
        <v>84</v>
      </c>
      <c r="B88" s="78"/>
      <c r="C88" s="78"/>
      <c r="D88" s="78"/>
      <c r="E88" s="78"/>
    </row>
    <row r="89" spans="1:5" ht="15" customHeight="1" x14ac:dyDescent="0.3">
      <c r="A89" s="79" t="s">
        <v>85</v>
      </c>
      <c r="B89" s="79"/>
      <c r="C89" s="79"/>
      <c r="D89" s="79"/>
      <c r="E89" s="79"/>
    </row>
    <row r="90" spans="1:5" ht="15" customHeight="1" x14ac:dyDescent="0.3">
      <c r="A90" s="8" t="s">
        <v>15</v>
      </c>
      <c r="B90" s="8" t="s">
        <v>86</v>
      </c>
      <c r="C90" s="8" t="s">
        <v>87</v>
      </c>
      <c r="D90" s="8" t="s">
        <v>88</v>
      </c>
      <c r="E90" s="8" t="s">
        <v>89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2:D98" si="3">B92*C92</f>
        <v>231.25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3"/>
        <v>32.375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3"/>
        <v>485.625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3"/>
        <v>971.25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3"/>
        <v>3237.5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3"/>
        <v>1214.0625</v>
      </c>
      <c r="E98" s="22" t="str">
        <f t="shared" si="2"/>
        <v>SÍ - RIESGO ALTO</v>
      </c>
    </row>
    <row r="100" spans="1:5" x14ac:dyDescent="0.3">
      <c r="A100" t="s">
        <v>299</v>
      </c>
    </row>
    <row r="101" spans="1:5" x14ac:dyDescent="0.3">
      <c r="A101" t="s">
        <v>300</v>
      </c>
      <c r="B101">
        <f>Escenarios!$E$29</f>
        <v>1</v>
      </c>
      <c r="C101" t="s">
        <v>301</v>
      </c>
    </row>
    <row r="104" spans="1:5" x14ac:dyDescent="0.3">
      <c r="A104" t="s">
        <v>333</v>
      </c>
    </row>
    <row r="105" spans="1:5" x14ac:dyDescent="0.3">
      <c r="A105" t="s">
        <v>334</v>
      </c>
      <c r="B105" t="s">
        <v>335</v>
      </c>
      <c r="C105" t="s">
        <v>258</v>
      </c>
    </row>
    <row r="106" spans="1:5" x14ac:dyDescent="0.3">
      <c r="A106" t="s">
        <v>336</v>
      </c>
      <c r="B106" s="74">
        <f>Riesgo_Proveedor_B!B8</f>
        <v>150</v>
      </c>
    </row>
    <row r="107" spans="1:5" x14ac:dyDescent="0.3">
      <c r="A107" t="s">
        <v>337</v>
      </c>
      <c r="B107">
        <v>0</v>
      </c>
      <c r="C107" t="s">
        <v>338</v>
      </c>
    </row>
    <row r="108" spans="1:5" x14ac:dyDescent="0.3">
      <c r="A108" t="s">
        <v>339</v>
      </c>
      <c r="B108">
        <v>1</v>
      </c>
    </row>
    <row r="109" spans="1:5" x14ac:dyDescent="0.3">
      <c r="A109" t="s">
        <v>340</v>
      </c>
      <c r="B109">
        <v>1</v>
      </c>
    </row>
    <row r="110" spans="1:5" x14ac:dyDescent="0.3">
      <c r="A110" t="s">
        <v>341</v>
      </c>
      <c r="B110">
        <v>1</v>
      </c>
    </row>
    <row r="111" spans="1:5" x14ac:dyDescent="0.3">
      <c r="A111" t="s">
        <v>342</v>
      </c>
      <c r="B111">
        <f>IFERROR(VALUE(SUBSTITUTE(LEFT(D67,FIND("%",D67)-1),"%",""))/100,0)</f>
        <v>0.16</v>
      </c>
    </row>
    <row r="112" spans="1:5" x14ac:dyDescent="0.3">
      <c r="A112" t="s">
        <v>343</v>
      </c>
      <c r="B112">
        <f>IFERROR(VALUE(SUBSTITUTE(LEFT(D75,FIND("%",D75)-1),"%",""))/100,0)</f>
        <v>0.16</v>
      </c>
    </row>
    <row r="113" spans="1:2" x14ac:dyDescent="0.3">
      <c r="A113" t="s">
        <v>344</v>
      </c>
      <c r="B113" s="76">
        <f>Riesgo_Proveedor_B!B7</f>
        <v>0.2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80" t="s">
        <v>90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91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3" t="s">
        <v>92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15</v>
      </c>
      <c r="B5" s="23" t="s">
        <v>93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4" t="s">
        <v>94</v>
      </c>
      <c r="B15" s="84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80" t="s">
        <v>95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2" t="s">
        <v>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15" customHeight="1" x14ac:dyDescent="0.3">
      <c r="A3" s="85" t="s">
        <v>97</v>
      </c>
      <c r="B3" s="85"/>
      <c r="C3" s="85"/>
      <c r="D3" s="85"/>
      <c r="E3" s="85"/>
      <c r="F3" s="85"/>
      <c r="G3" s="85"/>
      <c r="H3" s="85"/>
      <c r="I3" s="85"/>
      <c r="J3" s="85"/>
      <c r="K3" s="85"/>
    </row>
    <row r="5" spans="1:11" ht="15" customHeight="1" x14ac:dyDescent="0.3">
      <c r="A5" s="77" t="s">
        <v>19</v>
      </c>
      <c r="B5" s="77"/>
      <c r="C5" s="77"/>
      <c r="D5" s="77"/>
      <c r="E5" s="77"/>
      <c r="F5" s="77"/>
      <c r="G5" s="77"/>
      <c r="H5" s="77"/>
      <c r="I5" s="77"/>
      <c r="J5" s="77"/>
      <c r="K5" s="77"/>
    </row>
    <row r="6" spans="1:11" ht="15" customHeight="1" x14ac:dyDescent="0.3">
      <c r="A6" s="4" t="s">
        <v>98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99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100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101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102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7" t="s">
        <v>22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11" ht="15" customHeight="1" x14ac:dyDescent="0.3">
      <c r="A12" s="4" t="s">
        <v>98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99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101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102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7" t="s">
        <v>23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ht="15" customHeight="1" x14ac:dyDescent="0.3">
      <c r="A18" s="4" t="s">
        <v>98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99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100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101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102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7" t="s">
        <v>24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1" ht="15" customHeight="1" x14ac:dyDescent="0.3">
      <c r="A24" s="4" t="s">
        <v>98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99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100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101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102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7" t="s">
        <v>25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</row>
    <row r="30" spans="1:11" ht="15" customHeight="1" x14ac:dyDescent="0.3">
      <c r="A30" s="4" t="s">
        <v>98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99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100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101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102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7" t="s">
        <v>26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</row>
    <row r="36" spans="1:11" ht="15" customHeight="1" x14ac:dyDescent="0.3">
      <c r="A36" s="4" t="s">
        <v>98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99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100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101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102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7" t="s">
        <v>27</v>
      </c>
      <c r="B41" s="77"/>
      <c r="C41" s="77"/>
      <c r="D41" s="77"/>
      <c r="E41" s="77"/>
      <c r="F41" s="77"/>
      <c r="G41" s="77"/>
      <c r="H41" s="77"/>
      <c r="I41" s="77"/>
      <c r="J41" s="77"/>
      <c r="K41" s="77"/>
    </row>
    <row r="42" spans="1:11" ht="15" customHeight="1" x14ac:dyDescent="0.3">
      <c r="A42" s="4" t="s">
        <v>98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99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100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101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102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7" t="s">
        <v>28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</row>
    <row r="48" spans="1:11" ht="15" customHeight="1" x14ac:dyDescent="0.3">
      <c r="A48" s="4" t="s">
        <v>98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99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100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101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102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78" t="s">
        <v>103</v>
      </c>
      <c r="B53" s="78"/>
      <c r="C53" s="78"/>
      <c r="D53" s="78"/>
      <c r="E53" s="78"/>
      <c r="F53" s="78"/>
      <c r="G53" s="78"/>
      <c r="H53" s="78"/>
      <c r="I53" s="78"/>
      <c r="J53" s="78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104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80" t="s">
        <v>105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106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7" t="s">
        <v>107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15" customHeight="1" x14ac:dyDescent="0.3">
      <c r="A5" s="77" t="s">
        <v>108</v>
      </c>
      <c r="B5" s="77"/>
      <c r="C5" s="77"/>
      <c r="D5" s="77"/>
      <c r="E5" s="77"/>
      <c r="F5" s="77"/>
      <c r="G5" s="77"/>
      <c r="H5" s="77"/>
      <c r="I5" s="77"/>
      <c r="J5" s="77"/>
    </row>
    <row r="6" spans="1:12" ht="23.25" customHeight="1" x14ac:dyDescent="0.3">
      <c r="A6" s="31" t="s">
        <v>15</v>
      </c>
      <c r="B6" s="31" t="s">
        <v>109</v>
      </c>
      <c r="C6" s="31" t="s">
        <v>42</v>
      </c>
      <c r="D6" s="31" t="s">
        <v>110</v>
      </c>
      <c r="E6" s="31" t="s">
        <v>111</v>
      </c>
      <c r="F6" s="31" t="s">
        <v>112</v>
      </c>
      <c r="G6" s="31" t="s">
        <v>113</v>
      </c>
      <c r="H6" s="31" t="s">
        <v>114</v>
      </c>
      <c r="I6" s="31" t="s">
        <v>115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4" t="s">
        <v>116</v>
      </c>
      <c r="B13" s="84"/>
      <c r="C13" s="84"/>
      <c r="D13" s="84"/>
      <c r="E13" s="84"/>
      <c r="F13" s="84"/>
      <c r="G13" s="84"/>
      <c r="H13" s="37">
        <f>SUM(H7:H12)</f>
        <v>232926</v>
      </c>
    </row>
    <row r="16" spans="1:12" ht="15" customHeight="1" x14ac:dyDescent="0.3">
      <c r="A16" s="77" t="s">
        <v>117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</row>
    <row r="17" spans="1:11" ht="23.25" customHeight="1" x14ac:dyDescent="0.3">
      <c r="A17" s="31" t="s">
        <v>15</v>
      </c>
      <c r="B17" s="31" t="s">
        <v>118</v>
      </c>
      <c r="C17" s="31" t="s">
        <v>119</v>
      </c>
      <c r="D17" s="31" t="s">
        <v>42</v>
      </c>
      <c r="E17" s="31" t="s">
        <v>110</v>
      </c>
      <c r="F17" s="31" t="s">
        <v>111</v>
      </c>
      <c r="G17" s="31" t="s">
        <v>120</v>
      </c>
      <c r="H17" s="31" t="s">
        <v>113</v>
      </c>
      <c r="I17" s="31" t="s">
        <v>121</v>
      </c>
      <c r="J17" s="31" t="s">
        <v>64</v>
      </c>
      <c r="K17" s="31" t="s">
        <v>122</v>
      </c>
    </row>
    <row r="18" spans="1:11" ht="15" customHeight="1" x14ac:dyDescent="0.3">
      <c r="A18" s="86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6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6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6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6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6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6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6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6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6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6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6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6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6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6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6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80" t="s">
        <v>123</v>
      </c>
      <c r="B1" s="80"/>
      <c r="C1" s="80"/>
      <c r="D1" s="80"/>
      <c r="E1" s="80"/>
      <c r="F1" s="80"/>
    </row>
    <row r="2" spans="1:6" ht="15" customHeight="1" x14ac:dyDescent="0.3">
      <c r="A2" s="82" t="s">
        <v>124</v>
      </c>
      <c r="B2" s="82"/>
      <c r="C2" s="82"/>
      <c r="D2" s="82"/>
      <c r="E2" s="82"/>
      <c r="F2" s="82"/>
    </row>
    <row r="4" spans="1:6" ht="15" customHeight="1" x14ac:dyDescent="0.3">
      <c r="A4" s="39" t="s">
        <v>15</v>
      </c>
      <c r="B4" s="39" t="s">
        <v>125</v>
      </c>
      <c r="C4" s="39" t="s">
        <v>126</v>
      </c>
      <c r="D4" s="39" t="s">
        <v>55</v>
      </c>
      <c r="E4" s="39" t="s">
        <v>127</v>
      </c>
      <c r="F4" s="39" t="s">
        <v>114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128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80" t="s">
        <v>129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130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5" t="s">
        <v>131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133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80" t="s">
        <v>134</v>
      </c>
      <c r="B1" s="80"/>
      <c r="C1" s="80"/>
      <c r="D1" s="80"/>
      <c r="E1" s="80"/>
      <c r="F1" s="80"/>
    </row>
    <row r="2" spans="1:6" ht="15" customHeight="1" x14ac:dyDescent="0.3">
      <c r="A2" s="82" t="s">
        <v>135</v>
      </c>
      <c r="B2" s="82"/>
      <c r="C2" s="82"/>
      <c r="D2" s="82"/>
      <c r="E2" s="82"/>
      <c r="F2" s="82"/>
    </row>
    <row r="4" spans="1:6" ht="15" customHeight="1" x14ac:dyDescent="0.3">
      <c r="A4" s="1" t="s">
        <v>136</v>
      </c>
      <c r="B4" s="45" t="s">
        <v>137</v>
      </c>
    </row>
    <row r="6" spans="1:6" ht="15" customHeight="1" x14ac:dyDescent="0.3">
      <c r="A6" s="3" t="s">
        <v>138</v>
      </c>
      <c r="B6" s="3" t="s">
        <v>139</v>
      </c>
      <c r="C6" s="3" t="s">
        <v>137</v>
      </c>
      <c r="D6" s="3" t="s">
        <v>140</v>
      </c>
      <c r="E6" s="3" t="s">
        <v>141</v>
      </c>
    </row>
    <row r="7" spans="1:6" ht="15" customHeight="1" x14ac:dyDescent="0.3">
      <c r="A7" s="5" t="s">
        <v>81</v>
      </c>
      <c r="B7" s="9" t="s">
        <v>142</v>
      </c>
      <c r="C7" s="9" t="s">
        <v>143</v>
      </c>
      <c r="D7" s="9" t="s">
        <v>144</v>
      </c>
      <c r="E7" s="9" t="s">
        <v>145</v>
      </c>
    </row>
    <row r="8" spans="1:6" ht="15" customHeight="1" x14ac:dyDescent="0.3">
      <c r="A8" s="5" t="s">
        <v>146</v>
      </c>
      <c r="B8" s="9" t="s">
        <v>147</v>
      </c>
      <c r="C8" s="9" t="s">
        <v>67</v>
      </c>
      <c r="D8" s="9" t="s">
        <v>148</v>
      </c>
      <c r="E8" s="9" t="s">
        <v>149</v>
      </c>
    </row>
    <row r="9" spans="1:6" ht="15" customHeight="1" x14ac:dyDescent="0.3">
      <c r="A9" s="5" t="s">
        <v>150</v>
      </c>
      <c r="B9" s="9" t="s">
        <v>147</v>
      </c>
      <c r="C9" s="9" t="s">
        <v>67</v>
      </c>
      <c r="D9" s="9" t="s">
        <v>148</v>
      </c>
      <c r="E9" s="9" t="s">
        <v>149</v>
      </c>
    </row>
    <row r="10" spans="1:6" ht="15" customHeight="1" x14ac:dyDescent="0.3">
      <c r="A10" s="5" t="s">
        <v>151</v>
      </c>
      <c r="B10" s="9" t="s">
        <v>152</v>
      </c>
      <c r="C10" s="9" t="s">
        <v>153</v>
      </c>
      <c r="D10" s="9" t="s">
        <v>154</v>
      </c>
      <c r="E10" s="9" t="s">
        <v>155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156</v>
      </c>
      <c r="B12" s="9"/>
      <c r="C12" s="9"/>
      <c r="D12" s="9"/>
      <c r="E12" s="9"/>
    </row>
    <row r="13" spans="1:6" ht="15" customHeight="1" x14ac:dyDescent="0.3">
      <c r="A13" s="5" t="s">
        <v>114</v>
      </c>
      <c r="B13" s="9" t="s">
        <v>157</v>
      </c>
      <c r="C13" s="9" t="s">
        <v>158</v>
      </c>
      <c r="D13" s="9" t="s">
        <v>159</v>
      </c>
      <c r="E13" s="9" t="s">
        <v>160</v>
      </c>
    </row>
    <row r="14" spans="1:6" ht="15" customHeight="1" x14ac:dyDescent="0.3">
      <c r="A14" s="5" t="s">
        <v>161</v>
      </c>
      <c r="B14" s="9" t="s">
        <v>162</v>
      </c>
      <c r="C14" s="9" t="s">
        <v>159</v>
      </c>
      <c r="D14" s="9" t="s">
        <v>158</v>
      </c>
      <c r="E14" s="9" t="s">
        <v>163</v>
      </c>
    </row>
    <row r="15" spans="1:6" ht="15" customHeight="1" x14ac:dyDescent="0.3">
      <c r="A15" s="5" t="s">
        <v>164</v>
      </c>
      <c r="B15" s="9" t="s">
        <v>157</v>
      </c>
      <c r="C15" s="9" t="s">
        <v>158</v>
      </c>
      <c r="D15" s="9" t="s">
        <v>159</v>
      </c>
      <c r="E15" s="9" t="s">
        <v>165</v>
      </c>
    </row>
    <row r="16" spans="1:6" ht="15" customHeight="1" x14ac:dyDescent="0.3">
      <c r="A16" s="5" t="s">
        <v>166</v>
      </c>
      <c r="B16" s="9" t="s">
        <v>167</v>
      </c>
      <c r="C16" s="9" t="s">
        <v>158</v>
      </c>
      <c r="D16" s="9" t="s">
        <v>168</v>
      </c>
      <c r="E16" s="9" t="s">
        <v>169</v>
      </c>
    </row>
    <row r="20" spans="1:6" ht="15" customHeight="1" x14ac:dyDescent="0.3">
      <c r="A20" s="77" t="s">
        <v>170</v>
      </c>
      <c r="B20" s="77"/>
      <c r="C20" s="77"/>
      <c r="D20" s="77"/>
      <c r="E20" s="77"/>
      <c r="F20" s="77"/>
    </row>
    <row r="21" spans="1:6" ht="15" customHeight="1" x14ac:dyDescent="0.3">
      <c r="A21" s="8" t="s">
        <v>171</v>
      </c>
      <c r="B21" s="8" t="s">
        <v>139</v>
      </c>
      <c r="C21" s="8" t="s">
        <v>137</v>
      </c>
      <c r="D21" s="8" t="s">
        <v>140</v>
      </c>
      <c r="E21" s="8" t="s">
        <v>172</v>
      </c>
      <c r="F21" s="8" t="s">
        <v>173</v>
      </c>
    </row>
    <row r="22" spans="1:6" ht="15" customHeight="1" x14ac:dyDescent="0.3">
      <c r="A22" s="5" t="s">
        <v>174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175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176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177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178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179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328</v>
      </c>
      <c r="D29" t="s">
        <v>330</v>
      </c>
      <c r="E29">
        <v>1</v>
      </c>
    </row>
    <row r="30" spans="1:6" x14ac:dyDescent="0.3">
      <c r="A30" t="s">
        <v>329</v>
      </c>
      <c r="B30" t="s">
        <v>114</v>
      </c>
      <c r="C30" t="s">
        <v>176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80" t="s">
        <v>180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15" customHeight="1" x14ac:dyDescent="0.3">
      <c r="A2" s="82" t="s">
        <v>181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77" t="s">
        <v>182</v>
      </c>
      <c r="B4" s="77"/>
      <c r="C4" s="77"/>
      <c r="D4" s="77"/>
      <c r="E4" s="77"/>
      <c r="F4" s="77"/>
      <c r="G4" s="77"/>
      <c r="H4" s="77"/>
      <c r="I4" s="77"/>
      <c r="J4" s="77"/>
    </row>
    <row r="5" spans="1:10" ht="15" customHeight="1" x14ac:dyDescent="0.3">
      <c r="A5" t="s">
        <v>183</v>
      </c>
      <c r="B5" s="49">
        <f>SUM(Compras_y_Lotes!F18:F25)</f>
        <v>0</v>
      </c>
    </row>
    <row r="7" spans="1:10" ht="15" customHeight="1" x14ac:dyDescent="0.3">
      <c r="A7" s="31" t="s">
        <v>184</v>
      </c>
      <c r="B7" s="31" t="s">
        <v>63</v>
      </c>
      <c r="C7" s="31" t="s">
        <v>65</v>
      </c>
      <c r="D7" s="31" t="s">
        <v>331</v>
      </c>
      <c r="E7" s="31" t="s">
        <v>185</v>
      </c>
      <c r="F7" s="31" t="s">
        <v>125</v>
      </c>
      <c r="G7" s="31" t="s">
        <v>64</v>
      </c>
      <c r="H7" s="31" t="s">
        <v>186</v>
      </c>
      <c r="I7" s="31" t="s">
        <v>187</v>
      </c>
      <c r="J7" s="31" t="s">
        <v>188</v>
      </c>
    </row>
    <row r="8" spans="1:10" ht="15" customHeight="1" x14ac:dyDescent="0.3">
      <c r="A8" s="9" t="s">
        <v>67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71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75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189</v>
      </c>
      <c r="B11" s="51" t="str">
        <f>INDEX(A8:A10,MATCH(MIN(I8:I10),I8:I10,0))</f>
        <v>A</v>
      </c>
    </row>
    <row r="14" spans="1:10" ht="15" customHeight="1" x14ac:dyDescent="0.3">
      <c r="A14" s="77" t="s">
        <v>190</v>
      </c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15" customHeight="1" x14ac:dyDescent="0.3">
      <c r="A15" t="s">
        <v>183</v>
      </c>
      <c r="B15" s="49">
        <f>SUM(Compras_y_Lotes!F26:F33)</f>
        <v>0</v>
      </c>
    </row>
    <row r="17" spans="1:10" ht="15" customHeight="1" x14ac:dyDescent="0.3">
      <c r="A17" s="8" t="s">
        <v>184</v>
      </c>
      <c r="B17" s="8" t="s">
        <v>63</v>
      </c>
      <c r="C17" s="8" t="s">
        <v>65</v>
      </c>
      <c r="D17" s="8" t="s">
        <v>331</v>
      </c>
      <c r="E17" s="8" t="s">
        <v>185</v>
      </c>
      <c r="F17" s="8" t="s">
        <v>125</v>
      </c>
      <c r="G17" s="8" t="s">
        <v>64</v>
      </c>
      <c r="H17" s="8" t="s">
        <v>186</v>
      </c>
      <c r="I17" s="8" t="s">
        <v>187</v>
      </c>
      <c r="J17" s="8" t="s">
        <v>188</v>
      </c>
    </row>
    <row r="18" spans="1:10" ht="15" customHeight="1" x14ac:dyDescent="0.3">
      <c r="A18" s="9" t="s">
        <v>67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71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75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189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8" t="s">
        <v>191</v>
      </c>
      <c r="B1" s="88"/>
      <c r="C1" s="88"/>
      <c r="D1" s="88"/>
      <c r="E1" s="88"/>
      <c r="F1" s="88"/>
      <c r="G1" s="88"/>
      <c r="H1" s="88"/>
    </row>
    <row r="3" spans="1:8" ht="15" customHeight="1" x14ac:dyDescent="0.3">
      <c r="A3" s="77" t="s">
        <v>192</v>
      </c>
      <c r="B3" s="77"/>
      <c r="C3" s="77"/>
      <c r="D3" s="77"/>
      <c r="E3" s="77"/>
      <c r="F3" s="77"/>
      <c r="G3" s="77"/>
      <c r="H3" s="77"/>
    </row>
    <row r="5" spans="1:8" ht="15" customHeight="1" x14ac:dyDescent="0.3">
      <c r="A5" s="53" t="s">
        <v>193</v>
      </c>
      <c r="B5" s="54">
        <f>Costos!F13</f>
        <v>222735.3</v>
      </c>
    </row>
    <row r="6" spans="1:8" ht="15" customHeight="1" x14ac:dyDescent="0.3">
      <c r="A6" s="53" t="s">
        <v>194</v>
      </c>
      <c r="B6" s="54">
        <f>Cashflow_Compras!J9</f>
        <v>232926</v>
      </c>
    </row>
    <row r="7" spans="1:8" ht="15" customHeight="1" x14ac:dyDescent="0.3">
      <c r="A7" s="53" t="s">
        <v>195</v>
      </c>
      <c r="B7" s="7">
        <f>SUM(Costos!C5:C12)</f>
        <v>6</v>
      </c>
      <c r="C7" s="2" t="s">
        <v>196</v>
      </c>
    </row>
    <row r="8" spans="1:8" ht="15" customHeight="1" x14ac:dyDescent="0.3">
      <c r="A8" s="53" t="s">
        <v>197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198</v>
      </c>
      <c r="B10" s="55" t="s">
        <v>199</v>
      </c>
      <c r="C10" s="2" t="s">
        <v>200</v>
      </c>
    </row>
    <row r="11" spans="1:8" ht="15" customHeight="1" x14ac:dyDescent="0.3">
      <c r="A11" s="53" t="s">
        <v>201</v>
      </c>
      <c r="B11" s="55" t="s">
        <v>199</v>
      </c>
      <c r="C11" s="2" t="s">
        <v>200</v>
      </c>
    </row>
    <row r="14" spans="1:8" ht="15" customHeight="1" x14ac:dyDescent="0.3">
      <c r="A14" s="77" t="s">
        <v>202</v>
      </c>
      <c r="B14" s="77"/>
      <c r="C14" s="77"/>
      <c r="D14" s="77"/>
      <c r="E14" s="77"/>
      <c r="F14" s="77"/>
      <c r="G14" s="77"/>
      <c r="H14" s="77"/>
    </row>
    <row r="16" spans="1:8" ht="15" customHeight="1" x14ac:dyDescent="0.3">
      <c r="A16" s="53" t="s">
        <v>203</v>
      </c>
      <c r="B16" s="56" t="str">
        <f>Inputs!B58</f>
        <v>Ordering Cost</v>
      </c>
    </row>
    <row r="17" spans="1:6" ht="15" customHeight="1" x14ac:dyDescent="0.3">
      <c r="A17" s="53" t="s">
        <v>204</v>
      </c>
      <c r="B17" s="56" t="str">
        <f>Inputs!B69</f>
        <v>A</v>
      </c>
    </row>
    <row r="18" spans="1:6" ht="15" customHeight="1" x14ac:dyDescent="0.3">
      <c r="A18" s="53" t="s">
        <v>205</v>
      </c>
      <c r="B18" s="56" t="str">
        <f>Escenarios!B4</f>
        <v>Base</v>
      </c>
    </row>
    <row r="25" spans="1:6" ht="15" customHeight="1" x14ac:dyDescent="0.3">
      <c r="A25" s="89" t="s">
        <v>206</v>
      </c>
      <c r="B25" s="89"/>
      <c r="C25" s="89"/>
      <c r="D25" s="89"/>
      <c r="E25" s="89"/>
      <c r="F25" s="89"/>
    </row>
    <row r="27" spans="1:6" ht="15" customHeight="1" x14ac:dyDescent="0.3">
      <c r="A27" s="53" t="s">
        <v>207</v>
      </c>
      <c r="B27" s="57">
        <f>COUNTIF(Inventario_Dinamico!J55:J62,"&lt;0")</f>
        <v>0</v>
      </c>
      <c r="C27" s="2" t="s">
        <v>200</v>
      </c>
    </row>
    <row r="28" spans="1:6" ht="15" customHeight="1" x14ac:dyDescent="0.3">
      <c r="A28" s="53" t="s">
        <v>208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209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1" t="s">
        <v>210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5" customHeight="1" x14ac:dyDescent="0.3">
      <c r="A2" s="92" t="s">
        <v>211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 x14ac:dyDescent="0.3">
      <c r="A4" s="77" t="s">
        <v>212</v>
      </c>
      <c r="B4" s="77"/>
      <c r="C4" s="77"/>
      <c r="D4" s="77"/>
    </row>
    <row r="6" spans="1:10" ht="15" customHeight="1" x14ac:dyDescent="0.3">
      <c r="A6" s="8" t="s">
        <v>138</v>
      </c>
      <c r="B6" s="8" t="s">
        <v>213</v>
      </c>
      <c r="C6" s="8" t="s">
        <v>18</v>
      </c>
    </row>
    <row r="7" spans="1:10" ht="15" customHeight="1" x14ac:dyDescent="0.3">
      <c r="A7" s="9" t="s">
        <v>214</v>
      </c>
      <c r="B7" s="58">
        <v>0.2</v>
      </c>
      <c r="C7" s="9" t="s">
        <v>215</v>
      </c>
    </row>
    <row r="8" spans="1:10" ht="15" customHeight="1" x14ac:dyDescent="0.3">
      <c r="A8" s="9" t="s">
        <v>216</v>
      </c>
      <c r="B8" s="34">
        <v>150</v>
      </c>
      <c r="C8" s="9" t="s">
        <v>217</v>
      </c>
    </row>
    <row r="9" spans="1:10" ht="15" customHeight="1" x14ac:dyDescent="0.3">
      <c r="A9" s="9" t="s">
        <v>218</v>
      </c>
      <c r="B9" s="34">
        <v>1</v>
      </c>
      <c r="C9" s="9" t="s">
        <v>219</v>
      </c>
    </row>
    <row r="12" spans="1:10" ht="15" customHeight="1" x14ac:dyDescent="0.3">
      <c r="A12" s="77" t="s">
        <v>220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23.25" customHeight="1" x14ac:dyDescent="0.3">
      <c r="A13" s="31" t="s">
        <v>15</v>
      </c>
      <c r="B13" s="31" t="s">
        <v>221</v>
      </c>
      <c r="C13" s="31" t="s">
        <v>222</v>
      </c>
      <c r="D13" s="31" t="s">
        <v>223</v>
      </c>
      <c r="E13" s="31" t="s">
        <v>224</v>
      </c>
      <c r="F13" s="31" t="s">
        <v>225</v>
      </c>
      <c r="G13" s="31" t="s">
        <v>226</v>
      </c>
      <c r="H13" s="31" t="s">
        <v>227</v>
      </c>
      <c r="I13" s="31" t="s">
        <v>178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7" t="s">
        <v>228</v>
      </c>
      <c r="B18" s="77"/>
      <c r="C18" s="77"/>
      <c r="D18" s="77"/>
      <c r="E18" s="77"/>
      <c r="F18" s="77"/>
      <c r="G18" s="77"/>
      <c r="H18" s="77"/>
    </row>
    <row r="19" spans="1:8" ht="15" customHeight="1" x14ac:dyDescent="0.3">
      <c r="A19" s="8" t="s">
        <v>15</v>
      </c>
      <c r="B19" s="8" t="s">
        <v>184</v>
      </c>
      <c r="C19" s="8" t="s">
        <v>125</v>
      </c>
      <c r="D19" s="8" t="s">
        <v>65</v>
      </c>
      <c r="E19" s="8" t="s">
        <v>229</v>
      </c>
      <c r="F19" s="8" t="s">
        <v>178</v>
      </c>
      <c r="G19" s="8" t="s">
        <v>230</v>
      </c>
      <c r="H19" s="8" t="s">
        <v>231</v>
      </c>
    </row>
    <row r="20" spans="1:8" ht="15" customHeight="1" x14ac:dyDescent="0.3">
      <c r="A20" s="9" t="s">
        <v>19</v>
      </c>
      <c r="B20" s="10" t="s">
        <v>67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90"/>
    </row>
    <row r="21" spans="1:8" ht="15" customHeight="1" x14ac:dyDescent="0.3">
      <c r="A21" s="9"/>
      <c r="B21" s="10" t="s">
        <v>71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90"/>
    </row>
    <row r="22" spans="1:8" ht="15" customHeight="1" x14ac:dyDescent="0.3">
      <c r="A22" s="9" t="s">
        <v>22</v>
      </c>
      <c r="B22" s="10" t="s">
        <v>67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90"/>
    </row>
    <row r="23" spans="1:8" ht="15" customHeight="1" x14ac:dyDescent="0.3">
      <c r="A23" s="9"/>
      <c r="B23" s="10" t="s">
        <v>71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90"/>
    </row>
    <row r="25" spans="1:8" x14ac:dyDescent="0.3">
      <c r="A25" t="s">
        <v>318</v>
      </c>
    </row>
    <row r="26" spans="1:8" x14ac:dyDescent="0.3">
      <c r="A26" t="s">
        <v>319</v>
      </c>
      <c r="B26">
        <f>Costos!F13</f>
        <v>222735.3</v>
      </c>
    </row>
    <row r="27" spans="1:8" x14ac:dyDescent="0.3">
      <c r="A27" t="s">
        <v>320</v>
      </c>
      <c r="B27">
        <f>IF(B14="B",SUM(Compras_y_Lotes!F18:F25)*Inputs!B35/Inputs!B23*$B$8,0)</f>
        <v>0</v>
      </c>
    </row>
    <row r="28" spans="1:8" x14ac:dyDescent="0.3">
      <c r="A28" t="s">
        <v>321</v>
      </c>
      <c r="B28">
        <f>IF(B15="B",SUM(Compras_y_Lotes!F26:F33)*Inputs!B36/Inputs!B24*$B$8,0)</f>
        <v>0</v>
      </c>
    </row>
    <row r="29" spans="1:8" x14ac:dyDescent="0.3">
      <c r="A29" t="s">
        <v>322</v>
      </c>
    </row>
    <row r="30" spans="1:8" x14ac:dyDescent="0.3">
      <c r="A30" t="s">
        <v>323</v>
      </c>
      <c r="B30" t="s">
        <v>324</v>
      </c>
      <c r="C30" t="s">
        <v>325</v>
      </c>
      <c r="D30" t="s">
        <v>114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326</v>
      </c>
      <c r="D132">
        <f ca="1">AVERAGE(D31:D130)</f>
        <v>222735.3000000004</v>
      </c>
    </row>
    <row r="133" spans="1:4" x14ac:dyDescent="0.3">
      <c r="A133" t="s">
        <v>327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80" t="s">
        <v>232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1" t="s">
        <v>233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4" spans="1:11" ht="15" customHeight="1" x14ac:dyDescent="0.3">
      <c r="A4" s="77" t="s">
        <v>234</v>
      </c>
      <c r="B4" s="77"/>
      <c r="C4" s="77"/>
      <c r="D4" s="77"/>
      <c r="E4" s="77"/>
      <c r="F4" s="77"/>
      <c r="G4" s="77"/>
      <c r="H4" s="77"/>
      <c r="I4" s="77"/>
      <c r="J4" s="77"/>
    </row>
    <row r="5" spans="1:11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235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236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237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7" t="s">
        <v>238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1" ht="15" customHeight="1" x14ac:dyDescent="0.3">
      <c r="A13" s="8" t="s">
        <v>98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239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7" t="s">
        <v>240</v>
      </c>
      <c r="B19" s="77"/>
      <c r="C19" s="77"/>
      <c r="D19" s="77"/>
      <c r="E19" s="77"/>
      <c r="F19" s="77"/>
      <c r="G19" s="77"/>
      <c r="H19" s="77"/>
      <c r="I19" s="77"/>
      <c r="J19" s="77"/>
    </row>
    <row r="20" spans="1:10" ht="15" customHeight="1" x14ac:dyDescent="0.3">
      <c r="A20" s="8" t="s">
        <v>98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241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3" t="s">
        <v>242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3"/>
    </row>
    <row r="28" spans="1:10" ht="15" customHeight="1" x14ac:dyDescent="0.3">
      <c r="A28" s="77" t="s">
        <v>243</v>
      </c>
      <c r="B28" s="77"/>
      <c r="C28" s="77"/>
      <c r="D28" s="77"/>
    </row>
    <row r="30" spans="1:10" ht="15" customHeight="1" x14ac:dyDescent="0.3">
      <c r="A30" s="53" t="s">
        <v>244</v>
      </c>
      <c r="B30" s="68">
        <f>MAX(B26:I26)</f>
        <v>237930.6</v>
      </c>
      <c r="C30" s="2" t="s">
        <v>245</v>
      </c>
    </row>
    <row r="31" spans="1:10" ht="15" customHeight="1" x14ac:dyDescent="0.3">
      <c r="A31" s="53" t="s">
        <v>246</v>
      </c>
      <c r="B31" s="68">
        <f>MIN(B26:I26)</f>
        <v>-4430.3999999999996</v>
      </c>
      <c r="C31" s="2" t="s">
        <v>247</v>
      </c>
    </row>
    <row r="32" spans="1:10" ht="15" customHeight="1" x14ac:dyDescent="0.3">
      <c r="A32" s="53" t="s">
        <v>248</v>
      </c>
      <c r="B32" s="68">
        <f>AVERAGE(B26:I26)</f>
        <v>27841.912500000006</v>
      </c>
      <c r="C32" s="2" t="s">
        <v>249</v>
      </c>
    </row>
    <row r="33" spans="1:3" ht="15" customHeight="1" x14ac:dyDescent="0.3">
      <c r="A33" s="53" t="s">
        <v>250</v>
      </c>
      <c r="B33" s="68">
        <f>STDEV(B26:I26)</f>
        <v>84930.422800472195</v>
      </c>
      <c r="C33" s="2" t="s">
        <v>251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4" t="s">
        <v>252</v>
      </c>
      <c r="B1" s="94"/>
      <c r="C1" s="94"/>
      <c r="D1" s="94"/>
      <c r="E1" s="94"/>
    </row>
    <row r="2" spans="1:5" ht="15" customHeight="1" x14ac:dyDescent="0.3">
      <c r="A2" s="83" t="s">
        <v>253</v>
      </c>
      <c r="B2" s="83"/>
      <c r="C2" s="83"/>
      <c r="D2" s="83"/>
      <c r="E2" s="83"/>
    </row>
    <row r="4" spans="1:5" ht="15" customHeight="1" x14ac:dyDescent="0.3">
      <c r="A4" s="77" t="s">
        <v>254</v>
      </c>
      <c r="B4" s="77"/>
      <c r="C4" s="77"/>
      <c r="D4" s="77"/>
      <c r="E4" s="77"/>
    </row>
    <row r="5" spans="1:5" ht="15" customHeight="1" x14ac:dyDescent="0.3">
      <c r="A5" s="8" t="s">
        <v>15</v>
      </c>
      <c r="B5" s="8" t="s">
        <v>255</v>
      </c>
      <c r="C5" s="8" t="s">
        <v>256</v>
      </c>
      <c r="D5" s="8" t="s">
        <v>257</v>
      </c>
      <c r="E5" s="8" t="s">
        <v>258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259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259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259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259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259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259</v>
      </c>
      <c r="E11" s="22" t="str">
        <f t="shared" si="0"/>
        <v>Comprar</v>
      </c>
    </row>
    <row r="13" spans="1:5" ht="15" customHeight="1" x14ac:dyDescent="0.3">
      <c r="A13" s="77" t="s">
        <v>260</v>
      </c>
      <c r="B13" s="77"/>
      <c r="C13" s="77"/>
      <c r="D13" s="77"/>
      <c r="E13" s="77"/>
    </row>
    <row r="14" spans="1:5" ht="15" customHeight="1" x14ac:dyDescent="0.3">
      <c r="A14" s="8" t="s">
        <v>15</v>
      </c>
      <c r="B14" s="8" t="s">
        <v>255</v>
      </c>
      <c r="C14" s="8" t="s">
        <v>256</v>
      </c>
      <c r="D14" s="8" t="s">
        <v>257</v>
      </c>
      <c r="E14" s="8" t="s">
        <v>258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7" t="s">
        <v>261</v>
      </c>
      <c r="B24" s="77"/>
      <c r="C24" s="77"/>
      <c r="D24" s="77"/>
      <c r="E24" s="77"/>
    </row>
    <row r="25" spans="1:5" ht="15" customHeight="1" x14ac:dyDescent="0.3">
      <c r="A25" s="8" t="s">
        <v>15</v>
      </c>
      <c r="B25" s="8" t="s">
        <v>255</v>
      </c>
      <c r="C25" s="8" t="s">
        <v>256</v>
      </c>
      <c r="D25" s="8" t="s">
        <v>257</v>
      </c>
      <c r="E25" s="8" t="s">
        <v>258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7" ht="17.25" customHeight="1" x14ac:dyDescent="0.3">
      <c r="A1" s="80" t="s">
        <v>262</v>
      </c>
      <c r="B1" s="80"/>
      <c r="C1" s="80"/>
      <c r="D1" s="80"/>
      <c r="E1" s="80"/>
    </row>
    <row r="2" spans="1:7" ht="15" customHeight="1" x14ac:dyDescent="0.3">
      <c r="A2" s="82" t="s">
        <v>263</v>
      </c>
      <c r="B2" s="82"/>
      <c r="C2" s="82"/>
      <c r="D2" s="82"/>
      <c r="E2" s="82"/>
    </row>
    <row r="4" spans="1:7" ht="15" customHeight="1" x14ac:dyDescent="0.3">
      <c r="A4" s="77" t="s">
        <v>264</v>
      </c>
      <c r="B4" s="77"/>
      <c r="C4" s="77"/>
      <c r="D4" s="77"/>
      <c r="E4" s="77"/>
    </row>
    <row r="5" spans="1:7" ht="15" customHeight="1" x14ac:dyDescent="0.3">
      <c r="A5" s="8" t="s">
        <v>15</v>
      </c>
      <c r="B5" s="8" t="s">
        <v>265</v>
      </c>
      <c r="C5" s="8" t="s">
        <v>266</v>
      </c>
      <c r="D5" s="8" t="s">
        <v>12</v>
      </c>
      <c r="E5" s="8" t="s">
        <v>267</v>
      </c>
      <c r="F5" t="s">
        <v>345</v>
      </c>
      <c r="G5" t="s">
        <v>346</v>
      </c>
    </row>
    <row r="6" spans="1:7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  <c r="G6">
        <f>IF(F6="",E6,F6)</f>
        <v>0.77482269503546097</v>
      </c>
    </row>
    <row r="7" spans="1:7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  <c r="G7">
        <f t="shared" ref="G7:G13" si="1">IF(F7="",E7,F7)</f>
        <v>0.72306238185255201</v>
      </c>
    </row>
    <row r="8" spans="1:7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  <c r="G8">
        <f t="shared" si="1"/>
        <v>0.72307692307692306</v>
      </c>
    </row>
    <row r="9" spans="1:7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  <c r="G9">
        <f t="shared" si="1"/>
        <v>0.72968868640850415</v>
      </c>
    </row>
    <row r="10" spans="1:7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  <c r="G10">
        <f t="shared" si="1"/>
        <v>0.72120932379413805</v>
      </c>
    </row>
    <row r="11" spans="1:7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  <c r="G11">
        <f t="shared" si="1"/>
        <v>0.72239896312006602</v>
      </c>
    </row>
    <row r="12" spans="1:7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  <c r="G12">
        <f t="shared" si="1"/>
        <v>0.72162814763711625</v>
      </c>
    </row>
    <row r="13" spans="1:7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  <c r="G13">
        <f t="shared" si="1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80" t="s">
        <v>268</v>
      </c>
      <c r="B1" s="80"/>
      <c r="C1" s="80"/>
      <c r="D1" s="80"/>
      <c r="E1" s="80"/>
      <c r="F1" s="80"/>
    </row>
    <row r="2" spans="1:9" ht="15" customHeight="1" x14ac:dyDescent="0.3">
      <c r="A2" s="82" t="s">
        <v>269</v>
      </c>
      <c r="B2" s="82"/>
      <c r="C2" s="82"/>
      <c r="D2" s="82"/>
      <c r="E2" s="82"/>
      <c r="F2" s="82"/>
    </row>
    <row r="4" spans="1:9" ht="15" customHeight="1" x14ac:dyDescent="0.3">
      <c r="A4" s="77" t="s">
        <v>270</v>
      </c>
      <c r="B4" s="77"/>
      <c r="C4" s="77"/>
      <c r="D4" s="77"/>
      <c r="E4" s="77"/>
      <c r="F4" s="77"/>
    </row>
    <row r="5" spans="1:9" ht="15" customHeight="1" x14ac:dyDescent="0.3">
      <c r="A5" s="8" t="s">
        <v>271</v>
      </c>
      <c r="B5" s="8" t="s">
        <v>272</v>
      </c>
      <c r="C5" s="8" t="s">
        <v>273</v>
      </c>
      <c r="D5" s="8" t="s">
        <v>274</v>
      </c>
      <c r="E5" s="8" t="s">
        <v>275</v>
      </c>
    </row>
    <row r="6" spans="1:9" ht="15" customHeight="1" x14ac:dyDescent="0.3">
      <c r="A6" s="9" t="s">
        <v>276</v>
      </c>
      <c r="B6" s="9" t="s">
        <v>19</v>
      </c>
      <c r="C6" s="9" t="s">
        <v>277</v>
      </c>
      <c r="D6" s="9" t="s">
        <v>278</v>
      </c>
      <c r="E6" s="9" t="s">
        <v>279</v>
      </c>
    </row>
    <row r="7" spans="1:9" ht="15" customHeight="1" x14ac:dyDescent="0.3">
      <c r="A7" s="9" t="s">
        <v>280</v>
      </c>
      <c r="B7" s="9" t="s">
        <v>22</v>
      </c>
      <c r="C7" s="9" t="s">
        <v>277</v>
      </c>
      <c r="D7" s="9" t="s">
        <v>281</v>
      </c>
      <c r="E7" s="9" t="s">
        <v>279</v>
      </c>
    </row>
    <row r="8" spans="1:9" ht="15" customHeight="1" x14ac:dyDescent="0.3">
      <c r="A8" s="9" t="s">
        <v>282</v>
      </c>
      <c r="B8" s="9" t="s">
        <v>43</v>
      </c>
      <c r="C8" s="9" t="s">
        <v>25</v>
      </c>
      <c r="D8" s="9" t="s">
        <v>283</v>
      </c>
      <c r="E8" s="9" t="s">
        <v>279</v>
      </c>
    </row>
    <row r="9" spans="1:9" ht="15" customHeight="1" x14ac:dyDescent="0.3">
      <c r="A9" s="9" t="s">
        <v>284</v>
      </c>
      <c r="B9" s="9" t="s">
        <v>43</v>
      </c>
      <c r="C9" s="9" t="s">
        <v>28</v>
      </c>
      <c r="D9" s="9" t="s">
        <v>285</v>
      </c>
      <c r="E9" s="9" t="s">
        <v>279</v>
      </c>
    </row>
    <row r="10" spans="1:9" ht="15" customHeight="1" x14ac:dyDescent="0.3">
      <c r="A10" s="9" t="s">
        <v>286</v>
      </c>
      <c r="B10" s="9" t="s">
        <v>287</v>
      </c>
      <c r="C10" s="9" t="s">
        <v>288</v>
      </c>
      <c r="D10" s="9" t="s">
        <v>289</v>
      </c>
      <c r="E10" s="9" t="s">
        <v>279</v>
      </c>
    </row>
    <row r="12" spans="1:9" x14ac:dyDescent="0.3">
      <c r="A12" t="s">
        <v>302</v>
      </c>
    </row>
    <row r="13" spans="1:9" x14ac:dyDescent="0.3">
      <c r="A13" t="s">
        <v>303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304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305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306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307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308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5" t="s">
        <v>309</v>
      </c>
      <c r="B1" s="95"/>
      <c r="C1" s="95"/>
      <c r="D1" s="95"/>
      <c r="E1" s="95"/>
      <c r="F1" s="95"/>
      <c r="G1" s="95"/>
      <c r="H1" s="95"/>
    </row>
    <row r="2" spans="1:11" ht="15" customHeight="1" x14ac:dyDescent="0.3">
      <c r="A2" s="82" t="s">
        <v>310</v>
      </c>
      <c r="B2" s="82"/>
      <c r="C2" s="82"/>
      <c r="D2" s="82"/>
      <c r="E2" s="82"/>
      <c r="F2" s="82"/>
      <c r="G2" s="82"/>
      <c r="H2" s="82"/>
    </row>
    <row r="4" spans="1:11" ht="15" customHeight="1" x14ac:dyDescent="0.3">
      <c r="A4" s="77" t="s">
        <v>290</v>
      </c>
      <c r="B4" s="77"/>
      <c r="C4" s="77"/>
      <c r="D4" s="77"/>
      <c r="E4" s="77"/>
      <c r="F4" s="77"/>
      <c r="G4" s="77"/>
      <c r="H4" s="77"/>
    </row>
    <row r="5" spans="1:11" ht="15" customHeight="1" x14ac:dyDescent="0.3">
      <c r="A5" s="8" t="s">
        <v>311</v>
      </c>
      <c r="B5" s="8"/>
      <c r="C5" s="8"/>
      <c r="D5" s="8"/>
      <c r="E5" s="8"/>
      <c r="J5" t="s">
        <v>312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313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314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315</v>
      </c>
      <c r="K28" t="s">
        <v>316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317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6" t="s">
        <v>291</v>
      </c>
      <c r="B1" s="96"/>
      <c r="C1" s="96"/>
      <c r="D1" s="96"/>
      <c r="E1" s="96"/>
      <c r="F1" s="96"/>
      <c r="G1" s="96"/>
    </row>
    <row r="2" spans="1:7" ht="15" customHeight="1" x14ac:dyDescent="0.3">
      <c r="A2" s="82" t="s">
        <v>292</v>
      </c>
      <c r="B2" s="82"/>
      <c r="C2" s="82"/>
      <c r="D2" s="82"/>
      <c r="E2" s="82"/>
      <c r="F2" s="82"/>
      <c r="G2" s="82"/>
    </row>
    <row r="4" spans="1:7" ht="15" customHeight="1" x14ac:dyDescent="0.3">
      <c r="A4" s="77" t="s">
        <v>293</v>
      </c>
      <c r="B4" s="77"/>
      <c r="C4" s="77"/>
      <c r="D4" s="77"/>
      <c r="E4" s="77"/>
      <c r="F4" s="77"/>
      <c r="G4" s="77"/>
    </row>
    <row r="5" spans="1:7" ht="15" customHeight="1" x14ac:dyDescent="0.3">
      <c r="A5" s="8" t="s">
        <v>15</v>
      </c>
      <c r="B5" s="8" t="s">
        <v>294</v>
      </c>
      <c r="C5" s="8" t="s">
        <v>295</v>
      </c>
      <c r="D5" s="8" t="s">
        <v>296</v>
      </c>
      <c r="E5" s="8" t="s">
        <v>297</v>
      </c>
      <c r="F5" s="8" t="s">
        <v>120</v>
      </c>
      <c r="G5" s="8" t="s">
        <v>298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BUYING_PLAN_FINAL</vt:lpstr>
      <vt:lpstr>MRP_NetReq</vt:lpstr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2026-01-12T22:22:52Z</dcterms:modified>
  <dc:language>en-US</dc:language>
</cp:coreProperties>
</file>