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"/>
    </mc:Choice>
  </mc:AlternateContent>
  <xr:revisionPtr revIDLastSave="508" documentId="11_300C377E292435E26BC7E9727970CF20457E0EE2" xr6:coauthVersionLast="47" xr6:coauthVersionMax="47" xr10:uidLastSave="{26934951-94C9-4BB0-8F4D-42F9309090FB}"/>
  <bookViews>
    <workbookView xWindow="-108" yWindow="-108" windowWidth="23256" windowHeight="12456" tabRatio="500" xr2:uid="{00000000-000D-0000-FFFF-FFFF00000000}"/>
  </bookViews>
  <sheets>
    <sheet name="Inputs" sheetId="1" r:id="rId1"/>
    <sheet name="BOM_Consumo" sheetId="2" r:id="rId2"/>
    <sheet name="Inventario_Dinamico" sheetId="3" r:id="rId3"/>
    <sheet name="Compras_y_Lotes" sheetId="4" r:id="rId4"/>
    <sheet name="Costos" sheetId="5" r:id="rId5"/>
    <sheet name="Cashflow_Compras" sheetId="6" r:id="rId6"/>
    <sheet name="Escenarios" sheetId="7" r:id="rId7"/>
    <sheet name="Analisis_Proveedores" sheetId="8" r:id="rId8"/>
    <sheet name="Dashboard" sheetId="9" r:id="rId9"/>
    <sheet name="Riesgo_Proveedor_B" sheetId="10" r:id="rId10"/>
    <sheet name="Cashflow_Integrado" sheetId="11" r:id="rId11"/>
    <sheet name="EXSIM_Upload" sheetId="12" r:id="rId12"/>
    <sheet name="Multi_Planta" sheetId="13" r:id="rId13"/>
    <sheet name="MRP_LeadTimes" sheetId="14" r:id="rId14"/>
    <sheet name="Reconciliacion" sheetId="15" r:id="rId15"/>
    <sheet name="ESG_CO2" sheetId="16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" i="1" l="1"/>
  <c r="C36" i="1"/>
  <c r="C37" i="1"/>
  <c r="C38" i="1"/>
  <c r="C39" i="1"/>
  <c r="C40" i="1"/>
  <c r="C41" i="1"/>
  <c r="C42" i="1"/>
  <c r="B49" i="3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G6" i="2" s="1"/>
  <c r="B7" i="2"/>
  <c r="I7" i="2" s="1"/>
  <c r="B8" i="2"/>
  <c r="J8" i="2" s="1"/>
  <c r="I21" i="3" s="1"/>
  <c r="B9" i="2"/>
  <c r="J9" i="2" s="1"/>
  <c r="B10" i="2"/>
  <c r="J10" i="2" s="1"/>
  <c r="B11" i="2"/>
  <c r="J11" i="2" s="1"/>
  <c r="B12" i="2"/>
  <c r="J12" i="2" s="1"/>
  <c r="B13" i="2"/>
  <c r="J13" i="2" s="1"/>
  <c r="I51" i="3" s="1"/>
  <c r="B101" i="1"/>
  <c r="C14" i="14" s="1"/>
  <c r="D15" i="2" s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G15" i="10"/>
  <c r="G14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D12" i="5"/>
  <c r="D11" i="5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D14" i="10"/>
  <c r="C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H7" i="2" l="1"/>
  <c r="J6" i="2"/>
  <c r="I6" i="2"/>
  <c r="H6" i="2"/>
  <c r="J7" i="2"/>
  <c r="I33" i="3"/>
  <c r="B14" i="14"/>
  <c r="C15" i="2" s="1"/>
  <c r="I14" i="14"/>
  <c r="H15" i="14" s="1"/>
  <c r="H14" i="14"/>
  <c r="G14" i="14"/>
  <c r="F15" i="14" s="1"/>
  <c r="E14" i="14"/>
  <c r="F14" i="14"/>
  <c r="G15" i="2" s="1"/>
  <c r="D14" i="14"/>
  <c r="E15" i="2" s="1"/>
  <c r="B15" i="14"/>
  <c r="E15" i="10"/>
  <c r="F15" i="10" s="1"/>
  <c r="E14" i="10"/>
  <c r="F14" i="10" s="1"/>
  <c r="B21" i="8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I45" i="3"/>
  <c r="I27" i="3"/>
  <c r="I39" i="3"/>
  <c r="J14" i="11"/>
  <c r="J15" i="11"/>
  <c r="F7" i="16"/>
  <c r="G7" i="16" s="1"/>
  <c r="B7" i="9"/>
  <c r="C25" i="4"/>
  <c r="E25" i="4" s="1"/>
  <c r="I9" i="3"/>
  <c r="E24" i="7"/>
  <c r="D13" i="5"/>
  <c r="E16" i="14" l="1"/>
  <c r="D17" i="14" s="1"/>
  <c r="C18" i="14" s="1"/>
  <c r="D6" i="2" s="1"/>
  <c r="G10" i="2"/>
  <c r="G8" i="2"/>
  <c r="G12" i="2"/>
  <c r="G9" i="2"/>
  <c r="G11" i="2"/>
  <c r="G13" i="2"/>
  <c r="G16" i="14"/>
  <c r="F17" i="14" s="1"/>
  <c r="G7" i="2" s="1"/>
  <c r="I8" i="2"/>
  <c r="I9" i="2"/>
  <c r="I10" i="2"/>
  <c r="I11" i="2"/>
  <c r="I12" i="2"/>
  <c r="I13" i="2"/>
  <c r="C8" i="2"/>
  <c r="C11" i="2"/>
  <c r="C13" i="2"/>
  <c r="C10" i="2"/>
  <c r="B33" i="3" s="1"/>
  <c r="B34" i="3" s="1"/>
  <c r="B22" i="15" s="1"/>
  <c r="B33" i="15" s="1"/>
  <c r="C12" i="2"/>
  <c r="C9" i="2"/>
  <c r="E15" i="14"/>
  <c r="E7" i="2"/>
  <c r="E18" i="14"/>
  <c r="F6" i="2" s="1"/>
  <c r="I15" i="2"/>
  <c r="G15" i="14"/>
  <c r="H15" i="2"/>
  <c r="C15" i="14"/>
  <c r="F15" i="2"/>
  <c r="D15" i="14"/>
  <c r="B51" i="3"/>
  <c r="B52" i="3" s="1"/>
  <c r="B45" i="3"/>
  <c r="H15" i="10"/>
  <c r="I15" i="10" s="1"/>
  <c r="F23" i="10" s="1"/>
  <c r="H14" i="10"/>
  <c r="I14" i="10" s="1"/>
  <c r="I9" i="11"/>
  <c r="J8" i="11"/>
  <c r="J7" i="11"/>
  <c r="F9" i="11"/>
  <c r="D9" i="11"/>
  <c r="E9" i="11"/>
  <c r="G9" i="11"/>
  <c r="C9" i="11"/>
  <c r="J16" i="11"/>
  <c r="C23" i="10"/>
  <c r="G22" i="10"/>
  <c r="E23" i="10"/>
  <c r="C21" i="10"/>
  <c r="G20" i="10"/>
  <c r="C33" i="4"/>
  <c r="E33" i="4" s="1"/>
  <c r="I15" i="3"/>
  <c r="C16" i="14" l="1"/>
  <c r="B17" i="14" s="1"/>
  <c r="C7" i="2" s="1"/>
  <c r="E8" i="2"/>
  <c r="E9" i="2"/>
  <c r="E10" i="2"/>
  <c r="E11" i="2"/>
  <c r="E12" i="2"/>
  <c r="E13" i="2"/>
  <c r="D8" i="2"/>
  <c r="D9" i="2"/>
  <c r="D10" i="2"/>
  <c r="D11" i="2"/>
  <c r="D12" i="2"/>
  <c r="D13" i="2"/>
  <c r="C51" i="3" s="1"/>
  <c r="B16" i="14"/>
  <c r="F16" i="14"/>
  <c r="E17" i="14" s="1"/>
  <c r="F7" i="2" s="1"/>
  <c r="H10" i="2"/>
  <c r="H8" i="2"/>
  <c r="H12" i="2"/>
  <c r="H9" i="2"/>
  <c r="H11" i="2"/>
  <c r="H13" i="2"/>
  <c r="D16" i="14"/>
  <c r="C17" i="14" s="1"/>
  <c r="F8" i="2"/>
  <c r="F9" i="2"/>
  <c r="F10" i="2"/>
  <c r="F11" i="2"/>
  <c r="F12" i="2"/>
  <c r="F13" i="2"/>
  <c r="K15" i="2"/>
  <c r="B15" i="3"/>
  <c r="B16" i="3" s="1"/>
  <c r="B19" i="15" s="1"/>
  <c r="B30" i="15" s="1"/>
  <c r="B27" i="3"/>
  <c r="B28" i="3" s="1"/>
  <c r="B21" i="15" s="1"/>
  <c r="B32" i="15" s="1"/>
  <c r="B21" i="3"/>
  <c r="B22" i="3" s="1"/>
  <c r="B20" i="15" s="1"/>
  <c r="B31" i="15" s="1"/>
  <c r="C26" i="4"/>
  <c r="E26" i="4" s="1"/>
  <c r="C31" i="3"/>
  <c r="C39" i="3"/>
  <c r="C45" i="3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B46" i="3"/>
  <c r="B24" i="15" s="1"/>
  <c r="B35" i="15" s="1"/>
  <c r="E21" i="10"/>
  <c r="B18" i="14" l="1"/>
  <c r="C6" i="2" s="1"/>
  <c r="D7" i="2"/>
  <c r="D18" i="14"/>
  <c r="E6" i="2" s="1"/>
  <c r="C20" i="4" s="1"/>
  <c r="E20" i="4" s="1"/>
  <c r="F27" i="3"/>
  <c r="C27" i="3"/>
  <c r="C25" i="3"/>
  <c r="C28" i="3" s="1"/>
  <c r="C21" i="3"/>
  <c r="D27" i="3"/>
  <c r="E27" i="3"/>
  <c r="E45" i="3"/>
  <c r="D45" i="3"/>
  <c r="C19" i="3"/>
  <c r="D39" i="3"/>
  <c r="E39" i="3"/>
  <c r="C52" i="3"/>
  <c r="D21" i="3"/>
  <c r="D51" i="3"/>
  <c r="H27" i="3"/>
  <c r="G27" i="3"/>
  <c r="C33" i="3"/>
  <c r="C34" i="3" s="1"/>
  <c r="F26" i="7"/>
  <c r="E26" i="7"/>
  <c r="F45" i="3"/>
  <c r="F39" i="3"/>
  <c r="C43" i="3"/>
  <c r="C46" i="3" s="1"/>
  <c r="C24" i="15" s="1"/>
  <c r="C35" i="15" s="1"/>
  <c r="C28" i="4"/>
  <c r="E28" i="4" s="1"/>
  <c r="D15" i="3"/>
  <c r="B22" i="11"/>
  <c r="C37" i="3"/>
  <c r="C40" i="3" s="1"/>
  <c r="C23" i="15" s="1"/>
  <c r="C34" i="15" s="1"/>
  <c r="C13" i="3"/>
  <c r="D9" i="3" l="1"/>
  <c r="C27" i="4"/>
  <c r="E27" i="4" s="1"/>
  <c r="C15" i="3"/>
  <c r="B9" i="3"/>
  <c r="B10" i="3" s="1"/>
  <c r="C18" i="4"/>
  <c r="E18" i="4" s="1"/>
  <c r="C22" i="3"/>
  <c r="C20" i="15" s="1"/>
  <c r="C31" i="15" s="1"/>
  <c r="C21" i="15"/>
  <c r="C32" i="15" s="1"/>
  <c r="D25" i="3"/>
  <c r="D28" i="3" s="1"/>
  <c r="D21" i="15" s="1"/>
  <c r="D32" i="15" s="1"/>
  <c r="E51" i="3"/>
  <c r="K9" i="2"/>
  <c r="C22" i="15"/>
  <c r="C33" i="15" s="1"/>
  <c r="D31" i="3"/>
  <c r="E21" i="3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E9" i="3"/>
  <c r="C21" i="4"/>
  <c r="E21" i="4" s="1"/>
  <c r="C16" i="3"/>
  <c r="C19" i="15" s="1"/>
  <c r="C30" i="15" s="1"/>
  <c r="B18" i="15" l="1"/>
  <c r="B29" i="15" s="1"/>
  <c r="B21" i="11"/>
  <c r="B23" i="11" s="1"/>
  <c r="C7" i="3"/>
  <c r="D19" i="3"/>
  <c r="D22" i="3" s="1"/>
  <c r="D20" i="15" s="1"/>
  <c r="D31" i="15" s="1"/>
  <c r="E25" i="3"/>
  <c r="E28" i="3" s="1"/>
  <c r="E21" i="15" s="1"/>
  <c r="E32" i="15" s="1"/>
  <c r="D34" i="3"/>
  <c r="D22" i="15" s="1"/>
  <c r="D33" i="15" s="1"/>
  <c r="E19" i="3"/>
  <c r="E22" i="3" s="1"/>
  <c r="E20" i="15" s="1"/>
  <c r="E31" i="15" s="1"/>
  <c r="F21" i="3"/>
  <c r="D25" i="15"/>
  <c r="D36" i="15" s="1"/>
  <c r="E49" i="3"/>
  <c r="E52" i="3" s="1"/>
  <c r="B8" i="4"/>
  <c r="D8" i="4" s="1"/>
  <c r="E8" i="4" s="1"/>
  <c r="C94" i="1"/>
  <c r="E33" i="3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C22" i="11"/>
  <c r="F25" i="3" l="1"/>
  <c r="F28" i="3" s="1"/>
  <c r="F21" i="15" s="1"/>
  <c r="F32" i="15" s="1"/>
  <c r="C10" i="3"/>
  <c r="C21" i="11"/>
  <c r="C23" i="11" s="1"/>
  <c r="C26" i="11" s="1"/>
  <c r="E31" i="3"/>
  <c r="F19" i="3"/>
  <c r="F22" i="3" s="1"/>
  <c r="F20" i="15" s="1"/>
  <c r="F31" i="15" s="1"/>
  <c r="E34" i="3"/>
  <c r="E60" i="3" s="1"/>
  <c r="D94" i="1"/>
  <c r="E57" i="3" s="1"/>
  <c r="E22" i="15"/>
  <c r="E33" i="15" s="1"/>
  <c r="F8" i="4"/>
  <c r="I8" i="4" s="1"/>
  <c r="H8" i="4"/>
  <c r="B6" i="5" s="1"/>
  <c r="F6" i="5" s="1"/>
  <c r="C7" i="12"/>
  <c r="E7" i="12" s="1"/>
  <c r="H51" i="3"/>
  <c r="G51" i="3"/>
  <c r="F33" i="3"/>
  <c r="C57" i="3"/>
  <c r="E25" i="15"/>
  <c r="E36" i="15" s="1"/>
  <c r="F49" i="3"/>
  <c r="F52" i="3" s="1"/>
  <c r="H21" i="3"/>
  <c r="G21" i="3"/>
  <c r="H11" i="4"/>
  <c r="B9" i="5" s="1"/>
  <c r="F9" i="5" s="1"/>
  <c r="C10" i="12"/>
  <c r="E10" i="12" s="1"/>
  <c r="F11" i="4"/>
  <c r="I11" i="4" s="1"/>
  <c r="D60" i="3"/>
  <c r="B60" i="3"/>
  <c r="C60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G25" i="3"/>
  <c r="G28" i="3" s="1"/>
  <c r="G21" i="15" s="1"/>
  <c r="G32" i="15" s="1"/>
  <c r="D22" i="11"/>
  <c r="C18" i="15" l="1"/>
  <c r="C29" i="15" s="1"/>
  <c r="D7" i="3"/>
  <c r="G19" i="3"/>
  <c r="G57" i="3" s="1"/>
  <c r="D57" i="3"/>
  <c r="F31" i="3"/>
  <c r="B57" i="3"/>
  <c r="F34" i="3"/>
  <c r="F60" i="3" s="1"/>
  <c r="F57" i="3"/>
  <c r="K8" i="2"/>
  <c r="C93" i="1" s="1"/>
  <c r="D93" i="1" s="1"/>
  <c r="H33" i="3"/>
  <c r="G33" i="3"/>
  <c r="F25" i="15"/>
  <c r="F36" i="15" s="1"/>
  <c r="G49" i="3"/>
  <c r="G52" i="3" s="1"/>
  <c r="K13" i="2"/>
  <c r="G22" i="3"/>
  <c r="G20" i="15" s="1"/>
  <c r="G31" i="15" s="1"/>
  <c r="H9" i="3"/>
  <c r="J55" i="3" s="1"/>
  <c r="C24" i="4"/>
  <c r="E24" i="4" s="1"/>
  <c r="C9" i="12"/>
  <c r="E9" i="12" s="1"/>
  <c r="F10" i="4"/>
  <c r="I10" i="4" s="1"/>
  <c r="H10" i="4"/>
  <c r="F13" i="3"/>
  <c r="F16" i="3" s="1"/>
  <c r="F19" i="15" s="1"/>
  <c r="F30" i="15" s="1"/>
  <c r="H25" i="3"/>
  <c r="H28" i="3" s="1"/>
  <c r="H21" i="15" s="1"/>
  <c r="H32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F22" i="15" l="1"/>
  <c r="F33" i="15" s="1"/>
  <c r="D10" i="3"/>
  <c r="D21" i="11"/>
  <c r="D23" i="11" s="1"/>
  <c r="D26" i="11" s="1"/>
  <c r="G31" i="3"/>
  <c r="B7" i="4"/>
  <c r="D7" i="4" s="1"/>
  <c r="E7" i="4" s="1"/>
  <c r="H7" i="4" s="1"/>
  <c r="B5" i="5" s="1"/>
  <c r="F5" i="5" s="1"/>
  <c r="G34" i="3"/>
  <c r="G22" i="15" s="1"/>
  <c r="G33" i="1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H19" i="3"/>
  <c r="H22" i="3" s="1"/>
  <c r="H20" i="15" s="1"/>
  <c r="H31" i="15" s="1"/>
  <c r="B12" i="4"/>
  <c r="D12" i="4" s="1"/>
  <c r="E12" i="4" s="1"/>
  <c r="C98" i="1"/>
  <c r="D98" i="1" s="1"/>
  <c r="I25" i="3"/>
  <c r="I28" i="3" s="1"/>
  <c r="I21" i="15" s="1"/>
  <c r="I32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G60" i="3" l="1"/>
  <c r="D18" i="15"/>
  <c r="D29" i="15" s="1"/>
  <c r="E7" i="3"/>
  <c r="C6" i="12"/>
  <c r="E6" i="12" s="1"/>
  <c r="F7" i="4"/>
  <c r="I7" i="4" s="1"/>
  <c r="B9" i="4"/>
  <c r="D9" i="4" s="1"/>
  <c r="E9" i="4" s="1"/>
  <c r="F9" i="4" s="1"/>
  <c r="I9" i="4" s="1"/>
  <c r="H31" i="3"/>
  <c r="H34" i="3" s="1"/>
  <c r="H22" i="15" s="1"/>
  <c r="H33" i="15" s="1"/>
  <c r="I19" i="3"/>
  <c r="J57" i="3" s="1"/>
  <c r="H57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H13" i="3"/>
  <c r="H16" i="3" s="1"/>
  <c r="H19" i="15" s="1"/>
  <c r="H30" i="15" s="1"/>
  <c r="I43" i="3"/>
  <c r="I46" i="3" s="1"/>
  <c r="I24" i="15" s="1"/>
  <c r="I35" i="15" s="1"/>
  <c r="F8" i="5"/>
  <c r="I37" i="3"/>
  <c r="I40" i="3" s="1"/>
  <c r="I23" i="15" s="1"/>
  <c r="I34" i="15" s="1"/>
  <c r="G22" i="11"/>
  <c r="H9" i="4" l="1"/>
  <c r="H60" i="3"/>
  <c r="E10" i="3"/>
  <c r="E21" i="11"/>
  <c r="E23" i="11" s="1"/>
  <c r="E26" i="11" s="1"/>
  <c r="I31" i="3"/>
  <c r="I34" i="3" s="1"/>
  <c r="J60" i="3" s="1"/>
  <c r="B27" i="9" s="1"/>
  <c r="C8" i="12"/>
  <c r="E8" i="12" s="1"/>
  <c r="I22" i="3"/>
  <c r="I20" i="15" s="1"/>
  <c r="I31" i="15" s="1"/>
  <c r="I57" i="3"/>
  <c r="B7" i="5"/>
  <c r="H13" i="4"/>
  <c r="I13" i="3"/>
  <c r="I16" i="3" s="1"/>
  <c r="I19" i="15" s="1"/>
  <c r="I30" i="15" s="1"/>
  <c r="H22" i="11"/>
  <c r="I60" i="3" l="1"/>
  <c r="E18" i="15"/>
  <c r="E29" i="15" s="1"/>
  <c r="F7" i="3"/>
  <c r="I22" i="15"/>
  <c r="I33" i="15" s="1"/>
  <c r="B6" i="11"/>
  <c r="B6" i="6"/>
  <c r="F7" i="5"/>
  <c r="B13" i="5"/>
  <c r="E12" i="5"/>
  <c r="F12" i="5" s="1"/>
  <c r="I22" i="11"/>
  <c r="F10" i="3" l="1"/>
  <c r="F21" i="11"/>
  <c r="F23" i="11" s="1"/>
  <c r="F26" i="11" s="1"/>
  <c r="B9" i="6"/>
  <c r="J6" i="6"/>
  <c r="B9" i="11"/>
  <c r="B26" i="11" s="1"/>
  <c r="J6" i="11"/>
  <c r="J9" i="11" s="1"/>
  <c r="J22" i="11"/>
  <c r="F18" i="15" l="1"/>
  <c r="F29" i="15" s="1"/>
  <c r="G7" i="3"/>
  <c r="B8" i="9"/>
  <c r="J9" i="6"/>
  <c r="B6" i="9" s="1"/>
  <c r="G10" i="3" l="1"/>
  <c r="G21" i="11"/>
  <c r="G23" i="11" s="1"/>
  <c r="G26" i="11" s="1"/>
  <c r="G18" i="15" l="1"/>
  <c r="G29" i="15" s="1"/>
  <c r="H7" i="3"/>
  <c r="H10" i="3" l="1"/>
  <c r="H21" i="11"/>
  <c r="H23" i="11" s="1"/>
  <c r="H26" i="11" s="1"/>
  <c r="H18" i="15" l="1"/>
  <c r="H29" i="15" s="1"/>
  <c r="I7" i="3"/>
  <c r="I10" i="3" l="1"/>
  <c r="I18" i="15" s="1"/>
  <c r="I29" i="15" s="1"/>
  <c r="I21" i="11"/>
  <c r="J21" i="11" l="1"/>
  <c r="J23" i="11" s="1"/>
  <c r="J26" i="11" s="1"/>
  <c r="I23" i="11"/>
  <c r="I26" i="11" s="1"/>
  <c r="E11" i="5"/>
  <c r="B31" i="11" l="1"/>
  <c r="B32" i="11"/>
  <c r="B33" i="11"/>
  <c r="B30" i="11"/>
  <c r="C31" i="7" s="1"/>
  <c r="F11" i="5"/>
  <c r="F13" i="5" s="1"/>
  <c r="E13" i="5"/>
  <c r="B31" i="7" l="1"/>
  <c r="D22" i="7"/>
  <c r="C22" i="7"/>
  <c r="B5" i="9"/>
  <c r="B22" i="7"/>
  <c r="E22" i="7" s="1"/>
  <c r="B26" i="10"/>
  <c r="D65" i="10" l="1"/>
  <c r="D66" i="10"/>
  <c r="D122" i="10"/>
  <c r="D92" i="10"/>
  <c r="D81" i="10"/>
  <c r="D91" i="10"/>
  <c r="D45" i="10"/>
  <c r="D113" i="10"/>
  <c r="D128" i="10"/>
  <c r="D96" i="10"/>
  <c r="D40" i="10"/>
  <c r="D61" i="10"/>
  <c r="D84" i="10"/>
  <c r="D74" i="10"/>
  <c r="D82" i="10"/>
  <c r="D78" i="10"/>
  <c r="D47" i="10"/>
  <c r="D35" i="10"/>
  <c r="D120" i="10"/>
  <c r="D37" i="10"/>
  <c r="D83" i="10"/>
  <c r="D48" i="10"/>
  <c r="D101" i="10"/>
  <c r="D55" i="10"/>
  <c r="D56" i="10"/>
  <c r="D88" i="10"/>
  <c r="D94" i="10"/>
  <c r="D80" i="10"/>
  <c r="D57" i="10"/>
  <c r="D112" i="10"/>
  <c r="D46" i="10"/>
  <c r="D130" i="10"/>
  <c r="D69" i="10"/>
  <c r="D106" i="10"/>
  <c r="D36" i="10"/>
  <c r="D54" i="10"/>
  <c r="D107" i="10"/>
  <c r="D50" i="10"/>
  <c r="D118" i="10"/>
  <c r="D114" i="10"/>
  <c r="D97" i="10"/>
  <c r="D116" i="10"/>
  <c r="D64" i="10"/>
  <c r="D86" i="10"/>
  <c r="D42" i="10"/>
  <c r="D41" i="10"/>
  <c r="D104" i="10"/>
  <c r="D68" i="10"/>
  <c r="D95" i="10"/>
  <c r="D89" i="10"/>
  <c r="D60" i="10"/>
  <c r="D79" i="10"/>
  <c r="D34" i="10"/>
  <c r="D100" i="10"/>
  <c r="D87" i="10"/>
  <c r="D125" i="10"/>
  <c r="D39" i="10"/>
  <c r="D44" i="10"/>
  <c r="D108" i="10"/>
  <c r="D63" i="10"/>
  <c r="D102" i="10"/>
  <c r="D72" i="10"/>
  <c r="D129" i="10"/>
  <c r="D51" i="10"/>
  <c r="D67" i="10"/>
  <c r="D103" i="10"/>
  <c r="D99" i="10"/>
  <c r="D77" i="10"/>
  <c r="D52" i="10"/>
  <c r="D70" i="10"/>
  <c r="D90" i="10"/>
  <c r="D126" i="10"/>
  <c r="D49" i="10"/>
  <c r="D38" i="10"/>
  <c r="D117" i="10"/>
  <c r="D73" i="10"/>
  <c r="D75" i="10"/>
  <c r="D109" i="10"/>
  <c r="D53" i="10"/>
  <c r="D121" i="10"/>
  <c r="D62" i="10"/>
  <c r="D59" i="10"/>
  <c r="D71" i="10"/>
  <c r="D85" i="10"/>
  <c r="D58" i="10"/>
  <c r="D127" i="10"/>
  <c r="D32" i="10"/>
  <c r="D105" i="10"/>
  <c r="D119" i="10"/>
  <c r="D31" i="10"/>
  <c r="D115" i="10"/>
  <c r="D76" i="10"/>
  <c r="D110" i="10"/>
  <c r="D93" i="10"/>
  <c r="D123" i="10"/>
  <c r="D33" i="10"/>
  <c r="D111" i="10"/>
  <c r="D43" i="10"/>
  <c r="D124" i="10"/>
  <c r="D98" i="10"/>
  <c r="F22" i="7"/>
  <c r="D132" i="10" l="1"/>
  <c r="D133" i="10"/>
</calcChain>
</file>

<file path=xl/sharedStrings.xml><?xml version="1.0" encoding="utf-8"?>
<sst xmlns="http://schemas.openxmlformats.org/spreadsheetml/2006/main" count="853" uniqueCount="333">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</sst>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topLeftCell="A35" zoomScaleNormal="100" workbookViewId="0">
      <selection activeCell="C37" sqref="C37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76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1" ht="15" customHeight="1" x14ac:dyDescent="0.3">
      <c r="A2" s="77" t="s">
        <v>1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1" ht="15" customHeight="1" x14ac:dyDescent="0.3">
      <c r="A4" s="78" t="s">
        <v>2</v>
      </c>
      <c r="B4" s="78"/>
      <c r="C4" s="78"/>
      <c r="D4" s="78"/>
      <c r="E4" s="78"/>
      <c r="F4" s="78"/>
      <c r="G4" s="78"/>
      <c r="H4" s="78"/>
      <c r="I4" s="78"/>
      <c r="J4" s="78"/>
      <c r="K4" s="78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8" t="s">
        <v>14</v>
      </c>
      <c r="B9" s="78"/>
      <c r="C9" s="78"/>
      <c r="D9" s="78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8" t="s">
        <v>29</v>
      </c>
      <c r="B21" s="78"/>
      <c r="C21" s="78"/>
      <c r="D21" s="78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9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9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9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9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9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9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9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9">
        <v>0.75</v>
      </c>
      <c r="C30" s="9" t="s">
        <v>32</v>
      </c>
      <c r="D30" s="11" t="s">
        <v>40</v>
      </c>
    </row>
    <row r="33" spans="1:4" ht="15" customHeight="1" x14ac:dyDescent="0.3">
      <c r="A33" s="78" t="s">
        <v>41</v>
      </c>
      <c r="B33" s="78"/>
      <c r="C33" s="78"/>
      <c r="D33" s="78"/>
    </row>
    <row r="34" spans="1:4" ht="15" customHeight="1" x14ac:dyDescent="0.3">
      <c r="A34" s="8" t="s">
        <v>15</v>
      </c>
      <c r="B34" s="8" t="s">
        <v>42</v>
      </c>
      <c r="C34" s="8" t="s">
        <v>43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75">
        <f>B35</f>
        <v>30</v>
      </c>
      <c r="D35" s="11" t="s">
        <v>45</v>
      </c>
    </row>
    <row r="36" spans="1:4" ht="15" customHeight="1" x14ac:dyDescent="0.3">
      <c r="A36" s="9" t="s">
        <v>22</v>
      </c>
      <c r="B36" s="6">
        <v>12</v>
      </c>
      <c r="C36" s="75">
        <f t="shared" ref="C35:C42" si="0">B36</f>
        <v>12</v>
      </c>
      <c r="D36" s="11" t="s">
        <v>45</v>
      </c>
    </row>
    <row r="37" spans="1:4" ht="15" customHeight="1" x14ac:dyDescent="0.3">
      <c r="A37" s="9" t="s">
        <v>23</v>
      </c>
      <c r="B37" s="6">
        <v>1</v>
      </c>
      <c r="C37" s="75">
        <f t="shared" si="0"/>
        <v>1</v>
      </c>
      <c r="D37" s="11" t="s">
        <v>46</v>
      </c>
    </row>
    <row r="38" spans="1:4" ht="15" customHeight="1" x14ac:dyDescent="0.3">
      <c r="A38" s="9" t="s">
        <v>24</v>
      </c>
      <c r="B38" s="6">
        <v>100</v>
      </c>
      <c r="C38" s="75">
        <f t="shared" si="0"/>
        <v>100</v>
      </c>
      <c r="D38" s="11" t="s">
        <v>47</v>
      </c>
    </row>
    <row r="39" spans="1:4" ht="15" customHeight="1" x14ac:dyDescent="0.3">
      <c r="A39" s="9" t="s">
        <v>25</v>
      </c>
      <c r="B39" s="6">
        <v>30</v>
      </c>
      <c r="C39" s="75">
        <f t="shared" si="0"/>
        <v>30</v>
      </c>
      <c r="D39" s="11" t="s">
        <v>48</v>
      </c>
    </row>
    <row r="40" spans="1:4" ht="15" customHeight="1" x14ac:dyDescent="0.3">
      <c r="A40" s="9" t="s">
        <v>26</v>
      </c>
      <c r="B40" s="6">
        <v>60</v>
      </c>
      <c r="C40" s="75">
        <f t="shared" si="0"/>
        <v>60</v>
      </c>
      <c r="D40" s="11" t="s">
        <v>49</v>
      </c>
    </row>
    <row r="41" spans="1:4" ht="15" customHeight="1" x14ac:dyDescent="0.3">
      <c r="A41" s="9" t="s">
        <v>27</v>
      </c>
      <c r="B41" s="6">
        <v>100</v>
      </c>
      <c r="C41" s="75">
        <f t="shared" si="0"/>
        <v>100</v>
      </c>
      <c r="D41" s="11" t="s">
        <v>50</v>
      </c>
    </row>
    <row r="42" spans="1:4" ht="15" customHeight="1" x14ac:dyDescent="0.3">
      <c r="A42" s="9" t="s">
        <v>28</v>
      </c>
      <c r="B42" s="6">
        <v>150</v>
      </c>
      <c r="C42" s="75">
        <f t="shared" si="0"/>
        <v>150</v>
      </c>
      <c r="D42" s="11" t="s">
        <v>51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8" t="s">
        <v>52</v>
      </c>
      <c r="B45" s="78"/>
      <c r="C45" s="78"/>
      <c r="D45" s="78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53</v>
      </c>
    </row>
    <row r="47" spans="1:4" ht="15" customHeight="1" x14ac:dyDescent="0.3">
      <c r="A47" s="9" t="s">
        <v>19</v>
      </c>
      <c r="B47" s="12">
        <v>125</v>
      </c>
      <c r="C47" s="13">
        <f t="shared" ref="C47:C54" si="1">B47/B35</f>
        <v>4.166666666666667</v>
      </c>
      <c r="D47" s="10" t="s">
        <v>54</v>
      </c>
    </row>
    <row r="48" spans="1:4" ht="15" customHeight="1" x14ac:dyDescent="0.3">
      <c r="A48" s="9" t="s">
        <v>22</v>
      </c>
      <c r="B48" s="12">
        <v>330</v>
      </c>
      <c r="C48" s="13">
        <f t="shared" si="1"/>
        <v>27.5</v>
      </c>
      <c r="D48" s="10" t="s">
        <v>54</v>
      </c>
    </row>
    <row r="49" spans="1:7" ht="15" customHeight="1" x14ac:dyDescent="0.3">
      <c r="A49" s="9" t="s">
        <v>23</v>
      </c>
      <c r="B49" s="12">
        <v>60</v>
      </c>
      <c r="C49" s="13">
        <f t="shared" si="1"/>
        <v>60</v>
      </c>
      <c r="D49" s="10" t="s">
        <v>54</v>
      </c>
    </row>
    <row r="50" spans="1:7" ht="15" customHeight="1" x14ac:dyDescent="0.3">
      <c r="A50" s="9" t="s">
        <v>24</v>
      </c>
      <c r="B50" s="12">
        <v>7</v>
      </c>
      <c r="C50" s="13">
        <f t="shared" si="1"/>
        <v>7.0000000000000007E-2</v>
      </c>
      <c r="D50" s="10" t="s">
        <v>54</v>
      </c>
    </row>
    <row r="51" spans="1:7" ht="15" customHeight="1" x14ac:dyDescent="0.3">
      <c r="A51" s="9" t="s">
        <v>25</v>
      </c>
      <c r="B51" s="12">
        <v>36</v>
      </c>
      <c r="C51" s="13">
        <f t="shared" si="1"/>
        <v>1.2</v>
      </c>
      <c r="D51" s="10" t="s">
        <v>54</v>
      </c>
    </row>
    <row r="52" spans="1:7" ht="15" customHeight="1" x14ac:dyDescent="0.3">
      <c r="A52" s="9" t="s">
        <v>26</v>
      </c>
      <c r="B52" s="12">
        <v>24</v>
      </c>
      <c r="C52" s="13">
        <f t="shared" si="1"/>
        <v>0.4</v>
      </c>
      <c r="D52" s="10" t="s">
        <v>54</v>
      </c>
    </row>
    <row r="53" spans="1:7" ht="15" customHeight="1" x14ac:dyDescent="0.3">
      <c r="A53" s="9" t="s">
        <v>27</v>
      </c>
      <c r="B53" s="12">
        <v>30</v>
      </c>
      <c r="C53" s="13">
        <f t="shared" si="1"/>
        <v>0.3</v>
      </c>
      <c r="D53" s="10" t="s">
        <v>54</v>
      </c>
    </row>
    <row r="54" spans="1:7" ht="15" customHeight="1" x14ac:dyDescent="0.3">
      <c r="A54" s="9" t="s">
        <v>28</v>
      </c>
      <c r="B54" s="12">
        <v>28</v>
      </c>
      <c r="C54" s="13">
        <f t="shared" si="1"/>
        <v>0.18666666666666668</v>
      </c>
      <c r="D54" s="10" t="s">
        <v>54</v>
      </c>
    </row>
    <row r="57" spans="1:7" ht="15" customHeight="1" x14ac:dyDescent="0.3">
      <c r="A57" s="78" t="s">
        <v>55</v>
      </c>
      <c r="B57" s="78"/>
      <c r="C57" s="78"/>
      <c r="D57" s="78"/>
      <c r="E57" s="78"/>
    </row>
    <row r="58" spans="1:7" ht="15" customHeight="1" x14ac:dyDescent="0.3">
      <c r="A58" s="8" t="s">
        <v>15</v>
      </c>
      <c r="B58" s="8" t="s">
        <v>56</v>
      </c>
      <c r="C58" s="8" t="s">
        <v>57</v>
      </c>
      <c r="D58" s="8" t="s">
        <v>58</v>
      </c>
    </row>
    <row r="59" spans="1:7" ht="15" customHeight="1" x14ac:dyDescent="0.3">
      <c r="A59" s="9" t="s">
        <v>19</v>
      </c>
      <c r="B59" s="12">
        <v>2300</v>
      </c>
      <c r="C59" s="14">
        <v>0.3</v>
      </c>
      <c r="D59" s="11" t="s">
        <v>59</v>
      </c>
    </row>
    <row r="60" spans="1:7" ht="15" customHeight="1" x14ac:dyDescent="0.3">
      <c r="A60" s="9" t="s">
        <v>22</v>
      </c>
      <c r="B60" s="12">
        <v>6000</v>
      </c>
      <c r="C60" s="14">
        <v>4.5</v>
      </c>
      <c r="D60" s="11" t="s">
        <v>59</v>
      </c>
    </row>
    <row r="61" spans="1:7" ht="15" customHeight="1" x14ac:dyDescent="0.3">
      <c r="A61" s="9" t="s">
        <v>60</v>
      </c>
      <c r="B61" s="12">
        <v>0</v>
      </c>
      <c r="C61" s="14">
        <v>0</v>
      </c>
      <c r="D61" s="11" t="s">
        <v>61</v>
      </c>
    </row>
    <row r="64" spans="1:7" ht="15" customHeight="1" x14ac:dyDescent="0.3">
      <c r="A64" s="78" t="s">
        <v>62</v>
      </c>
      <c r="B64" s="78"/>
      <c r="C64" s="78"/>
      <c r="D64" s="78"/>
      <c r="E64" s="78"/>
      <c r="F64" s="78"/>
      <c r="G64" s="78"/>
    </row>
    <row r="65" spans="1:7" ht="15" customHeight="1" x14ac:dyDescent="0.3">
      <c r="A65" s="8" t="s">
        <v>63</v>
      </c>
      <c r="B65" s="8" t="s">
        <v>64</v>
      </c>
      <c r="C65" s="8" t="s">
        <v>65</v>
      </c>
      <c r="D65" s="8" t="s">
        <v>66</v>
      </c>
      <c r="E65" s="8" t="s">
        <v>67</v>
      </c>
      <c r="F65" s="8" t="s">
        <v>68</v>
      </c>
    </row>
    <row r="66" spans="1:7" ht="15" customHeight="1" x14ac:dyDescent="0.3">
      <c r="A66" s="10" t="s">
        <v>69</v>
      </c>
      <c r="B66" s="15">
        <v>125</v>
      </c>
      <c r="C66" s="16" t="s">
        <v>70</v>
      </c>
      <c r="D66" s="16" t="s">
        <v>71</v>
      </c>
      <c r="E66" s="16" t="s">
        <v>44</v>
      </c>
      <c r="F66" s="10" t="s">
        <v>72</v>
      </c>
    </row>
    <row r="67" spans="1:7" ht="15" customHeight="1" x14ac:dyDescent="0.3">
      <c r="A67" s="10" t="s">
        <v>73</v>
      </c>
      <c r="B67" s="15">
        <v>100</v>
      </c>
      <c r="C67" s="16" t="s">
        <v>74</v>
      </c>
      <c r="D67" s="16" t="s">
        <v>75</v>
      </c>
      <c r="E67" s="16">
        <v>150</v>
      </c>
      <c r="F67" s="10" t="s">
        <v>76</v>
      </c>
    </row>
    <row r="68" spans="1:7" ht="15" customHeight="1" x14ac:dyDescent="0.3">
      <c r="A68" s="10" t="s">
        <v>77</v>
      </c>
      <c r="B68" s="15">
        <v>140</v>
      </c>
      <c r="C68" s="16" t="s">
        <v>78</v>
      </c>
      <c r="D68" s="16" t="s">
        <v>71</v>
      </c>
      <c r="E68" s="16" t="s">
        <v>44</v>
      </c>
      <c r="F68" s="10" t="s">
        <v>72</v>
      </c>
    </row>
    <row r="69" spans="1:7" ht="15" customHeight="1" x14ac:dyDescent="0.3">
      <c r="A69" s="1" t="s">
        <v>79</v>
      </c>
      <c r="B69" s="17" t="s">
        <v>69</v>
      </c>
    </row>
    <row r="72" spans="1:7" ht="15" customHeight="1" x14ac:dyDescent="0.3">
      <c r="A72" s="78" t="s">
        <v>80</v>
      </c>
      <c r="B72" s="78"/>
      <c r="C72" s="78"/>
      <c r="D72" s="78"/>
      <c r="E72" s="78"/>
      <c r="F72" s="78"/>
      <c r="G72" s="78"/>
    </row>
    <row r="73" spans="1:7" ht="15" customHeight="1" x14ac:dyDescent="0.3">
      <c r="A73" s="8" t="s">
        <v>63</v>
      </c>
      <c r="B73" s="8" t="s">
        <v>64</v>
      </c>
      <c r="C73" s="8" t="s">
        <v>65</v>
      </c>
      <c r="D73" s="8" t="s">
        <v>66</v>
      </c>
      <c r="E73" s="8" t="s">
        <v>67</v>
      </c>
      <c r="F73" s="8" t="s">
        <v>68</v>
      </c>
    </row>
    <row r="74" spans="1:7" ht="15" customHeight="1" x14ac:dyDescent="0.3">
      <c r="A74" s="10" t="s">
        <v>69</v>
      </c>
      <c r="B74" s="15">
        <v>330</v>
      </c>
      <c r="C74" s="16" t="s">
        <v>70</v>
      </c>
      <c r="D74" s="16" t="s">
        <v>71</v>
      </c>
      <c r="E74" s="16" t="s">
        <v>44</v>
      </c>
      <c r="F74" s="10" t="s">
        <v>72</v>
      </c>
    </row>
    <row r="75" spans="1:7" ht="15" customHeight="1" x14ac:dyDescent="0.3">
      <c r="A75" s="10" t="s">
        <v>73</v>
      </c>
      <c r="B75" s="15">
        <v>264</v>
      </c>
      <c r="C75" s="16" t="s">
        <v>74</v>
      </c>
      <c r="D75" s="16" t="s">
        <v>81</v>
      </c>
      <c r="E75" s="16">
        <v>80</v>
      </c>
      <c r="F75" s="10" t="s">
        <v>76</v>
      </c>
    </row>
    <row r="76" spans="1:7" ht="15" customHeight="1" x14ac:dyDescent="0.3">
      <c r="A76" s="10" t="s">
        <v>77</v>
      </c>
      <c r="B76" s="15">
        <v>370</v>
      </c>
      <c r="C76" s="16" t="s">
        <v>78</v>
      </c>
      <c r="D76" s="16" t="s">
        <v>71</v>
      </c>
      <c r="E76" s="16" t="s">
        <v>44</v>
      </c>
      <c r="F76" s="10" t="s">
        <v>72</v>
      </c>
    </row>
    <row r="77" spans="1:7" ht="15" customHeight="1" x14ac:dyDescent="0.3">
      <c r="A77" s="1" t="s">
        <v>79</v>
      </c>
      <c r="B77" s="17" t="s">
        <v>69</v>
      </c>
    </row>
    <row r="80" spans="1:7" ht="15" customHeight="1" x14ac:dyDescent="0.3">
      <c r="A80" s="78" t="s">
        <v>82</v>
      </c>
      <c r="B80" s="78"/>
      <c r="C80" s="78"/>
      <c r="D80" s="78"/>
    </row>
    <row r="81" spans="1:5" ht="15" customHeight="1" x14ac:dyDescent="0.3">
      <c r="A81" s="8" t="s">
        <v>15</v>
      </c>
      <c r="B81" s="8" t="s">
        <v>83</v>
      </c>
      <c r="C81" s="8" t="s">
        <v>84</v>
      </c>
      <c r="D81" s="8" t="s">
        <v>85</v>
      </c>
    </row>
    <row r="82" spans="1:5" ht="15" customHeight="1" x14ac:dyDescent="0.3">
      <c r="A82" s="9" t="s">
        <v>19</v>
      </c>
      <c r="B82" s="6">
        <v>2000</v>
      </c>
      <c r="C82" s="18">
        <v>10</v>
      </c>
      <c r="D82" s="19">
        <v>1</v>
      </c>
    </row>
    <row r="83" spans="1:5" ht="15" customHeight="1" x14ac:dyDescent="0.3">
      <c r="A83" s="9" t="s">
        <v>22</v>
      </c>
      <c r="B83" s="6">
        <v>500</v>
      </c>
      <c r="C83" s="18">
        <v>10</v>
      </c>
      <c r="D83" s="19">
        <v>1</v>
      </c>
    </row>
    <row r="84" spans="1:5" ht="15" customHeight="1" x14ac:dyDescent="0.3">
      <c r="A84" s="9" t="s">
        <v>23</v>
      </c>
      <c r="B84" s="6">
        <v>50</v>
      </c>
      <c r="C84" s="18">
        <v>20</v>
      </c>
      <c r="D84" s="19">
        <v>2</v>
      </c>
    </row>
    <row r="85" spans="1:5" ht="15" customHeight="1" x14ac:dyDescent="0.3">
      <c r="A85" s="9" t="s">
        <v>24</v>
      </c>
      <c r="B85" s="6">
        <v>10000</v>
      </c>
      <c r="C85" s="18">
        <v>10</v>
      </c>
      <c r="D85" s="19">
        <v>1</v>
      </c>
    </row>
    <row r="86" spans="1:5" ht="15" customHeight="1" x14ac:dyDescent="0.3">
      <c r="A86" s="9" t="s">
        <v>25</v>
      </c>
      <c r="B86" s="6">
        <v>1000</v>
      </c>
      <c r="C86" s="18">
        <v>15</v>
      </c>
      <c r="D86" s="19">
        <v>1</v>
      </c>
    </row>
    <row r="87" spans="1:5" ht="15" customHeight="1" x14ac:dyDescent="0.3">
      <c r="A87" s="9" t="s">
        <v>26</v>
      </c>
      <c r="B87" s="6">
        <v>2000</v>
      </c>
      <c r="C87" s="18">
        <v>15</v>
      </c>
      <c r="D87" s="19">
        <v>1</v>
      </c>
    </row>
    <row r="88" spans="1:5" ht="15" customHeight="1" x14ac:dyDescent="0.3">
      <c r="A88" s="79" t="s">
        <v>86</v>
      </c>
      <c r="B88" s="79"/>
      <c r="C88" s="79"/>
      <c r="D88" s="79"/>
      <c r="E88" s="79"/>
    </row>
    <row r="89" spans="1:5" ht="15" customHeight="1" x14ac:dyDescent="0.3">
      <c r="A89" s="80" t="s">
        <v>87</v>
      </c>
      <c r="B89" s="80"/>
      <c r="C89" s="80"/>
      <c r="D89" s="80"/>
      <c r="E89" s="80"/>
    </row>
    <row r="90" spans="1:5" ht="15" customHeight="1" x14ac:dyDescent="0.3">
      <c r="A90" s="8" t="s">
        <v>15</v>
      </c>
      <c r="B90" s="8" t="s">
        <v>88</v>
      </c>
      <c r="C90" s="8" t="s">
        <v>89</v>
      </c>
      <c r="D90" s="8" t="s">
        <v>90</v>
      </c>
      <c r="E90" s="8" t="s">
        <v>91</v>
      </c>
    </row>
    <row r="91" spans="1:5" ht="15" customHeight="1" x14ac:dyDescent="0.3">
      <c r="A91" s="9" t="s">
        <v>19</v>
      </c>
      <c r="B91" s="20">
        <v>1</v>
      </c>
      <c r="C91" s="21">
        <f>BOM_Consumo!K6/8</f>
        <v>925</v>
      </c>
      <c r="D91" s="21">
        <f>B91*C91</f>
        <v>925</v>
      </c>
      <c r="E91" s="22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0">
        <v>1</v>
      </c>
      <c r="C92" s="21">
        <f>BOM_Consumo!K7/8</f>
        <v>231.25</v>
      </c>
      <c r="D92" s="21">
        <f t="shared" ref="D92:D98" si="3">B92*C92</f>
        <v>231.25</v>
      </c>
      <c r="E92" s="22" t="str">
        <f t="shared" si="2"/>
        <v>SÍ - RIESGO ALTO</v>
      </c>
    </row>
    <row r="93" spans="1:5" ht="15" customHeight="1" x14ac:dyDescent="0.3">
      <c r="A93" s="9" t="s">
        <v>23</v>
      </c>
      <c r="B93" s="20">
        <v>2</v>
      </c>
      <c r="C93" s="21">
        <f>BOM_Consumo!K8/8</f>
        <v>16.1875</v>
      </c>
      <c r="D93" s="21">
        <f t="shared" si="3"/>
        <v>32.375</v>
      </c>
      <c r="E93" s="22" t="str">
        <f t="shared" si="2"/>
        <v>NO</v>
      </c>
    </row>
    <row r="94" spans="1:5" ht="15" customHeight="1" x14ac:dyDescent="0.3">
      <c r="A94" s="9" t="s">
        <v>24</v>
      </c>
      <c r="B94" s="20">
        <v>1</v>
      </c>
      <c r="C94" s="21">
        <f>BOM_Consumo!K9/8</f>
        <v>12950</v>
      </c>
      <c r="D94" s="21">
        <f>B94*C94</f>
        <v>12950</v>
      </c>
      <c r="E94" s="22" t="str">
        <f t="shared" si="2"/>
        <v>SÍ - RIESGO ALTO</v>
      </c>
    </row>
    <row r="95" spans="1:5" ht="15" customHeight="1" x14ac:dyDescent="0.3">
      <c r="A95" s="9" t="s">
        <v>25</v>
      </c>
      <c r="B95" s="20">
        <v>1</v>
      </c>
      <c r="C95" s="21">
        <f>BOM_Consumo!K10/8</f>
        <v>485.625</v>
      </c>
      <c r="D95" s="21">
        <f t="shared" si="3"/>
        <v>485.625</v>
      </c>
      <c r="E95" s="22" t="str">
        <f t="shared" si="2"/>
        <v>SÍ - RIESGO ALTO</v>
      </c>
    </row>
    <row r="96" spans="1:5" ht="15" customHeight="1" x14ac:dyDescent="0.3">
      <c r="A96" s="9" t="s">
        <v>26</v>
      </c>
      <c r="B96" s="20">
        <v>1</v>
      </c>
      <c r="C96" s="21">
        <f>BOM_Consumo!K11/8</f>
        <v>971.25</v>
      </c>
      <c r="D96" s="21">
        <f t="shared" si="3"/>
        <v>971.25</v>
      </c>
      <c r="E96" s="22" t="str">
        <f t="shared" si="2"/>
        <v>SÍ - RIESGO ALTO</v>
      </c>
    </row>
    <row r="97" spans="1:5" ht="15" customHeight="1" x14ac:dyDescent="0.3">
      <c r="A97" s="9" t="s">
        <v>27</v>
      </c>
      <c r="B97" s="20">
        <v>1</v>
      </c>
      <c r="C97" s="21">
        <f>BOM_Consumo!K12/8</f>
        <v>3237.5</v>
      </c>
      <c r="D97" s="21">
        <f t="shared" si="3"/>
        <v>3237.5</v>
      </c>
      <c r="E97" s="22" t="str">
        <f t="shared" si="2"/>
        <v>SÍ - RIESGO ALTO</v>
      </c>
    </row>
    <row r="98" spans="1:5" ht="15" customHeight="1" x14ac:dyDescent="0.3">
      <c r="A98" s="9" t="s">
        <v>28</v>
      </c>
      <c r="B98" s="20">
        <v>1</v>
      </c>
      <c r="C98" s="21">
        <f>BOM_Consumo!K13/8</f>
        <v>1214.0625</v>
      </c>
      <c r="D98" s="21">
        <f t="shared" si="3"/>
        <v>1214.0625</v>
      </c>
      <c r="E98" s="22" t="str">
        <f t="shared" si="2"/>
        <v>SÍ - RIESGO ALTO</v>
      </c>
    </row>
    <row r="100" spans="1:5" x14ac:dyDescent="0.3">
      <c r="A100" t="s">
        <v>301</v>
      </c>
    </row>
    <row r="101" spans="1:5" x14ac:dyDescent="0.3">
      <c r="A101" t="s">
        <v>302</v>
      </c>
      <c r="B101">
        <f>Escenarios!$E$29</f>
        <v>1</v>
      </c>
      <c r="C101" t="s">
        <v>303</v>
      </c>
    </row>
  </sheetData>
  <mergeCells count="13">
    <mergeCell ref="A80:D80"/>
    <mergeCell ref="A88:E88"/>
    <mergeCell ref="A89:E89"/>
    <mergeCell ref="A33:D33"/>
    <mergeCell ref="A45:D45"/>
    <mergeCell ref="A57:E57"/>
    <mergeCell ref="A64:G64"/>
    <mergeCell ref="A72:G72"/>
    <mergeCell ref="A1:K1"/>
    <mergeCell ref="A2:K2"/>
    <mergeCell ref="A4:K4"/>
    <mergeCell ref="A9:D9"/>
    <mergeCell ref="A21:D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topLeftCell="E1" zoomScaleNormal="100" workbookViewId="0">
      <selection activeCell="C6" sqref="C6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76" t="s">
        <v>92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5" customHeight="1" x14ac:dyDescent="0.3">
      <c r="A2" s="81" t="s">
        <v>93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2" t="s">
        <v>94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</row>
    <row r="5" spans="1:12" ht="15" customHeight="1" x14ac:dyDescent="0.3">
      <c r="A5" s="23" t="s">
        <v>15</v>
      </c>
      <c r="B5" s="23" t="s">
        <v>95</v>
      </c>
      <c r="C5" s="23" t="s">
        <v>4</v>
      </c>
      <c r="D5" s="23" t="s">
        <v>5</v>
      </c>
      <c r="E5" s="23" t="s">
        <v>6</v>
      </c>
      <c r="F5" s="23" t="s">
        <v>7</v>
      </c>
      <c r="G5" s="23" t="s">
        <v>8</v>
      </c>
      <c r="H5" s="23" t="s">
        <v>9</v>
      </c>
      <c r="I5" s="23" t="s">
        <v>10</v>
      </c>
      <c r="J5" s="23" t="s">
        <v>11</v>
      </c>
      <c r="K5" s="23" t="s">
        <v>12</v>
      </c>
    </row>
    <row r="6" spans="1:12" ht="15" customHeight="1" x14ac:dyDescent="0.3">
      <c r="A6" s="9" t="s">
        <v>19</v>
      </c>
      <c r="B6" s="24">
        <f>_xlfn.XLOOKUP(A6,Inputs!$A$22:$A$30,Inputs!$B$22:$B$30)</f>
        <v>1</v>
      </c>
      <c r="C6" s="25">
        <f>MRP_LeadTimes!B$18*$B6</f>
        <v>1850</v>
      </c>
      <c r="D6" s="25">
        <f>MRP_LeadTimes!C$18*$B6</f>
        <v>1850</v>
      </c>
      <c r="E6" s="25">
        <f>MRP_LeadTimes!D$18*$B6</f>
        <v>1850</v>
      </c>
      <c r="F6" s="25">
        <f>MRP_LeadTimes!E$18*$B6</f>
        <v>1850</v>
      </c>
      <c r="G6" s="25">
        <f>MRP_LeadTimes!F$18*$B6</f>
        <v>0</v>
      </c>
      <c r="H6" s="25">
        <f>MRP_LeadTimes!G$18*$B6</f>
        <v>0</v>
      </c>
      <c r="I6" s="25">
        <f>MRP_LeadTimes!H$18*$B6</f>
        <v>0</v>
      </c>
      <c r="J6" s="25">
        <f>MRP_LeadTimes!I$18*$B6</f>
        <v>0</v>
      </c>
      <c r="K6" s="26">
        <f t="shared" ref="K6:K13" si="0">SUM(C6:J6)</f>
        <v>7400</v>
      </c>
    </row>
    <row r="7" spans="1:12" ht="15" customHeight="1" x14ac:dyDescent="0.3">
      <c r="A7" s="9" t="s">
        <v>22</v>
      </c>
      <c r="B7" s="24">
        <f>_xlfn.XLOOKUP(A7,Inputs!$A$22:$A$30,Inputs!$B$22:$B$30)</f>
        <v>0.2</v>
      </c>
      <c r="C7" s="25">
        <f>MRP_LeadTimes!B$17*$B7</f>
        <v>370</v>
      </c>
      <c r="D7" s="25">
        <f>MRP_LeadTimes!C$17*$B7</f>
        <v>370</v>
      </c>
      <c r="E7" s="25">
        <f>MRP_LeadTimes!D$17*$B7</f>
        <v>370</v>
      </c>
      <c r="F7" s="25">
        <f>MRP_LeadTimes!E$17*$B7</f>
        <v>370</v>
      </c>
      <c r="G7" s="25">
        <f>MRP_LeadTimes!F$17*$B7</f>
        <v>370</v>
      </c>
      <c r="H7" s="25">
        <f>MRP_LeadTimes!G$17*$B7</f>
        <v>0</v>
      </c>
      <c r="I7" s="25">
        <f>MRP_LeadTimes!H$17*$B7</f>
        <v>0</v>
      </c>
      <c r="J7" s="25">
        <f>MRP_LeadTimes!I$17*$B7</f>
        <v>0</v>
      </c>
      <c r="K7" s="26">
        <f t="shared" si="0"/>
        <v>1850</v>
      </c>
    </row>
    <row r="8" spans="1:12" ht="15" customHeight="1" x14ac:dyDescent="0.3">
      <c r="A8" s="9" t="s">
        <v>23</v>
      </c>
      <c r="B8" s="24">
        <f>_xlfn.XLOOKUP(A8,Inputs!$A$22:$A$30,Inputs!$B$22:$B$30)</f>
        <v>0.01</v>
      </c>
      <c r="C8" s="25">
        <f>MRP_LeadTimes!B$15*$B8</f>
        <v>18.5</v>
      </c>
      <c r="D8" s="25">
        <f>MRP_LeadTimes!C$15*$B8</f>
        <v>18.5</v>
      </c>
      <c r="E8" s="25">
        <f>MRP_LeadTimes!D$15*$B8</f>
        <v>18.5</v>
      </c>
      <c r="F8" s="25">
        <f>MRP_LeadTimes!E$15*$B8</f>
        <v>18.5</v>
      </c>
      <c r="G8" s="25">
        <f>MRP_LeadTimes!F$15*$B8</f>
        <v>18.5</v>
      </c>
      <c r="H8" s="25">
        <f>MRP_LeadTimes!G$15*$B8</f>
        <v>18.5</v>
      </c>
      <c r="I8" s="25">
        <f>MRP_LeadTimes!H$15*$B8</f>
        <v>18.5</v>
      </c>
      <c r="J8" s="25">
        <f>MRP_LeadTimes!I$15*$B8</f>
        <v>0</v>
      </c>
      <c r="K8" s="26">
        <f t="shared" si="0"/>
        <v>129.5</v>
      </c>
    </row>
    <row r="9" spans="1:12" ht="15" customHeight="1" x14ac:dyDescent="0.3">
      <c r="A9" s="9" t="s">
        <v>24</v>
      </c>
      <c r="B9" s="24">
        <f>_xlfn.XLOOKUP(A9,Inputs!$A$22:$A$30,Inputs!$B$22:$B$30)</f>
        <v>8</v>
      </c>
      <c r="C9" s="25">
        <f>MRP_LeadTimes!B$15*$B9</f>
        <v>14800</v>
      </c>
      <c r="D9" s="25">
        <f>MRP_LeadTimes!C$15*$B9</f>
        <v>14800</v>
      </c>
      <c r="E9" s="25">
        <f>MRP_LeadTimes!D$15*$B9</f>
        <v>14800</v>
      </c>
      <c r="F9" s="25">
        <f>MRP_LeadTimes!E$15*$B9</f>
        <v>14800</v>
      </c>
      <c r="G9" s="25">
        <f>MRP_LeadTimes!F$15*$B9</f>
        <v>14800</v>
      </c>
      <c r="H9" s="25">
        <f>MRP_LeadTimes!G$15*$B9</f>
        <v>14800</v>
      </c>
      <c r="I9" s="25">
        <f>MRP_LeadTimes!H$15*$B9</f>
        <v>14800</v>
      </c>
      <c r="J9" s="25">
        <f>MRP_LeadTimes!I$15*$B9</f>
        <v>0</v>
      </c>
      <c r="K9" s="26">
        <f t="shared" si="0"/>
        <v>103600</v>
      </c>
    </row>
    <row r="10" spans="1:12" ht="15" customHeight="1" x14ac:dyDescent="0.3">
      <c r="A10" s="9" t="s">
        <v>25</v>
      </c>
      <c r="B10" s="24">
        <f>_xlfn.XLOOKUP(A10,Inputs!$A$22:$A$30,Inputs!$B$22:$B$30)</f>
        <v>0.3</v>
      </c>
      <c r="C10" s="25">
        <f>MRP_LeadTimes!B$15*$B10</f>
        <v>555</v>
      </c>
      <c r="D10" s="25">
        <f>MRP_LeadTimes!C$15*$B10</f>
        <v>555</v>
      </c>
      <c r="E10" s="25">
        <f>MRP_LeadTimes!D$15*$B10</f>
        <v>555</v>
      </c>
      <c r="F10" s="25">
        <f>MRP_LeadTimes!E$15*$B10</f>
        <v>555</v>
      </c>
      <c r="G10" s="25">
        <f>MRP_LeadTimes!F$15*$B10</f>
        <v>555</v>
      </c>
      <c r="H10" s="25">
        <f>MRP_LeadTimes!G$15*$B10</f>
        <v>555</v>
      </c>
      <c r="I10" s="25">
        <f>MRP_LeadTimes!H$15*$B10</f>
        <v>555</v>
      </c>
      <c r="J10" s="25">
        <f>MRP_LeadTimes!I$15*$B10</f>
        <v>0</v>
      </c>
      <c r="K10" s="26">
        <f t="shared" si="0"/>
        <v>3885</v>
      </c>
    </row>
    <row r="11" spans="1:12" ht="15" customHeight="1" x14ac:dyDescent="0.3">
      <c r="A11" s="9" t="s">
        <v>26</v>
      </c>
      <c r="B11" s="24">
        <f>_xlfn.XLOOKUP(A11,Inputs!$A$22:$A$30,Inputs!$B$22:$B$30)</f>
        <v>0.6</v>
      </c>
      <c r="C11" s="25">
        <f>MRP_LeadTimes!B$15*$B11</f>
        <v>1110</v>
      </c>
      <c r="D11" s="25">
        <f>MRP_LeadTimes!C$15*$B11</f>
        <v>1110</v>
      </c>
      <c r="E11" s="25">
        <f>MRP_LeadTimes!D$15*$B11</f>
        <v>1110</v>
      </c>
      <c r="F11" s="25">
        <f>MRP_LeadTimes!E$15*$B11</f>
        <v>1110</v>
      </c>
      <c r="G11" s="25">
        <f>MRP_LeadTimes!F$15*$B11</f>
        <v>1110</v>
      </c>
      <c r="H11" s="25">
        <f>MRP_LeadTimes!G$15*$B11</f>
        <v>1110</v>
      </c>
      <c r="I11" s="25">
        <f>MRP_LeadTimes!H$15*$B11</f>
        <v>1110</v>
      </c>
      <c r="J11" s="25">
        <f>MRP_LeadTimes!I$15*$B11</f>
        <v>0</v>
      </c>
      <c r="K11" s="26">
        <f t="shared" si="0"/>
        <v>7770</v>
      </c>
    </row>
    <row r="12" spans="1:12" ht="15" customHeight="1" x14ac:dyDescent="0.3">
      <c r="A12" s="9" t="s">
        <v>27</v>
      </c>
      <c r="B12" s="24">
        <f>_xlfn.XLOOKUP(A12,Inputs!$A$22:$A$30,Inputs!$B$22:$B$30)</f>
        <v>2</v>
      </c>
      <c r="C12" s="25">
        <f>MRP_LeadTimes!B$15*$B12</f>
        <v>3700</v>
      </c>
      <c r="D12" s="25">
        <f>MRP_LeadTimes!C$15*$B12</f>
        <v>3700</v>
      </c>
      <c r="E12" s="25">
        <f>MRP_LeadTimes!D$15*$B12</f>
        <v>3700</v>
      </c>
      <c r="F12" s="25">
        <f>MRP_LeadTimes!E$15*$B12</f>
        <v>3700</v>
      </c>
      <c r="G12" s="25">
        <f>MRP_LeadTimes!F$15*$B12</f>
        <v>3700</v>
      </c>
      <c r="H12" s="25">
        <f>MRP_LeadTimes!G$15*$B12</f>
        <v>3700</v>
      </c>
      <c r="I12" s="25">
        <f>MRP_LeadTimes!H$15*$B12</f>
        <v>3700</v>
      </c>
      <c r="J12" s="25">
        <f>MRP_LeadTimes!I$15*$B12</f>
        <v>0</v>
      </c>
      <c r="K12" s="26">
        <f t="shared" si="0"/>
        <v>25900</v>
      </c>
    </row>
    <row r="13" spans="1:12" ht="15" customHeight="1" x14ac:dyDescent="0.3">
      <c r="A13" s="9" t="s">
        <v>28</v>
      </c>
      <c r="B13" s="24">
        <f>_xlfn.XLOOKUP(A13,Inputs!$A$22:$A$30,Inputs!$B$22:$B$30)</f>
        <v>0.75</v>
      </c>
      <c r="C13" s="25">
        <f>MRP_LeadTimes!B$15*$B13</f>
        <v>1387.5</v>
      </c>
      <c r="D13" s="25">
        <f>MRP_LeadTimes!C$15*$B13</f>
        <v>1387.5</v>
      </c>
      <c r="E13" s="25">
        <f>MRP_LeadTimes!D$15*$B13</f>
        <v>1387.5</v>
      </c>
      <c r="F13" s="25">
        <f>MRP_LeadTimes!E$15*$B13</f>
        <v>1387.5</v>
      </c>
      <c r="G13" s="25">
        <f>MRP_LeadTimes!F$15*$B13</f>
        <v>1387.5</v>
      </c>
      <c r="H13" s="25">
        <f>MRP_LeadTimes!G$15*$B13</f>
        <v>1387.5</v>
      </c>
      <c r="I13" s="25">
        <f>MRP_LeadTimes!H$15*$B13</f>
        <v>1387.5</v>
      </c>
      <c r="J13" s="25">
        <f>MRP_LeadTimes!I$15*$B13</f>
        <v>0</v>
      </c>
      <c r="K13" s="26">
        <f t="shared" si="0"/>
        <v>9712.5</v>
      </c>
    </row>
    <row r="15" spans="1:12" ht="15" customHeight="1" x14ac:dyDescent="0.3">
      <c r="A15" s="83" t="s">
        <v>96</v>
      </c>
      <c r="B15" s="83"/>
      <c r="C15" s="27">
        <f>MRP_LeadTimes!B$14</f>
        <v>1850</v>
      </c>
      <c r="D15" s="27">
        <f>MRP_LeadTimes!C$14</f>
        <v>1850</v>
      </c>
      <c r="E15" s="27">
        <f>MRP_LeadTimes!D$14</f>
        <v>1850</v>
      </c>
      <c r="F15" s="27">
        <f>MRP_LeadTimes!E$14</f>
        <v>1850</v>
      </c>
      <c r="G15" s="27">
        <f>MRP_LeadTimes!F$14</f>
        <v>1850</v>
      </c>
      <c r="H15" s="27">
        <f>MRP_LeadTimes!G$14</f>
        <v>1850</v>
      </c>
      <c r="I15" s="27">
        <f>MRP_LeadTimes!H$14</f>
        <v>1850</v>
      </c>
      <c r="J15" s="27">
        <f>Inputs!I6</f>
        <v>1850</v>
      </c>
      <c r="K15" s="26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>
      <selection activeCell="I12" sqref="I12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76" t="s">
        <v>97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1" ht="15" customHeight="1" x14ac:dyDescent="0.3">
      <c r="A2" s="81" t="s">
        <v>98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3" spans="1:11" ht="15" customHeight="1" x14ac:dyDescent="0.3">
      <c r="A3" s="84" t="s">
        <v>99</v>
      </c>
      <c r="B3" s="84"/>
      <c r="C3" s="84"/>
      <c r="D3" s="84"/>
      <c r="E3" s="84"/>
      <c r="F3" s="84"/>
      <c r="G3" s="84"/>
      <c r="H3" s="84"/>
      <c r="I3" s="84"/>
      <c r="J3" s="84"/>
      <c r="K3" s="84"/>
    </row>
    <row r="5" spans="1:11" ht="15" customHeight="1" x14ac:dyDescent="0.3">
      <c r="A5" s="78" t="s">
        <v>19</v>
      </c>
      <c r="B5" s="78"/>
      <c r="C5" s="78"/>
      <c r="D5" s="78"/>
      <c r="E5" s="78"/>
      <c r="F5" s="78"/>
      <c r="G5" s="78"/>
      <c r="H5" s="78"/>
      <c r="I5" s="78"/>
      <c r="J5" s="78"/>
      <c r="K5" s="78"/>
    </row>
    <row r="6" spans="1:11" ht="15" customHeight="1" x14ac:dyDescent="0.3">
      <c r="A6" s="4" t="s">
        <v>100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101</v>
      </c>
      <c r="B7" s="28">
        <f>Multi_Planta!D6</f>
        <v>4512</v>
      </c>
      <c r="C7" s="21">
        <f t="shared" ref="C7:I7" si="0">B10</f>
        <v>2662</v>
      </c>
      <c r="D7" s="21">
        <f t="shared" si="0"/>
        <v>812</v>
      </c>
      <c r="E7" s="21">
        <f t="shared" si="0"/>
        <v>-1038</v>
      </c>
      <c r="F7" s="21">
        <f t="shared" si="0"/>
        <v>-2888</v>
      </c>
      <c r="G7" s="21">
        <f t="shared" si="0"/>
        <v>-2888</v>
      </c>
      <c r="H7" s="21">
        <f t="shared" si="0"/>
        <v>-2888</v>
      </c>
      <c r="I7" s="21">
        <f t="shared" si="0"/>
        <v>-2888</v>
      </c>
    </row>
    <row r="8" spans="1:11" ht="15" customHeight="1" x14ac:dyDescent="0.3">
      <c r="A8" s="9" t="s">
        <v>102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103</v>
      </c>
      <c r="B9" s="28">
        <f>BOM_Consumo!C6</f>
        <v>1850</v>
      </c>
      <c r="C9" s="28">
        <f>BOM_Consumo!D6</f>
        <v>1850</v>
      </c>
      <c r="D9" s="28">
        <f>BOM_Consumo!E6</f>
        <v>1850</v>
      </c>
      <c r="E9" s="28">
        <f>BOM_Consumo!F6</f>
        <v>1850</v>
      </c>
      <c r="F9" s="28">
        <f>BOM_Consumo!G6</f>
        <v>0</v>
      </c>
      <c r="G9" s="28">
        <f>BOM_Consumo!H6</f>
        <v>0</v>
      </c>
      <c r="H9" s="28">
        <f>BOM_Consumo!I6</f>
        <v>0</v>
      </c>
      <c r="I9" s="28">
        <f>BOM_Consumo!J6</f>
        <v>0</v>
      </c>
    </row>
    <row r="10" spans="1:11" ht="15" customHeight="1" x14ac:dyDescent="0.3">
      <c r="A10" s="5" t="s">
        <v>104</v>
      </c>
      <c r="B10" s="26">
        <f t="shared" ref="B10:I10" si="1">B7+B8-B9</f>
        <v>2662</v>
      </c>
      <c r="C10" s="26">
        <f t="shared" si="1"/>
        <v>812</v>
      </c>
      <c r="D10" s="26">
        <f t="shared" si="1"/>
        <v>-1038</v>
      </c>
      <c r="E10" s="26">
        <f t="shared" si="1"/>
        <v>-2888</v>
      </c>
      <c r="F10" s="26">
        <f t="shared" si="1"/>
        <v>-2888</v>
      </c>
      <c r="G10" s="26">
        <f t="shared" si="1"/>
        <v>-2888</v>
      </c>
      <c r="H10" s="26">
        <f t="shared" si="1"/>
        <v>-2888</v>
      </c>
      <c r="I10" s="26">
        <f t="shared" si="1"/>
        <v>-2888</v>
      </c>
    </row>
    <row r="11" spans="1:11" ht="15" customHeight="1" x14ac:dyDescent="0.3">
      <c r="A11" s="78" t="s">
        <v>22</v>
      </c>
      <c r="B11" s="78"/>
      <c r="C11" s="78"/>
      <c r="D11" s="78"/>
      <c r="E11" s="78"/>
      <c r="F11" s="78"/>
      <c r="G11" s="78"/>
      <c r="H11" s="78"/>
      <c r="I11" s="78"/>
      <c r="J11" s="78"/>
      <c r="K11" s="78"/>
    </row>
    <row r="12" spans="1:11" ht="15" customHeight="1" x14ac:dyDescent="0.3">
      <c r="A12" s="4" t="s">
        <v>100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101</v>
      </c>
      <c r="B13" s="28">
        <f>Multi_Planta!D7</f>
        <v>1058</v>
      </c>
      <c r="C13" s="21">
        <f t="shared" ref="C13:I13" si="2">B16</f>
        <v>688</v>
      </c>
      <c r="D13" s="21">
        <f t="shared" si="2"/>
        <v>318</v>
      </c>
      <c r="E13" s="21">
        <f t="shared" si="2"/>
        <v>-52</v>
      </c>
      <c r="F13" s="21">
        <f t="shared" si="2"/>
        <v>-422</v>
      </c>
      <c r="G13" s="21">
        <f t="shared" si="2"/>
        <v>-792</v>
      </c>
      <c r="H13" s="21">
        <f t="shared" si="2"/>
        <v>-792</v>
      </c>
      <c r="I13" s="21">
        <f t="shared" si="2"/>
        <v>-792</v>
      </c>
    </row>
    <row r="14" spans="1:11" ht="15" customHeight="1" x14ac:dyDescent="0.3">
      <c r="A14" s="9" t="s">
        <v>102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103</v>
      </c>
      <c r="B15" s="28">
        <f>BOM_Consumo!C7</f>
        <v>370</v>
      </c>
      <c r="C15" s="28">
        <f>BOM_Consumo!D7</f>
        <v>370</v>
      </c>
      <c r="D15" s="28">
        <f>BOM_Consumo!E7</f>
        <v>370</v>
      </c>
      <c r="E15" s="28">
        <f>BOM_Consumo!F7</f>
        <v>370</v>
      </c>
      <c r="F15" s="28">
        <f>BOM_Consumo!G7</f>
        <v>370</v>
      </c>
      <c r="G15" s="28">
        <f>BOM_Consumo!H7</f>
        <v>0</v>
      </c>
      <c r="H15" s="28">
        <f>BOM_Consumo!I7</f>
        <v>0</v>
      </c>
      <c r="I15" s="28">
        <f>BOM_Consumo!J7</f>
        <v>0</v>
      </c>
    </row>
    <row r="16" spans="1:11" ht="15" customHeight="1" x14ac:dyDescent="0.3">
      <c r="A16" s="5" t="s">
        <v>104</v>
      </c>
      <c r="B16" s="26">
        <f t="shared" ref="B16:I16" si="3">B13+B14-B15</f>
        <v>688</v>
      </c>
      <c r="C16" s="26">
        <f t="shared" si="3"/>
        <v>318</v>
      </c>
      <c r="D16" s="26">
        <f t="shared" si="3"/>
        <v>-52</v>
      </c>
      <c r="E16" s="26">
        <f t="shared" si="3"/>
        <v>-422</v>
      </c>
      <c r="F16" s="26">
        <f t="shared" si="3"/>
        <v>-792</v>
      </c>
      <c r="G16" s="26">
        <f t="shared" si="3"/>
        <v>-792</v>
      </c>
      <c r="H16" s="26">
        <f t="shared" si="3"/>
        <v>-792</v>
      </c>
      <c r="I16" s="26">
        <f t="shared" si="3"/>
        <v>-792</v>
      </c>
    </row>
    <row r="17" spans="1:11" ht="15" customHeight="1" x14ac:dyDescent="0.3">
      <c r="A17" s="78" t="s">
        <v>23</v>
      </c>
      <c r="B17" s="78"/>
      <c r="C17" s="78"/>
      <c r="D17" s="78"/>
      <c r="E17" s="78"/>
      <c r="F17" s="78"/>
      <c r="G17" s="78"/>
      <c r="H17" s="78"/>
      <c r="I17" s="78"/>
      <c r="J17" s="78"/>
      <c r="K17" s="78"/>
    </row>
    <row r="18" spans="1:11" ht="15" customHeight="1" x14ac:dyDescent="0.3">
      <c r="A18" s="4" t="s">
        <v>100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101</v>
      </c>
      <c r="B19" s="28">
        <f>Multi_Planta!D8</f>
        <v>130</v>
      </c>
      <c r="C19" s="21">
        <f t="shared" ref="C19:I19" si="4">B22</f>
        <v>111.5</v>
      </c>
      <c r="D19" s="21">
        <f t="shared" si="4"/>
        <v>93</v>
      </c>
      <c r="E19" s="21">
        <f t="shared" si="4"/>
        <v>74.5</v>
      </c>
      <c r="F19" s="21">
        <f t="shared" si="4"/>
        <v>56</v>
      </c>
      <c r="G19" s="21">
        <f t="shared" si="4"/>
        <v>37.5</v>
      </c>
      <c r="H19" s="21">
        <f t="shared" si="4"/>
        <v>19</v>
      </c>
      <c r="I19" s="21">
        <f t="shared" si="4"/>
        <v>0.5</v>
      </c>
    </row>
    <row r="20" spans="1:11" ht="15" customHeight="1" x14ac:dyDescent="0.3">
      <c r="A20" s="9" t="s">
        <v>102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103</v>
      </c>
      <c r="B21" s="28">
        <f>BOM_Consumo!C8</f>
        <v>18.5</v>
      </c>
      <c r="C21" s="28">
        <f>BOM_Consumo!D8</f>
        <v>18.5</v>
      </c>
      <c r="D21" s="28">
        <f>BOM_Consumo!E8</f>
        <v>18.5</v>
      </c>
      <c r="E21" s="28">
        <f>BOM_Consumo!F8</f>
        <v>18.5</v>
      </c>
      <c r="F21" s="28">
        <f>BOM_Consumo!G8</f>
        <v>18.5</v>
      </c>
      <c r="G21" s="28">
        <f>BOM_Consumo!H8</f>
        <v>18.5</v>
      </c>
      <c r="H21" s="28">
        <f>BOM_Consumo!I8</f>
        <v>18.5</v>
      </c>
      <c r="I21" s="28">
        <f>BOM_Consumo!J8</f>
        <v>0</v>
      </c>
    </row>
    <row r="22" spans="1:11" ht="15" customHeight="1" x14ac:dyDescent="0.3">
      <c r="A22" s="5" t="s">
        <v>104</v>
      </c>
      <c r="B22" s="26">
        <f t="shared" ref="B22:I22" si="5">B19+B20-B21</f>
        <v>111.5</v>
      </c>
      <c r="C22" s="26">
        <f t="shared" si="5"/>
        <v>93</v>
      </c>
      <c r="D22" s="26">
        <f t="shared" si="5"/>
        <v>74.5</v>
      </c>
      <c r="E22" s="26">
        <f t="shared" si="5"/>
        <v>56</v>
      </c>
      <c r="F22" s="26">
        <f t="shared" si="5"/>
        <v>37.5</v>
      </c>
      <c r="G22" s="26">
        <f t="shared" si="5"/>
        <v>19</v>
      </c>
      <c r="H22" s="26">
        <f t="shared" si="5"/>
        <v>0.5</v>
      </c>
      <c r="I22" s="26">
        <f t="shared" si="5"/>
        <v>0.5</v>
      </c>
    </row>
    <row r="23" spans="1:11" ht="15" customHeight="1" x14ac:dyDescent="0.3">
      <c r="A23" s="78" t="s">
        <v>24</v>
      </c>
      <c r="B23" s="78"/>
      <c r="C23" s="78"/>
      <c r="D23" s="78"/>
      <c r="E23" s="78"/>
      <c r="F23" s="78"/>
      <c r="G23" s="78"/>
      <c r="H23" s="78"/>
      <c r="I23" s="78"/>
      <c r="J23" s="78"/>
      <c r="K23" s="78"/>
    </row>
    <row r="24" spans="1:11" ht="15" customHeight="1" x14ac:dyDescent="0.3">
      <c r="A24" s="4" t="s">
        <v>100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101</v>
      </c>
      <c r="B25" s="28">
        <f>Multi_Planta!D9</f>
        <v>5268</v>
      </c>
      <c r="C25" s="21">
        <f t="shared" ref="C25:I25" si="6">B28</f>
        <v>-9532</v>
      </c>
      <c r="D25" s="21">
        <f t="shared" si="6"/>
        <v>-24332</v>
      </c>
      <c r="E25" s="21">
        <f t="shared" si="6"/>
        <v>-39132</v>
      </c>
      <c r="F25" s="21">
        <f t="shared" si="6"/>
        <v>-53932</v>
      </c>
      <c r="G25" s="21">
        <f t="shared" si="6"/>
        <v>-68732</v>
      </c>
      <c r="H25" s="21">
        <f t="shared" si="6"/>
        <v>-83532</v>
      </c>
      <c r="I25" s="21">
        <f t="shared" si="6"/>
        <v>-98332</v>
      </c>
    </row>
    <row r="26" spans="1:11" ht="15" customHeight="1" x14ac:dyDescent="0.3">
      <c r="A26" s="9" t="s">
        <v>102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103</v>
      </c>
      <c r="B27" s="28">
        <f>BOM_Consumo!C9</f>
        <v>14800</v>
      </c>
      <c r="C27" s="28">
        <f>BOM_Consumo!D9</f>
        <v>14800</v>
      </c>
      <c r="D27" s="28">
        <f>BOM_Consumo!E9</f>
        <v>14800</v>
      </c>
      <c r="E27" s="28">
        <f>BOM_Consumo!F9</f>
        <v>14800</v>
      </c>
      <c r="F27" s="28">
        <f>BOM_Consumo!G9</f>
        <v>14800</v>
      </c>
      <c r="G27" s="28">
        <f>BOM_Consumo!H9</f>
        <v>14800</v>
      </c>
      <c r="H27" s="28">
        <f>BOM_Consumo!I9</f>
        <v>14800</v>
      </c>
      <c r="I27" s="28">
        <f>BOM_Consumo!J9</f>
        <v>0</v>
      </c>
    </row>
    <row r="28" spans="1:11" ht="15" customHeight="1" x14ac:dyDescent="0.3">
      <c r="A28" s="5" t="s">
        <v>104</v>
      </c>
      <c r="B28" s="26">
        <f t="shared" ref="B28:I28" si="7">B25+B26-B27</f>
        <v>-9532</v>
      </c>
      <c r="C28" s="26">
        <f t="shared" si="7"/>
        <v>-24332</v>
      </c>
      <c r="D28" s="26">
        <f t="shared" si="7"/>
        <v>-39132</v>
      </c>
      <c r="E28" s="26">
        <f t="shared" si="7"/>
        <v>-53932</v>
      </c>
      <c r="F28" s="26">
        <f t="shared" si="7"/>
        <v>-68732</v>
      </c>
      <c r="G28" s="26">
        <f t="shared" si="7"/>
        <v>-83532</v>
      </c>
      <c r="H28" s="26">
        <f t="shared" si="7"/>
        <v>-98332</v>
      </c>
      <c r="I28" s="26">
        <f t="shared" si="7"/>
        <v>-98332</v>
      </c>
    </row>
    <row r="29" spans="1:11" ht="15" customHeight="1" x14ac:dyDescent="0.3">
      <c r="A29" s="78" t="s">
        <v>25</v>
      </c>
      <c r="B29" s="78"/>
      <c r="C29" s="78"/>
      <c r="D29" s="78"/>
      <c r="E29" s="78"/>
      <c r="F29" s="78"/>
      <c r="G29" s="78"/>
      <c r="H29" s="78"/>
      <c r="I29" s="78"/>
      <c r="J29" s="78"/>
      <c r="K29" s="78"/>
    </row>
    <row r="30" spans="1:11" ht="15" customHeight="1" x14ac:dyDescent="0.3">
      <c r="A30" s="4" t="s">
        <v>100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101</v>
      </c>
      <c r="B31" s="28">
        <f>Multi_Planta!D10</f>
        <v>4333</v>
      </c>
      <c r="C31" s="21">
        <f t="shared" ref="C31:I31" si="8">B34</f>
        <v>3778</v>
      </c>
      <c r="D31" s="21">
        <f t="shared" si="8"/>
        <v>3223</v>
      </c>
      <c r="E31" s="21">
        <f t="shared" si="8"/>
        <v>2668</v>
      </c>
      <c r="F31" s="21">
        <f t="shared" si="8"/>
        <v>2113</v>
      </c>
      <c r="G31" s="21">
        <f t="shared" si="8"/>
        <v>1558</v>
      </c>
      <c r="H31" s="21">
        <f t="shared" si="8"/>
        <v>1003</v>
      </c>
      <c r="I31" s="21">
        <f t="shared" si="8"/>
        <v>448</v>
      </c>
    </row>
    <row r="32" spans="1:11" ht="15" customHeight="1" x14ac:dyDescent="0.3">
      <c r="A32" s="9" t="s">
        <v>102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103</v>
      </c>
      <c r="B33" s="28">
        <f>BOM_Consumo!C10</f>
        <v>555</v>
      </c>
      <c r="C33" s="28">
        <f>BOM_Consumo!D10</f>
        <v>555</v>
      </c>
      <c r="D33" s="28">
        <f>BOM_Consumo!E10</f>
        <v>555</v>
      </c>
      <c r="E33" s="28">
        <f>BOM_Consumo!F10</f>
        <v>555</v>
      </c>
      <c r="F33" s="28">
        <f>BOM_Consumo!G10</f>
        <v>555</v>
      </c>
      <c r="G33" s="28">
        <f>BOM_Consumo!H10</f>
        <v>555</v>
      </c>
      <c r="H33" s="28">
        <f>BOM_Consumo!I10</f>
        <v>555</v>
      </c>
      <c r="I33" s="28">
        <f>BOM_Consumo!J10</f>
        <v>0</v>
      </c>
    </row>
    <row r="34" spans="1:11" ht="15" customHeight="1" x14ac:dyDescent="0.3">
      <c r="A34" s="5" t="s">
        <v>104</v>
      </c>
      <c r="B34" s="26">
        <f t="shared" ref="B34:I34" si="9">B31+B32-B33</f>
        <v>3778</v>
      </c>
      <c r="C34" s="26">
        <f t="shared" si="9"/>
        <v>3223</v>
      </c>
      <c r="D34" s="26">
        <f t="shared" si="9"/>
        <v>2668</v>
      </c>
      <c r="E34" s="26">
        <f t="shared" si="9"/>
        <v>2113</v>
      </c>
      <c r="F34" s="26">
        <f t="shared" si="9"/>
        <v>1558</v>
      </c>
      <c r="G34" s="26">
        <f t="shared" si="9"/>
        <v>1003</v>
      </c>
      <c r="H34" s="26">
        <f t="shared" si="9"/>
        <v>448</v>
      </c>
      <c r="I34" s="26">
        <f t="shared" si="9"/>
        <v>448</v>
      </c>
    </row>
    <row r="35" spans="1:11" ht="15" customHeight="1" x14ac:dyDescent="0.3">
      <c r="A35" s="78" t="s">
        <v>26</v>
      </c>
      <c r="B35" s="78"/>
      <c r="C35" s="78"/>
      <c r="D35" s="78"/>
      <c r="E35" s="78"/>
      <c r="F35" s="78"/>
      <c r="G35" s="78"/>
      <c r="H35" s="78"/>
      <c r="I35" s="78"/>
      <c r="J35" s="78"/>
      <c r="K35" s="78"/>
    </row>
    <row r="36" spans="1:11" ht="15" customHeight="1" x14ac:dyDescent="0.3">
      <c r="A36" s="4" t="s">
        <v>100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101</v>
      </c>
      <c r="B37" s="28">
        <f>Multi_Planta!D11</f>
        <v>8487</v>
      </c>
      <c r="C37" s="21">
        <f t="shared" ref="C37:I37" si="10">B40</f>
        <v>7377</v>
      </c>
      <c r="D37" s="21">
        <f t="shared" si="10"/>
        <v>6267</v>
      </c>
      <c r="E37" s="21">
        <f t="shared" si="10"/>
        <v>5157</v>
      </c>
      <c r="F37" s="21">
        <f t="shared" si="10"/>
        <v>4047</v>
      </c>
      <c r="G37" s="21">
        <f t="shared" si="10"/>
        <v>2937</v>
      </c>
      <c r="H37" s="21">
        <f t="shared" si="10"/>
        <v>1827</v>
      </c>
      <c r="I37" s="21">
        <f t="shared" si="10"/>
        <v>717</v>
      </c>
    </row>
    <row r="38" spans="1:11" ht="15" customHeight="1" x14ac:dyDescent="0.3">
      <c r="A38" s="9" t="s">
        <v>102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103</v>
      </c>
      <c r="B39" s="28">
        <f>BOM_Consumo!C11</f>
        <v>1110</v>
      </c>
      <c r="C39" s="28">
        <f>BOM_Consumo!D11</f>
        <v>1110</v>
      </c>
      <c r="D39" s="28">
        <f>BOM_Consumo!E11</f>
        <v>1110</v>
      </c>
      <c r="E39" s="28">
        <f>BOM_Consumo!F11</f>
        <v>1110</v>
      </c>
      <c r="F39" s="28">
        <f>BOM_Consumo!G11</f>
        <v>1110</v>
      </c>
      <c r="G39" s="28">
        <f>BOM_Consumo!H11</f>
        <v>1110</v>
      </c>
      <c r="H39" s="28">
        <f>BOM_Consumo!I11</f>
        <v>1110</v>
      </c>
      <c r="I39" s="28">
        <f>BOM_Consumo!J11</f>
        <v>0</v>
      </c>
    </row>
    <row r="40" spans="1:11" ht="15" customHeight="1" x14ac:dyDescent="0.3">
      <c r="A40" s="5" t="s">
        <v>104</v>
      </c>
      <c r="B40" s="26">
        <f t="shared" ref="B40:I40" si="11">B37+B38-B39</f>
        <v>7377</v>
      </c>
      <c r="C40" s="26">
        <f t="shared" si="11"/>
        <v>6267</v>
      </c>
      <c r="D40" s="26">
        <f t="shared" si="11"/>
        <v>5157</v>
      </c>
      <c r="E40" s="26">
        <f t="shared" si="11"/>
        <v>4047</v>
      </c>
      <c r="F40" s="26">
        <f t="shared" si="11"/>
        <v>2937</v>
      </c>
      <c r="G40" s="26">
        <f t="shared" si="11"/>
        <v>1827</v>
      </c>
      <c r="H40" s="26">
        <f t="shared" si="11"/>
        <v>717</v>
      </c>
      <c r="I40" s="26">
        <f t="shared" si="11"/>
        <v>717</v>
      </c>
    </row>
    <row r="41" spans="1:11" ht="15" customHeight="1" x14ac:dyDescent="0.3">
      <c r="A41" s="78" t="s">
        <v>27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</row>
    <row r="42" spans="1:11" ht="15" customHeight="1" x14ac:dyDescent="0.3">
      <c r="A42" s="4" t="s">
        <v>100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101</v>
      </c>
      <c r="B43" s="28">
        <f>Multi_Planta!D12</f>
        <v>23192</v>
      </c>
      <c r="C43" s="21">
        <f t="shared" ref="C43:I43" si="12">B46</f>
        <v>19492</v>
      </c>
      <c r="D43" s="21">
        <f t="shared" si="12"/>
        <v>15792</v>
      </c>
      <c r="E43" s="21">
        <f t="shared" si="12"/>
        <v>12092</v>
      </c>
      <c r="F43" s="21">
        <f t="shared" si="12"/>
        <v>8392</v>
      </c>
      <c r="G43" s="21">
        <f t="shared" si="12"/>
        <v>4692</v>
      </c>
      <c r="H43" s="21">
        <f t="shared" si="12"/>
        <v>992</v>
      </c>
      <c r="I43" s="21">
        <f t="shared" si="12"/>
        <v>-2708</v>
      </c>
    </row>
    <row r="44" spans="1:11" ht="15" customHeight="1" x14ac:dyDescent="0.3">
      <c r="A44" s="9" t="s">
        <v>102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103</v>
      </c>
      <c r="B45" s="28">
        <f>BOM_Consumo!C12</f>
        <v>3700</v>
      </c>
      <c r="C45" s="28">
        <f>BOM_Consumo!D12</f>
        <v>3700</v>
      </c>
      <c r="D45" s="28">
        <f>BOM_Consumo!E12</f>
        <v>3700</v>
      </c>
      <c r="E45" s="28">
        <f>BOM_Consumo!F12</f>
        <v>3700</v>
      </c>
      <c r="F45" s="28">
        <f>BOM_Consumo!G12</f>
        <v>3700</v>
      </c>
      <c r="G45" s="28">
        <f>BOM_Consumo!H12</f>
        <v>3700</v>
      </c>
      <c r="H45" s="28">
        <f>BOM_Consumo!I12</f>
        <v>3700</v>
      </c>
      <c r="I45" s="28">
        <f>BOM_Consumo!J12</f>
        <v>0</v>
      </c>
    </row>
    <row r="46" spans="1:11" ht="15" customHeight="1" x14ac:dyDescent="0.3">
      <c r="A46" s="5" t="s">
        <v>104</v>
      </c>
      <c r="B46" s="26">
        <f t="shared" ref="B46:I46" si="13">B43+B44-B45</f>
        <v>19492</v>
      </c>
      <c r="C46" s="26">
        <f t="shared" si="13"/>
        <v>15792</v>
      </c>
      <c r="D46" s="26">
        <f t="shared" si="13"/>
        <v>12092</v>
      </c>
      <c r="E46" s="26">
        <f t="shared" si="13"/>
        <v>8392</v>
      </c>
      <c r="F46" s="26">
        <f t="shared" si="13"/>
        <v>4692</v>
      </c>
      <c r="G46" s="26">
        <f t="shared" si="13"/>
        <v>992</v>
      </c>
      <c r="H46" s="26">
        <f t="shared" si="13"/>
        <v>-2708</v>
      </c>
      <c r="I46" s="26">
        <f t="shared" si="13"/>
        <v>-2708</v>
      </c>
    </row>
    <row r="47" spans="1:11" ht="15" customHeight="1" x14ac:dyDescent="0.3">
      <c r="A47" s="78" t="s">
        <v>28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</row>
    <row r="48" spans="1:11" ht="15" customHeight="1" x14ac:dyDescent="0.3">
      <c r="A48" s="4" t="s">
        <v>100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101</v>
      </c>
      <c r="B49" s="28">
        <f>Multi_Planta!D13</f>
        <v>6035</v>
      </c>
      <c r="C49" s="21">
        <f t="shared" ref="C49:I49" si="14">B$52</f>
        <v>4647.5</v>
      </c>
      <c r="D49" s="21">
        <f t="shared" si="14"/>
        <v>3260</v>
      </c>
      <c r="E49" s="21">
        <f t="shared" si="14"/>
        <v>1872.5</v>
      </c>
      <c r="F49" s="21">
        <f t="shared" si="14"/>
        <v>485</v>
      </c>
      <c r="G49" s="21">
        <f t="shared" si="14"/>
        <v>-902.5</v>
      </c>
      <c r="H49" s="21">
        <f t="shared" si="14"/>
        <v>-2290</v>
      </c>
      <c r="I49" s="21">
        <f t="shared" si="14"/>
        <v>-3677.5</v>
      </c>
    </row>
    <row r="50" spans="1:10" ht="15" customHeight="1" x14ac:dyDescent="0.3">
      <c r="A50" s="9" t="s">
        <v>102</v>
      </c>
      <c r="B50" s="28">
        <v>0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</row>
    <row r="51" spans="1:10" ht="15" customHeight="1" x14ac:dyDescent="0.3">
      <c r="A51" s="9" t="s">
        <v>103</v>
      </c>
      <c r="B51" s="28">
        <f>BOM_Consumo!C$13</f>
        <v>1387.5</v>
      </c>
      <c r="C51" s="21">
        <f>BOM_Consumo!D$13</f>
        <v>1387.5</v>
      </c>
      <c r="D51" s="21">
        <f>BOM_Consumo!E$13</f>
        <v>1387.5</v>
      </c>
      <c r="E51" s="21">
        <f>BOM_Consumo!F$13</f>
        <v>1387.5</v>
      </c>
      <c r="F51" s="21">
        <f>BOM_Consumo!G$13</f>
        <v>1387.5</v>
      </c>
      <c r="G51" s="21">
        <f>BOM_Consumo!H$13</f>
        <v>1387.5</v>
      </c>
      <c r="H51" s="21">
        <f>BOM_Consumo!I$13</f>
        <v>1387.5</v>
      </c>
      <c r="I51" s="21">
        <f>BOM_Consumo!J$13</f>
        <v>0</v>
      </c>
    </row>
    <row r="52" spans="1:10" ht="15" customHeight="1" x14ac:dyDescent="0.3">
      <c r="A52" s="9" t="s">
        <v>104</v>
      </c>
      <c r="B52" s="28">
        <f t="shared" ref="B52:I52" si="15">B$49+B$50-B$51</f>
        <v>4647.5</v>
      </c>
      <c r="C52" s="21">
        <f t="shared" si="15"/>
        <v>3260</v>
      </c>
      <c r="D52" s="21">
        <f t="shared" si="15"/>
        <v>1872.5</v>
      </c>
      <c r="E52" s="21">
        <f t="shared" si="15"/>
        <v>485</v>
      </c>
      <c r="F52" s="21">
        <f t="shared" si="15"/>
        <v>-902.5</v>
      </c>
      <c r="G52" s="21">
        <f t="shared" si="15"/>
        <v>-2290</v>
      </c>
      <c r="H52" s="21">
        <f t="shared" si="15"/>
        <v>-3677.5</v>
      </c>
      <c r="I52" s="21">
        <f t="shared" si="15"/>
        <v>-3677.5</v>
      </c>
    </row>
    <row r="53" spans="1:10" ht="15" customHeight="1" x14ac:dyDescent="0.3">
      <c r="A53" s="79" t="s">
        <v>105</v>
      </c>
      <c r="B53" s="79"/>
      <c r="C53" s="79"/>
      <c r="D53" s="79"/>
      <c r="E53" s="79"/>
      <c r="F53" s="79"/>
      <c r="G53" s="79"/>
      <c r="H53" s="79"/>
      <c r="I53" s="79"/>
      <c r="J53" s="79"/>
    </row>
    <row r="54" spans="1:10" ht="15" customHeight="1" x14ac:dyDescent="0.3">
      <c r="A54" s="8" t="s">
        <v>15</v>
      </c>
      <c r="B54" s="29" t="s">
        <v>4</v>
      </c>
      <c r="C54" s="29" t="s">
        <v>5</v>
      </c>
      <c r="D54" s="29" t="s">
        <v>6</v>
      </c>
      <c r="E54" s="29" t="s">
        <v>7</v>
      </c>
      <c r="F54" s="29" t="s">
        <v>8</v>
      </c>
      <c r="G54" s="29" t="s">
        <v>9</v>
      </c>
      <c r="H54" s="29" t="s">
        <v>10</v>
      </c>
      <c r="I54" s="29" t="s">
        <v>11</v>
      </c>
      <c r="J54" s="8" t="s">
        <v>106</v>
      </c>
    </row>
    <row r="55" spans="1:10" ht="15" customHeight="1" x14ac:dyDescent="0.3">
      <c r="A55" s="5" t="s">
        <v>19</v>
      </c>
      <c r="B55" s="26" t="str">
        <f>IF(B9&lt;Inputs!D92,"⚠ RIESGO","OK")</f>
        <v>OK</v>
      </c>
      <c r="C55" s="26" t="str">
        <f>IF(C9&lt;Inputs!D92,"⚠ RIESGO","OK")</f>
        <v>OK</v>
      </c>
      <c r="D55" s="26" t="str">
        <f>IF(D9&lt;Inputs!D92,"⚠ RIESGO","OK")</f>
        <v>OK</v>
      </c>
      <c r="E55" s="26" t="str">
        <f>IF(E9&lt;Inputs!D92,"⚠ RIESGO","OK")</f>
        <v>OK</v>
      </c>
      <c r="F55" s="26" t="str">
        <f>IF(F9&lt;Inputs!D92,"⚠ RIESGO","OK")</f>
        <v>⚠ RIESGO</v>
      </c>
      <c r="G55" s="26" t="str">
        <f>IF(G9&lt;Inputs!D92,"⚠ RIESGO","OK")</f>
        <v>⚠ RIESGO</v>
      </c>
      <c r="H55" s="26" t="str">
        <f>IF(H9&lt;Inputs!D92,"⚠ RIESGO","OK")</f>
        <v>⚠ RIESGO</v>
      </c>
      <c r="I55" s="26" t="str">
        <f>IF(I9&lt;Inputs!D92,"⚠ RIESGO","OK")</f>
        <v>⚠ RIESGO</v>
      </c>
      <c r="J55" s="30">
        <f>MIN(B9:I9)</f>
        <v>0</v>
      </c>
    </row>
    <row r="56" spans="1:10" ht="15" customHeight="1" x14ac:dyDescent="0.3">
      <c r="A56" s="9" t="s">
        <v>22</v>
      </c>
      <c r="B56" s="22" t="str">
        <f>IF(B14&lt;Inputs!D93,"⚠ RIESGO","OK")</f>
        <v>⚠ RIESGO</v>
      </c>
      <c r="C56" s="22" t="str">
        <f>IF(C14&lt;Inputs!D93,"⚠ RIESGO","OK")</f>
        <v>⚠ RIESGO</v>
      </c>
      <c r="D56" s="22" t="str">
        <f>IF(D14&lt;Inputs!D93,"⚠ RIESGO","OK")</f>
        <v>⚠ RIESGO</v>
      </c>
      <c r="E56" s="22" t="str">
        <f>IF(E14&lt;Inputs!D93,"⚠ RIESGO","OK")</f>
        <v>⚠ RIESGO</v>
      </c>
      <c r="F56" s="22" t="str">
        <f>IF(F14&lt;Inputs!D93,"⚠ RIESGO","OK")</f>
        <v>⚠ RIESGO</v>
      </c>
      <c r="G56" s="22" t="str">
        <f>IF(G14&lt;Inputs!D93,"⚠ RIESGO","OK")</f>
        <v>⚠ RIESGO</v>
      </c>
      <c r="H56" s="22" t="str">
        <f>IF(H14&lt;Inputs!D93,"⚠ RIESGO","OK")</f>
        <v>⚠ RIESGO</v>
      </c>
      <c r="I56" s="22" t="str">
        <f>IF(I14&lt;Inputs!D93,"⚠ RIESGO","OK")</f>
        <v>⚠ RIESGO</v>
      </c>
      <c r="J56" s="30">
        <f>MIN(B14:I14)</f>
        <v>0</v>
      </c>
    </row>
    <row r="57" spans="1:10" ht="15" customHeight="1" x14ac:dyDescent="0.3">
      <c r="A57" s="9" t="s">
        <v>23</v>
      </c>
      <c r="B57" s="22" t="str">
        <f>IF(B19&lt;Inputs!D94,"⚠ RIESGO","OK")</f>
        <v>⚠ RIESGO</v>
      </c>
      <c r="C57" s="22" t="str">
        <f>IF(C19&lt;Inputs!D94,"⚠ RIESGO","OK")</f>
        <v>⚠ RIESGO</v>
      </c>
      <c r="D57" s="22" t="str">
        <f>IF(D19&lt;Inputs!D94,"⚠ RIESGO","OK")</f>
        <v>⚠ RIESGO</v>
      </c>
      <c r="E57" s="22" t="str">
        <f>IF(E19&lt;Inputs!D94,"⚠ RIESGO","OK")</f>
        <v>⚠ RIESGO</v>
      </c>
      <c r="F57" s="22" t="str">
        <f>IF(F19&lt;Inputs!D94,"⚠ RIESGO","OK")</f>
        <v>⚠ RIESGO</v>
      </c>
      <c r="G57" s="22" t="str">
        <f>IF(G19&lt;Inputs!D94,"⚠ RIESGO","OK")</f>
        <v>⚠ RIESGO</v>
      </c>
      <c r="H57" s="22" t="str">
        <f>IF(H19&lt;Inputs!D94,"⚠ RIESGO","OK")</f>
        <v>⚠ RIESGO</v>
      </c>
      <c r="I57" s="22" t="str">
        <f>IF(I19&lt;Inputs!D94,"⚠ RIESGO","OK")</f>
        <v>⚠ RIESGO</v>
      </c>
      <c r="J57" s="30">
        <f>MIN(B19:I19)</f>
        <v>0.5</v>
      </c>
    </row>
    <row r="58" spans="1:10" ht="15" customHeight="1" x14ac:dyDescent="0.3">
      <c r="A58" s="9" t="s">
        <v>24</v>
      </c>
      <c r="B58" s="22" t="str">
        <f>IF(B24&lt;Inputs!D95,"⚠ RIESGO","OK")</f>
        <v>OK</v>
      </c>
      <c r="C58" s="22" t="str">
        <f>IF(C24&lt;Inputs!D95,"⚠ RIESGO","OK")</f>
        <v>OK</v>
      </c>
      <c r="D58" s="22" t="str">
        <f>IF(D24&lt;Inputs!D95,"⚠ RIESGO","OK")</f>
        <v>OK</v>
      </c>
      <c r="E58" s="22" t="str">
        <f>IF(E24&lt;Inputs!D95,"⚠ RIESGO","OK")</f>
        <v>OK</v>
      </c>
      <c r="F58" s="22" t="str">
        <f>IF(F24&lt;Inputs!D95,"⚠ RIESGO","OK")</f>
        <v>OK</v>
      </c>
      <c r="G58" s="22" t="str">
        <f>IF(G24&lt;Inputs!D95,"⚠ RIESGO","OK")</f>
        <v>OK</v>
      </c>
      <c r="H58" s="22" t="str">
        <f>IF(H24&lt;Inputs!D95,"⚠ RIESGO","OK")</f>
        <v>OK</v>
      </c>
      <c r="I58" s="22" t="str">
        <f>IF(I24&lt;Inputs!D95,"⚠ RIESGO","OK")</f>
        <v>OK</v>
      </c>
      <c r="J58" s="30">
        <f>MIN(B24:I24)</f>
        <v>0</v>
      </c>
    </row>
    <row r="59" spans="1:10" ht="15" customHeight="1" x14ac:dyDescent="0.3">
      <c r="A59" s="9" t="s">
        <v>25</v>
      </c>
      <c r="B59" s="22" t="str">
        <f>IF(B29&lt;Inputs!D96,"⚠ RIESGO","OK")</f>
        <v>⚠ RIESGO</v>
      </c>
      <c r="C59" s="22" t="str">
        <f>IF(C29&lt;Inputs!D96,"⚠ RIESGO","OK")</f>
        <v>⚠ RIESGO</v>
      </c>
      <c r="D59" s="22" t="str">
        <f>IF(D29&lt;Inputs!D96,"⚠ RIESGO","OK")</f>
        <v>⚠ RIESGO</v>
      </c>
      <c r="E59" s="22" t="str">
        <f>IF(E29&lt;Inputs!D96,"⚠ RIESGO","OK")</f>
        <v>⚠ RIESGO</v>
      </c>
      <c r="F59" s="22" t="str">
        <f>IF(F29&lt;Inputs!D96,"⚠ RIESGO","OK")</f>
        <v>⚠ RIESGO</v>
      </c>
      <c r="G59" s="22" t="str">
        <f>IF(G29&lt;Inputs!D96,"⚠ RIESGO","OK")</f>
        <v>⚠ RIESGO</v>
      </c>
      <c r="H59" s="22" t="str">
        <f>IF(H29&lt;Inputs!D96,"⚠ RIESGO","OK")</f>
        <v>⚠ RIESGO</v>
      </c>
      <c r="I59" s="22" t="str">
        <f>IF(I29&lt;Inputs!D96,"⚠ RIESGO","OK")</f>
        <v>⚠ RIESGO</v>
      </c>
      <c r="J59" s="30">
        <f>MIN(B29:I29)</f>
        <v>0</v>
      </c>
    </row>
    <row r="60" spans="1:10" ht="15" customHeight="1" x14ac:dyDescent="0.3">
      <c r="A60" s="9" t="s">
        <v>26</v>
      </c>
      <c r="B60" s="22" t="str">
        <f>IF(B34&lt;Inputs!D97,"⚠ RIESGO","OK")</f>
        <v>OK</v>
      </c>
      <c r="C60" s="22" t="str">
        <f>IF(C34&lt;Inputs!D97,"⚠ RIESGO","OK")</f>
        <v>⚠ RIESGO</v>
      </c>
      <c r="D60" s="22" t="str">
        <f>IF(D34&lt;Inputs!D97,"⚠ RIESGO","OK")</f>
        <v>⚠ RIESGO</v>
      </c>
      <c r="E60" s="22" t="str">
        <f>IF(E34&lt;Inputs!D97,"⚠ RIESGO","OK")</f>
        <v>⚠ RIESGO</v>
      </c>
      <c r="F60" s="22" t="str">
        <f>IF(F34&lt;Inputs!D97,"⚠ RIESGO","OK")</f>
        <v>⚠ RIESGO</v>
      </c>
      <c r="G60" s="22" t="str">
        <f>IF(G34&lt;Inputs!D97,"⚠ RIESGO","OK")</f>
        <v>⚠ RIESGO</v>
      </c>
      <c r="H60" s="22" t="str">
        <f>IF(H34&lt;Inputs!D97,"⚠ RIESGO","OK")</f>
        <v>⚠ RIESGO</v>
      </c>
      <c r="I60" s="22" t="str">
        <f>IF(I34&lt;Inputs!D97,"⚠ RIESGO","OK")</f>
        <v>⚠ RIESGO</v>
      </c>
      <c r="J60" s="30">
        <f>MIN(B34:I34)</f>
        <v>448</v>
      </c>
    </row>
    <row r="61" spans="1:10" ht="15" customHeight="1" x14ac:dyDescent="0.3">
      <c r="A61" s="9" t="s">
        <v>27</v>
      </c>
      <c r="B61" s="22" t="str">
        <f>IF(B39&lt;Inputs!D98,"⚠ RIESGO","OK")</f>
        <v>⚠ RIESGO</v>
      </c>
      <c r="C61" s="22" t="str">
        <f>IF(C39&lt;Inputs!D98,"⚠ RIESGO","OK")</f>
        <v>⚠ RIESGO</v>
      </c>
      <c r="D61" s="22" t="str">
        <f>IF(D39&lt;Inputs!D98,"⚠ RIESGO","OK")</f>
        <v>⚠ RIESGO</v>
      </c>
      <c r="E61" s="22" t="str">
        <f>IF(E39&lt;Inputs!D98,"⚠ RIESGO","OK")</f>
        <v>⚠ RIESGO</v>
      </c>
      <c r="F61" s="22" t="str">
        <f>IF(F39&lt;Inputs!D98,"⚠ RIESGO","OK")</f>
        <v>⚠ RIESGO</v>
      </c>
      <c r="G61" s="22" t="str">
        <f>IF(G39&lt;Inputs!D98,"⚠ RIESGO","OK")</f>
        <v>⚠ RIESGO</v>
      </c>
      <c r="H61" s="22" t="str">
        <f>IF(H39&lt;Inputs!D98,"⚠ RIESGO","OK")</f>
        <v>⚠ RIESGO</v>
      </c>
      <c r="I61" s="22" t="str">
        <f>IF(I39&lt;Inputs!D98,"⚠ RIESGO","OK")</f>
        <v>⚠ RIESGO</v>
      </c>
      <c r="J61" s="30">
        <f>MIN(B39:I39)</f>
        <v>0</v>
      </c>
    </row>
    <row r="62" spans="1:10" ht="15" customHeight="1" x14ac:dyDescent="0.3">
      <c r="A62" s="9" t="s">
        <v>28</v>
      </c>
      <c r="B62" s="22" t="str">
        <f>IF(B44&lt;Inputs!D99,"⚠ RIESGO","OK")</f>
        <v>OK</v>
      </c>
      <c r="C62" s="22" t="str">
        <f>IF(C44&lt;Inputs!D99,"⚠ RIESGO","OK")</f>
        <v>OK</v>
      </c>
      <c r="D62" s="22" t="str">
        <f>IF(D44&lt;Inputs!D99,"⚠ RIESGO","OK")</f>
        <v>OK</v>
      </c>
      <c r="E62" s="22" t="str">
        <f>IF(E44&lt;Inputs!D99,"⚠ RIESGO","OK")</f>
        <v>OK</v>
      </c>
      <c r="F62" s="22" t="str">
        <f>IF(F44&lt;Inputs!D99,"⚠ RIESGO","OK")</f>
        <v>OK</v>
      </c>
      <c r="G62" s="22" t="str">
        <f>IF(G44&lt;Inputs!D99,"⚠ RIESGO","OK")</f>
        <v>OK</v>
      </c>
      <c r="H62" s="22" t="str">
        <f>IF(H44&lt;Inputs!D99,"⚠ RIESGO","OK")</f>
        <v>OK</v>
      </c>
      <c r="I62" s="22" t="str">
        <f>IF(I44&lt;Inputs!D99,"⚠ RIESGO","OK")</f>
        <v>OK</v>
      </c>
      <c r="J62" s="30">
        <f>MIN(B44:I44)</f>
        <v>0</v>
      </c>
    </row>
  </sheetData>
  <mergeCells count="12">
    <mergeCell ref="A47:K47"/>
    <mergeCell ref="A53:J53"/>
    <mergeCell ref="A17:K17"/>
    <mergeCell ref="A23:K23"/>
    <mergeCell ref="A29:K29"/>
    <mergeCell ref="A35:K35"/>
    <mergeCell ref="A41:K41"/>
    <mergeCell ref="A1:K1"/>
    <mergeCell ref="A2:K2"/>
    <mergeCell ref="A3:K3"/>
    <mergeCell ref="A5:K5"/>
    <mergeCell ref="A11:K1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topLeftCell="A14" zoomScaleNormal="100" workbookViewId="0">
      <selection activeCell="D8" sqref="D8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76" t="s">
        <v>107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5" customHeight="1" x14ac:dyDescent="0.3">
      <c r="A2" s="81" t="s">
        <v>108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6" t="s">
        <v>109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</row>
    <row r="5" spans="1:12" ht="15" customHeight="1" x14ac:dyDescent="0.3">
      <c r="A5" s="78" t="s">
        <v>110</v>
      </c>
      <c r="B5" s="78"/>
      <c r="C5" s="78"/>
      <c r="D5" s="78"/>
      <c r="E5" s="78"/>
      <c r="F5" s="78"/>
      <c r="G5" s="78"/>
      <c r="H5" s="78"/>
      <c r="I5" s="78"/>
      <c r="J5" s="78"/>
    </row>
    <row r="6" spans="1:12" ht="23.25" customHeight="1" x14ac:dyDescent="0.3">
      <c r="A6" s="31" t="s">
        <v>15</v>
      </c>
      <c r="B6" s="31" t="s">
        <v>111</v>
      </c>
      <c r="C6" s="31" t="s">
        <v>42</v>
      </c>
      <c r="D6" s="31" t="s">
        <v>112</v>
      </c>
      <c r="E6" s="31" t="s">
        <v>113</v>
      </c>
      <c r="F6" s="31" t="s">
        <v>114</v>
      </c>
      <c r="G6" s="31" t="s">
        <v>115</v>
      </c>
      <c r="H6" s="31" t="s">
        <v>116</v>
      </c>
      <c r="I6" s="31" t="s">
        <v>117</v>
      </c>
    </row>
    <row r="7" spans="1:12" ht="15" customHeight="1" x14ac:dyDescent="0.3">
      <c r="A7" s="9" t="s">
        <v>23</v>
      </c>
      <c r="B7" s="32">
        <f>BOM_Consumo!K8</f>
        <v>129.5</v>
      </c>
      <c r="C7" s="32">
        <f>Inputs!B35</f>
        <v>30</v>
      </c>
      <c r="D7" s="33">
        <f t="shared" ref="D7:D12" si="0">ROUNDUP(B7/C7,0)</f>
        <v>5</v>
      </c>
      <c r="E7" s="34">
        <f t="shared" ref="E7:E12" si="1">D7</f>
        <v>5</v>
      </c>
      <c r="F7" s="33">
        <f t="shared" ref="F7:F12" si="2">E7*C7</f>
        <v>150</v>
      </c>
      <c r="G7" s="35">
        <f>_xlfn.XLOOKUP(A7,Inputs!$A$49:$A$54,Inputs!$B$49:$B$54)</f>
        <v>60</v>
      </c>
      <c r="H7" s="36">
        <f t="shared" ref="H7:H12" si="3">E7*G7</f>
        <v>300</v>
      </c>
      <c r="I7" s="22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2">
        <f>BOM_Consumo!K9</f>
        <v>103600</v>
      </c>
      <c r="C8" s="32">
        <f>Inputs!B36</f>
        <v>12</v>
      </c>
      <c r="D8" s="33">
        <f t="shared" si="0"/>
        <v>8634</v>
      </c>
      <c r="E8" s="34">
        <f t="shared" si="1"/>
        <v>8634</v>
      </c>
      <c r="F8" s="33">
        <f t="shared" si="2"/>
        <v>103608</v>
      </c>
      <c r="G8" s="35">
        <f>_xlfn.XLOOKUP(A8,Inputs!$A$49:$A$54,Inputs!$B$49:$B$54)</f>
        <v>7</v>
      </c>
      <c r="H8" s="36">
        <f t="shared" si="3"/>
        <v>60438</v>
      </c>
      <c r="I8" s="22" t="str">
        <f t="shared" si="4"/>
        <v>OK</v>
      </c>
    </row>
    <row r="9" spans="1:12" ht="15" customHeight="1" x14ac:dyDescent="0.3">
      <c r="A9" s="9" t="s">
        <v>25</v>
      </c>
      <c r="B9" s="32">
        <f>BOM_Consumo!K10</f>
        <v>3885</v>
      </c>
      <c r="C9" s="32">
        <f>Inputs!B37</f>
        <v>1</v>
      </c>
      <c r="D9" s="33">
        <f t="shared" si="0"/>
        <v>3885</v>
      </c>
      <c r="E9" s="34">
        <f t="shared" si="1"/>
        <v>3885</v>
      </c>
      <c r="F9" s="33">
        <f t="shared" si="2"/>
        <v>3885</v>
      </c>
      <c r="G9" s="35">
        <f>_xlfn.XLOOKUP(A9,Inputs!$A$49:$A$54,Inputs!$B$49:$B$54)</f>
        <v>36</v>
      </c>
      <c r="H9" s="36">
        <f t="shared" si="3"/>
        <v>139860</v>
      </c>
      <c r="I9" s="22" t="str">
        <f t="shared" si="4"/>
        <v>OK</v>
      </c>
    </row>
    <row r="10" spans="1:12" ht="15" customHeight="1" x14ac:dyDescent="0.3">
      <c r="A10" s="9" t="s">
        <v>26</v>
      </c>
      <c r="B10" s="32">
        <f>BOM_Consumo!K11</f>
        <v>7770</v>
      </c>
      <c r="C10" s="32">
        <f>Inputs!B38</f>
        <v>100</v>
      </c>
      <c r="D10" s="33">
        <f t="shared" si="0"/>
        <v>78</v>
      </c>
      <c r="E10" s="34">
        <f t="shared" si="1"/>
        <v>78</v>
      </c>
      <c r="F10" s="33">
        <f t="shared" si="2"/>
        <v>7800</v>
      </c>
      <c r="G10" s="35">
        <f>_xlfn.XLOOKUP(A10,Inputs!$A$49:$A$54,Inputs!$B$49:$B$54)</f>
        <v>24</v>
      </c>
      <c r="H10" s="36">
        <f t="shared" si="3"/>
        <v>1872</v>
      </c>
      <c r="I10" s="22" t="str">
        <f t="shared" si="4"/>
        <v>OK</v>
      </c>
    </row>
    <row r="11" spans="1:12" ht="15" customHeight="1" x14ac:dyDescent="0.3">
      <c r="A11" s="9" t="s">
        <v>27</v>
      </c>
      <c r="B11" s="32">
        <f>BOM_Consumo!K12</f>
        <v>25900</v>
      </c>
      <c r="C11" s="32">
        <f>Inputs!B39</f>
        <v>30</v>
      </c>
      <c r="D11" s="33">
        <f t="shared" si="0"/>
        <v>864</v>
      </c>
      <c r="E11" s="34">
        <f t="shared" si="1"/>
        <v>864</v>
      </c>
      <c r="F11" s="33">
        <f t="shared" si="2"/>
        <v>25920</v>
      </c>
      <c r="G11" s="35">
        <f>_xlfn.XLOOKUP(A11,Inputs!$A$49:$A$54,Inputs!$B$49:$B$54)</f>
        <v>30</v>
      </c>
      <c r="H11" s="36">
        <f t="shared" si="3"/>
        <v>25920</v>
      </c>
      <c r="I11" s="22" t="str">
        <f t="shared" si="4"/>
        <v>OK</v>
      </c>
    </row>
    <row r="12" spans="1:12" ht="15" customHeight="1" x14ac:dyDescent="0.3">
      <c r="A12" s="9" t="s">
        <v>28</v>
      </c>
      <c r="B12" s="32">
        <f>BOM_Consumo!K13</f>
        <v>9712.5</v>
      </c>
      <c r="C12" s="32">
        <f>Inputs!B40</f>
        <v>60</v>
      </c>
      <c r="D12" s="33">
        <f t="shared" si="0"/>
        <v>162</v>
      </c>
      <c r="E12" s="34">
        <f t="shared" si="1"/>
        <v>162</v>
      </c>
      <c r="F12" s="33">
        <f t="shared" si="2"/>
        <v>9720</v>
      </c>
      <c r="G12" s="35">
        <f>_xlfn.XLOOKUP(A12,Inputs!$A$49:$A$54,Inputs!$B$49:$B$54)</f>
        <v>28</v>
      </c>
      <c r="H12" s="36">
        <f t="shared" si="3"/>
        <v>4536</v>
      </c>
      <c r="I12" s="22" t="str">
        <f t="shared" si="4"/>
        <v>OK</v>
      </c>
    </row>
    <row r="13" spans="1:12" ht="15" customHeight="1" x14ac:dyDescent="0.3">
      <c r="A13" s="83" t="s">
        <v>118</v>
      </c>
      <c r="B13" s="83"/>
      <c r="C13" s="83"/>
      <c r="D13" s="83"/>
      <c r="E13" s="83"/>
      <c r="F13" s="83"/>
      <c r="G13" s="83"/>
      <c r="H13" s="37">
        <f>SUM(H7:H12)</f>
        <v>232926</v>
      </c>
    </row>
    <row r="16" spans="1:12" ht="15" customHeight="1" x14ac:dyDescent="0.3">
      <c r="A16" s="78" t="s">
        <v>119</v>
      </c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</row>
    <row r="17" spans="1:11" ht="23.25" customHeight="1" x14ac:dyDescent="0.3">
      <c r="A17" s="31" t="s">
        <v>15</v>
      </c>
      <c r="B17" s="31" t="s">
        <v>120</v>
      </c>
      <c r="C17" s="31" t="s">
        <v>121</v>
      </c>
      <c r="D17" s="31" t="s">
        <v>42</v>
      </c>
      <c r="E17" s="31" t="s">
        <v>112</v>
      </c>
      <c r="F17" s="31" t="s">
        <v>113</v>
      </c>
      <c r="G17" s="31" t="s">
        <v>122</v>
      </c>
      <c r="H17" s="31" t="s">
        <v>115</v>
      </c>
      <c r="I17" s="31" t="s">
        <v>123</v>
      </c>
      <c r="J17" s="31" t="s">
        <v>65</v>
      </c>
      <c r="K17" s="31" t="s">
        <v>124</v>
      </c>
    </row>
    <row r="18" spans="1:11" ht="15" customHeight="1" x14ac:dyDescent="0.3">
      <c r="A18" s="85" t="s">
        <v>19</v>
      </c>
      <c r="B18" s="10" t="s">
        <v>4</v>
      </c>
      <c r="C18" s="32">
        <f>BOM_Consumo!C6</f>
        <v>1850</v>
      </c>
      <c r="D18" s="32">
        <f>Inputs!B35</f>
        <v>30</v>
      </c>
      <c r="E18" s="33">
        <f t="shared" ref="E18:E33" si="5">IF(C18&gt;0,ROUNDUP(C18/D18,0),0)</f>
        <v>62</v>
      </c>
      <c r="F18" s="34">
        <v>0</v>
      </c>
      <c r="G18" s="33">
        <f t="shared" ref="G18:G33" si="6">F18*D18</f>
        <v>0</v>
      </c>
      <c r="H18" s="35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6">
        <f t="shared" ref="I18:I33" si="7">F18*H18</f>
        <v>0</v>
      </c>
      <c r="J18" s="38" t="str">
        <f>_xlfn.XLOOKUP(Inputs!$B$69,Inputs!$A$66:$A$68,Inputs!$C$66:$C$68)</f>
        <v>Inmediato (0Q)</v>
      </c>
      <c r="K18" s="22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5"/>
      <c r="B19" s="10" t="s">
        <v>5</v>
      </c>
      <c r="C19" s="32">
        <f>BOM_Consumo!D6</f>
        <v>1850</v>
      </c>
      <c r="D19" s="32">
        <f>Inputs!B35</f>
        <v>30</v>
      </c>
      <c r="E19" s="33">
        <f t="shared" si="5"/>
        <v>62</v>
      </c>
      <c r="F19" s="34">
        <v>0</v>
      </c>
      <c r="G19" s="33">
        <f t="shared" si="6"/>
        <v>0</v>
      </c>
      <c r="H19" s="35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6">
        <f t="shared" si="7"/>
        <v>0</v>
      </c>
      <c r="J19" s="38" t="str">
        <f>_xlfn.XLOOKUP(Inputs!$B$69,Inputs!$A$66:$A$68,Inputs!$C$66:$C$68)</f>
        <v>Inmediato (0Q)</v>
      </c>
      <c r="K19" s="22" t="str">
        <f t="shared" si="8"/>
        <v>Q2</v>
      </c>
    </row>
    <row r="20" spans="1:11" ht="15" customHeight="1" x14ac:dyDescent="0.3">
      <c r="A20" s="85"/>
      <c r="B20" s="10" t="s">
        <v>6</v>
      </c>
      <c r="C20" s="32">
        <f>BOM_Consumo!E6</f>
        <v>1850</v>
      </c>
      <c r="D20" s="32">
        <f>Inputs!B35</f>
        <v>30</v>
      </c>
      <c r="E20" s="33">
        <f t="shared" si="5"/>
        <v>62</v>
      </c>
      <c r="F20" s="34">
        <v>0</v>
      </c>
      <c r="G20" s="33">
        <f t="shared" si="6"/>
        <v>0</v>
      </c>
      <c r="H20" s="35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6">
        <f t="shared" si="7"/>
        <v>0</v>
      </c>
      <c r="J20" s="38" t="str">
        <f>_xlfn.XLOOKUP(Inputs!$B$69,Inputs!$A$66:$A$68,Inputs!$C$66:$C$68)</f>
        <v>Inmediato (0Q)</v>
      </c>
      <c r="K20" s="22" t="str">
        <f t="shared" si="8"/>
        <v>Q3</v>
      </c>
    </row>
    <row r="21" spans="1:11" ht="15" customHeight="1" x14ac:dyDescent="0.3">
      <c r="A21" s="85"/>
      <c r="B21" s="10" t="s">
        <v>7</v>
      </c>
      <c r="C21" s="32">
        <f>BOM_Consumo!F6</f>
        <v>1850</v>
      </c>
      <c r="D21" s="32">
        <f>Inputs!B35</f>
        <v>30</v>
      </c>
      <c r="E21" s="33">
        <f t="shared" si="5"/>
        <v>62</v>
      </c>
      <c r="F21" s="34">
        <v>0</v>
      </c>
      <c r="G21" s="33">
        <f t="shared" si="6"/>
        <v>0</v>
      </c>
      <c r="H21" s="35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6">
        <f t="shared" si="7"/>
        <v>0</v>
      </c>
      <c r="J21" s="38" t="str">
        <f>_xlfn.XLOOKUP(Inputs!$B$69,Inputs!$A$66:$A$68,Inputs!$C$66:$C$68)</f>
        <v>Inmediato (0Q)</v>
      </c>
      <c r="K21" s="22" t="str">
        <f t="shared" si="8"/>
        <v>Q4</v>
      </c>
    </row>
    <row r="22" spans="1:11" ht="15" customHeight="1" x14ac:dyDescent="0.3">
      <c r="A22" s="85"/>
      <c r="B22" s="10" t="s">
        <v>8</v>
      </c>
      <c r="C22" s="32">
        <f>BOM_Consumo!G6</f>
        <v>0</v>
      </c>
      <c r="D22" s="32">
        <f>Inputs!B35</f>
        <v>30</v>
      </c>
      <c r="E22" s="33">
        <f t="shared" si="5"/>
        <v>0</v>
      </c>
      <c r="F22" s="34">
        <v>0</v>
      </c>
      <c r="G22" s="33">
        <f t="shared" si="6"/>
        <v>0</v>
      </c>
      <c r="H22" s="35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6">
        <f t="shared" si="7"/>
        <v>0</v>
      </c>
      <c r="J22" s="38" t="str">
        <f>_xlfn.XLOOKUP(Inputs!$B$69,Inputs!$A$66:$A$68,Inputs!$C$66:$C$68)</f>
        <v>Inmediato (0Q)</v>
      </c>
      <c r="K22" s="22" t="str">
        <f t="shared" si="8"/>
        <v>Q5</v>
      </c>
    </row>
    <row r="23" spans="1:11" ht="15" customHeight="1" x14ac:dyDescent="0.3">
      <c r="A23" s="85"/>
      <c r="B23" s="10" t="s">
        <v>9</v>
      </c>
      <c r="C23" s="32">
        <f>BOM_Consumo!H6</f>
        <v>0</v>
      </c>
      <c r="D23" s="32">
        <f>Inputs!B35</f>
        <v>30</v>
      </c>
      <c r="E23" s="33">
        <f t="shared" si="5"/>
        <v>0</v>
      </c>
      <c r="F23" s="34">
        <v>0</v>
      </c>
      <c r="G23" s="33">
        <f t="shared" si="6"/>
        <v>0</v>
      </c>
      <c r="H23" s="35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6">
        <f t="shared" si="7"/>
        <v>0</v>
      </c>
      <c r="J23" s="38" t="str">
        <f>_xlfn.XLOOKUP(Inputs!$B$69,Inputs!$A$66:$A$68,Inputs!$C$66:$C$68)</f>
        <v>Inmediato (0Q)</v>
      </c>
      <c r="K23" s="22" t="str">
        <f t="shared" si="8"/>
        <v>Q6</v>
      </c>
    </row>
    <row r="24" spans="1:11" ht="15" customHeight="1" x14ac:dyDescent="0.3">
      <c r="A24" s="85"/>
      <c r="B24" s="10" t="s">
        <v>10</v>
      </c>
      <c r="C24" s="32">
        <f>BOM_Consumo!I6</f>
        <v>0</v>
      </c>
      <c r="D24" s="32">
        <f>Inputs!B35</f>
        <v>30</v>
      </c>
      <c r="E24" s="33">
        <f t="shared" si="5"/>
        <v>0</v>
      </c>
      <c r="F24" s="34">
        <v>0</v>
      </c>
      <c r="G24" s="33">
        <f t="shared" si="6"/>
        <v>0</v>
      </c>
      <c r="H24" s="35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6">
        <f t="shared" si="7"/>
        <v>0</v>
      </c>
      <c r="J24" s="38" t="str">
        <f>_xlfn.XLOOKUP(Inputs!$B$69,Inputs!$A$66:$A$68,Inputs!$C$66:$C$68)</f>
        <v>Inmediato (0Q)</v>
      </c>
      <c r="K24" s="22" t="str">
        <f t="shared" si="8"/>
        <v>Q7</v>
      </c>
    </row>
    <row r="25" spans="1:11" ht="15" customHeight="1" x14ac:dyDescent="0.3">
      <c r="A25" s="85"/>
      <c r="B25" s="10" t="s">
        <v>11</v>
      </c>
      <c r="C25" s="32">
        <f>BOM_Consumo!J6</f>
        <v>0</v>
      </c>
      <c r="D25" s="32">
        <f>Inputs!B35</f>
        <v>30</v>
      </c>
      <c r="E25" s="33">
        <f t="shared" si="5"/>
        <v>0</v>
      </c>
      <c r="F25" s="34">
        <v>0</v>
      </c>
      <c r="G25" s="33">
        <f t="shared" si="6"/>
        <v>0</v>
      </c>
      <c r="H25" s="35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6">
        <f t="shared" si="7"/>
        <v>0</v>
      </c>
      <c r="J25" s="38" t="str">
        <f>_xlfn.XLOOKUP(Inputs!$B$69,Inputs!$A$66:$A$68,Inputs!$C$66:$C$68)</f>
        <v>Inmediato (0Q)</v>
      </c>
      <c r="K25" s="22" t="str">
        <f t="shared" si="8"/>
        <v>Q8</v>
      </c>
    </row>
    <row r="26" spans="1:11" ht="15" customHeight="1" x14ac:dyDescent="0.3">
      <c r="A26" s="85" t="s">
        <v>22</v>
      </c>
      <c r="B26" s="10" t="s">
        <v>4</v>
      </c>
      <c r="C26" s="32">
        <f>BOM_Consumo!C7</f>
        <v>370</v>
      </c>
      <c r="D26" s="32">
        <f>Inputs!B36</f>
        <v>12</v>
      </c>
      <c r="E26" s="33">
        <f t="shared" si="5"/>
        <v>31</v>
      </c>
      <c r="F26" s="34">
        <v>0</v>
      </c>
      <c r="G26" s="33">
        <f t="shared" si="6"/>
        <v>0</v>
      </c>
      <c r="H26" s="35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6">
        <f t="shared" si="7"/>
        <v>0</v>
      </c>
      <c r="J26" s="38" t="str">
        <f>_xlfn.XLOOKUP(Inputs!$B$77,Inputs!$A$74:$A$76,Inputs!$C$74:$C$76)</f>
        <v>Inmediato (0Q)</v>
      </c>
      <c r="K26" s="22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5"/>
      <c r="B27" s="10" t="s">
        <v>5</v>
      </c>
      <c r="C27" s="32">
        <f>BOM_Consumo!D7</f>
        <v>370</v>
      </c>
      <c r="D27" s="32">
        <f>Inputs!B36</f>
        <v>12</v>
      </c>
      <c r="E27" s="33">
        <f t="shared" si="5"/>
        <v>31</v>
      </c>
      <c r="F27" s="34">
        <v>0</v>
      </c>
      <c r="G27" s="33">
        <f t="shared" si="6"/>
        <v>0</v>
      </c>
      <c r="H27" s="35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6">
        <f t="shared" si="7"/>
        <v>0</v>
      </c>
      <c r="J27" s="38" t="str">
        <f>_xlfn.XLOOKUP(Inputs!$B$77,Inputs!$A$74:$A$76,Inputs!$C$74:$C$76)</f>
        <v>Inmediato (0Q)</v>
      </c>
      <c r="K27" s="22" t="str">
        <f t="shared" si="9"/>
        <v>Q2</v>
      </c>
    </row>
    <row r="28" spans="1:11" ht="15" customHeight="1" x14ac:dyDescent="0.3">
      <c r="A28" s="85"/>
      <c r="B28" s="10" t="s">
        <v>6</v>
      </c>
      <c r="C28" s="32">
        <f>BOM_Consumo!E7</f>
        <v>370</v>
      </c>
      <c r="D28" s="32">
        <f>Inputs!B36</f>
        <v>12</v>
      </c>
      <c r="E28" s="33">
        <f t="shared" si="5"/>
        <v>31</v>
      </c>
      <c r="F28" s="34">
        <v>0</v>
      </c>
      <c r="G28" s="33">
        <f t="shared" si="6"/>
        <v>0</v>
      </c>
      <c r="H28" s="35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6">
        <f t="shared" si="7"/>
        <v>0</v>
      </c>
      <c r="J28" s="38" t="str">
        <f>_xlfn.XLOOKUP(Inputs!$B$77,Inputs!$A$74:$A$76,Inputs!$C$74:$C$76)</f>
        <v>Inmediato (0Q)</v>
      </c>
      <c r="K28" s="22" t="str">
        <f t="shared" si="9"/>
        <v>Q3</v>
      </c>
    </row>
    <row r="29" spans="1:11" ht="15" customHeight="1" x14ac:dyDescent="0.3">
      <c r="A29" s="85"/>
      <c r="B29" s="10" t="s">
        <v>7</v>
      </c>
      <c r="C29" s="32">
        <f>BOM_Consumo!F7</f>
        <v>370</v>
      </c>
      <c r="D29" s="32">
        <f>Inputs!B36</f>
        <v>12</v>
      </c>
      <c r="E29" s="33">
        <f t="shared" si="5"/>
        <v>31</v>
      </c>
      <c r="F29" s="34">
        <v>0</v>
      </c>
      <c r="G29" s="33">
        <f t="shared" si="6"/>
        <v>0</v>
      </c>
      <c r="H29" s="35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6">
        <f t="shared" si="7"/>
        <v>0</v>
      </c>
      <c r="J29" s="38" t="str">
        <f>_xlfn.XLOOKUP(Inputs!$B$77,Inputs!$A$74:$A$76,Inputs!$C$74:$C$76)</f>
        <v>Inmediato (0Q)</v>
      </c>
      <c r="K29" s="22" t="str">
        <f t="shared" si="9"/>
        <v>Q4</v>
      </c>
    </row>
    <row r="30" spans="1:11" ht="15" customHeight="1" x14ac:dyDescent="0.3">
      <c r="A30" s="85"/>
      <c r="B30" s="10" t="s">
        <v>8</v>
      </c>
      <c r="C30" s="32">
        <f>BOM_Consumo!G7</f>
        <v>370</v>
      </c>
      <c r="D30" s="32">
        <f>Inputs!B36</f>
        <v>12</v>
      </c>
      <c r="E30" s="33">
        <f t="shared" si="5"/>
        <v>31</v>
      </c>
      <c r="F30" s="34">
        <v>0</v>
      </c>
      <c r="G30" s="33">
        <f t="shared" si="6"/>
        <v>0</v>
      </c>
      <c r="H30" s="35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6">
        <f t="shared" si="7"/>
        <v>0</v>
      </c>
      <c r="J30" s="38" t="str">
        <f>_xlfn.XLOOKUP(Inputs!$B$77,Inputs!$A$74:$A$76,Inputs!$C$74:$C$76)</f>
        <v>Inmediato (0Q)</v>
      </c>
      <c r="K30" s="22" t="str">
        <f t="shared" si="9"/>
        <v>Q5</v>
      </c>
    </row>
    <row r="31" spans="1:11" ht="15" customHeight="1" x14ac:dyDescent="0.3">
      <c r="A31" s="85"/>
      <c r="B31" s="10" t="s">
        <v>9</v>
      </c>
      <c r="C31" s="32">
        <f>BOM_Consumo!H7</f>
        <v>0</v>
      </c>
      <c r="D31" s="32">
        <f>Inputs!B36</f>
        <v>12</v>
      </c>
      <c r="E31" s="33">
        <f t="shared" si="5"/>
        <v>0</v>
      </c>
      <c r="F31" s="34">
        <v>0</v>
      </c>
      <c r="G31" s="33">
        <f t="shared" si="6"/>
        <v>0</v>
      </c>
      <c r="H31" s="35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6">
        <f t="shared" si="7"/>
        <v>0</v>
      </c>
      <c r="J31" s="38" t="str">
        <f>_xlfn.XLOOKUP(Inputs!$B$77,Inputs!$A$74:$A$76,Inputs!$C$74:$C$76)</f>
        <v>Inmediato (0Q)</v>
      </c>
      <c r="K31" s="22" t="str">
        <f t="shared" si="9"/>
        <v>Q6</v>
      </c>
    </row>
    <row r="32" spans="1:11" ht="15" customHeight="1" x14ac:dyDescent="0.3">
      <c r="A32" s="85"/>
      <c r="B32" s="10" t="s">
        <v>10</v>
      </c>
      <c r="C32" s="32">
        <f>BOM_Consumo!I7</f>
        <v>0</v>
      </c>
      <c r="D32" s="32">
        <f>Inputs!B36</f>
        <v>12</v>
      </c>
      <c r="E32" s="33">
        <f t="shared" si="5"/>
        <v>0</v>
      </c>
      <c r="F32" s="34">
        <v>0</v>
      </c>
      <c r="G32" s="33">
        <f t="shared" si="6"/>
        <v>0</v>
      </c>
      <c r="H32" s="35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6">
        <f t="shared" si="7"/>
        <v>0</v>
      </c>
      <c r="J32" s="38" t="str">
        <f>_xlfn.XLOOKUP(Inputs!$B$77,Inputs!$A$74:$A$76,Inputs!$C$74:$C$76)</f>
        <v>Inmediato (0Q)</v>
      </c>
      <c r="K32" s="22" t="str">
        <f t="shared" si="9"/>
        <v>Q7</v>
      </c>
    </row>
    <row r="33" spans="1:11" ht="15" customHeight="1" x14ac:dyDescent="0.3">
      <c r="A33" s="85"/>
      <c r="B33" s="10" t="s">
        <v>11</v>
      </c>
      <c r="C33" s="32">
        <f>BOM_Consumo!J7</f>
        <v>0</v>
      </c>
      <c r="D33" s="32">
        <f>Inputs!B36</f>
        <v>12</v>
      </c>
      <c r="E33" s="33">
        <f t="shared" si="5"/>
        <v>0</v>
      </c>
      <c r="F33" s="34">
        <v>0</v>
      </c>
      <c r="G33" s="33">
        <f t="shared" si="6"/>
        <v>0</v>
      </c>
      <c r="H33" s="35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6">
        <f t="shared" si="7"/>
        <v>0</v>
      </c>
      <c r="J33" s="38" t="str">
        <f>_xlfn.XLOOKUP(Inputs!$B$77,Inputs!$A$74:$A$76,Inputs!$C$74:$C$76)</f>
        <v>Inmediato (0Q)</v>
      </c>
      <c r="K33" s="22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activeCell="C12" sqref="C12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76" t="s">
        <v>125</v>
      </c>
      <c r="B1" s="76"/>
      <c r="C1" s="76"/>
      <c r="D1" s="76"/>
      <c r="E1" s="76"/>
      <c r="F1" s="76"/>
    </row>
    <row r="2" spans="1:6" ht="15" customHeight="1" x14ac:dyDescent="0.3">
      <c r="A2" s="81" t="s">
        <v>126</v>
      </c>
      <c r="B2" s="81"/>
      <c r="C2" s="81"/>
      <c r="D2" s="81"/>
      <c r="E2" s="81"/>
      <c r="F2" s="81"/>
    </row>
    <row r="4" spans="1:6" ht="15" customHeight="1" x14ac:dyDescent="0.3">
      <c r="A4" s="39" t="s">
        <v>15</v>
      </c>
      <c r="B4" s="39" t="s">
        <v>127</v>
      </c>
      <c r="C4" s="39" t="s">
        <v>128</v>
      </c>
      <c r="D4" s="39" t="s">
        <v>56</v>
      </c>
      <c r="E4" s="39" t="s">
        <v>129</v>
      </c>
      <c r="F4" s="39" t="s">
        <v>116</v>
      </c>
    </row>
    <row r="5" spans="1:6" ht="15" customHeight="1" x14ac:dyDescent="0.3">
      <c r="A5" s="9" t="s">
        <v>23</v>
      </c>
      <c r="B5" s="35">
        <f>Compras_y_Lotes!H7</f>
        <v>300</v>
      </c>
      <c r="C5" s="40">
        <v>1</v>
      </c>
      <c r="D5" s="36">
        <v>0</v>
      </c>
      <c r="E5" s="36">
        <v>0</v>
      </c>
      <c r="F5" s="36">
        <f t="shared" ref="F5:F12" si="0">B5+D5+E5</f>
        <v>300</v>
      </c>
    </row>
    <row r="6" spans="1:6" ht="15" customHeight="1" x14ac:dyDescent="0.3">
      <c r="A6" s="9" t="s">
        <v>24</v>
      </c>
      <c r="B6" s="35">
        <f>Compras_y_Lotes!H8</f>
        <v>60438</v>
      </c>
      <c r="C6" s="40">
        <v>1</v>
      </c>
      <c r="D6" s="36">
        <v>0</v>
      </c>
      <c r="E6" s="36">
        <v>0</v>
      </c>
      <c r="F6" s="36">
        <f t="shared" si="0"/>
        <v>60438</v>
      </c>
    </row>
    <row r="7" spans="1:6" ht="15" customHeight="1" x14ac:dyDescent="0.3">
      <c r="A7" s="9" t="s">
        <v>25</v>
      </c>
      <c r="B7" s="35">
        <f>Compras_y_Lotes!H9</f>
        <v>139860</v>
      </c>
      <c r="C7" s="40">
        <v>1</v>
      </c>
      <c r="D7" s="36">
        <v>0</v>
      </c>
      <c r="E7" s="36">
        <v>0</v>
      </c>
      <c r="F7" s="36">
        <f t="shared" si="0"/>
        <v>139860</v>
      </c>
    </row>
    <row r="8" spans="1:6" ht="15" customHeight="1" x14ac:dyDescent="0.3">
      <c r="A8" s="9" t="s">
        <v>26</v>
      </c>
      <c r="B8" s="35">
        <f>Compras_y_Lotes!H10</f>
        <v>1872</v>
      </c>
      <c r="C8" s="40">
        <v>1</v>
      </c>
      <c r="D8" s="36">
        <v>0</v>
      </c>
      <c r="E8" s="36">
        <v>0</v>
      </c>
      <c r="F8" s="36">
        <f t="shared" si="0"/>
        <v>1872</v>
      </c>
    </row>
    <row r="9" spans="1:6" ht="15" customHeight="1" x14ac:dyDescent="0.3">
      <c r="A9" s="9" t="s">
        <v>27</v>
      </c>
      <c r="B9" s="35">
        <f>Compras_y_Lotes!H11</f>
        <v>25920</v>
      </c>
      <c r="C9" s="40">
        <v>1</v>
      </c>
      <c r="D9" s="36">
        <v>0</v>
      </c>
      <c r="E9" s="36">
        <v>0</v>
      </c>
      <c r="F9" s="36">
        <f t="shared" si="0"/>
        <v>25920</v>
      </c>
    </row>
    <row r="10" spans="1:6" ht="15" customHeight="1" x14ac:dyDescent="0.3">
      <c r="A10" s="9" t="s">
        <v>28</v>
      </c>
      <c r="B10" s="35">
        <f>Compras_y_Lotes!H12</f>
        <v>4536</v>
      </c>
      <c r="C10" s="40">
        <v>1</v>
      </c>
      <c r="D10" s="36">
        <v>0</v>
      </c>
      <c r="E10" s="36">
        <v>0</v>
      </c>
      <c r="F10" s="36">
        <f t="shared" si="0"/>
        <v>4536</v>
      </c>
    </row>
    <row r="11" spans="1:6" ht="15" customHeight="1" x14ac:dyDescent="0.3">
      <c r="A11" s="9" t="s">
        <v>19</v>
      </c>
      <c r="B11" s="35">
        <f>SUM(Compras_y_Lotes!I18:I25)</f>
        <v>0</v>
      </c>
      <c r="C11" s="41">
        <f>COUNTIF(Compras_y_Lotes!F18:F25,"&gt;0")</f>
        <v>0</v>
      </c>
      <c r="D11" s="36">
        <f>C11*Inputs!B59</f>
        <v>0</v>
      </c>
      <c r="E11" s="42">
        <f>SUMPRODUCT((Inventario_Dinamico!B7:I7+Inventario_Dinamico!B10:I10)/2)*Inputs!C59</f>
        <v>-2491.1999999999998</v>
      </c>
      <c r="F11" s="36">
        <f t="shared" si="0"/>
        <v>-2491.1999999999998</v>
      </c>
    </row>
    <row r="12" spans="1:6" ht="15" customHeight="1" x14ac:dyDescent="0.3">
      <c r="A12" s="9" t="s">
        <v>22</v>
      </c>
      <c r="B12" s="35">
        <f>SUM(Compras_y_Lotes!I26:I33)</f>
        <v>0</v>
      </c>
      <c r="C12" s="41">
        <f>COUNTIF(Compras_y_Lotes!F26:F33,"&gt;0")</f>
        <v>0</v>
      </c>
      <c r="D12" s="36">
        <f>C12*Inputs!B60</f>
        <v>0</v>
      </c>
      <c r="E12" s="42">
        <f>SUMPRODUCT((Inventario_Dinamico!B13:I13+Inventario_Dinamico!B16:I16)/2)*Inputs!C60</f>
        <v>-7699.5</v>
      </c>
      <c r="F12" s="36">
        <f t="shared" si="0"/>
        <v>-7699.5</v>
      </c>
    </row>
    <row r="13" spans="1:6" ht="15" customHeight="1" x14ac:dyDescent="0.3">
      <c r="A13" s="1" t="s">
        <v>130</v>
      </c>
      <c r="B13" s="37">
        <f>SUM(B5:B12)</f>
        <v>232926</v>
      </c>
      <c r="C13" s="43">
        <f>SUM(C5:C12)</f>
        <v>6</v>
      </c>
      <c r="D13" s="37">
        <f>SUM(D5:D12)</f>
        <v>0</v>
      </c>
      <c r="E13" s="37">
        <f>SUM(E5:E12)</f>
        <v>-10190.700000000001</v>
      </c>
      <c r="F13" s="37">
        <f>SUM(F5:F12)</f>
        <v>222735.3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activeCell="K15" sqref="K15"/>
    </sheetView>
  </sheetViews>
  <sheetFormatPr baseColWidth="10" defaultColWidth="8.6640625" defaultRowHeight="14.4" x14ac:dyDescent="0.3"/>
  <cols>
    <col min="1" max="1" width="14.6640625" bestFit="1" customWidth="1"/>
    <col min="2" max="2" width="10.88671875" customWidth="1"/>
    <col min="3" max="9" width="3.6640625" bestFit="1" customWidth="1"/>
    <col min="10" max="10" width="9.88671875" bestFit="1" customWidth="1"/>
  </cols>
  <sheetData>
    <row r="1" spans="1:12" ht="17.25" customHeight="1" x14ac:dyDescent="0.3">
      <c r="A1" s="76" t="s">
        <v>131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15" customHeight="1" x14ac:dyDescent="0.3">
      <c r="A2" s="81" t="s">
        <v>132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4" t="s">
        <v>133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</row>
    <row r="5" spans="1:12" ht="15" customHeight="1" x14ac:dyDescent="0.3">
      <c r="A5" s="23" t="s">
        <v>100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2" ht="15" customHeight="1" x14ac:dyDescent="0.3">
      <c r="A6" s="5" t="s">
        <v>134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SUM(B6:I6)</f>
        <v>232926</v>
      </c>
    </row>
    <row r="7" spans="1:12" ht="15" customHeight="1" x14ac:dyDescent="0.3">
      <c r="A7" s="9" t="s">
        <v>19</v>
      </c>
      <c r="B7" s="42">
        <v>0</v>
      </c>
      <c r="C7" s="42">
        <v>0</v>
      </c>
      <c r="D7" s="42">
        <v>0</v>
      </c>
      <c r="E7" s="42">
        <v>0</v>
      </c>
      <c r="F7" s="42">
        <v>0</v>
      </c>
      <c r="G7" s="42">
        <v>0</v>
      </c>
      <c r="H7" s="42">
        <v>0</v>
      </c>
      <c r="I7" s="42">
        <v>0</v>
      </c>
      <c r="J7" s="36">
        <f>SUM(B7:I7)</f>
        <v>0</v>
      </c>
    </row>
    <row r="8" spans="1:12" ht="15" customHeight="1" x14ac:dyDescent="0.3">
      <c r="A8" s="9" t="s">
        <v>22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36">
        <f>SUM(B8:I8)</f>
        <v>0</v>
      </c>
    </row>
    <row r="9" spans="1:12" ht="15" customHeight="1" x14ac:dyDescent="0.3">
      <c r="A9" s="5" t="s">
        <v>135</v>
      </c>
      <c r="B9" s="37">
        <f t="shared" ref="B9:I9" si="0">SUM(B6:B8)</f>
        <v>232926</v>
      </c>
      <c r="C9" s="37">
        <f t="shared" si="0"/>
        <v>0</v>
      </c>
      <c r="D9" s="37">
        <f t="shared" si="0"/>
        <v>0</v>
      </c>
      <c r="E9" s="37">
        <f t="shared" si="0"/>
        <v>0</v>
      </c>
      <c r="F9" s="37">
        <f t="shared" si="0"/>
        <v>0</v>
      </c>
      <c r="G9" s="37">
        <f t="shared" si="0"/>
        <v>0</v>
      </c>
      <c r="H9" s="37">
        <f t="shared" si="0"/>
        <v>0</v>
      </c>
      <c r="I9" s="37">
        <f t="shared" si="0"/>
        <v>0</v>
      </c>
      <c r="J9" s="37">
        <f>SUM(B9:I9)</f>
        <v>232926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activeCell="D10" sqref="D10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76" t="s">
        <v>136</v>
      </c>
      <c r="B1" s="76"/>
      <c r="C1" s="76"/>
      <c r="D1" s="76"/>
      <c r="E1" s="76"/>
      <c r="F1" s="76"/>
    </row>
    <row r="2" spans="1:6" ht="15" customHeight="1" x14ac:dyDescent="0.3">
      <c r="A2" s="81" t="s">
        <v>137</v>
      </c>
      <c r="B2" s="81"/>
      <c r="C2" s="81"/>
      <c r="D2" s="81"/>
      <c r="E2" s="81"/>
      <c r="F2" s="81"/>
    </row>
    <row r="4" spans="1:6" ht="15" customHeight="1" x14ac:dyDescent="0.3">
      <c r="A4" s="1" t="s">
        <v>138</v>
      </c>
      <c r="B4" s="45" t="s">
        <v>139</v>
      </c>
    </row>
    <row r="6" spans="1:6" ht="15" customHeight="1" x14ac:dyDescent="0.3">
      <c r="A6" s="3" t="s">
        <v>140</v>
      </c>
      <c r="B6" s="3" t="s">
        <v>141</v>
      </c>
      <c r="C6" s="3" t="s">
        <v>139</v>
      </c>
      <c r="D6" s="3" t="s">
        <v>142</v>
      </c>
      <c r="E6" s="3" t="s">
        <v>143</v>
      </c>
    </row>
    <row r="7" spans="1:6" ht="15" customHeight="1" x14ac:dyDescent="0.3">
      <c r="A7" s="5" t="s">
        <v>83</v>
      </c>
      <c r="B7" s="9" t="s">
        <v>144</v>
      </c>
      <c r="C7" s="9" t="s">
        <v>145</v>
      </c>
      <c r="D7" s="9" t="s">
        <v>146</v>
      </c>
      <c r="E7" s="9" t="s">
        <v>147</v>
      </c>
    </row>
    <row r="8" spans="1:6" ht="15" customHeight="1" x14ac:dyDescent="0.3">
      <c r="A8" s="5" t="s">
        <v>148</v>
      </c>
      <c r="B8" s="9" t="s">
        <v>149</v>
      </c>
      <c r="C8" s="9" t="s">
        <v>69</v>
      </c>
      <c r="D8" s="9" t="s">
        <v>150</v>
      </c>
      <c r="E8" s="9" t="s">
        <v>151</v>
      </c>
    </row>
    <row r="9" spans="1:6" ht="15" customHeight="1" x14ac:dyDescent="0.3">
      <c r="A9" s="5" t="s">
        <v>152</v>
      </c>
      <c r="B9" s="9" t="s">
        <v>149</v>
      </c>
      <c r="C9" s="9" t="s">
        <v>69</v>
      </c>
      <c r="D9" s="9" t="s">
        <v>150</v>
      </c>
      <c r="E9" s="9" t="s">
        <v>151</v>
      </c>
    </row>
    <row r="10" spans="1:6" ht="15" customHeight="1" x14ac:dyDescent="0.3">
      <c r="A10" s="5" t="s">
        <v>153</v>
      </c>
      <c r="B10" s="9" t="s">
        <v>154</v>
      </c>
      <c r="C10" s="9" t="s">
        <v>155</v>
      </c>
      <c r="D10" s="9" t="s">
        <v>156</v>
      </c>
      <c r="E10" s="9" t="s">
        <v>157</v>
      </c>
    </row>
    <row r="11" spans="1:6" ht="15" customHeight="1" x14ac:dyDescent="0.3">
      <c r="A11" s="46"/>
      <c r="B11" s="9"/>
      <c r="C11" s="9"/>
      <c r="D11" s="9"/>
      <c r="E11" s="9"/>
    </row>
    <row r="12" spans="1:6" ht="15" customHeight="1" x14ac:dyDescent="0.3">
      <c r="A12" s="5" t="s">
        <v>158</v>
      </c>
      <c r="B12" s="9"/>
      <c r="C12" s="9"/>
      <c r="D12" s="9"/>
      <c r="E12" s="9"/>
    </row>
    <row r="13" spans="1:6" ht="15" customHeight="1" x14ac:dyDescent="0.3">
      <c r="A13" s="5" t="s">
        <v>116</v>
      </c>
      <c r="B13" s="9" t="s">
        <v>159</v>
      </c>
      <c r="C13" s="9" t="s">
        <v>160</v>
      </c>
      <c r="D13" s="9" t="s">
        <v>161</v>
      </c>
      <c r="E13" s="9" t="s">
        <v>162</v>
      </c>
    </row>
    <row r="14" spans="1:6" ht="15" customHeight="1" x14ac:dyDescent="0.3">
      <c r="A14" s="5" t="s">
        <v>163</v>
      </c>
      <c r="B14" s="9" t="s">
        <v>164</v>
      </c>
      <c r="C14" s="9" t="s">
        <v>161</v>
      </c>
      <c r="D14" s="9" t="s">
        <v>160</v>
      </c>
      <c r="E14" s="9" t="s">
        <v>165</v>
      </c>
    </row>
    <row r="15" spans="1:6" ht="15" customHeight="1" x14ac:dyDescent="0.3">
      <c r="A15" s="5" t="s">
        <v>166</v>
      </c>
      <c r="B15" s="9" t="s">
        <v>159</v>
      </c>
      <c r="C15" s="9" t="s">
        <v>160</v>
      </c>
      <c r="D15" s="9" t="s">
        <v>161</v>
      </c>
      <c r="E15" s="9" t="s">
        <v>167</v>
      </c>
    </row>
    <row r="16" spans="1:6" ht="15" customHeight="1" x14ac:dyDescent="0.3">
      <c r="A16" s="5" t="s">
        <v>168</v>
      </c>
      <c r="B16" s="9" t="s">
        <v>169</v>
      </c>
      <c r="C16" s="9" t="s">
        <v>160</v>
      </c>
      <c r="D16" s="9" t="s">
        <v>170</v>
      </c>
      <c r="E16" s="9" t="s">
        <v>171</v>
      </c>
    </row>
    <row r="20" spans="1:6" ht="15" customHeight="1" x14ac:dyDescent="0.3">
      <c r="A20" s="78" t="s">
        <v>172</v>
      </c>
      <c r="B20" s="78"/>
      <c r="C20" s="78"/>
      <c r="D20" s="78"/>
      <c r="E20" s="78"/>
      <c r="F20" s="78"/>
    </row>
    <row r="21" spans="1:6" ht="15" customHeight="1" x14ac:dyDescent="0.3">
      <c r="A21" s="8" t="s">
        <v>173</v>
      </c>
      <c r="B21" s="8" t="s">
        <v>141</v>
      </c>
      <c r="C21" s="8" t="s">
        <v>139</v>
      </c>
      <c r="D21" s="8" t="s">
        <v>142</v>
      </c>
      <c r="E21" s="8" t="s">
        <v>174</v>
      </c>
      <c r="F21" s="8" t="s">
        <v>175</v>
      </c>
    </row>
    <row r="22" spans="1:6" ht="15" customHeight="1" x14ac:dyDescent="0.3">
      <c r="A22" s="5" t="s">
        <v>176</v>
      </c>
      <c r="B22" s="36">
        <f>Costos!F13</f>
        <v>222735.3</v>
      </c>
      <c r="C22" s="36">
        <f>Costos!F13</f>
        <v>222735.3</v>
      </c>
      <c r="D22" s="36">
        <f>Costos!F13*0.9</f>
        <v>200461.77</v>
      </c>
      <c r="E22" s="47">
        <f>MIN(B22:D22)</f>
        <v>200461.77</v>
      </c>
      <c r="F22" s="36">
        <f t="shared" ref="F22:F27" si="0">MAX(B22:D22)-MIN(B22:D22)</f>
        <v>22273.53</v>
      </c>
    </row>
    <row r="23" spans="1:6" ht="15" customHeight="1" x14ac:dyDescent="0.3">
      <c r="A23" s="5" t="s">
        <v>177</v>
      </c>
      <c r="B23" s="36">
        <f>Cashflow_Integrado!J33</f>
        <v>0</v>
      </c>
      <c r="C23" s="36">
        <f>Cashflow_Integrado!J33</f>
        <v>0</v>
      </c>
      <c r="D23" s="36">
        <f>Cashflow_Integrado!J33*0.92</f>
        <v>0</v>
      </c>
      <c r="E23" s="47">
        <f>MIN(B23:D23)</f>
        <v>0</v>
      </c>
      <c r="F23" s="36">
        <f t="shared" si="0"/>
        <v>0</v>
      </c>
    </row>
    <row r="24" spans="1:6" ht="15" customHeight="1" x14ac:dyDescent="0.3">
      <c r="A24" s="5" t="s">
        <v>178</v>
      </c>
      <c r="B24" s="36">
        <f>Cashflow_Integrado!B37</f>
        <v>0</v>
      </c>
      <c r="C24" s="36">
        <f>Cashflow_Integrado!B37</f>
        <v>0</v>
      </c>
      <c r="D24" s="36">
        <f>Cashflow_Integrado!B37*1.15</f>
        <v>0</v>
      </c>
      <c r="E24" s="47">
        <f>MIN(B24:D24)</f>
        <v>0</v>
      </c>
      <c r="F24" s="36">
        <f t="shared" si="0"/>
        <v>0</v>
      </c>
    </row>
    <row r="25" spans="1:6" ht="15" customHeight="1" x14ac:dyDescent="0.3">
      <c r="A25" s="5" t="s">
        <v>179</v>
      </c>
      <c r="B25" s="9">
        <v>0</v>
      </c>
      <c r="C25" s="9">
        <v>1</v>
      </c>
      <c r="D25" s="9">
        <v>3</v>
      </c>
      <c r="E25" s="48">
        <f>MIN(B25:D25)</f>
        <v>0</v>
      </c>
      <c r="F25" s="22">
        <f t="shared" si="0"/>
        <v>3</v>
      </c>
    </row>
    <row r="26" spans="1:6" ht="15" customHeight="1" x14ac:dyDescent="0.3">
      <c r="A26" s="5" t="s">
        <v>180</v>
      </c>
      <c r="B26" s="36">
        <f>Riesgo_Proveedor_B!I14</f>
        <v>0</v>
      </c>
      <c r="C26" s="36">
        <f>Riesgo_Proveedor_B!I14</f>
        <v>0</v>
      </c>
      <c r="D26" s="36">
        <f>Riesgo_Proveedor_B!I14*2.5</f>
        <v>0</v>
      </c>
      <c r="E26" s="47">
        <f>MIN(B26:D26)</f>
        <v>0</v>
      </c>
      <c r="F26" s="36">
        <f t="shared" si="0"/>
        <v>0</v>
      </c>
    </row>
    <row r="27" spans="1:6" ht="15" customHeight="1" x14ac:dyDescent="0.3">
      <c r="A27" s="5" t="s">
        <v>181</v>
      </c>
      <c r="B27" s="9">
        <v>1.5</v>
      </c>
      <c r="C27" s="9">
        <v>1</v>
      </c>
      <c r="D27" s="9">
        <v>0.5</v>
      </c>
      <c r="E27" s="48">
        <f>MAX(B27:D27)</f>
        <v>1.5</v>
      </c>
      <c r="F27" s="22">
        <f t="shared" si="0"/>
        <v>1</v>
      </c>
    </row>
    <row r="29" spans="1:6" x14ac:dyDescent="0.3">
      <c r="A29" t="s">
        <v>330</v>
      </c>
      <c r="D29" t="s">
        <v>332</v>
      </c>
      <c r="E29">
        <v>1</v>
      </c>
    </row>
    <row r="30" spans="1:6" x14ac:dyDescent="0.3">
      <c r="A30" t="s">
        <v>331</v>
      </c>
      <c r="B30" t="s">
        <v>116</v>
      </c>
      <c r="C30" t="s">
        <v>178</v>
      </c>
    </row>
    <row r="31" spans="1:6" x14ac:dyDescent="0.3">
      <c r="B31">
        <f>Costos!F13</f>
        <v>222735.3</v>
      </c>
      <c r="C31">
        <f>Cashflow_Integrado!B30</f>
        <v>237930.6</v>
      </c>
    </row>
    <row r="32" spans="1:6" x14ac:dyDescent="0.3">
      <c r="A32">
        <v>0.9</v>
      </c>
      <c r="B32">
        <f t="dataTable" ref="B32:C34" dt2D="0" dtr="0" r1="E29"/>
        <v>205320.05</v>
      </c>
      <c r="C32">
        <v>214715.6</v>
      </c>
    </row>
    <row r="33" spans="1:3" x14ac:dyDescent="0.3">
      <c r="A33">
        <v>1</v>
      </c>
      <c r="B33">
        <v>222735.3</v>
      </c>
      <c r="C33">
        <v>237930.6</v>
      </c>
    </row>
    <row r="34" spans="1:3" x14ac:dyDescent="0.3">
      <c r="A34">
        <v>1.1000000000000001</v>
      </c>
      <c r="B34">
        <v>240117.55</v>
      </c>
      <c r="C34">
        <v>261112.6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activeCell="G20" sqref="G20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76" t="s">
        <v>182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ht="15" customHeight="1" x14ac:dyDescent="0.3">
      <c r="A2" s="81" t="s">
        <v>183</v>
      </c>
      <c r="B2" s="81"/>
      <c r="C2" s="81"/>
      <c r="D2" s="81"/>
      <c r="E2" s="81"/>
      <c r="F2" s="81"/>
      <c r="G2" s="81"/>
      <c r="H2" s="81"/>
      <c r="I2" s="81"/>
      <c r="J2" s="81"/>
    </row>
    <row r="4" spans="1:10" ht="15" customHeight="1" x14ac:dyDescent="0.3">
      <c r="A4" s="78" t="s">
        <v>184</v>
      </c>
      <c r="B4" s="78"/>
      <c r="C4" s="78"/>
      <c r="D4" s="78"/>
      <c r="E4" s="78"/>
      <c r="F4" s="78"/>
      <c r="G4" s="78"/>
      <c r="H4" s="78"/>
      <c r="I4" s="78"/>
      <c r="J4" s="78"/>
    </row>
    <row r="5" spans="1:10" ht="15" customHeight="1" x14ac:dyDescent="0.3">
      <c r="A5" t="s">
        <v>185</v>
      </c>
      <c r="B5" s="49">
        <f>SUM(Compras_y_Lotes!F18:F25)</f>
        <v>0</v>
      </c>
    </row>
    <row r="7" spans="1:10" ht="15" customHeight="1" x14ac:dyDescent="0.3">
      <c r="A7" s="31" t="s">
        <v>186</v>
      </c>
      <c r="B7" s="31" t="s">
        <v>64</v>
      </c>
      <c r="C7" s="31" t="s">
        <v>66</v>
      </c>
      <c r="D7" s="31" t="s">
        <v>67</v>
      </c>
      <c r="E7" s="31" t="s">
        <v>187</v>
      </c>
      <c r="F7" s="31" t="s">
        <v>127</v>
      </c>
      <c r="G7" s="31" t="s">
        <v>65</v>
      </c>
      <c r="H7" s="31" t="s">
        <v>188</v>
      </c>
      <c r="I7" s="31" t="s">
        <v>189</v>
      </c>
      <c r="J7" s="31" t="s">
        <v>190</v>
      </c>
    </row>
    <row r="8" spans="1:10" ht="15" customHeight="1" x14ac:dyDescent="0.3">
      <c r="A8" s="9" t="s">
        <v>69</v>
      </c>
      <c r="B8" s="44">
        <f>_xlfn.XLOOKUP(A8,Inputs!$A$66:$A$68,Inputs!$B$66:$B$68)</f>
        <v>125</v>
      </c>
      <c r="C8" s="50">
        <f>IF(A8="B",IFERROR(VALUE(SUBSTITUTE(LEFT(Inputs!$D$67,FIND("%",Inputs!$D$67)-1),"%",""))/100,0),0)</f>
        <v>0</v>
      </c>
      <c r="D8" s="9">
        <f>IF(A8="B",Inputs!$E$67,0)</f>
        <v>0</v>
      </c>
      <c r="E8" s="36">
        <f>B8</f>
        <v>125</v>
      </c>
      <c r="F8" s="36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6">
        <f>F8</f>
        <v>0</v>
      </c>
      <c r="J8" s="9">
        <v>0</v>
      </c>
    </row>
    <row r="9" spans="1:10" ht="15" customHeight="1" x14ac:dyDescent="0.3">
      <c r="A9" s="9" t="s">
        <v>73</v>
      </c>
      <c r="B9" s="44">
        <f>_xlfn.XLOOKUP(A9,Inputs!$A$66:$A$68,Inputs!$B$66:$B$68)</f>
        <v>100</v>
      </c>
      <c r="C9" s="50">
        <f>IF(A9="B",IFERROR(VALUE(SUBSTITUTE(LEFT(Inputs!$D$67,FIND("%",Inputs!$D$67)-1),"%",""))/100,0),0)</f>
        <v>0.16</v>
      </c>
      <c r="D9" s="9">
        <f>IF(A9="B",Inputs!$E$67,0)</f>
        <v>150</v>
      </c>
      <c r="E9" s="36">
        <f>IF(B5&gt;0,F9/B5,B9)</f>
        <v>100</v>
      </c>
      <c r="F9" s="36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6">
        <f>F9*1.05</f>
        <v>0</v>
      </c>
      <c r="J9" s="9">
        <v>0</v>
      </c>
    </row>
    <row r="10" spans="1:10" ht="15" customHeight="1" x14ac:dyDescent="0.3">
      <c r="A10" s="9" t="s">
        <v>77</v>
      </c>
      <c r="B10" s="44">
        <f>_xlfn.XLOOKUP(A10,Inputs!$A$66:$A$68,Inputs!$B$66:$B$68)</f>
        <v>140</v>
      </c>
      <c r="C10" s="50">
        <f>IF(A10="B",IFERROR(VALUE(SUBSTITUTE(LEFT(Inputs!$D$67,FIND("%",Inputs!$D$67)-1),"%",""))/100,0),0)</f>
        <v>0</v>
      </c>
      <c r="D10" s="9">
        <f>IF(A10="B",Inputs!$E$67,0)</f>
        <v>0</v>
      </c>
      <c r="E10" s="36">
        <f>B10</f>
        <v>140</v>
      </c>
      <c r="F10" s="36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6">
        <f>F10*0.97</f>
        <v>0</v>
      </c>
      <c r="J10" s="9">
        <v>0</v>
      </c>
    </row>
    <row r="11" spans="1:10" ht="15" customHeight="1" x14ac:dyDescent="0.3">
      <c r="A11" s="1" t="s">
        <v>191</v>
      </c>
      <c r="B11" s="51" t="str">
        <f>INDEX(A8:A10,MATCH(MIN(I8:I10),I8:I10,0))</f>
        <v>A</v>
      </c>
    </row>
    <row r="14" spans="1:10" ht="15" customHeight="1" x14ac:dyDescent="0.3">
      <c r="A14" s="78" t="s">
        <v>192</v>
      </c>
      <c r="B14" s="78"/>
      <c r="C14" s="78"/>
      <c r="D14" s="78"/>
      <c r="E14" s="78"/>
      <c r="F14" s="78"/>
      <c r="G14" s="78"/>
      <c r="H14" s="78"/>
      <c r="I14" s="78"/>
      <c r="J14" s="78"/>
    </row>
    <row r="15" spans="1:10" ht="15" customHeight="1" x14ac:dyDescent="0.3">
      <c r="A15" t="s">
        <v>185</v>
      </c>
      <c r="B15" s="49">
        <f>SUM(Compras_y_Lotes!F26:F33)</f>
        <v>0</v>
      </c>
    </row>
    <row r="17" spans="1:10" ht="15" customHeight="1" x14ac:dyDescent="0.3">
      <c r="A17" s="8" t="s">
        <v>186</v>
      </c>
      <c r="B17" s="8" t="s">
        <v>64</v>
      </c>
      <c r="C17" s="8" t="s">
        <v>66</v>
      </c>
      <c r="D17" s="8" t="s">
        <v>67</v>
      </c>
      <c r="E17" s="8" t="s">
        <v>187</v>
      </c>
      <c r="F17" s="8" t="s">
        <v>127</v>
      </c>
      <c r="G17" s="8" t="s">
        <v>65</v>
      </c>
      <c r="H17" s="8" t="s">
        <v>188</v>
      </c>
      <c r="I17" s="8" t="s">
        <v>189</v>
      </c>
      <c r="J17" s="8" t="s">
        <v>190</v>
      </c>
    </row>
    <row r="18" spans="1:10" ht="15" customHeight="1" x14ac:dyDescent="0.3">
      <c r="A18" s="9" t="s">
        <v>69</v>
      </c>
      <c r="B18" s="44">
        <f>_xlfn.XLOOKUP(A18,Inputs!$A$74:$A$76,Inputs!$B$74:$B$76)</f>
        <v>330</v>
      </c>
      <c r="C18" s="50">
        <f>IF(A18="B",IFERROR(VALUE(SUBSTITUTE(LEFT(Inputs!$D$75,FIND("%",Inputs!$D$75)-1),"%",""))/100,0),0)</f>
        <v>0</v>
      </c>
      <c r="D18" s="9">
        <f>IF(A18="B",Inputs!$E$75,0)</f>
        <v>0</v>
      </c>
      <c r="E18" s="36">
        <f>B18</f>
        <v>330</v>
      </c>
      <c r="F18" s="36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6">
        <f>F18</f>
        <v>0</v>
      </c>
      <c r="J18" s="9">
        <v>0</v>
      </c>
    </row>
    <row r="19" spans="1:10" ht="15" customHeight="1" x14ac:dyDescent="0.3">
      <c r="A19" s="9" t="s">
        <v>73</v>
      </c>
      <c r="B19" s="44">
        <f>_xlfn.XLOOKUP(A19,Inputs!$A$74:$A$76,Inputs!$B$74:$B$76)</f>
        <v>264</v>
      </c>
      <c r="C19" s="50">
        <f>IF(A19="B",IFERROR(VALUE(SUBSTITUTE(LEFT(Inputs!$D$75,FIND("%",Inputs!$D$75)-1),"%",""))/100,0),0)</f>
        <v>0.16</v>
      </c>
      <c r="D19" s="9">
        <f>IF(A19="B",Inputs!$E$75,0)</f>
        <v>80</v>
      </c>
      <c r="E19" s="36">
        <f>IF(B15&gt;0,F19/B15,B19)</f>
        <v>264</v>
      </c>
      <c r="F19" s="36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6">
        <f>F19*1.05</f>
        <v>0</v>
      </c>
      <c r="J19" s="9">
        <v>0</v>
      </c>
    </row>
    <row r="20" spans="1:10" ht="15" customHeight="1" x14ac:dyDescent="0.3">
      <c r="A20" s="9" t="s">
        <v>77</v>
      </c>
      <c r="B20" s="44">
        <f>_xlfn.XLOOKUP(A20,Inputs!$A$74:$A$76,Inputs!$B$74:$B$76)</f>
        <v>370</v>
      </c>
      <c r="C20" s="50">
        <f>IF(A20="B",IFERROR(VALUE(SUBSTITUTE(LEFT(Inputs!$D$75,FIND("%",Inputs!$D$75)-1),"%",""))/100,0),0)</f>
        <v>0</v>
      </c>
      <c r="D20" s="9">
        <f>IF(A20="B",Inputs!$E$75,0)</f>
        <v>0</v>
      </c>
      <c r="E20" s="36">
        <f>B20</f>
        <v>370</v>
      </c>
      <c r="F20" s="36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6">
        <f>F20*0.97</f>
        <v>0</v>
      </c>
      <c r="J20" s="9">
        <v>0</v>
      </c>
    </row>
    <row r="21" spans="1:10" ht="15" customHeight="1" x14ac:dyDescent="0.3">
      <c r="A21" s="1" t="s">
        <v>191</v>
      </c>
      <c r="B21" s="52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activeCell="F16" sqref="F1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7" t="s">
        <v>193</v>
      </c>
      <c r="B1" s="87"/>
      <c r="C1" s="87"/>
      <c r="D1" s="87"/>
      <c r="E1" s="87"/>
      <c r="F1" s="87"/>
      <c r="G1" s="87"/>
      <c r="H1" s="87"/>
    </row>
    <row r="3" spans="1:8" ht="15" customHeight="1" x14ac:dyDescent="0.3">
      <c r="A3" s="78" t="s">
        <v>194</v>
      </c>
      <c r="B3" s="78"/>
      <c r="C3" s="78"/>
      <c r="D3" s="78"/>
      <c r="E3" s="78"/>
      <c r="F3" s="78"/>
      <c r="G3" s="78"/>
      <c r="H3" s="78"/>
    </row>
    <row r="5" spans="1:8" ht="15" customHeight="1" x14ac:dyDescent="0.3">
      <c r="A5" s="53" t="s">
        <v>195</v>
      </c>
      <c r="B5" s="54">
        <f>Costos!F13</f>
        <v>222735.3</v>
      </c>
    </row>
    <row r="6" spans="1:8" ht="15" customHeight="1" x14ac:dyDescent="0.3">
      <c r="A6" s="53" t="s">
        <v>196</v>
      </c>
      <c r="B6" s="54">
        <f>Cashflow_Compras!J9</f>
        <v>232926</v>
      </c>
    </row>
    <row r="7" spans="1:8" ht="15" customHeight="1" x14ac:dyDescent="0.3">
      <c r="A7" s="53" t="s">
        <v>197</v>
      </c>
      <c r="B7" s="7">
        <f>SUM(Costos!C5:C12)</f>
        <v>6</v>
      </c>
      <c r="C7" s="2" t="s">
        <v>198</v>
      </c>
    </row>
    <row r="8" spans="1:8" ht="15" customHeight="1" x14ac:dyDescent="0.3">
      <c r="A8" s="53" t="s">
        <v>199</v>
      </c>
      <c r="B8" s="54">
        <f>MAX(Cashflow_Compras!B9:I9)</f>
        <v>232926</v>
      </c>
    </row>
    <row r="9" spans="1:8" ht="15" customHeight="1" x14ac:dyDescent="0.3">
      <c r="A9" s="53"/>
    </row>
    <row r="10" spans="1:8" ht="15" customHeight="1" x14ac:dyDescent="0.3">
      <c r="A10" s="53" t="s">
        <v>200</v>
      </c>
      <c r="B10" s="55" t="s">
        <v>201</v>
      </c>
      <c r="C10" s="2" t="s">
        <v>202</v>
      </c>
    </row>
    <row r="11" spans="1:8" ht="15" customHeight="1" x14ac:dyDescent="0.3">
      <c r="A11" s="53" t="s">
        <v>203</v>
      </c>
      <c r="B11" s="55" t="s">
        <v>201</v>
      </c>
      <c r="C11" s="2" t="s">
        <v>202</v>
      </c>
    </row>
    <row r="14" spans="1:8" ht="15" customHeight="1" x14ac:dyDescent="0.3">
      <c r="A14" s="78" t="s">
        <v>204</v>
      </c>
      <c r="B14" s="78"/>
      <c r="C14" s="78"/>
      <c r="D14" s="78"/>
      <c r="E14" s="78"/>
      <c r="F14" s="78"/>
      <c r="G14" s="78"/>
      <c r="H14" s="78"/>
    </row>
    <row r="16" spans="1:8" ht="15" customHeight="1" x14ac:dyDescent="0.3">
      <c r="A16" s="53" t="s">
        <v>205</v>
      </c>
      <c r="B16" s="56" t="str">
        <f>Inputs!B58</f>
        <v>Ordering Cost</v>
      </c>
    </row>
    <row r="17" spans="1:6" ht="15" customHeight="1" x14ac:dyDescent="0.3">
      <c r="A17" s="53" t="s">
        <v>206</v>
      </c>
      <c r="B17" s="56" t="str">
        <f>Inputs!B69</f>
        <v>A</v>
      </c>
    </row>
    <row r="18" spans="1:6" ht="15" customHeight="1" x14ac:dyDescent="0.3">
      <c r="A18" s="53" t="s">
        <v>207</v>
      </c>
      <c r="B18" s="56" t="str">
        <f>Escenarios!B4</f>
        <v>Base</v>
      </c>
    </row>
    <row r="25" spans="1:6" ht="15" customHeight="1" x14ac:dyDescent="0.3">
      <c r="A25" s="88" t="s">
        <v>208</v>
      </c>
      <c r="B25" s="88"/>
      <c r="C25" s="88"/>
      <c r="D25" s="88"/>
      <c r="E25" s="88"/>
      <c r="F25" s="88"/>
    </row>
    <row r="27" spans="1:6" ht="15" customHeight="1" x14ac:dyDescent="0.3">
      <c r="A27" s="53" t="s">
        <v>209</v>
      </c>
      <c r="B27" s="57">
        <f>COUNTIF(Inventario_Dinamico!J55:J62,"&lt;0")</f>
        <v>0</v>
      </c>
      <c r="C27" s="2" t="s">
        <v>202</v>
      </c>
    </row>
    <row r="28" spans="1:6" ht="15" customHeight="1" x14ac:dyDescent="0.3">
      <c r="A28" s="53" t="s">
        <v>210</v>
      </c>
      <c r="B28" s="57" t="str">
        <f>IF(OR(Inputs!B58="B",Inputs!B69="B"),"SÍ - REVISAR","NO")</f>
        <v>NO</v>
      </c>
    </row>
    <row r="29" spans="1:6" ht="15" customHeight="1" x14ac:dyDescent="0.3">
      <c r="A29" s="53" t="s">
        <v>211</v>
      </c>
      <c r="B29" s="57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activeCell="E6" sqref="E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90" t="s">
        <v>212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5" customHeight="1" x14ac:dyDescent="0.3">
      <c r="A2" s="91" t="s">
        <v>213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 x14ac:dyDescent="0.3">
      <c r="A4" s="78" t="s">
        <v>214</v>
      </c>
      <c r="B4" s="78"/>
      <c r="C4" s="78"/>
      <c r="D4" s="78"/>
    </row>
    <row r="6" spans="1:10" ht="15" customHeight="1" x14ac:dyDescent="0.3">
      <c r="A6" s="8" t="s">
        <v>140</v>
      </c>
      <c r="B6" s="8" t="s">
        <v>215</v>
      </c>
      <c r="C6" s="8" t="s">
        <v>18</v>
      </c>
    </row>
    <row r="7" spans="1:10" ht="15" customHeight="1" x14ac:dyDescent="0.3">
      <c r="A7" s="9" t="s">
        <v>216</v>
      </c>
      <c r="B7" s="58">
        <v>0.2</v>
      </c>
      <c r="C7" s="9" t="s">
        <v>217</v>
      </c>
    </row>
    <row r="8" spans="1:10" ht="15" customHeight="1" x14ac:dyDescent="0.3">
      <c r="A8" s="9" t="s">
        <v>218</v>
      </c>
      <c r="B8" s="34">
        <v>150</v>
      </c>
      <c r="C8" s="9" t="s">
        <v>219</v>
      </c>
    </row>
    <row r="9" spans="1:10" ht="15" customHeight="1" x14ac:dyDescent="0.3">
      <c r="A9" s="9" t="s">
        <v>220</v>
      </c>
      <c r="B9" s="34">
        <v>1</v>
      </c>
      <c r="C9" s="9" t="s">
        <v>221</v>
      </c>
    </row>
    <row r="12" spans="1:10" ht="15" customHeight="1" x14ac:dyDescent="0.3">
      <c r="A12" s="78" t="s">
        <v>222</v>
      </c>
      <c r="B12" s="78"/>
      <c r="C12" s="78"/>
      <c r="D12" s="78"/>
      <c r="E12" s="78"/>
      <c r="F12" s="78"/>
      <c r="G12" s="78"/>
      <c r="H12" s="78"/>
      <c r="I12" s="78"/>
      <c r="J12" s="78"/>
    </row>
    <row r="13" spans="1:10" ht="23.25" customHeight="1" x14ac:dyDescent="0.3">
      <c r="A13" s="31" t="s">
        <v>15</v>
      </c>
      <c r="B13" s="31" t="s">
        <v>223</v>
      </c>
      <c r="C13" s="31" t="s">
        <v>224</v>
      </c>
      <c r="D13" s="31" t="s">
        <v>225</v>
      </c>
      <c r="E13" s="31" t="s">
        <v>226</v>
      </c>
      <c r="F13" s="31" t="s">
        <v>227</v>
      </c>
      <c r="G13" s="31" t="s">
        <v>228</v>
      </c>
      <c r="H13" s="31" t="s">
        <v>229</v>
      </c>
      <c r="I13" s="31" t="s">
        <v>180</v>
      </c>
    </row>
    <row r="14" spans="1:10" ht="15" customHeight="1" x14ac:dyDescent="0.3">
      <c r="A14" s="9" t="s">
        <v>19</v>
      </c>
      <c r="B14" s="59" t="str">
        <f>Inputs!B69</f>
        <v>A</v>
      </c>
      <c r="C14" s="32">
        <f>SUM(Compras_y_Lotes!F18:F25)</f>
        <v>0</v>
      </c>
      <c r="D14" s="60">
        <f>IF(B14="B",$B$7,0)</f>
        <v>0</v>
      </c>
      <c r="E14" s="61">
        <f>C14*D14</f>
        <v>0</v>
      </c>
      <c r="F14" s="33">
        <f>E14*Inputs!B35</f>
        <v>0</v>
      </c>
      <c r="G14" s="62">
        <f>F14/Inputs!B23</f>
        <v>0</v>
      </c>
      <c r="H14" s="36">
        <f>G14*$B$8</f>
        <v>0</v>
      </c>
      <c r="I14" s="63">
        <f>H14</f>
        <v>0</v>
      </c>
    </row>
    <row r="15" spans="1:10" ht="15" customHeight="1" x14ac:dyDescent="0.3">
      <c r="A15" s="9" t="s">
        <v>22</v>
      </c>
      <c r="B15" s="59" t="str">
        <f>Inputs!B77</f>
        <v>A</v>
      </c>
      <c r="C15" s="32">
        <f>SUM(Compras_y_Lotes!F26:F33)</f>
        <v>0</v>
      </c>
      <c r="D15" s="60">
        <f>IF(B15="B",$B$7,0)</f>
        <v>0</v>
      </c>
      <c r="E15" s="61">
        <f>C15*D15</f>
        <v>0</v>
      </c>
      <c r="F15" s="33">
        <f>E15*Inputs!B36</f>
        <v>0</v>
      </c>
      <c r="G15" s="62">
        <f>F15/Inputs!B24</f>
        <v>0</v>
      </c>
      <c r="H15" s="36">
        <f>G15*$B$8</f>
        <v>0</v>
      </c>
      <c r="I15" s="63">
        <f>H15</f>
        <v>0</v>
      </c>
    </row>
    <row r="18" spans="1:8" ht="15" customHeight="1" x14ac:dyDescent="0.3">
      <c r="A18" s="78" t="s">
        <v>230</v>
      </c>
      <c r="B18" s="78"/>
      <c r="C18" s="78"/>
      <c r="D18" s="78"/>
      <c r="E18" s="78"/>
      <c r="F18" s="78"/>
      <c r="G18" s="78"/>
      <c r="H18" s="78"/>
    </row>
    <row r="19" spans="1:8" ht="15" customHeight="1" x14ac:dyDescent="0.3">
      <c r="A19" s="8" t="s">
        <v>15</v>
      </c>
      <c r="B19" s="8" t="s">
        <v>186</v>
      </c>
      <c r="C19" s="8" t="s">
        <v>127</v>
      </c>
      <c r="D19" s="8" t="s">
        <v>66</v>
      </c>
      <c r="E19" s="8" t="s">
        <v>231</v>
      </c>
      <c r="F19" s="8" t="s">
        <v>180</v>
      </c>
      <c r="G19" s="8" t="s">
        <v>232</v>
      </c>
      <c r="H19" s="8" t="s">
        <v>233</v>
      </c>
    </row>
    <row r="20" spans="1:8" ht="15" customHeight="1" x14ac:dyDescent="0.3">
      <c r="A20" s="9" t="s">
        <v>19</v>
      </c>
      <c r="B20" s="10" t="s">
        <v>69</v>
      </c>
      <c r="C20" s="36">
        <f>SUM(Compras_y_Lotes!I18:I25)</f>
        <v>0</v>
      </c>
      <c r="D20" s="50">
        <v>0</v>
      </c>
      <c r="E20" s="44">
        <v>0</v>
      </c>
      <c r="F20" s="44">
        <v>0</v>
      </c>
      <c r="G20" s="36">
        <f>C20+F20</f>
        <v>0</v>
      </c>
      <c r="H20" s="89"/>
    </row>
    <row r="21" spans="1:8" ht="15" customHeight="1" x14ac:dyDescent="0.3">
      <c r="A21" s="9"/>
      <c r="B21" s="10" t="s">
        <v>73</v>
      </c>
      <c r="C21" s="36">
        <f>IF(SUM(Compras_y_Lotes!F18:F25)&gt;=150,C20*(1-0.16),C20)</f>
        <v>0</v>
      </c>
      <c r="D21" s="50">
        <v>0.16</v>
      </c>
      <c r="E21" s="64">
        <f>C20-C21</f>
        <v>0</v>
      </c>
      <c r="F21" s="65">
        <f>I14</f>
        <v>0</v>
      </c>
      <c r="G21" s="36">
        <f>C21+F21</f>
        <v>0</v>
      </c>
      <c r="H21" s="89"/>
    </row>
    <row r="22" spans="1:8" ht="15" customHeight="1" x14ac:dyDescent="0.3">
      <c r="A22" s="9" t="s">
        <v>22</v>
      </c>
      <c r="B22" s="10" t="s">
        <v>69</v>
      </c>
      <c r="C22" s="36">
        <f>SUM(Compras_y_Lotes!I26:I33)</f>
        <v>0</v>
      </c>
      <c r="D22" s="50">
        <v>0</v>
      </c>
      <c r="E22" s="44">
        <v>0</v>
      </c>
      <c r="F22" s="44">
        <v>0</v>
      </c>
      <c r="G22" s="36">
        <f>C22+F22</f>
        <v>0</v>
      </c>
      <c r="H22" s="89"/>
    </row>
    <row r="23" spans="1:8" ht="15" customHeight="1" x14ac:dyDescent="0.3">
      <c r="A23" s="9"/>
      <c r="B23" s="10" t="s">
        <v>73</v>
      </c>
      <c r="C23" s="36">
        <f>IF(SUM(Compras_y_Lotes!F26:F33)&gt;=80,C22*(1-0.2),C22)</f>
        <v>0</v>
      </c>
      <c r="D23" s="50">
        <v>0.2</v>
      </c>
      <c r="E23" s="64">
        <f>C22-C23</f>
        <v>0</v>
      </c>
      <c r="F23" s="65">
        <f>I15</f>
        <v>0</v>
      </c>
      <c r="G23" s="36">
        <f>C23+F23</f>
        <v>0</v>
      </c>
      <c r="H23" s="89"/>
    </row>
    <row r="25" spans="1:8" x14ac:dyDescent="0.3">
      <c r="A25" t="s">
        <v>320</v>
      </c>
    </row>
    <row r="26" spans="1:8" x14ac:dyDescent="0.3">
      <c r="A26" t="s">
        <v>321</v>
      </c>
      <c r="B26">
        <f>Costos!F13</f>
        <v>222735.3</v>
      </c>
    </row>
    <row r="27" spans="1:8" x14ac:dyDescent="0.3">
      <c r="A27" t="s">
        <v>322</v>
      </c>
      <c r="B27">
        <f>IF(B14="B",SUM(Compras_y_Lotes!F18:F25)*Inputs!B35/Inputs!B23*$B$8,0)</f>
        <v>0</v>
      </c>
    </row>
    <row r="28" spans="1:8" x14ac:dyDescent="0.3">
      <c r="A28" t="s">
        <v>323</v>
      </c>
      <c r="B28">
        <f>IF(B15="B",SUM(Compras_y_Lotes!F26:F33)*Inputs!B36/Inputs!B24*$B$8,0)</f>
        <v>0</v>
      </c>
    </row>
    <row r="29" spans="1:8" x14ac:dyDescent="0.3">
      <c r="A29" t="s">
        <v>324</v>
      </c>
    </row>
    <row r="30" spans="1:8" x14ac:dyDescent="0.3">
      <c r="A30" t="s">
        <v>325</v>
      </c>
      <c r="B30" t="s">
        <v>326</v>
      </c>
      <c r="C30" t="s">
        <v>327</v>
      </c>
      <c r="D30" t="s">
        <v>116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222735.3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222735.3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222735.3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222735.3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222735.3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222735.3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222735.3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222735.3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222735.3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222735.3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222735.3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222735.3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222735.3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222735.3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222735.3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222735.3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222735.3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222735.3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222735.3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222735.3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222735.3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222735.3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222735.3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222735.3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222735.3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222735.3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222735.3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222735.3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222735.3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222735.3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222735.3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222735.3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222735.3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222735.3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222735.3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222735.3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222735.3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222735.3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222735.3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222735.3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222735.3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222735.3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222735.3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222735.3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222735.3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222735.3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222735.3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222735.3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222735.3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222735.3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222735.3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222735.3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222735.3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222735.3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222735.3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222735.3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222735.3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222735.3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222735.3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222735.3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222735.3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222735.3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222735.3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222735.3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222735.3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222735.3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222735.3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222735.3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222735.3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222735.3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222735.3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222735.3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222735.3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222735.3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222735.3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222735.3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222735.3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222735.3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222735.3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222735.3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222735.3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222735.3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222735.3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222735.3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222735.3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222735.3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222735.3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222735.3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222735.3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222735.3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222735.3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222735.3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222735.3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222735.3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222735.3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222735.3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222735.3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222735.3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222735.3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222735.3</v>
      </c>
    </row>
    <row r="132" spans="1:4" x14ac:dyDescent="0.3">
      <c r="A132" t="s">
        <v>328</v>
      </c>
      <c r="D132">
        <f ca="1">AVERAGE(D31:D130)</f>
        <v>222735.3000000004</v>
      </c>
    </row>
    <row r="133" spans="1:4" x14ac:dyDescent="0.3">
      <c r="A133" t="s">
        <v>329</v>
      </c>
      <c r="D133">
        <f ca="1">_xlfn.PERCENTILE.INC(D31:D130,0.9)</f>
        <v>222735.3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activeCell="C11" sqref="C11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76" t="s">
        <v>234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1" ht="15" customHeight="1" x14ac:dyDescent="0.3">
      <c r="A2" s="77" t="s">
        <v>235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1" ht="15" customHeight="1" x14ac:dyDescent="0.3">
      <c r="A4" s="78" t="s">
        <v>236</v>
      </c>
      <c r="B4" s="78"/>
      <c r="C4" s="78"/>
      <c r="D4" s="78"/>
      <c r="E4" s="78"/>
      <c r="F4" s="78"/>
      <c r="G4" s="78"/>
      <c r="H4" s="78"/>
      <c r="I4" s="78"/>
      <c r="J4" s="78"/>
    </row>
    <row r="5" spans="1:11" ht="15" customHeight="1" x14ac:dyDescent="0.3">
      <c r="A5" s="23" t="s">
        <v>100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1" ht="15" customHeight="1" x14ac:dyDescent="0.3">
      <c r="A6" s="5" t="s">
        <v>134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B6</f>
        <v>232926</v>
      </c>
    </row>
    <row r="7" spans="1:11" ht="15" customHeight="1" x14ac:dyDescent="0.3">
      <c r="A7" s="9" t="s">
        <v>237</v>
      </c>
      <c r="B7" s="35">
        <f>SUMIFS(Compras_y_Lotes!$I$18:$I$25,Compras_y_Lotes!$K$18:$K$25,B$5)</f>
        <v>0</v>
      </c>
      <c r="C7" s="35">
        <f>SUMIFS(Compras_y_Lotes!$I$18:$I$25,Compras_y_Lotes!$K$18:$K$25,C$5)</f>
        <v>0</v>
      </c>
      <c r="D7" s="35">
        <f>SUMIFS(Compras_y_Lotes!$I$18:$I$25,Compras_y_Lotes!$K$18:$K$25,D$5)</f>
        <v>0</v>
      </c>
      <c r="E7" s="35">
        <f>SUMIFS(Compras_y_Lotes!$I$18:$I$25,Compras_y_Lotes!$K$18:$K$25,E$5)</f>
        <v>0</v>
      </c>
      <c r="F7" s="35">
        <f>SUMIFS(Compras_y_Lotes!$I$18:$I$25,Compras_y_Lotes!$K$18:$K$25,F$5)</f>
        <v>0</v>
      </c>
      <c r="G7" s="35">
        <f>SUMIFS(Compras_y_Lotes!$I$18:$I$25,Compras_y_Lotes!$K$18:$K$25,G$5)</f>
        <v>0</v>
      </c>
      <c r="H7" s="35">
        <f>SUMIFS(Compras_y_Lotes!$I$18:$I$25,Compras_y_Lotes!$K$18:$K$25,H$5)</f>
        <v>0</v>
      </c>
      <c r="I7" s="35">
        <f>SUMIFS(Compras_y_Lotes!$I$18:$I$25,Compras_y_Lotes!$K$18:$K$25,I$5)</f>
        <v>0</v>
      </c>
      <c r="J7" s="36">
        <f>SUM(B7:I7)</f>
        <v>0</v>
      </c>
    </row>
    <row r="8" spans="1:11" ht="15" customHeight="1" x14ac:dyDescent="0.3">
      <c r="A8" s="9" t="s">
        <v>238</v>
      </c>
      <c r="B8" s="35">
        <f>SUMIFS(Compras_y_Lotes!$I$26:$I$33,Compras_y_Lotes!$K$26:$K$33,B$5)</f>
        <v>0</v>
      </c>
      <c r="C8" s="35">
        <f>SUMIFS(Compras_y_Lotes!$I$26:$I$33,Compras_y_Lotes!$K$26:$K$33,C$5)</f>
        <v>0</v>
      </c>
      <c r="D8" s="35">
        <f>SUMIFS(Compras_y_Lotes!$I$26:$I$33,Compras_y_Lotes!$K$26:$K$33,D$5)</f>
        <v>0</v>
      </c>
      <c r="E8" s="35">
        <f>SUMIFS(Compras_y_Lotes!$I$26:$I$33,Compras_y_Lotes!$K$26:$K$33,E$5)</f>
        <v>0</v>
      </c>
      <c r="F8" s="35">
        <f>SUMIFS(Compras_y_Lotes!$I$26:$I$33,Compras_y_Lotes!$K$26:$K$33,F$5)</f>
        <v>0</v>
      </c>
      <c r="G8" s="35">
        <f>SUMIFS(Compras_y_Lotes!$I$26:$I$33,Compras_y_Lotes!$K$26:$K$33,G$5)</f>
        <v>0</v>
      </c>
      <c r="H8" s="35">
        <f>SUMIFS(Compras_y_Lotes!$I$26:$I$33,Compras_y_Lotes!$K$26:$K$33,H$5)</f>
        <v>0</v>
      </c>
      <c r="I8" s="35">
        <f>SUMIFS(Compras_y_Lotes!$I$26:$I$33,Compras_y_Lotes!$K$26:$K$33,I$5)</f>
        <v>0</v>
      </c>
      <c r="J8" s="36">
        <f>SUM(B8:I8)</f>
        <v>0</v>
      </c>
    </row>
    <row r="9" spans="1:11" ht="15" customHeight="1" x14ac:dyDescent="0.3">
      <c r="A9" s="5" t="s">
        <v>239</v>
      </c>
      <c r="B9" s="66">
        <f t="shared" ref="B9:J9" si="0">SUM(B6:B8)</f>
        <v>232926</v>
      </c>
      <c r="C9" s="66">
        <f t="shared" si="0"/>
        <v>0</v>
      </c>
      <c r="D9" s="66">
        <f t="shared" si="0"/>
        <v>0</v>
      </c>
      <c r="E9" s="66">
        <f t="shared" si="0"/>
        <v>0</v>
      </c>
      <c r="F9" s="66">
        <f t="shared" si="0"/>
        <v>0</v>
      </c>
      <c r="G9" s="66">
        <f t="shared" si="0"/>
        <v>0</v>
      </c>
      <c r="H9" s="66">
        <f t="shared" si="0"/>
        <v>0</v>
      </c>
      <c r="I9" s="66">
        <f t="shared" si="0"/>
        <v>0</v>
      </c>
      <c r="J9" s="66">
        <f t="shared" si="0"/>
        <v>232926</v>
      </c>
    </row>
    <row r="12" spans="1:11" ht="15" customHeight="1" x14ac:dyDescent="0.3">
      <c r="A12" s="78" t="s">
        <v>240</v>
      </c>
      <c r="B12" s="78"/>
      <c r="C12" s="78"/>
      <c r="D12" s="78"/>
      <c r="E12" s="78"/>
      <c r="F12" s="78"/>
      <c r="G12" s="78"/>
      <c r="H12" s="78"/>
      <c r="I12" s="78"/>
      <c r="J12" s="78"/>
    </row>
    <row r="13" spans="1:11" ht="15" customHeight="1" x14ac:dyDescent="0.3">
      <c r="A13" s="8" t="s">
        <v>100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6">
        <f>IF(INDEX(Compras_y_Lotes!$F$18:$F$25,COLUMN(B14)-COLUMN($B$14)+1)&gt;0,Inputs!$B$59,0)</f>
        <v>0</v>
      </c>
      <c r="C14" s="36">
        <f>IF(INDEX(Compras_y_Lotes!$F$18:$F$25,COLUMN(C14)-COLUMN($B$14)+1)&gt;0,Inputs!$B$59,0)</f>
        <v>0</v>
      </c>
      <c r="D14" s="36">
        <f>IF(INDEX(Compras_y_Lotes!$F$18:$F$25,COLUMN(D14)-COLUMN($B$14)+1)&gt;0,Inputs!$B$59,0)</f>
        <v>0</v>
      </c>
      <c r="E14" s="36">
        <f>IF(INDEX(Compras_y_Lotes!$F$18:$F$25,COLUMN(E14)-COLUMN($B$14)+1)&gt;0,Inputs!$B$59,0)</f>
        <v>0</v>
      </c>
      <c r="F14" s="36">
        <f>IF(INDEX(Compras_y_Lotes!$F$18:$F$25,COLUMN(F14)-COLUMN($B$14)+1)&gt;0,Inputs!$B$59,0)</f>
        <v>0</v>
      </c>
      <c r="G14" s="36">
        <f>IF(INDEX(Compras_y_Lotes!$F$18:$F$25,COLUMN(G14)-COLUMN($B$14)+1)&gt;0,Inputs!$B$59,0)</f>
        <v>0</v>
      </c>
      <c r="H14" s="36">
        <f>IF(INDEX(Compras_y_Lotes!$F$18:$F$25,COLUMN(H14)-COLUMN($B$14)+1)&gt;0,Inputs!$B$59,0)</f>
        <v>0</v>
      </c>
      <c r="I14" s="36">
        <f>IF(INDEX(Compras_y_Lotes!$F$18:$F$25,COLUMN(I14)-COLUMN($B$14)+1)&gt;0,Inputs!$B$59,0)</f>
        <v>0</v>
      </c>
      <c r="J14" s="36">
        <f>SUM(B14:I14)</f>
        <v>0</v>
      </c>
    </row>
    <row r="15" spans="1:11" ht="15" customHeight="1" x14ac:dyDescent="0.3">
      <c r="A15" s="9" t="s">
        <v>22</v>
      </c>
      <c r="B15" s="36">
        <f>IF(INDEX(Compras_y_Lotes!$F$26:$F$33,COLUMN(B15)-COLUMN($B$15)+1)&gt;0,Inputs!$B$60,0)</f>
        <v>0</v>
      </c>
      <c r="C15" s="36">
        <f>IF(INDEX(Compras_y_Lotes!$F$26:$F$33,COLUMN(C15)-COLUMN($B$15)+1)&gt;0,Inputs!$B$60,0)</f>
        <v>0</v>
      </c>
      <c r="D15" s="36">
        <f>IF(INDEX(Compras_y_Lotes!$F$26:$F$33,COLUMN(D15)-COLUMN($B$15)+1)&gt;0,Inputs!$B$60,0)</f>
        <v>0</v>
      </c>
      <c r="E15" s="36">
        <f>IF(INDEX(Compras_y_Lotes!$F$26:$F$33,COLUMN(E15)-COLUMN($B$15)+1)&gt;0,Inputs!$B$60,0)</f>
        <v>0</v>
      </c>
      <c r="F15" s="36">
        <f>IF(INDEX(Compras_y_Lotes!$F$26:$F$33,COLUMN(F15)-COLUMN($B$15)+1)&gt;0,Inputs!$B$60,0)</f>
        <v>0</v>
      </c>
      <c r="G15" s="36">
        <f>IF(INDEX(Compras_y_Lotes!$F$26:$F$33,COLUMN(G15)-COLUMN($B$15)+1)&gt;0,Inputs!$B$60,0)</f>
        <v>0</v>
      </c>
      <c r="H15" s="36">
        <f>IF(INDEX(Compras_y_Lotes!$F$26:$F$33,COLUMN(H15)-COLUMN($B$15)+1)&gt;0,Inputs!$B$60,0)</f>
        <v>0</v>
      </c>
      <c r="I15" s="36">
        <f>IF(INDEX(Compras_y_Lotes!$F$26:$F$33,COLUMN(I15)-COLUMN($B$15)+1)&gt;0,Inputs!$B$60,0)</f>
        <v>0</v>
      </c>
      <c r="J15" s="36">
        <f>SUM(B15:I15)</f>
        <v>0</v>
      </c>
    </row>
    <row r="16" spans="1:11" ht="15" customHeight="1" x14ac:dyDescent="0.3">
      <c r="A16" s="5" t="s">
        <v>241</v>
      </c>
      <c r="B16" s="66">
        <f t="shared" ref="B16:J16" si="1">SUM(B14:B15)</f>
        <v>0</v>
      </c>
      <c r="C16" s="66">
        <f t="shared" si="1"/>
        <v>0</v>
      </c>
      <c r="D16" s="66">
        <f t="shared" si="1"/>
        <v>0</v>
      </c>
      <c r="E16" s="66">
        <f t="shared" si="1"/>
        <v>0</v>
      </c>
      <c r="F16" s="66">
        <f t="shared" si="1"/>
        <v>0</v>
      </c>
      <c r="G16" s="66">
        <f t="shared" si="1"/>
        <v>0</v>
      </c>
      <c r="H16" s="66">
        <f t="shared" si="1"/>
        <v>0</v>
      </c>
      <c r="I16" s="66">
        <f t="shared" si="1"/>
        <v>0</v>
      </c>
      <c r="J16" s="66">
        <f t="shared" si="1"/>
        <v>0</v>
      </c>
    </row>
    <row r="19" spans="1:10" ht="15" customHeight="1" x14ac:dyDescent="0.3">
      <c r="A19" s="78" t="s">
        <v>242</v>
      </c>
      <c r="B19" s="78"/>
      <c r="C19" s="78"/>
      <c r="D19" s="78"/>
      <c r="E19" s="78"/>
      <c r="F19" s="78"/>
      <c r="G19" s="78"/>
      <c r="H19" s="78"/>
      <c r="I19" s="78"/>
      <c r="J19" s="78"/>
    </row>
    <row r="20" spans="1:10" ht="15" customHeight="1" x14ac:dyDescent="0.3">
      <c r="A20" s="8" t="s">
        <v>100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6">
        <f>(Inventario_Dinamico!B7+Inventario_Dinamico!B10)/2*Inputs!$C$59</f>
        <v>1076.0999999999999</v>
      </c>
      <c r="C21" s="36">
        <f>(Inventario_Dinamico!C7+Inventario_Dinamico!C10)/2*Inputs!$C$59</f>
        <v>521.1</v>
      </c>
      <c r="D21" s="36">
        <f>(Inventario_Dinamico!D7+Inventario_Dinamico!D10)/2*Inputs!$C$59</f>
        <v>-33.9</v>
      </c>
      <c r="E21" s="36">
        <f>(Inventario_Dinamico!E7+Inventario_Dinamico!E10)/2*Inputs!$C$59</f>
        <v>-588.9</v>
      </c>
      <c r="F21" s="36">
        <f>(Inventario_Dinamico!F7+Inventario_Dinamico!F10)/2*Inputs!$C$59</f>
        <v>-866.4</v>
      </c>
      <c r="G21" s="36">
        <f>(Inventario_Dinamico!G7+Inventario_Dinamico!G10)/2*Inputs!$C$59</f>
        <v>-866.4</v>
      </c>
      <c r="H21" s="36">
        <f>(Inventario_Dinamico!H7+Inventario_Dinamico!H10)/2*Inputs!$C$59</f>
        <v>-866.4</v>
      </c>
      <c r="I21" s="36">
        <f>(Inventario_Dinamico!I7+Inventario_Dinamico!I10)/2*Inputs!$C$59</f>
        <v>-866.4</v>
      </c>
      <c r="J21" s="36">
        <f>SUM(B21:I21)</f>
        <v>-2491.2000000000003</v>
      </c>
    </row>
    <row r="22" spans="1:10" ht="15" customHeight="1" x14ac:dyDescent="0.3">
      <c r="A22" s="9" t="s">
        <v>22</v>
      </c>
      <c r="B22" s="36">
        <f>(Inventario_Dinamico!B13+Inventario_Dinamico!B16)/2*Inputs!$C$60</f>
        <v>3928.5</v>
      </c>
      <c r="C22" s="36">
        <f>(Inventario_Dinamico!C13+Inventario_Dinamico!C16)/2*Inputs!$C$60</f>
        <v>2263.5</v>
      </c>
      <c r="D22" s="36">
        <f>(Inventario_Dinamico!D13+Inventario_Dinamico!D16)/2*Inputs!$C$60</f>
        <v>598.5</v>
      </c>
      <c r="E22" s="36">
        <f>(Inventario_Dinamico!E13+Inventario_Dinamico!E16)/2*Inputs!$C$60</f>
        <v>-1066.5</v>
      </c>
      <c r="F22" s="36">
        <f>(Inventario_Dinamico!F13+Inventario_Dinamico!F16)/2*Inputs!$C$60</f>
        <v>-2731.5</v>
      </c>
      <c r="G22" s="36">
        <f>(Inventario_Dinamico!G13+Inventario_Dinamico!G16)/2*Inputs!$C$60</f>
        <v>-3564</v>
      </c>
      <c r="H22" s="36">
        <f>(Inventario_Dinamico!H13+Inventario_Dinamico!H16)/2*Inputs!$C$60</f>
        <v>-3564</v>
      </c>
      <c r="I22" s="36">
        <f>(Inventario_Dinamico!I13+Inventario_Dinamico!I16)/2*Inputs!$C$60</f>
        <v>-3564</v>
      </c>
      <c r="J22" s="36">
        <f>SUM(B22:I22)</f>
        <v>-7699.5</v>
      </c>
    </row>
    <row r="23" spans="1:10" ht="15" customHeight="1" x14ac:dyDescent="0.3">
      <c r="A23" s="5" t="s">
        <v>243</v>
      </c>
      <c r="B23" s="66">
        <f t="shared" ref="B23:J23" si="2">SUM(B21:B22)</f>
        <v>5004.6000000000004</v>
      </c>
      <c r="C23" s="66">
        <f t="shared" si="2"/>
        <v>2784.6</v>
      </c>
      <c r="D23" s="66">
        <f t="shared" si="2"/>
        <v>564.6</v>
      </c>
      <c r="E23" s="66">
        <f t="shared" si="2"/>
        <v>-1655.4</v>
      </c>
      <c r="F23" s="66">
        <f t="shared" si="2"/>
        <v>-3597.9</v>
      </c>
      <c r="G23" s="66">
        <f t="shared" si="2"/>
        <v>-4430.3999999999996</v>
      </c>
      <c r="H23" s="66">
        <f t="shared" si="2"/>
        <v>-4430.3999999999996</v>
      </c>
      <c r="I23" s="66">
        <f t="shared" si="2"/>
        <v>-4430.3999999999996</v>
      </c>
      <c r="J23" s="66">
        <f t="shared" si="2"/>
        <v>-10190.700000000001</v>
      </c>
    </row>
    <row r="26" spans="1:10" ht="15" customHeight="1" x14ac:dyDescent="0.3">
      <c r="A26" s="92" t="s">
        <v>244</v>
      </c>
      <c r="B26" s="67">
        <f t="shared" ref="B26:J26" si="3">B9+B16+B23</f>
        <v>237930.6</v>
      </c>
      <c r="C26" s="67">
        <f t="shared" si="3"/>
        <v>2784.6</v>
      </c>
      <c r="D26" s="67">
        <f t="shared" si="3"/>
        <v>564.6</v>
      </c>
      <c r="E26" s="67">
        <f t="shared" si="3"/>
        <v>-1655.4</v>
      </c>
      <c r="F26" s="67">
        <f t="shared" si="3"/>
        <v>-3597.9</v>
      </c>
      <c r="G26" s="67">
        <f t="shared" si="3"/>
        <v>-4430.3999999999996</v>
      </c>
      <c r="H26" s="67">
        <f t="shared" si="3"/>
        <v>-4430.3999999999996</v>
      </c>
      <c r="I26" s="67">
        <f t="shared" si="3"/>
        <v>-4430.3999999999996</v>
      </c>
      <c r="J26" s="67">
        <f t="shared" si="3"/>
        <v>222735.3</v>
      </c>
    </row>
    <row r="27" spans="1:10" ht="15" customHeight="1" x14ac:dyDescent="0.3">
      <c r="A27" s="92"/>
    </row>
    <row r="28" spans="1:10" ht="15" customHeight="1" x14ac:dyDescent="0.3">
      <c r="A28" s="78" t="s">
        <v>245</v>
      </c>
      <c r="B28" s="78"/>
      <c r="C28" s="78"/>
      <c r="D28" s="78"/>
    </row>
    <row r="30" spans="1:10" ht="15" customHeight="1" x14ac:dyDescent="0.3">
      <c r="A30" s="53" t="s">
        <v>246</v>
      </c>
      <c r="B30" s="68">
        <f>MAX(B26:I26)</f>
        <v>237930.6</v>
      </c>
      <c r="C30" s="2" t="s">
        <v>247</v>
      </c>
    </row>
    <row r="31" spans="1:10" ht="15" customHeight="1" x14ac:dyDescent="0.3">
      <c r="A31" s="53" t="s">
        <v>248</v>
      </c>
      <c r="B31" s="68">
        <f>MIN(B26:I26)</f>
        <v>-4430.3999999999996</v>
      </c>
      <c r="C31" s="2" t="s">
        <v>249</v>
      </c>
    </row>
    <row r="32" spans="1:10" ht="15" customHeight="1" x14ac:dyDescent="0.3">
      <c r="A32" s="53" t="s">
        <v>250</v>
      </c>
      <c r="B32" s="68">
        <f>AVERAGE(B26:I26)</f>
        <v>27841.912500000006</v>
      </c>
      <c r="C32" s="2" t="s">
        <v>251</v>
      </c>
    </row>
    <row r="33" spans="1:3" ht="15" customHeight="1" x14ac:dyDescent="0.3">
      <c r="A33" s="53" t="s">
        <v>252</v>
      </c>
      <c r="B33" s="68">
        <f>STDEV(B26:I26)</f>
        <v>84930.422800472195</v>
      </c>
      <c r="C33" s="2" t="s">
        <v>253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>
      <selection activeCell="G16" sqref="G1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3" t="s">
        <v>254</v>
      </c>
      <c r="B1" s="93"/>
      <c r="C1" s="93"/>
      <c r="D1" s="93"/>
      <c r="E1" s="93"/>
    </row>
    <row r="2" spans="1:5" ht="15" customHeight="1" x14ac:dyDescent="0.3">
      <c r="A2" s="82" t="s">
        <v>255</v>
      </c>
      <c r="B2" s="82"/>
      <c r="C2" s="82"/>
      <c r="D2" s="82"/>
      <c r="E2" s="82"/>
    </row>
    <row r="4" spans="1:5" ht="15" customHeight="1" x14ac:dyDescent="0.3">
      <c r="A4" s="78" t="s">
        <v>256</v>
      </c>
      <c r="B4" s="78"/>
      <c r="C4" s="78"/>
      <c r="D4" s="78"/>
      <c r="E4" s="78"/>
    </row>
    <row r="5" spans="1:5" ht="15" customHeight="1" x14ac:dyDescent="0.3">
      <c r="A5" s="8" t="s">
        <v>15</v>
      </c>
      <c r="B5" s="8" t="s">
        <v>257</v>
      </c>
      <c r="C5" s="8" t="s">
        <v>258</v>
      </c>
      <c r="D5" s="8" t="s">
        <v>259</v>
      </c>
      <c r="E5" s="8" t="s">
        <v>260</v>
      </c>
    </row>
    <row r="6" spans="1:5" ht="15" customHeight="1" x14ac:dyDescent="0.3">
      <c r="A6" s="9" t="s">
        <v>23</v>
      </c>
      <c r="B6" s="69">
        <v>0</v>
      </c>
      <c r="C6" s="32">
        <f>Compras_y_Lotes!E7</f>
        <v>5</v>
      </c>
      <c r="D6" s="10" t="s">
        <v>261</v>
      </c>
      <c r="E6" s="22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69">
        <v>0</v>
      </c>
      <c r="C7" s="32">
        <f>Compras_y_Lotes!E8</f>
        <v>8634</v>
      </c>
      <c r="D7" s="10" t="s">
        <v>261</v>
      </c>
      <c r="E7" s="22" t="str">
        <f t="shared" si="0"/>
        <v>Comprar</v>
      </c>
    </row>
    <row r="8" spans="1:5" ht="15" customHeight="1" x14ac:dyDescent="0.3">
      <c r="A8" s="9" t="s">
        <v>25</v>
      </c>
      <c r="B8" s="69">
        <v>0</v>
      </c>
      <c r="C8" s="32">
        <f>Compras_y_Lotes!E9</f>
        <v>3885</v>
      </c>
      <c r="D8" s="10" t="s">
        <v>261</v>
      </c>
      <c r="E8" s="22" t="str">
        <f t="shared" si="0"/>
        <v>Comprar</v>
      </c>
    </row>
    <row r="9" spans="1:5" ht="15" customHeight="1" x14ac:dyDescent="0.3">
      <c r="A9" s="9" t="s">
        <v>26</v>
      </c>
      <c r="B9" s="69">
        <v>0</v>
      </c>
      <c r="C9" s="32">
        <f>Compras_y_Lotes!E10</f>
        <v>78</v>
      </c>
      <c r="D9" s="10" t="s">
        <v>261</v>
      </c>
      <c r="E9" s="22" t="str">
        <f t="shared" si="0"/>
        <v>Comprar</v>
      </c>
    </row>
    <row r="10" spans="1:5" ht="15" customHeight="1" x14ac:dyDescent="0.3">
      <c r="A10" s="9" t="s">
        <v>27</v>
      </c>
      <c r="B10" s="69">
        <v>0</v>
      </c>
      <c r="C10" s="32">
        <f>Compras_y_Lotes!E11</f>
        <v>864</v>
      </c>
      <c r="D10" s="10" t="s">
        <v>261</v>
      </c>
      <c r="E10" s="22" t="str">
        <f t="shared" si="0"/>
        <v>Comprar</v>
      </c>
    </row>
    <row r="11" spans="1:5" ht="15" customHeight="1" x14ac:dyDescent="0.3">
      <c r="A11" s="9" t="s">
        <v>28</v>
      </c>
      <c r="B11" s="69">
        <v>0</v>
      </c>
      <c r="C11" s="32">
        <f>Compras_y_Lotes!E12</f>
        <v>162</v>
      </c>
      <c r="D11" s="10" t="s">
        <v>261</v>
      </c>
      <c r="E11" s="22" t="str">
        <f t="shared" si="0"/>
        <v>Comprar</v>
      </c>
    </row>
    <row r="13" spans="1:5" ht="15" customHeight="1" x14ac:dyDescent="0.3">
      <c r="A13" s="78" t="s">
        <v>262</v>
      </c>
      <c r="B13" s="78"/>
      <c r="C13" s="78"/>
      <c r="D13" s="78"/>
      <c r="E13" s="78"/>
    </row>
    <row r="14" spans="1:5" ht="15" customHeight="1" x14ac:dyDescent="0.3">
      <c r="A14" s="8" t="s">
        <v>15</v>
      </c>
      <c r="B14" s="8" t="s">
        <v>257</v>
      </c>
      <c r="C14" s="8" t="s">
        <v>258</v>
      </c>
      <c r="D14" s="8" t="s">
        <v>259</v>
      </c>
      <c r="E14" s="8" t="s">
        <v>260</v>
      </c>
    </row>
    <row r="15" spans="1:5" ht="15" customHeight="1" x14ac:dyDescent="0.3">
      <c r="A15" s="9" t="s">
        <v>19</v>
      </c>
      <c r="B15" s="69">
        <v>1</v>
      </c>
      <c r="C15" s="32">
        <f>Compras_y_Lotes!F18</f>
        <v>0</v>
      </c>
      <c r="D15" s="59" t="str">
        <f>Inputs!$B$69</f>
        <v>A</v>
      </c>
      <c r="E15" s="22" t="str">
        <f t="shared" ref="E15:E22" si="1">IF(C15&gt;0,"Comprar","-")</f>
        <v>-</v>
      </c>
    </row>
    <row r="16" spans="1:5" ht="15" customHeight="1" x14ac:dyDescent="0.3">
      <c r="A16" s="9" t="s">
        <v>19</v>
      </c>
      <c r="B16" s="69">
        <v>2</v>
      </c>
      <c r="C16" s="32">
        <f>Compras_y_Lotes!F19</f>
        <v>0</v>
      </c>
      <c r="D16" s="59" t="str">
        <f>Inputs!$B$69</f>
        <v>A</v>
      </c>
      <c r="E16" s="22" t="str">
        <f t="shared" si="1"/>
        <v>-</v>
      </c>
    </row>
    <row r="17" spans="1:5" ht="15" customHeight="1" x14ac:dyDescent="0.3">
      <c r="A17" s="9" t="s">
        <v>19</v>
      </c>
      <c r="B17" s="69">
        <v>3</v>
      </c>
      <c r="C17" s="32">
        <f>Compras_y_Lotes!F20</f>
        <v>0</v>
      </c>
      <c r="D17" s="59" t="str">
        <f>Inputs!$B$69</f>
        <v>A</v>
      </c>
      <c r="E17" s="22" t="str">
        <f t="shared" si="1"/>
        <v>-</v>
      </c>
    </row>
    <row r="18" spans="1:5" ht="15" customHeight="1" x14ac:dyDescent="0.3">
      <c r="A18" s="9" t="s">
        <v>19</v>
      </c>
      <c r="B18" s="69">
        <v>4</v>
      </c>
      <c r="C18" s="32">
        <f>Compras_y_Lotes!F21</f>
        <v>0</v>
      </c>
      <c r="D18" s="59" t="str">
        <f>Inputs!$B$69</f>
        <v>A</v>
      </c>
      <c r="E18" s="22" t="str">
        <f t="shared" si="1"/>
        <v>-</v>
      </c>
    </row>
    <row r="19" spans="1:5" ht="15" customHeight="1" x14ac:dyDescent="0.3">
      <c r="A19" s="9" t="s">
        <v>19</v>
      </c>
      <c r="B19" s="69">
        <v>5</v>
      </c>
      <c r="C19" s="32">
        <f>Compras_y_Lotes!F22</f>
        <v>0</v>
      </c>
      <c r="D19" s="59" t="str">
        <f>Inputs!$B$69</f>
        <v>A</v>
      </c>
      <c r="E19" s="22" t="str">
        <f t="shared" si="1"/>
        <v>-</v>
      </c>
    </row>
    <row r="20" spans="1:5" ht="15" customHeight="1" x14ac:dyDescent="0.3">
      <c r="A20" s="9" t="s">
        <v>19</v>
      </c>
      <c r="B20" s="69">
        <v>6</v>
      </c>
      <c r="C20" s="32">
        <f>Compras_y_Lotes!F23</f>
        <v>0</v>
      </c>
      <c r="D20" s="59" t="str">
        <f>Inputs!$B$69</f>
        <v>A</v>
      </c>
      <c r="E20" s="22" t="str">
        <f t="shared" si="1"/>
        <v>-</v>
      </c>
    </row>
    <row r="21" spans="1:5" ht="15" customHeight="1" x14ac:dyDescent="0.3">
      <c r="A21" s="9" t="s">
        <v>19</v>
      </c>
      <c r="B21" s="69">
        <v>7</v>
      </c>
      <c r="C21" s="32">
        <f>Compras_y_Lotes!F24</f>
        <v>0</v>
      </c>
      <c r="D21" s="59" t="str">
        <f>Inputs!$B$69</f>
        <v>A</v>
      </c>
      <c r="E21" s="22" t="str">
        <f t="shared" si="1"/>
        <v>-</v>
      </c>
    </row>
    <row r="22" spans="1:5" ht="15" customHeight="1" x14ac:dyDescent="0.3">
      <c r="A22" s="9" t="s">
        <v>19</v>
      </c>
      <c r="B22" s="69">
        <v>8</v>
      </c>
      <c r="C22" s="32">
        <f>Compras_y_Lotes!F25</f>
        <v>0</v>
      </c>
      <c r="D22" s="59" t="str">
        <f>Inputs!$B$69</f>
        <v>A</v>
      </c>
      <c r="E22" s="22" t="str">
        <f t="shared" si="1"/>
        <v>-</v>
      </c>
    </row>
    <row r="24" spans="1:5" ht="15" customHeight="1" x14ac:dyDescent="0.3">
      <c r="A24" s="78" t="s">
        <v>263</v>
      </c>
      <c r="B24" s="78"/>
      <c r="C24" s="78"/>
      <c r="D24" s="78"/>
      <c r="E24" s="78"/>
    </row>
    <row r="25" spans="1:5" ht="15" customHeight="1" x14ac:dyDescent="0.3">
      <c r="A25" s="8" t="s">
        <v>15</v>
      </c>
      <c r="B25" s="8" t="s">
        <v>257</v>
      </c>
      <c r="C25" s="8" t="s">
        <v>258</v>
      </c>
      <c r="D25" s="8" t="s">
        <v>259</v>
      </c>
      <c r="E25" s="8" t="s">
        <v>260</v>
      </c>
    </row>
    <row r="26" spans="1:5" ht="15" customHeight="1" x14ac:dyDescent="0.3">
      <c r="A26" s="9" t="s">
        <v>22</v>
      </c>
      <c r="B26" s="69">
        <v>1</v>
      </c>
      <c r="C26" s="32">
        <f>Compras_y_Lotes!F26</f>
        <v>0</v>
      </c>
      <c r="D26" s="59" t="str">
        <f>Inputs!$B$77</f>
        <v>A</v>
      </c>
      <c r="E26" s="22" t="str">
        <f t="shared" ref="E26:E33" si="2">IF(C26&gt;0,"Comprar","-")</f>
        <v>-</v>
      </c>
    </row>
    <row r="27" spans="1:5" ht="15" customHeight="1" x14ac:dyDescent="0.3">
      <c r="A27" s="9" t="s">
        <v>22</v>
      </c>
      <c r="B27" s="69">
        <v>2</v>
      </c>
      <c r="C27" s="32">
        <f>Compras_y_Lotes!F27</f>
        <v>0</v>
      </c>
      <c r="D27" s="59" t="str">
        <f>Inputs!$B$77</f>
        <v>A</v>
      </c>
      <c r="E27" s="22" t="str">
        <f t="shared" si="2"/>
        <v>-</v>
      </c>
    </row>
    <row r="28" spans="1:5" ht="15" customHeight="1" x14ac:dyDescent="0.3">
      <c r="A28" s="9" t="s">
        <v>22</v>
      </c>
      <c r="B28" s="69">
        <v>3</v>
      </c>
      <c r="C28" s="32">
        <f>Compras_y_Lotes!F28</f>
        <v>0</v>
      </c>
      <c r="D28" s="59" t="str">
        <f>Inputs!$B$77</f>
        <v>A</v>
      </c>
      <c r="E28" s="22" t="str">
        <f t="shared" si="2"/>
        <v>-</v>
      </c>
    </row>
    <row r="29" spans="1:5" ht="15" customHeight="1" x14ac:dyDescent="0.3">
      <c r="A29" s="9" t="s">
        <v>22</v>
      </c>
      <c r="B29" s="69">
        <v>4</v>
      </c>
      <c r="C29" s="32">
        <f>Compras_y_Lotes!F29</f>
        <v>0</v>
      </c>
      <c r="D29" s="59" t="str">
        <f>Inputs!$B$77</f>
        <v>A</v>
      </c>
      <c r="E29" s="22" t="str">
        <f t="shared" si="2"/>
        <v>-</v>
      </c>
    </row>
    <row r="30" spans="1:5" ht="15" customHeight="1" x14ac:dyDescent="0.3">
      <c r="A30" s="9" t="s">
        <v>22</v>
      </c>
      <c r="B30" s="69">
        <v>5</v>
      </c>
      <c r="C30" s="32">
        <f>Compras_y_Lotes!F30</f>
        <v>0</v>
      </c>
      <c r="D30" s="59" t="str">
        <f>Inputs!$B$77</f>
        <v>A</v>
      </c>
      <c r="E30" s="22" t="str">
        <f t="shared" si="2"/>
        <v>-</v>
      </c>
    </row>
    <row r="31" spans="1:5" ht="15" customHeight="1" x14ac:dyDescent="0.3">
      <c r="A31" s="9" t="s">
        <v>22</v>
      </c>
      <c r="B31" s="69">
        <v>6</v>
      </c>
      <c r="C31" s="32">
        <f>Compras_y_Lotes!F31</f>
        <v>0</v>
      </c>
      <c r="D31" s="59" t="str">
        <f>Inputs!$B$77</f>
        <v>A</v>
      </c>
      <c r="E31" s="22" t="str">
        <f t="shared" si="2"/>
        <v>-</v>
      </c>
    </row>
    <row r="32" spans="1:5" ht="15" customHeight="1" x14ac:dyDescent="0.3">
      <c r="A32" s="9" t="s">
        <v>22</v>
      </c>
      <c r="B32" s="69">
        <v>7</v>
      </c>
      <c r="C32" s="32">
        <f>Compras_y_Lotes!F32</f>
        <v>0</v>
      </c>
      <c r="D32" s="59" t="str">
        <f>Inputs!$B$77</f>
        <v>A</v>
      </c>
      <c r="E32" s="22" t="str">
        <f t="shared" si="2"/>
        <v>-</v>
      </c>
    </row>
    <row r="33" spans="1:5" ht="15" customHeight="1" x14ac:dyDescent="0.3">
      <c r="A33" s="9" t="s">
        <v>22</v>
      </c>
      <c r="B33" s="69">
        <v>8</v>
      </c>
      <c r="C33" s="32">
        <f>Compras_y_Lotes!F33</f>
        <v>0</v>
      </c>
      <c r="D33" s="59" t="str">
        <f>Inputs!$B$77</f>
        <v>A</v>
      </c>
      <c r="E33" s="22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zoomScaleNormal="100" workbookViewId="0">
      <selection activeCell="J11" sqref="J10:J11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5" ht="17.25" customHeight="1" x14ac:dyDescent="0.3">
      <c r="A1" s="76" t="s">
        <v>264</v>
      </c>
      <c r="B1" s="76"/>
      <c r="C1" s="76"/>
      <c r="D1" s="76"/>
      <c r="E1" s="76"/>
    </row>
    <row r="2" spans="1:5" ht="15" customHeight="1" x14ac:dyDescent="0.3">
      <c r="A2" s="81" t="s">
        <v>265</v>
      </c>
      <c r="B2" s="81"/>
      <c r="C2" s="81"/>
      <c r="D2" s="81"/>
      <c r="E2" s="81"/>
    </row>
    <row r="4" spans="1:5" ht="15" customHeight="1" x14ac:dyDescent="0.3">
      <c r="A4" s="78" t="s">
        <v>266</v>
      </c>
      <c r="B4" s="78"/>
      <c r="C4" s="78"/>
      <c r="D4" s="78"/>
      <c r="E4" s="78"/>
    </row>
    <row r="5" spans="1:5" ht="15" customHeight="1" x14ac:dyDescent="0.3">
      <c r="A5" s="8" t="s">
        <v>15</v>
      </c>
      <c r="B5" s="8" t="s">
        <v>267</v>
      </c>
      <c r="C5" s="8" t="s">
        <v>268</v>
      </c>
      <c r="D5" s="8" t="s">
        <v>12</v>
      </c>
      <c r="E5" s="8" t="s">
        <v>269</v>
      </c>
    </row>
    <row r="6" spans="1:5" ht="15" customHeight="1" x14ac:dyDescent="0.3">
      <c r="A6" s="9" t="s">
        <v>19</v>
      </c>
      <c r="B6" s="34">
        <v>3496</v>
      </c>
      <c r="C6" s="34">
        <v>1016</v>
      </c>
      <c r="D6" s="7">
        <v>4512</v>
      </c>
      <c r="E6" s="60">
        <f t="shared" ref="E6:E13" si="0">B6/D6</f>
        <v>0.77482269503546097</v>
      </c>
    </row>
    <row r="7" spans="1:5" ht="15" customHeight="1" x14ac:dyDescent="0.3">
      <c r="A7" s="9" t="s">
        <v>22</v>
      </c>
      <c r="B7" s="34">
        <v>765</v>
      </c>
      <c r="C7" s="34">
        <v>293</v>
      </c>
      <c r="D7" s="7">
        <v>1058</v>
      </c>
      <c r="E7" s="60">
        <f t="shared" si="0"/>
        <v>0.72306238185255201</v>
      </c>
    </row>
    <row r="8" spans="1:5" ht="15" customHeight="1" x14ac:dyDescent="0.3">
      <c r="A8" s="9" t="s">
        <v>23</v>
      </c>
      <c r="B8" s="34">
        <v>94</v>
      </c>
      <c r="C8" s="34">
        <v>36</v>
      </c>
      <c r="D8" s="7">
        <v>130</v>
      </c>
      <c r="E8" s="60">
        <f t="shared" si="0"/>
        <v>0.72307692307692306</v>
      </c>
    </row>
    <row r="9" spans="1:5" ht="15" customHeight="1" x14ac:dyDescent="0.3">
      <c r="A9" s="9" t="s">
        <v>24</v>
      </c>
      <c r="B9" s="34">
        <v>3844</v>
      </c>
      <c r="C9" s="34">
        <v>1424</v>
      </c>
      <c r="D9" s="7">
        <v>5268</v>
      </c>
      <c r="E9" s="60">
        <f t="shared" si="0"/>
        <v>0.72968868640850415</v>
      </c>
    </row>
    <row r="10" spans="1:5" ht="15" customHeight="1" x14ac:dyDescent="0.3">
      <c r="A10" s="9" t="s">
        <v>25</v>
      </c>
      <c r="B10" s="34">
        <v>3125</v>
      </c>
      <c r="C10" s="34">
        <v>1208</v>
      </c>
      <c r="D10" s="7">
        <v>4333</v>
      </c>
      <c r="E10" s="60">
        <f t="shared" si="0"/>
        <v>0.72120932379413805</v>
      </c>
    </row>
    <row r="11" spans="1:5" ht="15" customHeight="1" x14ac:dyDescent="0.3">
      <c r="A11" s="9" t="s">
        <v>26</v>
      </c>
      <c r="B11" s="34">
        <v>6131</v>
      </c>
      <c r="C11" s="34">
        <v>2356</v>
      </c>
      <c r="D11" s="7">
        <v>8487</v>
      </c>
      <c r="E11" s="60">
        <f t="shared" si="0"/>
        <v>0.72239896312006602</v>
      </c>
    </row>
    <row r="12" spans="1:5" ht="15" customHeight="1" x14ac:dyDescent="0.3">
      <c r="A12" s="9" t="s">
        <v>27</v>
      </c>
      <c r="B12" s="34">
        <v>16736</v>
      </c>
      <c r="C12" s="34">
        <v>6456</v>
      </c>
      <c r="D12" s="7">
        <v>23192</v>
      </c>
      <c r="E12" s="60">
        <f t="shared" si="0"/>
        <v>0.72162814763711625</v>
      </c>
    </row>
    <row r="13" spans="1:5" ht="15" customHeight="1" x14ac:dyDescent="0.3">
      <c r="A13" s="9" t="s">
        <v>28</v>
      </c>
      <c r="B13" s="34">
        <v>4439</v>
      </c>
      <c r="C13" s="34">
        <v>1596</v>
      </c>
      <c r="D13" s="7">
        <v>6035</v>
      </c>
      <c r="E13" s="60">
        <f t="shared" si="0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activeCell="B14" sqref="B14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76" t="s">
        <v>270</v>
      </c>
      <c r="B1" s="76"/>
      <c r="C1" s="76"/>
      <c r="D1" s="76"/>
      <c r="E1" s="76"/>
      <c r="F1" s="76"/>
    </row>
    <row r="2" spans="1:9" ht="15" customHeight="1" x14ac:dyDescent="0.3">
      <c r="A2" s="81" t="s">
        <v>271</v>
      </c>
      <c r="B2" s="81"/>
      <c r="C2" s="81"/>
      <c r="D2" s="81"/>
      <c r="E2" s="81"/>
      <c r="F2" s="81"/>
    </row>
    <row r="4" spans="1:9" ht="15" customHeight="1" x14ac:dyDescent="0.3">
      <c r="A4" s="78" t="s">
        <v>272</v>
      </c>
      <c r="B4" s="78"/>
      <c r="C4" s="78"/>
      <c r="D4" s="78"/>
      <c r="E4" s="78"/>
      <c r="F4" s="78"/>
    </row>
    <row r="5" spans="1:9" ht="15" customHeight="1" x14ac:dyDescent="0.3">
      <c r="A5" s="8" t="s">
        <v>273</v>
      </c>
      <c r="B5" s="8" t="s">
        <v>274</v>
      </c>
      <c r="C5" s="8" t="s">
        <v>275</v>
      </c>
      <c r="D5" s="8" t="s">
        <v>276</v>
      </c>
      <c r="E5" s="8" t="s">
        <v>277</v>
      </c>
    </row>
    <row r="6" spans="1:9" ht="15" customHeight="1" x14ac:dyDescent="0.3">
      <c r="A6" s="9" t="s">
        <v>278</v>
      </c>
      <c r="B6" s="9" t="s">
        <v>19</v>
      </c>
      <c r="C6" s="9" t="s">
        <v>279</v>
      </c>
      <c r="D6" s="9" t="s">
        <v>280</v>
      </c>
      <c r="E6" s="9" t="s">
        <v>281</v>
      </c>
    </row>
    <row r="7" spans="1:9" ht="15" customHeight="1" x14ac:dyDescent="0.3">
      <c r="A7" s="9" t="s">
        <v>282</v>
      </c>
      <c r="B7" s="9" t="s">
        <v>22</v>
      </c>
      <c r="C7" s="9" t="s">
        <v>279</v>
      </c>
      <c r="D7" s="9" t="s">
        <v>283</v>
      </c>
      <c r="E7" s="9" t="s">
        <v>281</v>
      </c>
    </row>
    <row r="8" spans="1:9" ht="15" customHeight="1" x14ac:dyDescent="0.3">
      <c r="A8" s="9" t="s">
        <v>284</v>
      </c>
      <c r="B8" s="9" t="s">
        <v>44</v>
      </c>
      <c r="C8" s="9" t="s">
        <v>25</v>
      </c>
      <c r="D8" s="9" t="s">
        <v>285</v>
      </c>
      <c r="E8" s="9" t="s">
        <v>281</v>
      </c>
    </row>
    <row r="9" spans="1:9" ht="15" customHeight="1" x14ac:dyDescent="0.3">
      <c r="A9" s="9" t="s">
        <v>286</v>
      </c>
      <c r="B9" s="9" t="s">
        <v>44</v>
      </c>
      <c r="C9" s="9" t="s">
        <v>28</v>
      </c>
      <c r="D9" s="9" t="s">
        <v>287</v>
      </c>
      <c r="E9" s="9" t="s">
        <v>281</v>
      </c>
    </row>
    <row r="10" spans="1:9" ht="15" customHeight="1" x14ac:dyDescent="0.3">
      <c r="A10" s="9" t="s">
        <v>288</v>
      </c>
      <c r="B10" s="9" t="s">
        <v>289</v>
      </c>
      <c r="C10" s="9" t="s">
        <v>290</v>
      </c>
      <c r="D10" s="9" t="s">
        <v>291</v>
      </c>
      <c r="E10" s="9" t="s">
        <v>281</v>
      </c>
    </row>
    <row r="12" spans="1:9" x14ac:dyDescent="0.3">
      <c r="A12" t="s">
        <v>304</v>
      </c>
    </row>
    <row r="13" spans="1:9" x14ac:dyDescent="0.3">
      <c r="A13" t="s">
        <v>305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306</v>
      </c>
      <c r="B14">
        <f>Inputs!B6*Inputs!$B$101</f>
        <v>1850</v>
      </c>
      <c r="C14">
        <f>Inputs!C6*Inputs!$B$101</f>
        <v>1850</v>
      </c>
      <c r="D14">
        <f>Inputs!D6*Inputs!$B$101</f>
        <v>1850</v>
      </c>
      <c r="E14">
        <f>Inputs!E6*Inputs!$B$101</f>
        <v>1850</v>
      </c>
      <c r="F14">
        <f>Inputs!F6*Inputs!$B$101</f>
        <v>1850</v>
      </c>
      <c r="G14">
        <f>Inputs!G6*Inputs!$B$101</f>
        <v>1850</v>
      </c>
      <c r="H14">
        <f>Inputs!H6*Inputs!$B$101</f>
        <v>1850</v>
      </c>
      <c r="I14">
        <f>Inputs!I6*Inputs!$B$101</f>
        <v>1850</v>
      </c>
    </row>
    <row r="15" spans="1:9" x14ac:dyDescent="0.3">
      <c r="A15" t="s">
        <v>307</v>
      </c>
      <c r="B15">
        <f>IFERROR(C14,0)</f>
        <v>1850</v>
      </c>
      <c r="C15">
        <f t="shared" ref="C15:I18" si="0">IFERROR(D14,0)</f>
        <v>1850</v>
      </c>
      <c r="D15">
        <f t="shared" si="0"/>
        <v>1850</v>
      </c>
      <c r="E15">
        <f t="shared" si="0"/>
        <v>1850</v>
      </c>
      <c r="F15">
        <f t="shared" si="0"/>
        <v>1850</v>
      </c>
      <c r="G15">
        <f t="shared" si="0"/>
        <v>1850</v>
      </c>
      <c r="H15">
        <f t="shared" si="0"/>
        <v>1850</v>
      </c>
      <c r="I15">
        <f t="shared" si="0"/>
        <v>0</v>
      </c>
    </row>
    <row r="16" spans="1:9" x14ac:dyDescent="0.3">
      <c r="A16" t="s">
        <v>308</v>
      </c>
      <c r="B16">
        <f>IFERROR(C15,0)</f>
        <v>1850</v>
      </c>
      <c r="C16">
        <f t="shared" si="0"/>
        <v>1850</v>
      </c>
      <c r="D16">
        <f t="shared" si="0"/>
        <v>1850</v>
      </c>
      <c r="E16">
        <f t="shared" si="0"/>
        <v>1850</v>
      </c>
      <c r="F16">
        <f t="shared" si="0"/>
        <v>1850</v>
      </c>
      <c r="G16">
        <f t="shared" si="0"/>
        <v>1850</v>
      </c>
      <c r="H16">
        <f t="shared" si="0"/>
        <v>0</v>
      </c>
      <c r="I16">
        <f t="shared" si="0"/>
        <v>0</v>
      </c>
    </row>
    <row r="17" spans="1:9" x14ac:dyDescent="0.3">
      <c r="A17" t="s">
        <v>309</v>
      </c>
      <c r="B17">
        <f>IFERROR(C16,0)</f>
        <v>1850</v>
      </c>
      <c r="C17">
        <f t="shared" si="0"/>
        <v>1850</v>
      </c>
      <c r="D17">
        <f t="shared" si="0"/>
        <v>1850</v>
      </c>
      <c r="E17">
        <f t="shared" si="0"/>
        <v>1850</v>
      </c>
      <c r="F17">
        <f t="shared" si="0"/>
        <v>1850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310</v>
      </c>
      <c r="B18">
        <f>IFERROR(C17,0)</f>
        <v>1850</v>
      </c>
      <c r="C18">
        <f t="shared" si="0"/>
        <v>1850</v>
      </c>
      <c r="D18">
        <f t="shared" si="0"/>
        <v>1850</v>
      </c>
      <c r="E18">
        <f t="shared" si="0"/>
        <v>1850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activeCell="I11" sqref="I1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4" t="s">
        <v>311</v>
      </c>
      <c r="B1" s="94"/>
      <c r="C1" s="94"/>
      <c r="D1" s="94"/>
      <c r="E1" s="94"/>
      <c r="F1" s="94"/>
      <c r="G1" s="94"/>
      <c r="H1" s="94"/>
    </row>
    <row r="2" spans="1:11" ht="15" customHeight="1" x14ac:dyDescent="0.3">
      <c r="A2" s="81" t="s">
        <v>312</v>
      </c>
      <c r="B2" s="81"/>
      <c r="C2" s="81"/>
      <c r="D2" s="81"/>
      <c r="E2" s="81"/>
      <c r="F2" s="81"/>
      <c r="G2" s="81"/>
      <c r="H2" s="81"/>
    </row>
    <row r="4" spans="1:11" ht="15" customHeight="1" x14ac:dyDescent="0.3">
      <c r="A4" s="78" t="s">
        <v>292</v>
      </c>
      <c r="B4" s="78"/>
      <c r="C4" s="78"/>
      <c r="D4" s="78"/>
      <c r="E4" s="78"/>
      <c r="F4" s="78"/>
      <c r="G4" s="78"/>
      <c r="H4" s="78"/>
    </row>
    <row r="5" spans="1:11" ht="15" customHeight="1" x14ac:dyDescent="0.3">
      <c r="A5" s="8" t="s">
        <v>313</v>
      </c>
      <c r="B5" s="8"/>
      <c r="C5" s="8"/>
      <c r="D5" s="8"/>
      <c r="E5" s="8"/>
      <c r="J5" t="s">
        <v>314</v>
      </c>
      <c r="K5">
        <v>100</v>
      </c>
    </row>
    <row r="6" spans="1:11" ht="15" customHeight="1" x14ac:dyDescent="0.3">
      <c r="A6" s="9" t="s">
        <v>15</v>
      </c>
      <c r="B6" s="34" t="s">
        <v>4</v>
      </c>
      <c r="C6" s="70" t="s">
        <v>5</v>
      </c>
      <c r="D6" s="71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4"/>
      <c r="C7" s="70"/>
      <c r="D7" s="71"/>
      <c r="E7" s="9"/>
    </row>
    <row r="8" spans="1:11" ht="15" customHeight="1" x14ac:dyDescent="0.3">
      <c r="A8" s="9" t="s">
        <v>22</v>
      </c>
      <c r="B8" s="34"/>
      <c r="C8" s="70"/>
      <c r="D8" s="71"/>
      <c r="E8" s="9"/>
    </row>
    <row r="9" spans="1:11" ht="15" customHeight="1" x14ac:dyDescent="0.3">
      <c r="A9" s="9" t="s">
        <v>23</v>
      </c>
      <c r="B9" s="34"/>
      <c r="C9" s="70"/>
      <c r="D9" s="71"/>
      <c r="E9" s="9"/>
    </row>
    <row r="10" spans="1:11" ht="15" customHeight="1" x14ac:dyDescent="0.3">
      <c r="A10" s="9" t="s">
        <v>24</v>
      </c>
      <c r="B10" s="34"/>
      <c r="C10" s="70"/>
      <c r="D10" s="71"/>
      <c r="E10" s="9"/>
    </row>
    <row r="11" spans="1:11" ht="15" customHeight="1" x14ac:dyDescent="0.3">
      <c r="A11" s="9" t="s">
        <v>25</v>
      </c>
      <c r="B11" s="34"/>
      <c r="C11" s="70"/>
      <c r="D11" s="71"/>
      <c r="E11" s="9"/>
    </row>
    <row r="12" spans="1:11" ht="15" customHeight="1" x14ac:dyDescent="0.3">
      <c r="A12" s="9" t="s">
        <v>26</v>
      </c>
      <c r="B12" s="34"/>
      <c r="C12" s="70"/>
      <c r="D12" s="71"/>
      <c r="E12" s="9"/>
    </row>
    <row r="13" spans="1:11" ht="15" customHeight="1" x14ac:dyDescent="0.3">
      <c r="A13" s="9" t="s">
        <v>27</v>
      </c>
      <c r="B13" s="34"/>
      <c r="C13" s="70"/>
      <c r="D13" s="71"/>
      <c r="E13" s="9"/>
    </row>
    <row r="14" spans="1:11" x14ac:dyDescent="0.3">
      <c r="A14" t="s">
        <v>28</v>
      </c>
    </row>
    <row r="16" spans="1:11" x14ac:dyDescent="0.3">
      <c r="A16" t="s">
        <v>315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4">
        <f>Inventario_Dinamico!B10</f>
        <v>2662</v>
      </c>
      <c r="C18" s="74">
        <f>Inventario_Dinamico!C10</f>
        <v>812</v>
      </c>
      <c r="D18" s="74">
        <f>Inventario_Dinamico!D10</f>
        <v>-1038</v>
      </c>
      <c r="E18" s="74">
        <f>Inventario_Dinamico!E10</f>
        <v>-2888</v>
      </c>
      <c r="F18" s="74">
        <f>Inventario_Dinamico!F10</f>
        <v>-2888</v>
      </c>
      <c r="G18" s="74">
        <f>Inventario_Dinamico!G10</f>
        <v>-2888</v>
      </c>
      <c r="H18" s="74">
        <f>Inventario_Dinamico!H10</f>
        <v>-2888</v>
      </c>
      <c r="I18" s="74">
        <f>Inventario_Dinamico!I10</f>
        <v>-2888</v>
      </c>
    </row>
    <row r="19" spans="1:11" x14ac:dyDescent="0.3">
      <c r="A19" t="s">
        <v>22</v>
      </c>
      <c r="B19" s="74">
        <f>Inventario_Dinamico!B16</f>
        <v>688</v>
      </c>
      <c r="C19" s="74">
        <f>Inventario_Dinamico!C16</f>
        <v>318</v>
      </c>
      <c r="D19" s="74">
        <f>Inventario_Dinamico!D16</f>
        <v>-52</v>
      </c>
      <c r="E19" s="74">
        <f>Inventario_Dinamico!E16</f>
        <v>-422</v>
      </c>
      <c r="F19" s="74">
        <f>Inventario_Dinamico!F16</f>
        <v>-792</v>
      </c>
      <c r="G19" s="74">
        <f>Inventario_Dinamico!G16</f>
        <v>-792</v>
      </c>
      <c r="H19" s="74">
        <f>Inventario_Dinamico!H16</f>
        <v>-792</v>
      </c>
      <c r="I19" s="74">
        <f>Inventario_Dinamico!I16</f>
        <v>-792</v>
      </c>
    </row>
    <row r="20" spans="1:11" x14ac:dyDescent="0.3">
      <c r="A20" t="s">
        <v>23</v>
      </c>
      <c r="B20" s="74">
        <f>Inventario_Dinamico!B22</f>
        <v>111.5</v>
      </c>
      <c r="C20" s="74">
        <f>Inventario_Dinamico!C22</f>
        <v>93</v>
      </c>
      <c r="D20" s="74">
        <f>Inventario_Dinamico!D22</f>
        <v>74.5</v>
      </c>
      <c r="E20" s="74">
        <f>Inventario_Dinamico!E22</f>
        <v>56</v>
      </c>
      <c r="F20" s="74">
        <f>Inventario_Dinamico!F22</f>
        <v>37.5</v>
      </c>
      <c r="G20" s="74">
        <f>Inventario_Dinamico!G22</f>
        <v>19</v>
      </c>
      <c r="H20" s="74">
        <f>Inventario_Dinamico!H22</f>
        <v>0.5</v>
      </c>
      <c r="I20" s="74">
        <f>Inventario_Dinamico!I22</f>
        <v>0.5</v>
      </c>
    </row>
    <row r="21" spans="1:11" x14ac:dyDescent="0.3">
      <c r="A21" t="s">
        <v>24</v>
      </c>
      <c r="B21" s="74">
        <f>Inventario_Dinamico!B28</f>
        <v>-9532</v>
      </c>
      <c r="C21" s="74">
        <f>Inventario_Dinamico!C28</f>
        <v>-24332</v>
      </c>
      <c r="D21" s="74">
        <f>Inventario_Dinamico!D28</f>
        <v>-39132</v>
      </c>
      <c r="E21" s="74">
        <f>Inventario_Dinamico!E28</f>
        <v>-53932</v>
      </c>
      <c r="F21" s="74">
        <f>Inventario_Dinamico!F28</f>
        <v>-68732</v>
      </c>
      <c r="G21" s="74">
        <f>Inventario_Dinamico!G28</f>
        <v>-83532</v>
      </c>
      <c r="H21" s="74">
        <f>Inventario_Dinamico!H28</f>
        <v>-98332</v>
      </c>
      <c r="I21" s="74">
        <f>Inventario_Dinamico!I28</f>
        <v>-98332</v>
      </c>
    </row>
    <row r="22" spans="1:11" x14ac:dyDescent="0.3">
      <c r="A22" t="s">
        <v>25</v>
      </c>
      <c r="B22" s="74">
        <f>Inventario_Dinamico!B34</f>
        <v>3778</v>
      </c>
      <c r="C22" s="74">
        <f>Inventario_Dinamico!C34</f>
        <v>3223</v>
      </c>
      <c r="D22" s="74">
        <f>Inventario_Dinamico!D34</f>
        <v>2668</v>
      </c>
      <c r="E22" s="74">
        <f>Inventario_Dinamico!E34</f>
        <v>2113</v>
      </c>
      <c r="F22" s="74">
        <f>Inventario_Dinamico!F34</f>
        <v>1558</v>
      </c>
      <c r="G22" s="74">
        <f>Inventario_Dinamico!G34</f>
        <v>1003</v>
      </c>
      <c r="H22" s="74">
        <f>Inventario_Dinamico!H34</f>
        <v>448</v>
      </c>
      <c r="I22" s="74">
        <f>Inventario_Dinamico!I34</f>
        <v>448</v>
      </c>
    </row>
    <row r="23" spans="1:11" x14ac:dyDescent="0.3">
      <c r="A23" t="s">
        <v>26</v>
      </c>
      <c r="B23" s="74">
        <f>Inventario_Dinamico!B40</f>
        <v>7377</v>
      </c>
      <c r="C23" s="74">
        <f>Inventario_Dinamico!C40</f>
        <v>6267</v>
      </c>
      <c r="D23" s="74">
        <f>Inventario_Dinamico!D40</f>
        <v>5157</v>
      </c>
      <c r="E23" s="74">
        <f>Inventario_Dinamico!E40</f>
        <v>4047</v>
      </c>
      <c r="F23" s="74">
        <f>Inventario_Dinamico!F40</f>
        <v>2937</v>
      </c>
      <c r="G23" s="74">
        <f>Inventario_Dinamico!G40</f>
        <v>1827</v>
      </c>
      <c r="H23" s="74">
        <f>Inventario_Dinamico!H40</f>
        <v>717</v>
      </c>
      <c r="I23" s="74">
        <f>Inventario_Dinamico!I40</f>
        <v>717</v>
      </c>
    </row>
    <row r="24" spans="1:11" x14ac:dyDescent="0.3">
      <c r="A24" t="s">
        <v>27</v>
      </c>
      <c r="B24" s="74">
        <f>Inventario_Dinamico!B46</f>
        <v>19492</v>
      </c>
      <c r="C24" s="74">
        <f>Inventario_Dinamico!C46</f>
        <v>15792</v>
      </c>
      <c r="D24" s="74">
        <f>Inventario_Dinamico!D46</f>
        <v>12092</v>
      </c>
      <c r="E24" s="74">
        <f>Inventario_Dinamico!E46</f>
        <v>8392</v>
      </c>
      <c r="F24" s="74">
        <f>Inventario_Dinamico!F46</f>
        <v>4692</v>
      </c>
      <c r="G24" s="74">
        <f>Inventario_Dinamico!G46</f>
        <v>992</v>
      </c>
      <c r="H24" s="74">
        <f>Inventario_Dinamico!H46</f>
        <v>-2708</v>
      </c>
      <c r="I24" s="74">
        <f>Inventario_Dinamico!I46</f>
        <v>-2708</v>
      </c>
    </row>
    <row r="25" spans="1:11" x14ac:dyDescent="0.3">
      <c r="A25" t="s">
        <v>28</v>
      </c>
      <c r="B25" s="74">
        <f>Inventario_Dinamico!B52</f>
        <v>4647.5</v>
      </c>
      <c r="C25" s="74">
        <f>Inventario_Dinamico!C52</f>
        <v>3260</v>
      </c>
      <c r="D25" s="74">
        <f>Inventario_Dinamico!D52</f>
        <v>1872.5</v>
      </c>
      <c r="E25" s="74">
        <f>Inventario_Dinamico!E52</f>
        <v>485</v>
      </c>
      <c r="F25" s="74">
        <f>Inventario_Dinamico!F52</f>
        <v>-902.5</v>
      </c>
      <c r="G25" s="74">
        <f>Inventario_Dinamico!G52</f>
        <v>-2290</v>
      </c>
      <c r="H25" s="74">
        <f>Inventario_Dinamico!H52</f>
        <v>-3677.5</v>
      </c>
      <c r="I25" s="74">
        <f>Inventario_Dinamico!I52</f>
        <v>-3677.5</v>
      </c>
    </row>
    <row r="27" spans="1:11" x14ac:dyDescent="0.3">
      <c r="A27" t="s">
        <v>316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317</v>
      </c>
      <c r="K28" t="s">
        <v>318</v>
      </c>
    </row>
    <row r="29" spans="1:11" x14ac:dyDescent="0.3">
      <c r="A29" t="s">
        <v>19</v>
      </c>
      <c r="B29" s="74">
        <f t="shared" ref="B29:B36" si="0">B7-B18</f>
        <v>-2662</v>
      </c>
      <c r="C29" s="74">
        <f t="shared" ref="C29:I29" si="1">C7-C18</f>
        <v>-812</v>
      </c>
      <c r="D29" s="74">
        <f t="shared" si="1"/>
        <v>1038</v>
      </c>
      <c r="E29" s="74">
        <f t="shared" si="1"/>
        <v>2888</v>
      </c>
      <c r="F29" s="74">
        <f t="shared" si="1"/>
        <v>2888</v>
      </c>
      <c r="G29" s="74">
        <f t="shared" si="1"/>
        <v>2888</v>
      </c>
      <c r="H29" s="74">
        <f t="shared" si="1"/>
        <v>2888</v>
      </c>
      <c r="I29" s="74">
        <f t="shared" si="1"/>
        <v>2888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4">
        <f t="shared" si="0"/>
        <v>-688</v>
      </c>
      <c r="C30" s="74">
        <f t="shared" ref="C30:I30" si="2">C8-C19</f>
        <v>-318</v>
      </c>
      <c r="D30" s="74">
        <f t="shared" si="2"/>
        <v>52</v>
      </c>
      <c r="E30" s="74">
        <f t="shared" si="2"/>
        <v>422</v>
      </c>
      <c r="F30" s="74">
        <f t="shared" si="2"/>
        <v>792</v>
      </c>
      <c r="G30" s="74">
        <f t="shared" si="2"/>
        <v>792</v>
      </c>
      <c r="H30" s="74">
        <f t="shared" si="2"/>
        <v>792</v>
      </c>
      <c r="I30" s="74">
        <f t="shared" si="2"/>
        <v>792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4">
        <f t="shared" si="0"/>
        <v>-111.5</v>
      </c>
      <c r="C31" s="74">
        <f t="shared" ref="C31:I31" si="5">C9-C20</f>
        <v>-93</v>
      </c>
      <c r="D31" s="74">
        <f t="shared" si="5"/>
        <v>-74.5</v>
      </c>
      <c r="E31" s="74">
        <f t="shared" si="5"/>
        <v>-56</v>
      </c>
      <c r="F31" s="74">
        <f t="shared" si="5"/>
        <v>-37.5</v>
      </c>
      <c r="G31" s="74">
        <f t="shared" si="5"/>
        <v>-19</v>
      </c>
      <c r="H31" s="74">
        <f t="shared" si="5"/>
        <v>-0.5</v>
      </c>
      <c r="I31" s="74">
        <f t="shared" si="5"/>
        <v>-0.5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4">
        <f t="shared" si="0"/>
        <v>9532</v>
      </c>
      <c r="C32" s="74">
        <f t="shared" ref="C32:I32" si="6">C10-C21</f>
        <v>24332</v>
      </c>
      <c r="D32" s="74">
        <f t="shared" si="6"/>
        <v>39132</v>
      </c>
      <c r="E32" s="74">
        <f t="shared" si="6"/>
        <v>53932</v>
      </c>
      <c r="F32" s="74">
        <f t="shared" si="6"/>
        <v>68732</v>
      </c>
      <c r="G32" s="74">
        <f t="shared" si="6"/>
        <v>83532</v>
      </c>
      <c r="H32" s="74">
        <f t="shared" si="6"/>
        <v>98332</v>
      </c>
      <c r="I32" s="74">
        <f t="shared" si="6"/>
        <v>98332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4">
        <f t="shared" si="0"/>
        <v>-3778</v>
      </c>
      <c r="C33" s="74">
        <f t="shared" ref="C33:I33" si="7">C11-C22</f>
        <v>-3223</v>
      </c>
      <c r="D33" s="74">
        <f t="shared" si="7"/>
        <v>-2668</v>
      </c>
      <c r="E33" s="74">
        <f t="shared" si="7"/>
        <v>-2113</v>
      </c>
      <c r="F33" s="74">
        <f t="shared" si="7"/>
        <v>-1558</v>
      </c>
      <c r="G33" s="74">
        <f t="shared" si="7"/>
        <v>-1003</v>
      </c>
      <c r="H33" s="74">
        <f t="shared" si="7"/>
        <v>-448</v>
      </c>
      <c r="I33" s="74">
        <f t="shared" si="7"/>
        <v>-448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4">
        <f t="shared" si="0"/>
        <v>-7377</v>
      </c>
      <c r="C34" s="74">
        <f t="shared" ref="C34:I34" si="8">C12-C23</f>
        <v>-6267</v>
      </c>
      <c r="D34" s="74">
        <f t="shared" si="8"/>
        <v>-5157</v>
      </c>
      <c r="E34" s="74">
        <f t="shared" si="8"/>
        <v>-4047</v>
      </c>
      <c r="F34" s="74">
        <f t="shared" si="8"/>
        <v>-2937</v>
      </c>
      <c r="G34" s="74">
        <f t="shared" si="8"/>
        <v>-1827</v>
      </c>
      <c r="H34" s="74">
        <f t="shared" si="8"/>
        <v>-717</v>
      </c>
      <c r="I34" s="74">
        <f t="shared" si="8"/>
        <v>-717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4">
        <f t="shared" si="0"/>
        <v>-19492</v>
      </c>
      <c r="C35" s="74">
        <f t="shared" ref="C35:I35" si="9">C13-C24</f>
        <v>-15792</v>
      </c>
      <c r="D35" s="74">
        <f t="shared" si="9"/>
        <v>-12092</v>
      </c>
      <c r="E35" s="74">
        <f t="shared" si="9"/>
        <v>-8392</v>
      </c>
      <c r="F35" s="74">
        <f t="shared" si="9"/>
        <v>-4692</v>
      </c>
      <c r="G35" s="74">
        <f t="shared" si="9"/>
        <v>-992</v>
      </c>
      <c r="H35" s="74">
        <f t="shared" si="9"/>
        <v>2708</v>
      </c>
      <c r="I35" s="74">
        <f t="shared" si="9"/>
        <v>2708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4">
        <f t="shared" si="0"/>
        <v>-4647.5</v>
      </c>
      <c r="C36" s="74">
        <f t="shared" ref="C36:I36" si="10">C14-C25</f>
        <v>-3260</v>
      </c>
      <c r="D36" s="74">
        <f t="shared" si="10"/>
        <v>-1872.5</v>
      </c>
      <c r="E36" s="74">
        <f t="shared" si="10"/>
        <v>-485</v>
      </c>
      <c r="F36" s="74">
        <f t="shared" si="10"/>
        <v>902.5</v>
      </c>
      <c r="G36" s="74">
        <f t="shared" si="10"/>
        <v>2290</v>
      </c>
      <c r="H36" s="74">
        <f t="shared" si="10"/>
        <v>3677.5</v>
      </c>
      <c r="I36" s="74">
        <f t="shared" si="10"/>
        <v>3677.5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319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5" t="s">
        <v>293</v>
      </c>
      <c r="B1" s="95"/>
      <c r="C1" s="95"/>
      <c r="D1" s="95"/>
      <c r="E1" s="95"/>
      <c r="F1" s="95"/>
      <c r="G1" s="95"/>
    </row>
    <row r="2" spans="1:7" ht="15" customHeight="1" x14ac:dyDescent="0.3">
      <c r="A2" s="81" t="s">
        <v>294</v>
      </c>
      <c r="B2" s="81"/>
      <c r="C2" s="81"/>
      <c r="D2" s="81"/>
      <c r="E2" s="81"/>
      <c r="F2" s="81"/>
      <c r="G2" s="81"/>
    </row>
    <row r="4" spans="1:7" ht="15" customHeight="1" x14ac:dyDescent="0.3">
      <c r="A4" s="78" t="s">
        <v>295</v>
      </c>
      <c r="B4" s="78"/>
      <c r="C4" s="78"/>
      <c r="D4" s="78"/>
      <c r="E4" s="78"/>
      <c r="F4" s="78"/>
      <c r="G4" s="78"/>
    </row>
    <row r="5" spans="1:7" ht="15" customHeight="1" x14ac:dyDescent="0.3">
      <c r="A5" s="8" t="s">
        <v>15</v>
      </c>
      <c r="B5" s="8" t="s">
        <v>296</v>
      </c>
      <c r="C5" s="8" t="s">
        <v>297</v>
      </c>
      <c r="D5" s="8" t="s">
        <v>298</v>
      </c>
      <c r="E5" s="8" t="s">
        <v>299</v>
      </c>
      <c r="F5" s="8" t="s">
        <v>122</v>
      </c>
      <c r="G5" s="8" t="s">
        <v>300</v>
      </c>
    </row>
    <row r="6" spans="1:7" ht="15" customHeight="1" x14ac:dyDescent="0.3">
      <c r="A6" s="9" t="s">
        <v>19</v>
      </c>
      <c r="B6" s="72">
        <v>3.67</v>
      </c>
      <c r="C6" s="72">
        <v>6.18</v>
      </c>
      <c r="D6" s="72">
        <v>3.58</v>
      </c>
      <c r="E6" s="73" t="str">
        <f>Inputs!B69</f>
        <v>A</v>
      </c>
      <c r="F6" s="70">
        <f>SUM(Compras_y_Lotes!G18:G25)</f>
        <v>0</v>
      </c>
      <c r="G6" s="71">
        <f>IFERROR(F6*CHOOSE(MATCH(E6,{"A","B","C"},0),B6,C6,D6),0)</f>
        <v>0</v>
      </c>
    </row>
    <row r="7" spans="1:7" ht="15" customHeight="1" x14ac:dyDescent="0.3">
      <c r="A7" s="9" t="s">
        <v>22</v>
      </c>
      <c r="B7" s="72">
        <v>5.46</v>
      </c>
      <c r="C7" s="72">
        <v>8.33</v>
      </c>
      <c r="D7" s="72">
        <v>5.33</v>
      </c>
      <c r="E7" s="73" t="str">
        <f>Inputs!B77</f>
        <v>A</v>
      </c>
      <c r="F7" s="70">
        <f>SUM(Compras_y_Lotes!G26:G33)</f>
        <v>0</v>
      </c>
      <c r="G7" s="71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2026-01-12T21:59:54Z</dcterms:modified>
  <dc:language>en-US</dc:language>
</cp:coreProperties>
</file>