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_Global" sheetId="2" state="visible" r:id="rId4"/>
    <sheet name="Inputs_Commercial" sheetId="3" state="visible" r:id="rId5"/>
    <sheet name="Inputs_Suppliers" sheetId="4" state="visible" r:id="rId6"/>
    <sheet name="Initial_CashFlow" sheetId="5" state="visible" r:id="rId7"/>
    <sheet name="Subperiod_CashFlow" sheetId="6" state="visible" r:id="rId8"/>
    <sheet name="AR_AP_Schedule" sheetId="7" state="visible" r:id="rId9"/>
    <sheet name="Funding_Policy" sheetId="8" state="visible" r:id="rId10"/>
    <sheet name="Dashboard_CFO" sheetId="9" state="visible" r:id="rId11"/>
    <sheet name="Raw_Report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<sst xmlns="http://schemas.openxmlformats.org/spreadsheetml/2006/main" count="613" uniqueCount="405">
  <si>
    <t xml:space="preserve">EXSIM CFO FINANCIAL PLANNING MODEL</t>
  </si>
  <si>
    <t xml:space="preserve">Objetivo: Evitar Emergency Loan y minimizar Financial Expenses / Sales</t>
  </si>
  <si>
    <t xml:space="preserve">═══════════════════════════════════════════════════════════════════</t>
  </si>
  <si>
    <t xml:space="preserve">CÓMO USAR ESTE ARCHIVO EN 10 PASOS:</t>
  </si>
  <si>
    <t xml:space="preserve">1. Ir a Inputs_Global y verificar/ajustar:</t>
  </si>
  <si>
    <t xml:space="preserve">   - Tasas de interés (LOC, Deposits, Mortgage, Emergency)</t>
  </si>
  <si>
    <t xml:space="preserve">   - Límite de LOC (33% Net Fixed Assets por default)</t>
  </si>
  <si>
    <t xml:space="preserve">   - Buffer de caja deseado</t>
  </si>
  <si>
    <t xml:space="preserve">2. Ir a Inputs_Commercial y configurar por región:</t>
  </si>
  <si>
    <t xml:space="preserve">   - Demanda esperada (unidades)</t>
  </si>
  <si>
    <t xml:space="preserve">   - Precio distribuidor</t>
  </si>
  <si>
    <t xml:space="preserve">   - Payment Plan (A/B/C/D) - afecta lag de cobro y descuento</t>
  </si>
  <si>
    <t xml:space="preserve">3. Ir a Inputs_Suppliers y configurar:</t>
  </si>
  <si>
    <t xml:space="preserve">   - Supplier elegido para Parts A y B (A/B/C)</t>
  </si>
  <si>
    <t xml:space="preserve">   - Cantidades a ordenar</t>
  </si>
  <si>
    <t xml:space="preserve">4. Ir a Initial_CashFlow y llenar:</t>
  </si>
  <si>
    <t xml:space="preserve">   - Cash inicial (del periodo anterior)</t>
  </si>
  <si>
    <t xml:space="preserve">   - Inflows t=0 (shares, mortgage increase, sale equipment, factoring)</t>
  </si>
  <si>
    <t xml:space="preserve">   - Outflows t=0 (capex, warehouse rent, mortgage interest, taxes, etc.)</t>
  </si>
  <si>
    <t xml:space="preserve">5. Ir a Subperiod_CashFlow:</t>
  </si>
  <si>
    <t xml:space="preserve">   - Verificar que las fórmulas estén correctas</t>
  </si>
  <si>
    <t xml:space="preserve">   - Los inputs de LOC Change y Deposit Change son celdas azules</t>
  </si>
  <si>
    <t xml:space="preserve">6. Revisar AR_AP_Schedule:</t>
  </si>
  <si>
    <t xml:space="preserve">   - Verificar proyección de cobros y pagos según lags</t>
  </si>
  <si>
    <t xml:space="preserve">7. Ir a Funding_Policy:</t>
  </si>
  <si>
    <t xml:space="preserve">   - Activar/desactivar política automática</t>
  </si>
  <si>
    <t xml:space="preserve">   - Revisar sugerencias de LOC/Deposits</t>
  </si>
  <si>
    <t xml:space="preserve">8. Revisar Dashboard_CFO:</t>
  </si>
  <si>
    <t xml:space="preserve">   - KPIs principales</t>
  </si>
  <si>
    <t xml:space="preserve">   - Semáforo de riesgo</t>
  </si>
  <si>
    <t xml:space="preserve">   - Gráfico de caja</t>
  </si>
  <si>
    <t xml:space="preserve">9. Si hay EMERGENCY RISK (caja &lt; 0), ajustar:</t>
  </si>
  <si>
    <t xml:space="preserve">   - Reducir Deposits primero</t>
  </si>
  <si>
    <t xml:space="preserve">   - Aumentar LOC (hasta headroom)</t>
  </si>
  <si>
    <t xml:space="preserve">   - Considerar factoring</t>
  </si>
  <si>
    <t xml:space="preserve">10. Iterar hasta que todo el periodo tenga caja &gt;= Buffer</t>
  </si>
  <si>
    <t xml:space="preserve">CONVENCIONES DE COLOR:</t>
  </si>
  <si>
    <t xml:space="preserve">  Azul = Input editable</t>
  </si>
  <si>
    <t xml:space="preserve">  Negro = Fórmula/cálculo</t>
  </si>
  <si>
    <t xml:space="preserve">  Verde = Referencia a otra hoja</t>
  </si>
  <si>
    <t xml:space="preserve">  Rojo = Warning/alerta</t>
  </si>
  <si>
    <t xml:space="preserve">  Amarillo = Celda que requiere atención</t>
  </si>
  <si>
    <t xml:space="preserve">SUPUESTOS PRINCIPALES (editables en Inputs_Global):</t>
  </si>
  <si>
    <t xml:space="preserve">  - Subperiodos por periodo = 8 (fortnights)</t>
  </si>
  <si>
    <t xml:space="preserve">  - Ventas solo en fortnights pares (2, 4, 6, 8)</t>
  </si>
  <si>
    <t xml:space="preserve">  - Distribución de ventas: 25% cada fortnight par (default)</t>
  </si>
  <si>
    <t xml:space="preserve">  - Intereses calculados por fortnight: rate_f = (1+rate_period)^(1/8)-1</t>
  </si>
  <si>
    <t xml:space="preserve">NOTAS IMPORTANTES:</t>
  </si>
  <si>
    <t xml:space="preserve">  - Este modelo es para PLANIFICACIÓN previa a ingresar decisiones</t>
  </si>
  <si>
    <t xml:space="preserve">  - Después de correr la simulación, comparar con reportes reales</t>
  </si>
  <si>
    <t xml:space="preserve">  - Emergency Loan al 30% por periodo es MUY costoso - evitar siempre</t>
  </si>
  <si>
    <t xml:space="preserve">PARÁMETROS GLOBALES EXSIM</t>
  </si>
  <si>
    <t xml:space="preserve">══════════════════════════════════════════════════════════════</t>
  </si>
  <si>
    <t xml:space="preserve">CONFIGURACIÓN DEL PERIODO</t>
  </si>
  <si>
    <t xml:space="preserve">Parámetro</t>
  </si>
  <si>
    <t xml:space="preserve">Valor</t>
  </si>
  <si>
    <t xml:space="preserve">Unidad</t>
  </si>
  <si>
    <t xml:space="preserve">Notas</t>
  </si>
  <si>
    <t xml:space="preserve">Subperiodos por periodo</t>
  </si>
  <si>
    <t xml:space="preserve">fortnights</t>
  </si>
  <si>
    <t xml:space="preserve">Fijo en EXSIM</t>
  </si>
  <si>
    <t xml:space="preserve">Días por fortnight</t>
  </si>
  <si>
    <t xml:space="preserve">días</t>
  </si>
  <si>
    <t xml:space="preserve">Fijo</t>
  </si>
  <si>
    <t xml:space="preserve">TASAS DE INTERÉS (POR PERIODO)</t>
  </si>
  <si>
    <t xml:space="preserve">Instrumento</t>
  </si>
  <si>
    <t xml:space="preserve">Tasa Periodo</t>
  </si>
  <si>
    <t xml:space="preserve">Tasa Fortnight</t>
  </si>
  <si>
    <t xml:space="preserve">Fórmula: (1+r)^(1/8)-1</t>
  </si>
  <si>
    <t xml:space="preserve">Line of Credit (LOC)</t>
  </si>
  <si>
    <t xml:space="preserve">Short-term Deposits</t>
  </si>
  <si>
    <t xml:space="preserve">Mortgage</t>
  </si>
  <si>
    <t xml:space="preserve">Emergency Loan</t>
  </si>
  <si>
    <t xml:space="preserve">LÍMITES DE FINANCIAMIENTO</t>
  </si>
  <si>
    <t xml:space="preserve">Net Fixed Assets (inicio periodo)</t>
  </si>
  <si>
    <t xml:space="preserve">$</t>
  </si>
  <si>
    <t xml:space="preserve">Del Balance Sheet anterior</t>
  </si>
  <si>
    <t xml:space="preserve">LOC Limit %</t>
  </si>
  <si>
    <t xml:space="preserve">%</t>
  </si>
  <si>
    <t xml:space="preserve">33% de Net Fixed Assets</t>
  </si>
  <si>
    <t xml:space="preserve">LOC Limit $</t>
  </si>
  <si>
    <t xml:space="preserve">LOC Balance Inicial</t>
  </si>
  <si>
    <t xml:space="preserve">Del periodo anterior</t>
  </si>
  <si>
    <t xml:space="preserve">LOC Headroom</t>
  </si>
  <si>
    <t xml:space="preserve">BUFFER Y ALERTAS</t>
  </si>
  <si>
    <t xml:space="preserve">Buffer de caja deseado</t>
  </si>
  <si>
    <t xml:space="preserve">Mínimo recomendado para evitar emergencia</t>
  </si>
  <si>
    <t xml:space="preserve">Alerta caja baja</t>
  </si>
  <si>
    <t xml:space="preserve">Trigger para acción urgente</t>
  </si>
  <si>
    <t xml:space="preserve">DISTRIBUCIÓN DE VENTAS EN FORTNIGHTS</t>
  </si>
  <si>
    <t xml:space="preserve">Fortnight</t>
  </si>
  <si>
    <t xml:space="preserve">% Ventas</t>
  </si>
  <si>
    <t xml:space="preserve">Acumulado</t>
  </si>
  <si>
    <t xml:space="preserve">F1 (impar)</t>
  </si>
  <si>
    <t xml:space="preserve">Sin ventas</t>
  </si>
  <si>
    <t xml:space="preserve">F2 (par)</t>
  </si>
  <si>
    <t xml:space="preserve">25% del periodo</t>
  </si>
  <si>
    <t xml:space="preserve">F3 (impar)</t>
  </si>
  <si>
    <t xml:space="preserve">F4 (par)</t>
  </si>
  <si>
    <t xml:space="preserve">F5 (impar)</t>
  </si>
  <si>
    <t xml:space="preserve">F6 (par)</t>
  </si>
  <si>
    <t xml:space="preserve">F7 (impar)</t>
  </si>
  <si>
    <t xml:space="preserve">F8 (par)</t>
  </si>
  <si>
    <t xml:space="preserve">TOTAL</t>
  </si>
  <si>
    <t xml:space="preserve">Debe ser 100%</t>
  </si>
  <si>
    <t xml:space="preserve">INPUTS COMERCIALES POR REGIÓN</t>
  </si>
  <si>
    <t xml:space="preserve">══════════════════════════════════════════════════════════════════════════════════</t>
  </si>
  <si>
    <t xml:space="preserve">DEMANDA Y PRECIOS</t>
  </si>
  <si>
    <t xml:space="preserve">Región</t>
  </si>
  <si>
    <t xml:space="preserve">Demanda (units)</t>
  </si>
  <si>
    <t xml:space="preserve">Precio Final</t>
  </si>
  <si>
    <t xml:space="preserve">Margen Distrib.</t>
  </si>
  <si>
    <t xml:space="preserve">Precio Distrib.</t>
  </si>
  <si>
    <t xml:space="preserve">Payment Plan</t>
  </si>
  <si>
    <t xml:space="preserve">Descuento %</t>
  </si>
  <si>
    <t xml:space="preserve">Center</t>
  </si>
  <si>
    <t xml:space="preserve">B</t>
  </si>
  <si>
    <t xml:space="preserve">West</t>
  </si>
  <si>
    <t xml:space="preserve">North</t>
  </si>
  <si>
    <t xml:space="preserve">C</t>
  </si>
  <si>
    <t xml:space="preserve">East</t>
  </si>
  <si>
    <t xml:space="preserve">South</t>
  </si>
  <si>
    <t xml:space="preserve">REFERENCIA: PAYMENT PLANS</t>
  </si>
  <si>
    <t xml:space="preserve">Plan</t>
  </si>
  <si>
    <t xml:space="preserve">Descuento</t>
  </si>
  <si>
    <t xml:space="preserve">Lag (fortnights)</t>
  </si>
  <si>
    <t xml:space="preserve">Cobro en F#</t>
  </si>
  <si>
    <t xml:space="preserve">A</t>
  </si>
  <si>
    <t xml:space="preserve">Mismo F de venta</t>
  </si>
  <si>
    <t xml:space="preserve">F4,F6,F8,F10(sig)</t>
  </si>
  <si>
    <t xml:space="preserve">F6,F8,F10,F12(sig)</t>
  </si>
  <si>
    <t xml:space="preserve">D</t>
  </si>
  <si>
    <t xml:space="preserve">Todo en siguiente periodo</t>
  </si>
  <si>
    <t xml:space="preserve">CÁLCULO DE INGRESOS NETOS PROYECTADOS</t>
  </si>
  <si>
    <t xml:space="preserve">Gross Sales</t>
  </si>
  <si>
    <t xml:space="preserve">Descuento $</t>
  </si>
  <si>
    <t xml:space="preserve">Net Sales</t>
  </si>
  <si>
    <t xml:space="preserve">Cobros F2</t>
  </si>
  <si>
    <t xml:space="preserve">Cobros F4</t>
  </si>
  <si>
    <t xml:space="preserve">Cobros F6</t>
  </si>
  <si>
    <t xml:space="preserve">INPUTS DE PROVEEDORES (PARTS A &amp; B)</t>
  </si>
  <si>
    <t xml:space="preserve">REFERENCIA: CONDICIONES POR SUPPLIER</t>
  </si>
  <si>
    <t xml:space="preserve">Supplier A</t>
  </si>
  <si>
    <t xml:space="preserve">Supplier B</t>
  </si>
  <si>
    <t xml:space="preserve">Supplier C</t>
  </si>
  <si>
    <t xml:space="preserve">Pago</t>
  </si>
  <si>
    <t xml:space="preserve">Inmediato (F0)</t>
  </si>
  <si>
    <t xml:space="preserve">2 fortnights</t>
  </si>
  <si>
    <t xml:space="preserve">8 fortnights</t>
  </si>
  <si>
    <t xml:space="preserve">Descuento Part A</t>
  </si>
  <si>
    <t xml:space="preserve">0%</t>
  </si>
  <si>
    <t xml:space="preserve">-16% si &gt;150 batches</t>
  </si>
  <si>
    <t xml:space="preserve">Descuento Part B</t>
  </si>
  <si>
    <t xml:space="preserve">-16% si &gt;80 batches</t>
  </si>
  <si>
    <t xml:space="preserve">Prob. No entrega</t>
  </si>
  <si>
    <t xml:space="preserve">20%</t>
  </si>
  <si>
    <t xml:space="preserve">PRECIOS BASE (por batch)</t>
  </si>
  <si>
    <t xml:space="preserve">Material</t>
  </si>
  <si>
    <t xml:space="preserve">Batch Size</t>
  </si>
  <si>
    <t xml:space="preserve">Ordering Cost</t>
  </si>
  <si>
    <t xml:space="preserve">Holding/unit</t>
  </si>
  <si>
    <t xml:space="preserve">Part A</t>
  </si>
  <si>
    <t xml:space="preserve">Part B</t>
  </si>
  <si>
    <t xml:space="preserve">DECISIONES DE COMPRA PART A</t>
  </si>
  <si>
    <t xml:space="preserve">Supplier elegido</t>
  </si>
  <si>
    <t xml:space="preserve">A/B/C</t>
  </si>
  <si>
    <t xml:space="preserve">Seleccionar</t>
  </si>
  <si>
    <t xml:space="preserve">Batches a ordenar periodo</t>
  </si>
  <si>
    <t xml:space="preserve">batches</t>
  </si>
  <si>
    <t xml:space="preserve">Total del periodo</t>
  </si>
  <si>
    <t xml:space="preserve">Unidades totales</t>
  </si>
  <si>
    <t xml:space="preserve">units</t>
  </si>
  <si>
    <t xml:space="preserve">Precio por batch</t>
  </si>
  <si>
    <t xml:space="preserve">Según supplier</t>
  </si>
  <si>
    <t xml:space="preserve">Costo total Parts A</t>
  </si>
  <si>
    <t xml:space="preserve">Ordering cost (# órdenes)</t>
  </si>
  <si>
    <t xml:space="preserve">órdenes</t>
  </si>
  <si>
    <t xml:space="preserve"># de órdenes en el periodo</t>
  </si>
  <si>
    <t xml:space="preserve">Total ordering cost A</t>
  </si>
  <si>
    <t xml:space="preserve">DECISIONES DE COMPRA PART B</t>
  </si>
  <si>
    <t xml:space="preserve">Costo total Parts B</t>
  </si>
  <si>
    <t xml:space="preserve">Total ordering cost B</t>
  </si>
  <si>
    <t xml:space="preserve">RESUMEN COSTOS PROVEEDORES</t>
  </si>
  <si>
    <t xml:space="preserve">Concepto</t>
  </si>
  <si>
    <t xml:space="preserve">Monto</t>
  </si>
  <si>
    <t xml:space="preserve">Total Parts A</t>
  </si>
  <si>
    <t xml:space="preserve">Total Parts B</t>
  </si>
  <si>
    <t xml:space="preserve">Total Ordering Costs</t>
  </si>
  <si>
    <t xml:space="preserve">TOTAL SUPPLIERS</t>
  </si>
  <si>
    <t xml:space="preserve">FLUJO DE CAJA INICIAL (t=0)</t>
  </si>
  <si>
    <t xml:space="preserve">Todos los pagos/cobros al INICIO del periodo, antes de F1</t>
  </si>
  <si>
    <t xml:space="preserve">CAJA INICIAL</t>
  </si>
  <si>
    <t xml:space="preserve">Cash al final del periodo anterior</t>
  </si>
  <si>
    <t xml:space="preserve">Del Balance Sheet</t>
  </si>
  <si>
    <t xml:space="preserve">INGRESOS (INFLOWS) t=0</t>
  </si>
  <si>
    <t xml:space="preserve">New Shares Issued</t>
  </si>
  <si>
    <t xml:space="preserve">Emisión de acciones</t>
  </si>
  <si>
    <t xml:space="preserve">Sale of Equipment</t>
  </si>
  <si>
    <t xml:space="preserve">Venta de maquinaria/módulos</t>
  </si>
  <si>
    <t xml:space="preserve">Mortgage Increase</t>
  </si>
  <si>
    <t xml:space="preserve">Incremento hipoteca</t>
  </si>
  <si>
    <t xml:space="preserve">Factoring</t>
  </si>
  <si>
    <t xml:space="preserve">Adelanto de AR</t>
  </si>
  <si>
    <t xml:space="preserve">Shareholder Loan Income</t>
  </si>
  <si>
    <t xml:space="preserve">Préstamo de accionistas</t>
  </si>
  <si>
    <t xml:space="preserve">Extraordinary Income</t>
  </si>
  <si>
    <t xml:space="preserve">Ingresos extraordinarios</t>
  </si>
  <si>
    <t xml:space="preserve">TOTAL INFLOWS</t>
  </si>
  <si>
    <t xml:space="preserve">EGRESOS (OUTFLOWS) t=0</t>
  </si>
  <si>
    <t xml:space="preserve">Equipment &amp; Modules Purchases</t>
  </si>
  <si>
    <t xml:space="preserve">Compra maquinaria/módulos</t>
  </si>
  <si>
    <t xml:space="preserve">Machine Leasing &amp; Transfer</t>
  </si>
  <si>
    <t xml:space="preserve">Leasing y transfer</t>
  </si>
  <si>
    <t xml:space="preserve">Module Leasing (emergency)</t>
  </si>
  <si>
    <t xml:space="preserve">Módulos emergencia</t>
  </si>
  <si>
    <t xml:space="preserve">Mortgage Principal Payment</t>
  </si>
  <si>
    <t xml:space="preserve">Pago principal hipoteca</t>
  </si>
  <si>
    <t xml:space="preserve">Mortgage Interest Payment</t>
  </si>
  <si>
    <t xml:space="preserve">Intereses hipoteca (del periodo anterior)</t>
  </si>
  <si>
    <t xml:space="preserve">Emergency Loan Interest</t>
  </si>
  <si>
    <t xml:space="preserve">Intereses préstamo emergencia</t>
  </si>
  <si>
    <t xml:space="preserve">Tax Payments</t>
  </si>
  <si>
    <t xml:space="preserve">Impuestos del periodo anterior</t>
  </si>
  <si>
    <t xml:space="preserve">Dividend Payments</t>
  </si>
  <si>
    <t xml:space="preserve">Dividendos</t>
  </si>
  <si>
    <t xml:space="preserve">Product Improvement Investment</t>
  </si>
  <si>
    <t xml:space="preserve">I+D mejoras producto</t>
  </si>
  <si>
    <t xml:space="preserve">Worker Hiring Expenses</t>
  </si>
  <si>
    <t xml:space="preserve">Costo contratación</t>
  </si>
  <si>
    <t xml:space="preserve">Worker Dismissal Expenses</t>
  </si>
  <si>
    <t xml:space="preserve">Costo despidos</t>
  </si>
  <si>
    <t xml:space="preserve">Warehouse Rental Expenses</t>
  </si>
  <si>
    <t xml:space="preserve">Alquiler almacenes</t>
  </si>
  <si>
    <t xml:space="preserve">Payments to Suppliers (pieces)</t>
  </si>
  <si>
    <t xml:space="preserve">Pago piezas 1-6 (t=0)</t>
  </si>
  <si>
    <t xml:space="preserve">ESG Investments</t>
  </si>
  <si>
    <t xml:space="preserve">Paneles, árboles, etc.</t>
  </si>
  <si>
    <t xml:space="preserve">Labor Benefits (profit sharing)</t>
  </si>
  <si>
    <t xml:space="preserve">Reparto utilidades</t>
  </si>
  <si>
    <t xml:space="preserve">TOTAL OUTFLOWS</t>
  </si>
  <si>
    <t xml:space="preserve">RESUMEN CASH FLOW INICIAL</t>
  </si>
  <si>
    <t xml:space="preserve">Cash Inicial</t>
  </si>
  <si>
    <t xml:space="preserve">(+) Total Inflows</t>
  </si>
  <si>
    <t xml:space="preserve">(-) Total Outflows</t>
  </si>
  <si>
    <t xml:space="preserve">(=) Cash_end_t0 (para F1)</t>
  </si>
  <si>
    <t xml:space="preserve">VERIFICACIÓN</t>
  </si>
  <si>
    <t xml:space="preserve">Status</t>
  </si>
  <si>
    <t xml:space="preserve">Emergency Loan Required</t>
  </si>
  <si>
    <t xml:space="preserve">FLUJO DE CAJA POR SUBPERIODO (F1-F8)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</si>
  <si>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</si>
  <si>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</si>
  <si>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</si>
  <si>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</si>
  <si>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</si>
  <si>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</si>
  <si>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</si>
  <si>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</si>
  <si>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Total</t>
  </si>
  <si>
    <t xml:space="preserve">Beginning Cash</t>
  </si>
  <si>
    <t xml:space="preserve">═══ INFLOWS ═══</t>
  </si>
  <si>
    <t xml:space="preserve">Collections from Customers</t>
  </si>
  <si>
    <t xml:space="preserve">Interest on Deposits</t>
  </si>
  <si>
    <t xml:space="preserve">═══ OUTFLOWS ═══</t>
  </si>
  <si>
    <t xml:space="preserve">S&amp;A Expenses</t>
  </si>
  <si>
    <t xml:space="preserve">Indirect Labor (50% salarios)</t>
  </si>
  <si>
    <t xml:space="preserve">Salaries</t>
  </si>
  <si>
    <t xml:space="preserve">Overtime</t>
  </si>
  <si>
    <t xml:space="preserve">Energy Costs</t>
  </si>
  <si>
    <t xml:space="preserve">Inventory Holding Costs</t>
  </si>
  <si>
    <t xml:space="preserve">Transportation Expenses</t>
  </si>
  <si>
    <t xml:space="preserve">Payments to Suppliers (Parts)</t>
  </si>
  <si>
    <t xml:space="preserve">Improvement Variable Costs</t>
  </si>
  <si>
    <t xml:space="preserve">Labor Benefits</t>
  </si>
  <si>
    <t xml:space="preserve">CO2 Abatement Cost</t>
  </si>
  <si>
    <t xml:space="preserve">═══ FINANCING ═══</t>
  </si>
  <si>
    <t xml:space="preserve">LOC Interest</t>
  </si>
  <si>
    <t xml:space="preserve">Change in LOC (+draw/-repay)</t>
  </si>
  <si>
    <t xml:space="preserve">Deposit Interest Earned</t>
  </si>
  <si>
    <t xml:space="preserve">Change in Deposits (+add/-withdraw)</t>
  </si>
  <si>
    <t xml:space="preserve">Emergency Loan Repayment</t>
  </si>
  <si>
    <t xml:space="preserve">═══ CASH POSITION ═══</t>
  </si>
  <si>
    <t xml:space="preserve">Subtotal Inflows</t>
  </si>
  <si>
    <t xml:space="preserve">Subtotal Outflows</t>
  </si>
  <si>
    <t xml:space="preserve">Net Cash Flow</t>
  </si>
  <si>
    <t xml:space="preserve">Ending Cash (before emergency)</t>
  </si>
  <si>
    <t xml:space="preserve">Emergency Loan (auto)</t>
  </si>
  <si>
    <t xml:space="preserve">Ending Cash (final)</t>
  </si>
  <si>
    <t xml:space="preserve">═══ BALANCES ═══</t>
  </si>
  <si>
    <t xml:space="preserve">LOC Balance</t>
  </si>
  <si>
    <t xml:space="preserve">Deposit Balance</t>
  </si>
  <si>
    <t xml:space="preserve">═══ FLAGS ═══</t>
  </si>
  <si>
    <t xml:space="preserve">EMERGENCY RISK?</t>
  </si>
  <si>
    <t xml:space="preserve">Below Buffer?</t>
  </si>
  <si>
    <t xml:space="preserve">SCHEDULE DE CUENTAS POR COBRAR Y PAGAR</t>
  </si>
  <si>
    <t xml:space="preserve">ACCOUNTS RECEIVABLE (AR) - COBROS DE CLIENTES</t>
  </si>
  <si>
    <t xml:space="preserve">AR Inicio</t>
  </si>
  <si>
    <t xml:space="preserve">(+) Ventas Netas</t>
  </si>
  <si>
    <t xml:space="preserve">(-) Cobros</t>
  </si>
  <si>
    <t xml:space="preserve">AR Final</t>
  </si>
  <si>
    <t xml:space="preserve">Detalle Cobros por Región:</t>
  </si>
  <si>
    <t xml:space="preserve">Center (Plan B, lag 2)</t>
  </si>
  <si>
    <t xml:space="preserve">West (Plan B, lag 2)</t>
  </si>
  <si>
    <t xml:space="preserve">North (Plan C, lag 4)</t>
  </si>
  <si>
    <t xml:space="preserve">East (Plan C, lag 4)</t>
  </si>
  <si>
    <t xml:space="preserve">South (Plan C, lag 4)</t>
  </si>
  <si>
    <t xml:space="preserve">ACCOUNTS PAYABLE (AP) - PAGOS A PROVEEDORES</t>
  </si>
  <si>
    <t xml:space="preserve">AP Inicio</t>
  </si>
  <si>
    <t xml:space="preserve">(+) Compras Parts</t>
  </si>
  <si>
    <t xml:space="preserve">(-) Pagos</t>
  </si>
  <si>
    <t xml:space="preserve">AP Final</t>
  </si>
  <si>
    <t xml:space="preserve">Detalle pagos pendientes:</t>
  </si>
  <si>
    <t xml:space="preserve">Part A (según supplier)</t>
  </si>
  <si>
    <t xml:space="preserve">Part B (según supplier)</t>
  </si>
  <si>
    <t xml:space="preserve">CALENDARIO DE PAGOS PENDIENTES (del periodo anterior)</t>
  </si>
  <si>
    <t xml:space="preserve">AP Pendiente</t>
  </si>
  <si>
    <t xml:space="preserve">POLÍTICA DE FINANCIAMIENTO AUTOMÁTICA</t>
  </si>
  <si>
    <t xml:space="preserve">CONFIGURACIÓN</t>
  </si>
  <si>
    <t xml:space="preserve">Activar política automática?</t>
  </si>
  <si>
    <t xml:space="preserve">YES</t>
  </si>
  <si>
    <t xml:space="preserve">(YES/NO)</t>
  </si>
  <si>
    <t xml:space="preserve">Buffer objetivo</t>
  </si>
  <si>
    <t xml:space="preserve">LOC Headroom disponible</t>
  </si>
  <si>
    <t xml:space="preserve">Deposits disponibles</t>
  </si>
  <si>
    <t xml:space="preserve">Saldo inicial deposits</t>
  </si>
  <si>
    <t xml:space="preserve">REGLAS DE LA POLÍTICA (en orden de prioridad):</t>
  </si>
  <si>
    <t xml:space="preserve">1. Si caja proyectada &lt; Buffer:</t>
  </si>
  <si>
    <t xml:space="preserve">   a) Primero: Reducir deposits (hasta 0)</t>
  </si>
  <si>
    <t xml:space="preserve">   b) Luego: Aumentar LOC (hasta headroom)</t>
  </si>
  <si>
    <t xml:space="preserve">   c) Si no alcanza: Considerar factoring</t>
  </si>
  <si>
    <t xml:space="preserve">2. Si caja proyectada &gt; Buffer + 50,000:</t>
  </si>
  <si>
    <t xml:space="preserve">   a) Primero: Repagar LOC</t>
  </si>
  <si>
    <t xml:space="preserve">   b) Luego: Aumentar deposits</t>
  </si>
  <si>
    <t xml:space="preserve">ANÁLISIS DE NECESIDADES POR FORTNIGHT</t>
  </si>
  <si>
    <t xml:space="preserve">Caja proyectada (sin ajustes)</t>
  </si>
  <si>
    <t xml:space="preserve">Déficit vs Buffer</t>
  </si>
  <si>
    <t xml:space="preserve">Superávit vs Buffer</t>
  </si>
  <si>
    <t xml:space="preserve">RECOMENDACIONES AUTOMÁTICAS</t>
  </si>
  <si>
    <t xml:space="preserve">Sugerencia: Change in LOC</t>
  </si>
  <si>
    <t xml:space="preserve">Sugerencia: Change in Deposits</t>
  </si>
  <si>
    <t xml:space="preserve">IMPACTO PROYECTADO DE RECOMENDACIONES</t>
  </si>
  <si>
    <t xml:space="preserve">LOC Balance proyectado</t>
  </si>
  <si>
    <t xml:space="preserve">Deposits Balance proyectado</t>
  </si>
  <si>
    <t xml:space="preserve">LOC Interest proyectado</t>
  </si>
  <si>
    <t xml:space="preserve">Deposit Interest proyectado</t>
  </si>
  <si>
    <t xml:space="preserve">Net Interest Expense</t>
  </si>
  <si>
    <t xml:space="preserve">DASHBOARD CFO - EXSIM FINANCIAL OVERVIEW</t>
  </si>
  <si>
    <t xml:space="preserve">══════════════════════════════════════════════════════════════════════</t>
  </si>
  <si>
    <t xml:space="preserve">KPIs PRINCIPALES</t>
  </si>
  <si>
    <t xml:space="preserve">Indicador</t>
  </si>
  <si>
    <t xml:space="preserve">Target/Limit</t>
  </si>
  <si>
    <t xml:space="preserve">Caja Mínima del periodo</t>
  </si>
  <si>
    <t xml:space="preserve">&gt;0</t>
  </si>
  <si>
    <t xml:space="preserve">MIN de ending cash F1-F8</t>
  </si>
  <si>
    <t xml:space="preserve">Fortnight con caja mínima</t>
  </si>
  <si>
    <t xml:space="preserve">Caja Final (F8)</t>
  </si>
  <si>
    <t xml:space="preserve">&gt;Buffer</t>
  </si>
  <si>
    <t xml:space="preserve">Subperiod F8 ending</t>
  </si>
  <si>
    <t xml:space="preserve">LOC Max usado</t>
  </si>
  <si>
    <t xml:space="preserve">&lt;Limit</t>
  </si>
  <si>
    <t xml:space="preserve">MAX de LOC balance</t>
  </si>
  <si>
    <t xml:space="preserve">LOC Headroom restante</t>
  </si>
  <si>
    <t xml:space="preserve">Limit - Max usado</t>
  </si>
  <si>
    <t xml:space="preserve">Deposits promedio</t>
  </si>
  <si>
    <t xml:space="preserve">AVERAGE deposits balance</t>
  </si>
  <si>
    <t xml:space="preserve">Interest Expense (LOC)</t>
  </si>
  <si>
    <t xml:space="preserve">Total intereses LOC periodo</t>
  </si>
  <si>
    <t xml:space="preserve">Interest Expense (Mortgage)</t>
  </si>
  <si>
    <t xml:space="preserve">Intereses hipoteca</t>
  </si>
  <si>
    <t xml:space="preserve">Interest Expense (Emergency)</t>
  </si>
  <si>
    <t xml:space="preserve">Si aplica</t>
  </si>
  <si>
    <t xml:space="preserve">Interest Income (Deposits)</t>
  </si>
  <si>
    <t xml:space="preserve">Intereses ganados</t>
  </si>
  <si>
    <t xml:space="preserve">RATIOS FINANCIEROS</t>
  </si>
  <si>
    <t xml:space="preserve">Financial Expenses / Sales</t>
  </si>
  <si>
    <t xml:space="preserve">&lt;5%</t>
  </si>
  <si>
    <t xml:space="preserve">Meta CFO</t>
  </si>
  <si>
    <t xml:space="preserve">Interest Coverage (EBITDA/Interest)</t>
  </si>
  <si>
    <t xml:space="preserve">&gt;3x</t>
  </si>
  <si>
    <t xml:space="preserve">Cobertura de intereses</t>
  </si>
  <si>
    <t xml:space="preserve">SEMÁFORO DE RIESGO</t>
  </si>
  <si>
    <t xml:space="preserve">Status General</t>
  </si>
  <si>
    <t xml:space="preserve">  VERDE = OK</t>
  </si>
  <si>
    <t xml:space="preserve">Caja &gt; Buffer todo el periodo</t>
  </si>
  <si>
    <t xml:space="preserve">  AMARILLO = ATENCIÓN</t>
  </si>
  <si>
    <t xml:space="preserve">Caja &lt; Buffer en algún F</t>
  </si>
  <si>
    <t xml:space="preserve">  ROJO = EMERGENCIA</t>
  </si>
  <si>
    <t xml:space="preserve">Caja &lt; 0 (Emergency Loan)</t>
  </si>
  <si>
    <t xml:space="preserve">PROYECCIÓN AR/AP</t>
  </si>
  <si>
    <t xml:space="preserve">AR Final del periodo</t>
  </si>
  <si>
    <t xml:space="preserve">Del AR_AP_Schedule</t>
  </si>
  <si>
    <t xml:space="preserve">AP Final del periodo</t>
  </si>
  <si>
    <t xml:space="preserve">Net Working Capital Change</t>
  </si>
  <si>
    <t xml:space="preserve">ACCIONES RECOMENDADAS</t>
  </si>
  <si>
    <t xml:space="preserve">1.</t>
  </si>
  <si>
    <t xml:space="preserve">2.</t>
  </si>
  <si>
    <t xml:space="preserve">3.</t>
  </si>
  <si>
    <t xml:space="preserve">ZONA PARA PEGAR REPORTES DEL SIMULADOR</t>
  </si>
  <si>
    <t xml:space="preserve">Instrucciones:</t>
  </si>
  <si>
    <t xml:space="preserve">1. Exportar los reportes del simulador EXSIM</t>
  </si>
  <si>
    <t xml:space="preserve">2. Pegar cada reporte en la sección correspondiente</t>
  </si>
  <si>
    <t xml:space="preserve">3. Las otras hojas se actualizarán automáticamente</t>
  </si>
  <si>
    <t xml:space="preserve">INITIAL CASH FLOW (pegar aquí)</t>
  </si>
  <si>
    <t xml:space="preserve">SUBPERIOD CASH FLOW (pegar aquí)</t>
  </si>
  <si>
    <t xml:space="preserve">AR/AP (pegar aquí)</t>
  </si>
  <si>
    <t xml:space="preserve">BALANCE SHEET (pegar aquí)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</si>
</sst>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20"/>
  </cols>
  <sheetData>
    <row r="1" customFormat="false" ht="17.25" hidden="false" customHeight="true" outlineLevel="0" collapsed="false">
      <c r="A1" s="2" t="s">
        <v>0</v>
      </c>
      <c r="B1" s="2"/>
      <c r="C1" s="2"/>
    </row>
    <row r="3" customFormat="false" ht="15" hidden="false" customHeight="true" outlineLevel="0" collapsed="false">
      <c r="A3" s="1" t="s">
        <v>1</v>
      </c>
    </row>
    <row r="5" customFormat="false" ht="15" hidden="false" customHeight="true" outlineLevel="0" collapsed="false">
      <c r="A5" s="3" t="s">
        <v>2</v>
      </c>
    </row>
    <row r="6" customFormat="false" ht="15" hidden="false" customHeight="true" outlineLevel="0" collapsed="false">
      <c r="A6" s="1" t="s">
        <v>3</v>
      </c>
    </row>
    <row r="7" customFormat="false" ht="15" hidden="false" customHeight="true" outlineLevel="0" collapsed="false">
      <c r="A7" s="3" t="s">
        <v>2</v>
      </c>
    </row>
    <row r="9" customFormat="false" ht="15" hidden="false" customHeight="true" outlineLevel="0" collapsed="false">
      <c r="A9" s="1" t="s">
        <v>4</v>
      </c>
    </row>
    <row r="10" customFormat="false" ht="15" hidden="false" customHeight="true" outlineLevel="0" collapsed="false">
      <c r="A10" s="1" t="s">
        <v>5</v>
      </c>
    </row>
    <row r="11" customFormat="false" ht="15" hidden="false" customHeight="true" outlineLevel="0" collapsed="false">
      <c r="A11" s="1" t="s">
        <v>6</v>
      </c>
    </row>
    <row r="12" customFormat="false" ht="15" hidden="false" customHeight="true" outlineLevel="0" collapsed="false">
      <c r="A12" s="1" t="s">
        <v>7</v>
      </c>
    </row>
    <row r="14" customFormat="false" ht="15" hidden="false" customHeight="true" outlineLevel="0" collapsed="false">
      <c r="A14" s="1" t="s">
        <v>8</v>
      </c>
    </row>
    <row r="15" customFormat="false" ht="15" hidden="false" customHeight="true" outlineLevel="0" collapsed="false">
      <c r="A15" s="1" t="s">
        <v>9</v>
      </c>
    </row>
    <row r="16" customFormat="false" ht="15" hidden="false" customHeight="true" outlineLevel="0" collapsed="false">
      <c r="A16" s="1" t="s">
        <v>10</v>
      </c>
    </row>
    <row r="17" customFormat="false" ht="15" hidden="false" customHeight="true" outlineLevel="0" collapsed="false">
      <c r="A17" s="1" t="s">
        <v>11</v>
      </c>
    </row>
    <row r="19" customFormat="false" ht="15" hidden="false" customHeight="true" outlineLevel="0" collapsed="false">
      <c r="A19" s="1" t="s">
        <v>12</v>
      </c>
    </row>
    <row r="20" customFormat="false" ht="15" hidden="false" customHeight="true" outlineLevel="0" collapsed="false">
      <c r="A20" s="1" t="s">
        <v>13</v>
      </c>
    </row>
    <row r="21" customFormat="false" ht="15" hidden="false" customHeight="true" outlineLevel="0" collapsed="false">
      <c r="A21" s="1" t="s">
        <v>14</v>
      </c>
    </row>
    <row r="23" customFormat="false" ht="15" hidden="false" customHeight="true" outlineLevel="0" collapsed="false">
      <c r="A23" s="1" t="s">
        <v>15</v>
      </c>
    </row>
    <row r="24" customFormat="false" ht="15" hidden="false" customHeight="true" outlineLevel="0" collapsed="false">
      <c r="A24" s="1" t="s">
        <v>16</v>
      </c>
    </row>
    <row r="25" customFormat="false" ht="15" hidden="false" customHeight="true" outlineLevel="0" collapsed="false">
      <c r="A25" s="1" t="s">
        <v>17</v>
      </c>
    </row>
    <row r="26" customFormat="false" ht="15" hidden="false" customHeight="true" outlineLevel="0" collapsed="false">
      <c r="A26" s="1" t="s">
        <v>18</v>
      </c>
    </row>
    <row r="28" customFormat="false" ht="15" hidden="false" customHeight="true" outlineLevel="0" collapsed="false">
      <c r="A28" s="1" t="s">
        <v>19</v>
      </c>
    </row>
    <row r="29" customFormat="false" ht="15" hidden="false" customHeight="true" outlineLevel="0" collapsed="false">
      <c r="A29" s="1" t="s">
        <v>20</v>
      </c>
    </row>
    <row r="30" customFormat="false" ht="15" hidden="false" customHeight="true" outlineLevel="0" collapsed="false">
      <c r="A30" s="1" t="s">
        <v>21</v>
      </c>
    </row>
    <row r="32" customFormat="false" ht="15" hidden="false" customHeight="true" outlineLevel="0" collapsed="false">
      <c r="A32" s="1" t="s">
        <v>22</v>
      </c>
    </row>
    <row r="33" customFormat="false" ht="15" hidden="false" customHeight="true" outlineLevel="0" collapsed="false">
      <c r="A33" s="1" t="s">
        <v>23</v>
      </c>
    </row>
    <row r="35" customFormat="false" ht="15" hidden="false" customHeight="true" outlineLevel="0" collapsed="false">
      <c r="A35" s="1" t="s">
        <v>24</v>
      </c>
    </row>
    <row r="36" customFormat="false" ht="15" hidden="false" customHeight="true" outlineLevel="0" collapsed="false">
      <c r="A36" s="1" t="s">
        <v>25</v>
      </c>
    </row>
    <row r="37" customFormat="false" ht="15" hidden="false" customHeight="true" outlineLevel="0" collapsed="false">
      <c r="A37" s="1" t="s">
        <v>26</v>
      </c>
    </row>
    <row r="39" customFormat="false" ht="15" hidden="false" customHeight="true" outlineLevel="0" collapsed="false">
      <c r="A39" s="1" t="s">
        <v>27</v>
      </c>
    </row>
    <row r="40" customFormat="false" ht="15" hidden="false" customHeight="true" outlineLevel="0" collapsed="false">
      <c r="A40" s="1" t="s">
        <v>28</v>
      </c>
    </row>
    <row r="41" customFormat="false" ht="15" hidden="false" customHeight="true" outlineLevel="0" collapsed="false">
      <c r="A41" s="1" t="s">
        <v>29</v>
      </c>
    </row>
    <row r="42" customFormat="false" ht="15" hidden="false" customHeight="true" outlineLevel="0" collapsed="false">
      <c r="A42" s="1" t="s">
        <v>30</v>
      </c>
    </row>
    <row r="44" customFormat="false" ht="15" hidden="false" customHeight="true" outlineLevel="0" collapsed="false">
      <c r="A44" s="1" t="s">
        <v>31</v>
      </c>
    </row>
    <row r="45" customFormat="false" ht="15" hidden="false" customHeight="true" outlineLevel="0" collapsed="false">
      <c r="A45" s="1" t="s">
        <v>32</v>
      </c>
    </row>
    <row r="46" customFormat="false" ht="15" hidden="false" customHeight="true" outlineLevel="0" collapsed="false">
      <c r="A46" s="1" t="s">
        <v>33</v>
      </c>
    </row>
    <row r="47" customFormat="false" ht="15" hidden="false" customHeight="true" outlineLevel="0" collapsed="false">
      <c r="A47" s="1" t="s">
        <v>34</v>
      </c>
    </row>
    <row r="49" customFormat="false" ht="15" hidden="false" customHeight="true" outlineLevel="0" collapsed="false">
      <c r="A49" s="1" t="s">
        <v>35</v>
      </c>
    </row>
    <row r="51" customFormat="false" ht="15" hidden="false" customHeight="true" outlineLevel="0" collapsed="false">
      <c r="A51" s="3" t="s">
        <v>2</v>
      </c>
    </row>
    <row r="52" customFormat="false" ht="15" hidden="false" customHeight="true" outlineLevel="0" collapsed="false">
      <c r="A52" s="1" t="s">
        <v>36</v>
      </c>
    </row>
    <row r="53" customFormat="false" ht="15" hidden="false" customHeight="true" outlineLevel="0" collapsed="false">
      <c r="A53" s="3" t="s">
        <v>2</v>
      </c>
    </row>
    <row r="54" customFormat="false" ht="15" hidden="false" customHeight="true" outlineLevel="0" collapsed="false">
      <c r="A54" s="1" t="s">
        <v>37</v>
      </c>
    </row>
    <row r="55" customFormat="false" ht="15" hidden="false" customHeight="true" outlineLevel="0" collapsed="false">
      <c r="A55" s="1" t="s">
        <v>38</v>
      </c>
    </row>
    <row r="56" customFormat="false" ht="15" hidden="false" customHeight="true" outlineLevel="0" collapsed="false">
      <c r="A56" s="1" t="s">
        <v>39</v>
      </c>
    </row>
    <row r="57" customFormat="false" ht="15" hidden="false" customHeight="true" outlineLevel="0" collapsed="false">
      <c r="A57" s="1" t="s">
        <v>40</v>
      </c>
    </row>
    <row r="58" customFormat="false" ht="15" hidden="false" customHeight="true" outlineLevel="0" collapsed="false">
      <c r="A58" s="1" t="s">
        <v>41</v>
      </c>
    </row>
    <row r="60" customFormat="false" ht="15" hidden="false" customHeight="true" outlineLevel="0" collapsed="false">
      <c r="A60" s="3" t="s">
        <v>2</v>
      </c>
    </row>
    <row r="61" customFormat="false" ht="15" hidden="false" customHeight="true" outlineLevel="0" collapsed="false">
      <c r="A61" s="1" t="s">
        <v>42</v>
      </c>
    </row>
    <row r="62" customFormat="false" ht="15" hidden="false" customHeight="true" outlineLevel="0" collapsed="false">
      <c r="A62" s="3" t="s">
        <v>2</v>
      </c>
    </row>
    <row r="63" customFormat="false" ht="15" hidden="false" customHeight="true" outlineLevel="0" collapsed="false">
      <c r="A63" s="1" t="s">
        <v>43</v>
      </c>
    </row>
    <row r="64" customFormat="false" ht="15" hidden="false" customHeight="true" outlineLevel="0" collapsed="false">
      <c r="A64" s="1" t="s">
        <v>44</v>
      </c>
    </row>
    <row r="65" customFormat="false" ht="15" hidden="false" customHeight="true" outlineLevel="0" collapsed="false">
      <c r="A65" s="1" t="s">
        <v>45</v>
      </c>
    </row>
    <row r="66" customFormat="false" ht="15" hidden="false" customHeight="true" outlineLevel="0" collapsed="false">
      <c r="A66" s="1" t="s">
        <v>46</v>
      </c>
    </row>
    <row r="68" customFormat="false" ht="15" hidden="false" customHeight="true" outlineLevel="0" collapsed="false">
      <c r="A68" s="3" t="s">
        <v>2</v>
      </c>
    </row>
    <row r="69" customFormat="false" ht="15" hidden="false" customHeight="true" outlineLevel="0" collapsed="false">
      <c r="A69" s="1" t="s">
        <v>47</v>
      </c>
    </row>
    <row r="70" customFormat="false" ht="15" hidden="false" customHeight="true" outlineLevel="0" collapsed="false">
      <c r="A70" s="3" t="s">
        <v>2</v>
      </c>
    </row>
    <row r="71" customFormat="false" ht="15" hidden="false" customHeight="true" outlineLevel="0" collapsed="false">
      <c r="A71" s="1" t="s">
        <v>48</v>
      </c>
    </row>
    <row r="72" customFormat="false" ht="15" hidden="false" customHeight="true" outlineLevel="0" collapsed="false">
      <c r="A72" s="1" t="s">
        <v>49</v>
      </c>
    </row>
    <row r="73" customFormat="false" ht="15" hidden="false" customHeight="true" outlineLevel="0" collapsed="false">
      <c r="A73" s="1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3" min="2" style="1" width="18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51</v>
      </c>
      <c r="B1" s="2"/>
      <c r="C1" s="2"/>
      <c r="D1" s="2"/>
    </row>
    <row r="3" customFormat="false" ht="15" hidden="false" customHeight="true" outlineLevel="0" collapsed="false">
      <c r="A3" s="3" t="s">
        <v>52</v>
      </c>
    </row>
    <row r="4" customFormat="false" ht="15" hidden="false" customHeight="true" outlineLevel="0" collapsed="false">
      <c r="A4" s="1" t="s">
        <v>53</v>
      </c>
    </row>
    <row r="5" customFormat="false" ht="15" hidden="false" customHeight="true" outlineLevel="0" collapsed="false">
      <c r="A5" s="3" t="s">
        <v>52</v>
      </c>
    </row>
    <row r="6" customFormat="false" ht="15" hidden="false" customHeight="true" outlineLevel="0" collapsed="false">
      <c r="A6" s="4" t="s">
        <v>54</v>
      </c>
      <c r="B6" s="4" t="s">
        <v>55</v>
      </c>
      <c r="C6" s="4" t="s">
        <v>56</v>
      </c>
      <c r="D6" s="4" t="s">
        <v>57</v>
      </c>
    </row>
    <row r="7" customFormat="false" ht="15" hidden="false" customHeight="true" outlineLevel="0" collapsed="false">
      <c r="A7" s="1" t="s">
        <v>58</v>
      </c>
      <c r="B7" s="5" t="n">
        <v>8</v>
      </c>
      <c r="C7" s="1" t="s">
        <v>59</v>
      </c>
      <c r="D7" s="1" t="s">
        <v>60</v>
      </c>
    </row>
    <row r="8" customFormat="false" ht="15" hidden="false" customHeight="true" outlineLevel="0" collapsed="false">
      <c r="A8" s="1" t="s">
        <v>61</v>
      </c>
      <c r="B8" s="5" t="n">
        <v>10</v>
      </c>
      <c r="C8" s="1" t="s">
        <v>62</v>
      </c>
      <c r="D8" s="1" t="s">
        <v>63</v>
      </c>
    </row>
    <row r="10" customFormat="false" ht="15" hidden="false" customHeight="true" outlineLevel="0" collapsed="false">
      <c r="A10" s="3" t="s">
        <v>52</v>
      </c>
    </row>
    <row r="11" customFormat="false" ht="15" hidden="false" customHeight="true" outlineLevel="0" collapsed="false">
      <c r="A11" s="1" t="s">
        <v>64</v>
      </c>
    </row>
    <row r="12" customFormat="false" ht="15" hidden="false" customHeight="true" outlineLevel="0" collapsed="false">
      <c r="A12" s="3" t="s">
        <v>52</v>
      </c>
    </row>
    <row r="13" customFormat="false" ht="15" hidden="false" customHeight="true" outlineLevel="0" collapsed="false">
      <c r="A13" s="4" t="s">
        <v>65</v>
      </c>
      <c r="B13" s="4" t="s">
        <v>66</v>
      </c>
      <c r="C13" s="4" t="s">
        <v>67</v>
      </c>
      <c r="D13" s="4" t="s">
        <v>68</v>
      </c>
    </row>
    <row r="14" customFormat="false" ht="15" hidden="false" customHeight="true" outlineLevel="0" collapsed="false">
      <c r="A14" s="1" t="s">
        <v>69</v>
      </c>
      <c r="B14" s="5" t="n">
        <v>0.1</v>
      </c>
      <c r="C14" s="1" t="n">
        <f aca="false">(1+B14)^(1/8)-1</f>
        <v>0.0119850241403996</v>
      </c>
    </row>
    <row r="15" customFormat="false" ht="15" hidden="false" customHeight="true" outlineLevel="0" collapsed="false">
      <c r="A15" s="1" t="s">
        <v>70</v>
      </c>
      <c r="B15" s="5" t="n">
        <v>0.04</v>
      </c>
      <c r="C15" s="1" t="n">
        <f aca="false">(1+B15)^(1/8)-1</f>
        <v>0.00491462649767849</v>
      </c>
    </row>
    <row r="16" customFormat="false" ht="15" hidden="false" customHeight="true" outlineLevel="0" collapsed="false">
      <c r="A16" s="1" t="s">
        <v>71</v>
      </c>
      <c r="B16" s="5" t="n">
        <v>0.06</v>
      </c>
      <c r="C16" s="1" t="n">
        <f aca="false">(1+B16)^(1/8)-1</f>
        <v>0.00731020354638479</v>
      </c>
    </row>
    <row r="17" customFormat="false" ht="15" hidden="false" customHeight="true" outlineLevel="0" collapsed="false">
      <c r="A17" s="1" t="s">
        <v>72</v>
      </c>
      <c r="B17" s="5" t="n">
        <v>0.3</v>
      </c>
      <c r="C17" s="1" t="n">
        <f aca="false">(1+B17)^(1/8)-1</f>
        <v>0.0333392339268073</v>
      </c>
    </row>
    <row r="19" customFormat="false" ht="15" hidden="false" customHeight="true" outlineLevel="0" collapsed="false">
      <c r="A19" s="3" t="s">
        <v>52</v>
      </c>
    </row>
    <row r="20" customFormat="false" ht="15" hidden="false" customHeight="true" outlineLevel="0" collapsed="false">
      <c r="A20" s="1" t="s">
        <v>73</v>
      </c>
    </row>
    <row r="21" customFormat="false" ht="15" hidden="false" customHeight="true" outlineLevel="0" collapsed="false">
      <c r="A21" s="3" t="s">
        <v>52</v>
      </c>
    </row>
    <row r="22" customFormat="false" ht="15" hidden="false" customHeight="true" outlineLevel="0" collapsed="false">
      <c r="A22" s="4" t="s">
        <v>54</v>
      </c>
      <c r="B22" s="4" t="s">
        <v>55</v>
      </c>
      <c r="C22" s="4" t="s">
        <v>56</v>
      </c>
      <c r="D22" s="4" t="s">
        <v>57</v>
      </c>
    </row>
    <row r="23" customFormat="false" ht="15" hidden="false" customHeight="true" outlineLevel="0" collapsed="false">
      <c r="A23" s="1" t="s">
        <v>74</v>
      </c>
      <c r="B23" s="5" t="n">
        <v>697625</v>
      </c>
      <c r="C23" s="1" t="s">
        <v>75</v>
      </c>
      <c r="D23" s="1" t="s">
        <v>76</v>
      </c>
    </row>
    <row r="24" customFormat="false" ht="15" hidden="false" customHeight="true" outlineLevel="0" collapsed="false">
      <c r="A24" s="1" t="s">
        <v>77</v>
      </c>
      <c r="B24" s="5" t="n">
        <v>0.33</v>
      </c>
      <c r="C24" s="1" t="s">
        <v>78</v>
      </c>
      <c r="D24" s="1" t="s">
        <v>79</v>
      </c>
    </row>
    <row r="25" customFormat="false" ht="15" hidden="false" customHeight="true" outlineLevel="0" collapsed="false">
      <c r="A25" s="1" t="s">
        <v>80</v>
      </c>
      <c r="B25" s="1" t="n">
        <f aca="false">B23*B24</f>
        <v>230216.25</v>
      </c>
      <c r="C25" s="1" t="s">
        <v>75</v>
      </c>
      <c r="D25" s="1" t="n">
        <f aca="false">B23*B24</f>
        <v>230216.25</v>
      </c>
    </row>
    <row r="26" customFormat="false" ht="15" hidden="false" customHeight="true" outlineLevel="0" collapsed="false">
      <c r="A26" s="1" t="s">
        <v>81</v>
      </c>
      <c r="B26" s="5" t="n">
        <v>113000</v>
      </c>
      <c r="C26" s="1" t="s">
        <v>75</v>
      </c>
      <c r="D26" s="1" t="s">
        <v>82</v>
      </c>
    </row>
    <row r="27" customFormat="false" ht="15" hidden="false" customHeight="true" outlineLevel="0" collapsed="false">
      <c r="A27" s="1" t="s">
        <v>83</v>
      </c>
      <c r="B27" s="1" t="n">
        <f aca="false">B25-B26</f>
        <v>117216.25</v>
      </c>
      <c r="C27" s="1" t="s">
        <v>75</v>
      </c>
      <c r="D27" s="1" t="n">
        <f aca="false">B25-B26</f>
        <v>117216.25</v>
      </c>
    </row>
    <row r="29" customFormat="false" ht="15" hidden="false" customHeight="true" outlineLevel="0" collapsed="false">
      <c r="A29" s="3" t="s">
        <v>52</v>
      </c>
    </row>
    <row r="30" customFormat="false" ht="15" hidden="false" customHeight="true" outlineLevel="0" collapsed="false">
      <c r="A30" s="1" t="s">
        <v>84</v>
      </c>
    </row>
    <row r="31" customFormat="false" ht="15" hidden="false" customHeight="true" outlineLevel="0" collapsed="false">
      <c r="A31" s="3" t="s">
        <v>52</v>
      </c>
    </row>
    <row r="32" customFormat="false" ht="15" hidden="false" customHeight="true" outlineLevel="0" collapsed="false">
      <c r="A32" s="4" t="s">
        <v>54</v>
      </c>
      <c r="B32" s="4" t="s">
        <v>55</v>
      </c>
      <c r="C32" s="4" t="s">
        <v>56</v>
      </c>
      <c r="D32" s="4" t="s">
        <v>57</v>
      </c>
    </row>
    <row r="33" customFormat="false" ht="15" hidden="false" customHeight="true" outlineLevel="0" collapsed="false">
      <c r="A33" s="1" t="s">
        <v>85</v>
      </c>
      <c r="B33" s="5" t="n">
        <v>50000</v>
      </c>
      <c r="C33" s="1" t="s">
        <v>75</v>
      </c>
      <c r="D33" s="1" t="s">
        <v>86</v>
      </c>
    </row>
    <row r="34" customFormat="false" ht="15" hidden="false" customHeight="true" outlineLevel="0" collapsed="false">
      <c r="A34" s="1" t="s">
        <v>87</v>
      </c>
      <c r="B34" s="5" t="n">
        <v>25000</v>
      </c>
      <c r="C34" s="1" t="s">
        <v>75</v>
      </c>
      <c r="D34" s="1" t="s">
        <v>88</v>
      </c>
    </row>
    <row r="36" customFormat="false" ht="15" hidden="false" customHeight="true" outlineLevel="0" collapsed="false">
      <c r="A36" s="3" t="s">
        <v>52</v>
      </c>
    </row>
    <row r="37" customFormat="false" ht="15" hidden="false" customHeight="true" outlineLevel="0" collapsed="false">
      <c r="A37" s="1" t="s">
        <v>89</v>
      </c>
    </row>
    <row r="38" customFormat="false" ht="15" hidden="false" customHeight="true" outlineLevel="0" collapsed="false">
      <c r="A38" s="3" t="s">
        <v>52</v>
      </c>
    </row>
    <row r="39" customFormat="false" ht="15" hidden="false" customHeight="true" outlineLevel="0" collapsed="false">
      <c r="A39" s="4" t="s">
        <v>90</v>
      </c>
      <c r="B39" s="4" t="s">
        <v>91</v>
      </c>
      <c r="C39" s="4" t="s">
        <v>92</v>
      </c>
      <c r="D39" s="4" t="s">
        <v>57</v>
      </c>
    </row>
    <row r="40" customFormat="false" ht="15" hidden="false" customHeight="true" outlineLevel="0" collapsed="false">
      <c r="A40" s="1" t="s">
        <v>93</v>
      </c>
      <c r="B40" s="1" t="n">
        <v>0</v>
      </c>
      <c r="D40" s="1" t="s">
        <v>94</v>
      </c>
    </row>
    <row r="41" customFormat="false" ht="15" hidden="false" customHeight="true" outlineLevel="0" collapsed="false">
      <c r="A41" s="1" t="s">
        <v>95</v>
      </c>
      <c r="B41" s="5" t="n">
        <v>0.25</v>
      </c>
      <c r="C41" s="1" t="n">
        <f aca="false">B41</f>
        <v>0.25</v>
      </c>
      <c r="D41" s="1" t="s">
        <v>96</v>
      </c>
    </row>
    <row r="42" customFormat="false" ht="15" hidden="false" customHeight="true" outlineLevel="0" collapsed="false">
      <c r="A42" s="1" t="s">
        <v>97</v>
      </c>
      <c r="B42" s="1" t="n">
        <v>0</v>
      </c>
      <c r="D42" s="1" t="s">
        <v>94</v>
      </c>
    </row>
    <row r="43" customFormat="false" ht="15" hidden="false" customHeight="true" outlineLevel="0" collapsed="false">
      <c r="A43" s="1" t="s">
        <v>98</v>
      </c>
      <c r="B43" s="5" t="n">
        <v>0.25</v>
      </c>
      <c r="C43" s="1" t="n">
        <f aca="false">C41+B43</f>
        <v>0.5</v>
      </c>
      <c r="D43" s="1" t="s">
        <v>96</v>
      </c>
    </row>
    <row r="44" customFormat="false" ht="15" hidden="false" customHeight="true" outlineLevel="0" collapsed="false">
      <c r="A44" s="1" t="s">
        <v>99</v>
      </c>
      <c r="B44" s="1" t="n">
        <v>0</v>
      </c>
      <c r="D44" s="1" t="s">
        <v>94</v>
      </c>
    </row>
    <row r="45" customFormat="false" ht="15" hidden="false" customHeight="true" outlineLevel="0" collapsed="false">
      <c r="A45" s="1" t="s">
        <v>100</v>
      </c>
      <c r="B45" s="5" t="n">
        <v>0.25</v>
      </c>
      <c r="C45" s="1" t="n">
        <f aca="false">C43+B45</f>
        <v>0.75</v>
      </c>
      <c r="D45" s="1" t="s">
        <v>96</v>
      </c>
    </row>
    <row r="46" customFormat="false" ht="15" hidden="false" customHeight="true" outlineLevel="0" collapsed="false">
      <c r="A46" s="1" t="s">
        <v>101</v>
      </c>
      <c r="B46" s="1" t="n">
        <v>0</v>
      </c>
      <c r="D46" s="1" t="s">
        <v>94</v>
      </c>
    </row>
    <row r="47" customFormat="false" ht="15" hidden="false" customHeight="true" outlineLevel="0" collapsed="false">
      <c r="A47" s="1" t="s">
        <v>102</v>
      </c>
      <c r="B47" s="5" t="n">
        <v>0.25</v>
      </c>
      <c r="C47" s="1" t="n">
        <f aca="false">C45+B47</f>
        <v>1</v>
      </c>
      <c r="D47" s="1" t="s">
        <v>96</v>
      </c>
    </row>
    <row r="48" customFormat="false" ht="15" hidden="false" customHeight="true" outlineLevel="0" collapsed="false">
      <c r="A48" s="1" t="s">
        <v>103</v>
      </c>
      <c r="B48" s="1" t="n">
        <f aca="false">SUM(B40:B47)</f>
        <v>1</v>
      </c>
      <c r="C48" s="1" t="n">
        <f aca="false">SUM(B40:B47)</f>
        <v>1</v>
      </c>
      <c r="D48" s="1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8"/>
    <col collapsed="false" customWidth="true" hidden="false" outlineLevel="0" max="3" min="3" style="1" width="15"/>
    <col collapsed="false" customWidth="true" hidden="false" outlineLevel="0" max="5" min="4" style="1" width="18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105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106</v>
      </c>
    </row>
    <row r="4" customFormat="false" ht="15" hidden="false" customHeight="true" outlineLevel="0" collapsed="false">
      <c r="A4" s="1" t="s">
        <v>107</v>
      </c>
    </row>
    <row r="5" customFormat="false" ht="15" hidden="false" customHeight="true" outlineLevel="0" collapsed="false">
      <c r="A5" s="3" t="s">
        <v>106</v>
      </c>
    </row>
    <row r="6" customFormat="false" ht="15" hidden="false" customHeight="true" outlineLevel="0" collapsed="false">
      <c r="A6" s="4" t="s">
        <v>108</v>
      </c>
      <c r="B6" s="4" t="s">
        <v>109</v>
      </c>
      <c r="C6" s="4" t="s">
        <v>110</v>
      </c>
      <c r="D6" s="4" t="s">
        <v>111</v>
      </c>
      <c r="E6" s="4" t="s">
        <v>112</v>
      </c>
      <c r="F6" s="4" t="s">
        <v>113</v>
      </c>
      <c r="G6" s="4" t="s">
        <v>114</v>
      </c>
    </row>
    <row r="7" customFormat="false" ht="15" hidden="false" customHeight="true" outlineLevel="0" collapsed="false">
      <c r="A7" s="1" t="s">
        <v>115</v>
      </c>
      <c r="B7" s="5" t="n">
        <v>8900</v>
      </c>
      <c r="C7" s="5" t="n">
        <v>68</v>
      </c>
      <c r="D7" s="5" t="n">
        <v>0.09</v>
      </c>
      <c r="E7" s="1" t="n">
        <f aca="false">C7*(1-D7)</f>
        <v>61.88</v>
      </c>
      <c r="F7" s="5" t="s">
        <v>116</v>
      </c>
      <c r="G7" s="1" t="n">
        <f aca="false">IF(F7="A",0.13,IF(F7="B",0.075,IF(F7="C",0.025,0)))</f>
        <v>0.075</v>
      </c>
    </row>
    <row r="8" customFormat="false" ht="15" hidden="false" customHeight="true" outlineLevel="0" collapsed="false">
      <c r="A8" s="1" t="s">
        <v>117</v>
      </c>
      <c r="B8" s="5" t="n">
        <v>4028</v>
      </c>
      <c r="C8" s="5" t="n">
        <v>68</v>
      </c>
      <c r="D8" s="5" t="n">
        <v>0.09</v>
      </c>
      <c r="E8" s="1" t="n">
        <f aca="false">C8*(1-D8)</f>
        <v>61.88</v>
      </c>
      <c r="F8" s="5" t="s">
        <v>116</v>
      </c>
      <c r="G8" s="1" t="n">
        <f aca="false">IF(F8="A",0.13,IF(F8="B",0.075,IF(F8="C",0.025,0)))</f>
        <v>0.075</v>
      </c>
    </row>
    <row r="9" customFormat="false" ht="15" hidden="false" customHeight="true" outlineLevel="0" collapsed="false">
      <c r="A9" s="1" t="s">
        <v>118</v>
      </c>
      <c r="B9" s="5" t="n">
        <v>4100</v>
      </c>
      <c r="C9" s="5" t="n">
        <v>91</v>
      </c>
      <c r="D9" s="5" t="n">
        <v>0.09</v>
      </c>
      <c r="E9" s="1" t="n">
        <f aca="false">C9*(1-D9)</f>
        <v>82.81</v>
      </c>
      <c r="F9" s="5" t="s">
        <v>119</v>
      </c>
      <c r="G9" s="1" t="n">
        <f aca="false">IF(F9="A",0.13,IF(F9="B",0.075,IF(F9="C",0.025,0)))</f>
        <v>0.025</v>
      </c>
    </row>
    <row r="10" customFormat="false" ht="15" hidden="false" customHeight="true" outlineLevel="0" collapsed="false">
      <c r="A10" s="1" t="s">
        <v>120</v>
      </c>
      <c r="B10" s="5" t="n">
        <v>0</v>
      </c>
      <c r="C10" s="5" t="n">
        <v>89</v>
      </c>
      <c r="D10" s="5" t="n">
        <v>0.09</v>
      </c>
      <c r="E10" s="1" t="n">
        <f aca="false">C10*(1-D10)</f>
        <v>80.99</v>
      </c>
      <c r="F10" s="5" t="s">
        <v>119</v>
      </c>
      <c r="G10" s="1" t="n">
        <f aca="false">IF(F10="A",0.13,IF(F10="B",0.075,IF(F10="C",0.025,0)))</f>
        <v>0.025</v>
      </c>
    </row>
    <row r="11" customFormat="false" ht="15" hidden="false" customHeight="true" outlineLevel="0" collapsed="false">
      <c r="A11" s="1" t="s">
        <v>121</v>
      </c>
      <c r="B11" s="5" t="n">
        <v>0</v>
      </c>
      <c r="C11" s="5" t="n">
        <v>89</v>
      </c>
      <c r="D11" s="5" t="n">
        <v>0.09</v>
      </c>
      <c r="E11" s="1" t="n">
        <f aca="false">C11*(1-D11)</f>
        <v>80.99</v>
      </c>
      <c r="F11" s="5" t="s">
        <v>119</v>
      </c>
      <c r="G11" s="1" t="n">
        <f aca="false">IF(F11="A",0.13,IF(F11="B",0.075,IF(F11="C",0.025,0)))</f>
        <v>0.025</v>
      </c>
    </row>
    <row r="12" customFormat="false" ht="15" hidden="false" customHeight="true" outlineLevel="0" collapsed="false">
      <c r="A12" s="1" t="s">
        <v>103</v>
      </c>
      <c r="B12" s="1" t="n">
        <f aca="false">SUM(B7:B11)</f>
        <v>17028</v>
      </c>
    </row>
    <row r="14" customFormat="false" ht="15" hidden="false" customHeight="true" outlineLevel="0" collapsed="false">
      <c r="A14" s="3" t="s">
        <v>106</v>
      </c>
    </row>
    <row r="15" customFormat="false" ht="15" hidden="false" customHeight="true" outlineLevel="0" collapsed="false">
      <c r="A15" s="1" t="s">
        <v>122</v>
      </c>
    </row>
    <row r="16" customFormat="false" ht="15" hidden="false" customHeight="true" outlineLevel="0" collapsed="false">
      <c r="A16" s="3" t="s">
        <v>106</v>
      </c>
    </row>
    <row r="17" customFormat="false" ht="15" hidden="false" customHeight="true" outlineLevel="0" collapsed="false">
      <c r="A17" s="4" t="s">
        <v>123</v>
      </c>
      <c r="B17" s="4" t="s">
        <v>124</v>
      </c>
      <c r="C17" s="4" t="s">
        <v>125</v>
      </c>
      <c r="D17" s="4" t="s">
        <v>126</v>
      </c>
      <c r="E17" s="4"/>
      <c r="F17" s="4"/>
      <c r="G17" s="4"/>
    </row>
    <row r="18" customFormat="false" ht="15" hidden="false" customHeight="true" outlineLevel="0" collapsed="false">
      <c r="A18" s="1" t="s">
        <v>127</v>
      </c>
      <c r="B18" s="1" t="n">
        <v>0.13</v>
      </c>
      <c r="C18" s="1" t="n">
        <v>0</v>
      </c>
      <c r="D18" s="1" t="s">
        <v>128</v>
      </c>
    </row>
    <row r="19" customFormat="false" ht="15" hidden="false" customHeight="true" outlineLevel="0" collapsed="false">
      <c r="A19" s="1" t="s">
        <v>116</v>
      </c>
      <c r="B19" s="1" t="n">
        <v>0.075</v>
      </c>
      <c r="C19" s="1" t="n">
        <v>2</v>
      </c>
      <c r="D19" s="1" t="s">
        <v>129</v>
      </c>
    </row>
    <row r="20" customFormat="false" ht="15" hidden="false" customHeight="true" outlineLevel="0" collapsed="false">
      <c r="A20" s="1" t="s">
        <v>119</v>
      </c>
      <c r="B20" s="1" t="n">
        <v>0.025</v>
      </c>
      <c r="C20" s="1" t="n">
        <v>4</v>
      </c>
      <c r="D20" s="1" t="s">
        <v>130</v>
      </c>
    </row>
    <row r="21" customFormat="false" ht="15" hidden="false" customHeight="true" outlineLevel="0" collapsed="false">
      <c r="A21" s="1" t="s">
        <v>131</v>
      </c>
      <c r="B21" s="1" t="n">
        <v>0</v>
      </c>
      <c r="C21" s="1" t="n">
        <v>8</v>
      </c>
      <c r="D21" s="1" t="s">
        <v>132</v>
      </c>
    </row>
    <row r="23" customFormat="false" ht="15" hidden="false" customHeight="true" outlineLevel="0" collapsed="false">
      <c r="A23" s="3" t="s">
        <v>106</v>
      </c>
    </row>
    <row r="24" customFormat="false" ht="15" hidden="false" customHeight="true" outlineLevel="0" collapsed="false">
      <c r="A24" s="1" t="s">
        <v>133</v>
      </c>
    </row>
    <row r="25" customFormat="false" ht="15" hidden="false" customHeight="true" outlineLevel="0" collapsed="false">
      <c r="A25" s="3" t="s">
        <v>106</v>
      </c>
    </row>
    <row r="26" customFormat="false" ht="15" hidden="false" customHeight="true" outlineLevel="0" collapsed="false">
      <c r="A26" s="4" t="s">
        <v>108</v>
      </c>
      <c r="B26" s="4" t="s">
        <v>134</v>
      </c>
      <c r="C26" s="4" t="s">
        <v>135</v>
      </c>
      <c r="D26" s="4" t="s">
        <v>136</v>
      </c>
      <c r="E26" s="4" t="s">
        <v>137</v>
      </c>
      <c r="F26" s="4" t="s">
        <v>138</v>
      </c>
      <c r="G26" s="4" t="s">
        <v>139</v>
      </c>
    </row>
    <row r="27" customFormat="false" ht="15" hidden="false" customHeight="true" outlineLevel="0" collapsed="false">
      <c r="A27" s="1" t="s">
        <v>115</v>
      </c>
      <c r="B27" s="1" t="n">
        <f aca="false">B7*E7</f>
        <v>550732</v>
      </c>
      <c r="C27" s="1" t="n">
        <f aca="false">B27*G7</f>
        <v>41304.9</v>
      </c>
      <c r="D27" s="1" t="n">
        <f aca="false">B27-C27</f>
        <v>509427.1</v>
      </c>
    </row>
    <row r="28" customFormat="false" ht="15" hidden="false" customHeight="true" outlineLevel="0" collapsed="false">
      <c r="A28" s="1" t="s">
        <v>117</v>
      </c>
      <c r="B28" s="1" t="n">
        <f aca="false">B8*E8</f>
        <v>249252.64</v>
      </c>
      <c r="C28" s="1" t="n">
        <f aca="false">B28*G8</f>
        <v>18693.948</v>
      </c>
      <c r="D28" s="1" t="n">
        <f aca="false">B28-C28</f>
        <v>230558.692</v>
      </c>
    </row>
    <row r="29" customFormat="false" ht="15" hidden="false" customHeight="true" outlineLevel="0" collapsed="false">
      <c r="A29" s="1" t="s">
        <v>118</v>
      </c>
      <c r="B29" s="1" t="n">
        <f aca="false">B9*E9</f>
        <v>339521</v>
      </c>
      <c r="C29" s="1" t="n">
        <f aca="false">B29*G9</f>
        <v>8488.025</v>
      </c>
      <c r="D29" s="1" t="n">
        <f aca="false">B29-C29</f>
        <v>331032.975</v>
      </c>
    </row>
    <row r="30" customFormat="false" ht="15" hidden="false" customHeight="true" outlineLevel="0" collapsed="false">
      <c r="A30" s="1" t="s">
        <v>120</v>
      </c>
      <c r="B30" s="1" t="n">
        <f aca="false">B10*E10</f>
        <v>0</v>
      </c>
      <c r="C30" s="1" t="n">
        <f aca="false">B30*G10</f>
        <v>0</v>
      </c>
      <c r="D30" s="1" t="n">
        <f aca="false">B30-C30</f>
        <v>0</v>
      </c>
    </row>
    <row r="31" customFormat="false" ht="15" hidden="false" customHeight="true" outlineLevel="0" collapsed="false">
      <c r="A31" s="1" t="s">
        <v>121</v>
      </c>
      <c r="B31" s="1" t="n">
        <f aca="false">B11*E11</f>
        <v>0</v>
      </c>
      <c r="C31" s="1" t="n">
        <f aca="false">B31*G11</f>
        <v>0</v>
      </c>
      <c r="D31" s="1" t="n">
        <f aca="false">B31-C31</f>
        <v>0</v>
      </c>
    </row>
    <row r="32" customFormat="false" ht="15" hidden="false" customHeight="true" outlineLevel="0" collapsed="false">
      <c r="A32" s="1" t="s">
        <v>103</v>
      </c>
      <c r="B32" s="1" t="n">
        <f aca="false">SUM(B27:B31)</f>
        <v>1139505.64</v>
      </c>
      <c r="C32" s="1" t="n">
        <f aca="false">SUM(C27:C31)</f>
        <v>68486.873</v>
      </c>
      <c r="D32" s="1" t="n">
        <f aca="false">SUM(D27:D31)</f>
        <v>1071018.767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8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140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106</v>
      </c>
    </row>
    <row r="4" customFormat="false" ht="15" hidden="false" customHeight="true" outlineLevel="0" collapsed="false">
      <c r="A4" s="1" t="s">
        <v>141</v>
      </c>
    </row>
    <row r="5" customFormat="false" ht="15" hidden="false" customHeight="true" outlineLevel="0" collapsed="false">
      <c r="A5" s="3" t="s">
        <v>106</v>
      </c>
    </row>
    <row r="6" customFormat="false" ht="15" hidden="false" customHeight="true" outlineLevel="0" collapsed="false">
      <c r="A6" s="4"/>
      <c r="B6" s="4" t="s">
        <v>142</v>
      </c>
      <c r="C6" s="4" t="s">
        <v>143</v>
      </c>
      <c r="D6" s="4" t="s">
        <v>144</v>
      </c>
      <c r="E6" s="4"/>
      <c r="F6" s="4"/>
      <c r="G6" s="4"/>
    </row>
    <row r="7" customFormat="false" ht="15" hidden="false" customHeight="true" outlineLevel="0" collapsed="false">
      <c r="A7" s="1" t="s">
        <v>145</v>
      </c>
      <c r="B7" s="1" t="s">
        <v>146</v>
      </c>
      <c r="C7" s="1" t="s">
        <v>147</v>
      </c>
      <c r="D7" s="1" t="s">
        <v>148</v>
      </c>
    </row>
    <row r="8" customFormat="false" ht="15" hidden="false" customHeight="true" outlineLevel="0" collapsed="false">
      <c r="A8" s="1" t="s">
        <v>149</v>
      </c>
      <c r="B8" s="1" t="s">
        <v>150</v>
      </c>
      <c r="C8" s="1" t="s">
        <v>151</v>
      </c>
      <c r="D8" s="1" t="s">
        <v>150</v>
      </c>
    </row>
    <row r="9" customFormat="false" ht="15" hidden="false" customHeight="true" outlineLevel="0" collapsed="false">
      <c r="A9" s="1" t="s">
        <v>152</v>
      </c>
      <c r="B9" s="1" t="s">
        <v>150</v>
      </c>
      <c r="C9" s="1" t="s">
        <v>153</v>
      </c>
      <c r="D9" s="1" t="s">
        <v>150</v>
      </c>
    </row>
    <row r="10" customFormat="false" ht="15" hidden="false" customHeight="true" outlineLevel="0" collapsed="false">
      <c r="A10" s="1" t="s">
        <v>154</v>
      </c>
      <c r="B10" s="1" t="s">
        <v>150</v>
      </c>
      <c r="C10" s="1" t="s">
        <v>155</v>
      </c>
      <c r="D10" s="1" t="s">
        <v>150</v>
      </c>
    </row>
    <row r="12" customFormat="false" ht="15" hidden="false" customHeight="true" outlineLevel="0" collapsed="false">
      <c r="A12" s="3" t="s">
        <v>106</v>
      </c>
    </row>
    <row r="13" customFormat="false" ht="15" hidden="false" customHeight="true" outlineLevel="0" collapsed="false">
      <c r="A13" s="1" t="s">
        <v>156</v>
      </c>
    </row>
    <row r="14" customFormat="false" ht="15" hidden="false" customHeight="true" outlineLevel="0" collapsed="false">
      <c r="A14" s="3" t="s">
        <v>106</v>
      </c>
    </row>
    <row r="15" customFormat="false" ht="15" hidden="false" customHeight="true" outlineLevel="0" collapsed="false">
      <c r="A15" s="4" t="s">
        <v>157</v>
      </c>
      <c r="B15" s="4" t="s">
        <v>158</v>
      </c>
      <c r="C15" s="4" t="s">
        <v>142</v>
      </c>
      <c r="D15" s="4" t="s">
        <v>143</v>
      </c>
      <c r="E15" s="4" t="s">
        <v>144</v>
      </c>
      <c r="F15" s="4" t="s">
        <v>159</v>
      </c>
      <c r="G15" s="4" t="s">
        <v>160</v>
      </c>
    </row>
    <row r="16" customFormat="false" ht="15" hidden="false" customHeight="true" outlineLevel="0" collapsed="false">
      <c r="A16" s="1" t="s">
        <v>161</v>
      </c>
      <c r="B16" s="1" t="n">
        <v>30</v>
      </c>
      <c r="C16" s="1" t="n">
        <v>125</v>
      </c>
      <c r="D16" s="1" t="n">
        <v>100</v>
      </c>
      <c r="E16" s="1" t="n">
        <v>140</v>
      </c>
      <c r="F16" s="1" t="n">
        <v>2300</v>
      </c>
      <c r="G16" s="1" t="n">
        <v>0.3</v>
      </c>
    </row>
    <row r="17" customFormat="false" ht="15" hidden="false" customHeight="true" outlineLevel="0" collapsed="false">
      <c r="A17" s="1" t="s">
        <v>162</v>
      </c>
      <c r="B17" s="1" t="n">
        <v>12</v>
      </c>
      <c r="C17" s="1" t="n">
        <v>330</v>
      </c>
      <c r="D17" s="1" t="n">
        <v>264</v>
      </c>
      <c r="E17" s="1" t="n">
        <v>370</v>
      </c>
      <c r="F17" s="1" t="n">
        <v>6000</v>
      </c>
      <c r="G17" s="1" t="n">
        <v>4.5</v>
      </c>
    </row>
    <row r="19" customFormat="false" ht="15" hidden="false" customHeight="true" outlineLevel="0" collapsed="false">
      <c r="A19" s="3" t="s">
        <v>106</v>
      </c>
    </row>
    <row r="20" customFormat="false" ht="15" hidden="false" customHeight="true" outlineLevel="0" collapsed="false">
      <c r="A20" s="1" t="s">
        <v>163</v>
      </c>
    </row>
    <row r="21" customFormat="false" ht="15" hidden="false" customHeight="true" outlineLevel="0" collapsed="false">
      <c r="A21" s="3" t="s">
        <v>106</v>
      </c>
    </row>
    <row r="22" customFormat="false" ht="15" hidden="false" customHeight="true" outlineLevel="0" collapsed="false">
      <c r="A22" s="4" t="s">
        <v>54</v>
      </c>
      <c r="B22" s="4" t="s">
        <v>55</v>
      </c>
      <c r="C22" s="4" t="s">
        <v>56</v>
      </c>
      <c r="D22" s="4" t="s">
        <v>57</v>
      </c>
      <c r="E22" s="4"/>
      <c r="F22" s="4"/>
      <c r="G22" s="4"/>
    </row>
    <row r="23" customFormat="false" ht="15" hidden="false" customHeight="true" outlineLevel="0" collapsed="false">
      <c r="A23" s="1" t="s">
        <v>164</v>
      </c>
      <c r="B23" s="5" t="s">
        <v>127</v>
      </c>
      <c r="C23" s="1" t="s">
        <v>165</v>
      </c>
      <c r="D23" s="1" t="s">
        <v>166</v>
      </c>
    </row>
    <row r="24" customFormat="false" ht="15" hidden="false" customHeight="true" outlineLevel="0" collapsed="false">
      <c r="A24" s="1" t="s">
        <v>167</v>
      </c>
      <c r="B24" s="5" t="n">
        <v>450</v>
      </c>
      <c r="C24" s="1" t="s">
        <v>168</v>
      </c>
      <c r="D24" s="1" t="s">
        <v>169</v>
      </c>
    </row>
    <row r="25" customFormat="false" ht="15" hidden="false" customHeight="true" outlineLevel="0" collapsed="false">
      <c r="A25" s="1" t="s">
        <v>170</v>
      </c>
      <c r="B25" s="1" t="n">
        <f aca="false">B24*30</f>
        <v>13500</v>
      </c>
      <c r="C25" s="1" t="s">
        <v>171</v>
      </c>
      <c r="D25" s="1" t="n">
        <f aca="false">B24*30</f>
        <v>13500</v>
      </c>
    </row>
    <row r="26" customFormat="false" ht="15" hidden="false" customHeight="true" outlineLevel="0" collapsed="false">
      <c r="A26" s="1" t="s">
        <v>172</v>
      </c>
      <c r="B26" s="1" t="n">
        <f aca="false">IF(B23="A",C16,IF(B23="B",D16,E16))</f>
        <v>125</v>
      </c>
      <c r="C26" s="1" t="s">
        <v>75</v>
      </c>
      <c r="D26" s="1" t="s">
        <v>173</v>
      </c>
    </row>
    <row r="27" customFormat="false" ht="15" hidden="false" customHeight="true" outlineLevel="0" collapsed="false">
      <c r="A27" s="1" t="s">
        <v>174</v>
      </c>
      <c r="B27" s="1" t="n">
        <f aca="false">B24*B26</f>
        <v>56250</v>
      </c>
      <c r="C27" s="1" t="s">
        <v>75</v>
      </c>
      <c r="D27" s="1" t="n">
        <f aca="false">B24*B26</f>
        <v>56250</v>
      </c>
    </row>
    <row r="28" customFormat="false" ht="15" hidden="false" customHeight="true" outlineLevel="0" collapsed="false">
      <c r="A28" s="1" t="s">
        <v>175</v>
      </c>
      <c r="B28" s="5" t="n">
        <v>4</v>
      </c>
      <c r="C28" s="1" t="s">
        <v>176</v>
      </c>
      <c r="D28" s="1" t="s">
        <v>177</v>
      </c>
    </row>
    <row r="29" customFormat="false" ht="15" hidden="false" customHeight="true" outlineLevel="0" collapsed="false">
      <c r="A29" s="1" t="s">
        <v>178</v>
      </c>
      <c r="B29" s="1" t="n">
        <f aca="false">B28*2300</f>
        <v>9200</v>
      </c>
      <c r="C29" s="1" t="s">
        <v>75</v>
      </c>
      <c r="D29" s="1" t="n">
        <f aca="false">B28*2300</f>
        <v>9200</v>
      </c>
    </row>
    <row r="31" customFormat="false" ht="15" hidden="false" customHeight="true" outlineLevel="0" collapsed="false">
      <c r="A31" s="3" t="s">
        <v>106</v>
      </c>
    </row>
    <row r="32" customFormat="false" ht="15" hidden="false" customHeight="true" outlineLevel="0" collapsed="false">
      <c r="A32" s="1" t="s">
        <v>179</v>
      </c>
    </row>
    <row r="33" customFormat="false" ht="15" hidden="false" customHeight="true" outlineLevel="0" collapsed="false">
      <c r="A33" s="3" t="s">
        <v>106</v>
      </c>
    </row>
    <row r="34" customFormat="false" ht="15" hidden="false" customHeight="true" outlineLevel="0" collapsed="false">
      <c r="A34" s="4" t="s">
        <v>54</v>
      </c>
      <c r="B34" s="4" t="s">
        <v>55</v>
      </c>
      <c r="C34" s="4" t="s">
        <v>56</v>
      </c>
      <c r="D34" s="4" t="s">
        <v>57</v>
      </c>
      <c r="E34" s="4"/>
      <c r="F34" s="4"/>
      <c r="G34" s="4"/>
    </row>
    <row r="35" customFormat="false" ht="15" hidden="false" customHeight="true" outlineLevel="0" collapsed="false">
      <c r="A35" s="1" t="s">
        <v>164</v>
      </c>
      <c r="B35" s="5" t="s">
        <v>127</v>
      </c>
      <c r="C35" s="1" t="s">
        <v>165</v>
      </c>
      <c r="D35" s="1" t="s">
        <v>166</v>
      </c>
    </row>
    <row r="36" customFormat="false" ht="15" hidden="false" customHeight="true" outlineLevel="0" collapsed="false">
      <c r="A36" s="1" t="s">
        <v>167</v>
      </c>
      <c r="B36" s="5" t="n">
        <v>160</v>
      </c>
      <c r="C36" s="1" t="s">
        <v>168</v>
      </c>
      <c r="D36" s="1" t="s">
        <v>169</v>
      </c>
    </row>
    <row r="37" customFormat="false" ht="15" hidden="false" customHeight="true" outlineLevel="0" collapsed="false">
      <c r="A37" s="1" t="s">
        <v>170</v>
      </c>
      <c r="B37" s="1" t="n">
        <f aca="false">B36*12</f>
        <v>1920</v>
      </c>
      <c r="C37" s="1" t="s">
        <v>171</v>
      </c>
      <c r="D37" s="1" t="n">
        <f aca="false">B36*12</f>
        <v>1920</v>
      </c>
    </row>
    <row r="38" customFormat="false" ht="15" hidden="false" customHeight="true" outlineLevel="0" collapsed="false">
      <c r="A38" s="1" t="s">
        <v>172</v>
      </c>
      <c r="B38" s="1" t="n">
        <f aca="false">IF(B35="A",C17,IF(B35="B",D17,E17))</f>
        <v>330</v>
      </c>
      <c r="C38" s="1" t="s">
        <v>75</v>
      </c>
      <c r="D38" s="1" t="s">
        <v>173</v>
      </c>
    </row>
    <row r="39" customFormat="false" ht="15" hidden="false" customHeight="true" outlineLevel="0" collapsed="false">
      <c r="A39" s="1" t="s">
        <v>180</v>
      </c>
      <c r="B39" s="1" t="n">
        <f aca="false">B36*B38</f>
        <v>52800</v>
      </c>
      <c r="C39" s="1" t="s">
        <v>75</v>
      </c>
      <c r="D39" s="1" t="n">
        <f aca="false">B36*B38</f>
        <v>52800</v>
      </c>
    </row>
    <row r="40" customFormat="false" ht="15" hidden="false" customHeight="true" outlineLevel="0" collapsed="false">
      <c r="A40" s="1" t="s">
        <v>175</v>
      </c>
      <c r="B40" s="5" t="n">
        <v>3</v>
      </c>
      <c r="C40" s="1" t="s">
        <v>176</v>
      </c>
      <c r="D40" s="1" t="s">
        <v>177</v>
      </c>
    </row>
    <row r="41" customFormat="false" ht="15" hidden="false" customHeight="true" outlineLevel="0" collapsed="false">
      <c r="A41" s="1" t="s">
        <v>181</v>
      </c>
      <c r="B41" s="1" t="n">
        <f aca="false">B40*6000</f>
        <v>18000</v>
      </c>
      <c r="C41" s="1" t="s">
        <v>75</v>
      </c>
      <c r="D41" s="1" t="n">
        <f aca="false">B40*6000</f>
        <v>18000</v>
      </c>
    </row>
    <row r="43" customFormat="false" ht="15" hidden="false" customHeight="true" outlineLevel="0" collapsed="false">
      <c r="A43" s="3" t="s">
        <v>106</v>
      </c>
    </row>
    <row r="44" customFormat="false" ht="15" hidden="false" customHeight="true" outlineLevel="0" collapsed="false">
      <c r="A44" s="1" t="s">
        <v>182</v>
      </c>
    </row>
    <row r="45" customFormat="false" ht="15" hidden="false" customHeight="true" outlineLevel="0" collapsed="false">
      <c r="A45" s="3" t="s">
        <v>106</v>
      </c>
    </row>
    <row r="46" customFormat="false" ht="15" hidden="false" customHeight="true" outlineLevel="0" collapsed="false">
      <c r="A46" s="4" t="s">
        <v>183</v>
      </c>
      <c r="B46" s="4" t="s">
        <v>184</v>
      </c>
      <c r="C46" s="4"/>
      <c r="D46" s="4"/>
      <c r="E46" s="4"/>
      <c r="F46" s="4"/>
      <c r="G46" s="4"/>
    </row>
    <row r="47" customFormat="false" ht="15" hidden="false" customHeight="true" outlineLevel="0" collapsed="false">
      <c r="A47" s="1" t="s">
        <v>185</v>
      </c>
      <c r="B47" s="1" t="n">
        <f aca="false">B27</f>
        <v>56250</v>
      </c>
    </row>
    <row r="48" customFormat="false" ht="15" hidden="false" customHeight="true" outlineLevel="0" collapsed="false">
      <c r="A48" s="1" t="s">
        <v>186</v>
      </c>
      <c r="B48" s="1" t="n">
        <f aca="false">B39</f>
        <v>52800</v>
      </c>
    </row>
    <row r="49" customFormat="false" ht="15" hidden="false" customHeight="true" outlineLevel="0" collapsed="false">
      <c r="A49" s="1" t="s">
        <v>187</v>
      </c>
      <c r="B49" s="1" t="n">
        <f aca="false">B29+B41</f>
        <v>27200</v>
      </c>
    </row>
    <row r="50" customFormat="false" ht="15" hidden="false" customHeight="true" outlineLevel="0" collapsed="false">
      <c r="A50" s="1" t="s">
        <v>188</v>
      </c>
      <c r="B50" s="1" t="n">
        <f aca="false">B47+B48+B49</f>
        <v>136250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8"/>
    <col collapsed="false" customWidth="true" hidden="false" outlineLevel="0" max="3" min="3" style="1" width="25"/>
    <col collapsed="false" customWidth="true" hidden="false" outlineLevel="0" max="4" min="4" style="1" width="15"/>
  </cols>
  <sheetData>
    <row r="1" customFormat="false" ht="17.25" hidden="false" customHeight="true" outlineLevel="0" collapsed="false">
      <c r="A1" s="2" t="s">
        <v>189</v>
      </c>
      <c r="B1" s="2"/>
      <c r="C1" s="2"/>
      <c r="D1" s="2"/>
    </row>
    <row r="3" customFormat="false" ht="15" hidden="false" customHeight="true" outlineLevel="0" collapsed="false">
      <c r="A3" s="1" t="s">
        <v>190</v>
      </c>
    </row>
    <row r="5" customFormat="false" ht="15" hidden="false" customHeight="true" outlineLevel="0" collapsed="false">
      <c r="A5" s="3" t="s">
        <v>52</v>
      </c>
    </row>
    <row r="6" customFormat="false" ht="15" hidden="false" customHeight="true" outlineLevel="0" collapsed="false">
      <c r="A6" s="1" t="s">
        <v>191</v>
      </c>
    </row>
    <row r="7" customFormat="false" ht="15" hidden="false" customHeight="true" outlineLevel="0" collapsed="false">
      <c r="A7" s="3" t="s">
        <v>52</v>
      </c>
    </row>
    <row r="8" customFormat="false" ht="15" hidden="false" customHeight="true" outlineLevel="0" collapsed="false">
      <c r="A8" s="4" t="s">
        <v>183</v>
      </c>
      <c r="B8" s="4" t="s">
        <v>184</v>
      </c>
      <c r="C8" s="4" t="s">
        <v>57</v>
      </c>
      <c r="D8" s="4"/>
    </row>
    <row r="9" customFormat="false" ht="15" hidden="false" customHeight="true" outlineLevel="0" collapsed="false">
      <c r="A9" s="1" t="s">
        <v>192</v>
      </c>
      <c r="B9" s="5" t="n">
        <v>219616</v>
      </c>
      <c r="C9" s="1" t="s">
        <v>193</v>
      </c>
    </row>
    <row r="11" customFormat="false" ht="15" hidden="false" customHeight="true" outlineLevel="0" collapsed="false">
      <c r="A11" s="3" t="s">
        <v>52</v>
      </c>
    </row>
    <row r="12" customFormat="false" ht="15" hidden="false" customHeight="true" outlineLevel="0" collapsed="false">
      <c r="A12" s="1" t="s">
        <v>194</v>
      </c>
    </row>
    <row r="13" customFormat="false" ht="15" hidden="false" customHeight="true" outlineLevel="0" collapsed="false">
      <c r="A13" s="3" t="s">
        <v>52</v>
      </c>
    </row>
    <row r="14" customFormat="false" ht="15" hidden="false" customHeight="true" outlineLevel="0" collapsed="false">
      <c r="A14" s="4" t="s">
        <v>183</v>
      </c>
      <c r="B14" s="4" t="s">
        <v>184</v>
      </c>
      <c r="C14" s="4" t="s">
        <v>57</v>
      </c>
      <c r="D14" s="4"/>
    </row>
    <row r="15" customFormat="false" ht="15" hidden="false" customHeight="true" outlineLevel="0" collapsed="false">
      <c r="A15" s="1" t="s">
        <v>195</v>
      </c>
      <c r="B15" s="5" t="n">
        <v>0</v>
      </c>
      <c r="C15" s="1" t="s">
        <v>196</v>
      </c>
    </row>
    <row r="16" customFormat="false" ht="15" hidden="false" customHeight="true" outlineLevel="0" collapsed="false">
      <c r="A16" s="1" t="s">
        <v>197</v>
      </c>
      <c r="B16" s="5" t="n">
        <v>0</v>
      </c>
      <c r="C16" s="1" t="s">
        <v>198</v>
      </c>
    </row>
    <row r="17" customFormat="false" ht="15" hidden="false" customHeight="true" outlineLevel="0" collapsed="false">
      <c r="A17" s="1" t="s">
        <v>199</v>
      </c>
      <c r="B17" s="5" t="n">
        <v>0</v>
      </c>
      <c r="C17" s="1" t="s">
        <v>200</v>
      </c>
    </row>
    <row r="18" customFormat="false" ht="15" hidden="false" customHeight="true" outlineLevel="0" collapsed="false">
      <c r="A18" s="1" t="s">
        <v>201</v>
      </c>
      <c r="B18" s="5" t="n">
        <v>0</v>
      </c>
      <c r="C18" s="1" t="s">
        <v>202</v>
      </c>
    </row>
    <row r="19" customFormat="false" ht="15" hidden="false" customHeight="true" outlineLevel="0" collapsed="false">
      <c r="A19" s="1" t="s">
        <v>203</v>
      </c>
      <c r="B19" s="5" t="n">
        <v>0</v>
      </c>
      <c r="C19" s="1" t="s">
        <v>204</v>
      </c>
    </row>
    <row r="20" customFormat="false" ht="15" hidden="false" customHeight="true" outlineLevel="0" collapsed="false">
      <c r="A20" s="1" t="s">
        <v>205</v>
      </c>
      <c r="B20" s="5" t="n">
        <v>0</v>
      </c>
      <c r="C20" s="1" t="s">
        <v>206</v>
      </c>
    </row>
    <row r="21" customFormat="false" ht="15" hidden="false" customHeight="true" outlineLevel="0" collapsed="false">
      <c r="A21" s="1" t="s">
        <v>207</v>
      </c>
      <c r="B21" s="1" t="n">
        <f aca="false">SUM(B15:B20)</f>
        <v>0</v>
      </c>
      <c r="C21" s="1" t="n">
        <f aca="false">SUM(B15:B20)</f>
        <v>0</v>
      </c>
    </row>
    <row r="23" customFormat="false" ht="15" hidden="false" customHeight="true" outlineLevel="0" collapsed="false">
      <c r="A23" s="3" t="s">
        <v>52</v>
      </c>
    </row>
    <row r="24" customFormat="false" ht="15" hidden="false" customHeight="true" outlineLevel="0" collapsed="false">
      <c r="A24" s="1" t="s">
        <v>208</v>
      </c>
    </row>
    <row r="25" customFormat="false" ht="15" hidden="false" customHeight="true" outlineLevel="0" collapsed="false">
      <c r="A25" s="3" t="s">
        <v>52</v>
      </c>
    </row>
    <row r="26" customFormat="false" ht="15" hidden="false" customHeight="true" outlineLevel="0" collapsed="false">
      <c r="A26" s="4" t="s">
        <v>183</v>
      </c>
      <c r="B26" s="4" t="s">
        <v>184</v>
      </c>
      <c r="C26" s="4" t="s">
        <v>57</v>
      </c>
      <c r="D26" s="4"/>
    </row>
    <row r="27" customFormat="false" ht="15" hidden="false" customHeight="true" outlineLevel="0" collapsed="false">
      <c r="A27" s="1" t="s">
        <v>209</v>
      </c>
      <c r="B27" s="5" t="n">
        <v>0</v>
      </c>
      <c r="C27" s="1" t="s">
        <v>210</v>
      </c>
    </row>
    <row r="28" customFormat="false" ht="15" hidden="false" customHeight="true" outlineLevel="0" collapsed="false">
      <c r="A28" s="1" t="s">
        <v>211</v>
      </c>
      <c r="B28" s="5" t="n">
        <v>0</v>
      </c>
      <c r="C28" s="1" t="s">
        <v>212</v>
      </c>
    </row>
    <row r="29" customFormat="false" ht="15" hidden="false" customHeight="true" outlineLevel="0" collapsed="false">
      <c r="A29" s="1" t="s">
        <v>213</v>
      </c>
      <c r="B29" s="5" t="n">
        <v>0</v>
      </c>
      <c r="C29" s="1" t="s">
        <v>214</v>
      </c>
    </row>
    <row r="30" customFormat="false" ht="15" hidden="false" customHeight="true" outlineLevel="0" collapsed="false">
      <c r="A30" s="1" t="s">
        <v>215</v>
      </c>
      <c r="B30" s="5" t="n">
        <v>0</v>
      </c>
      <c r="C30" s="1" t="s">
        <v>216</v>
      </c>
    </row>
    <row r="31" customFormat="false" ht="15" hidden="false" customHeight="true" outlineLevel="0" collapsed="false">
      <c r="A31" s="1" t="s">
        <v>217</v>
      </c>
      <c r="B31" s="5" t="n">
        <v>30000</v>
      </c>
      <c r="C31" s="1" t="s">
        <v>218</v>
      </c>
    </row>
    <row r="32" customFormat="false" ht="15" hidden="false" customHeight="true" outlineLevel="0" collapsed="false">
      <c r="A32" s="1" t="s">
        <v>219</v>
      </c>
      <c r="B32" s="5" t="n">
        <v>0</v>
      </c>
      <c r="C32" s="1" t="s">
        <v>220</v>
      </c>
    </row>
    <row r="33" customFormat="false" ht="15" hidden="false" customHeight="true" outlineLevel="0" collapsed="false">
      <c r="A33" s="1" t="s">
        <v>221</v>
      </c>
      <c r="B33" s="5" t="n">
        <v>52346</v>
      </c>
      <c r="C33" s="1" t="s">
        <v>222</v>
      </c>
    </row>
    <row r="34" customFormat="false" ht="15" hidden="false" customHeight="true" outlineLevel="0" collapsed="false">
      <c r="A34" s="1" t="s">
        <v>223</v>
      </c>
      <c r="B34" s="5" t="n">
        <v>0</v>
      </c>
      <c r="C34" s="1" t="s">
        <v>224</v>
      </c>
    </row>
    <row r="35" customFormat="false" ht="15" hidden="false" customHeight="true" outlineLevel="0" collapsed="false">
      <c r="A35" s="1" t="s">
        <v>225</v>
      </c>
      <c r="B35" s="5" t="n">
        <v>0</v>
      </c>
      <c r="C35" s="1" t="s">
        <v>226</v>
      </c>
    </row>
    <row r="36" customFormat="false" ht="15" hidden="false" customHeight="true" outlineLevel="0" collapsed="false">
      <c r="A36" s="1" t="s">
        <v>227</v>
      </c>
      <c r="B36" s="5" t="n">
        <v>0</v>
      </c>
      <c r="C36" s="1" t="s">
        <v>228</v>
      </c>
    </row>
    <row r="37" customFormat="false" ht="15" hidden="false" customHeight="true" outlineLevel="0" collapsed="false">
      <c r="A37" s="1" t="s">
        <v>229</v>
      </c>
      <c r="B37" s="5" t="n">
        <v>0</v>
      </c>
      <c r="C37" s="1" t="s">
        <v>230</v>
      </c>
    </row>
    <row r="38" customFormat="false" ht="15" hidden="false" customHeight="true" outlineLevel="0" collapsed="false">
      <c r="A38" s="1" t="s">
        <v>231</v>
      </c>
      <c r="B38" s="5" t="n">
        <v>74400</v>
      </c>
      <c r="C38" s="1" t="s">
        <v>232</v>
      </c>
    </row>
    <row r="39" customFormat="false" ht="15" hidden="false" customHeight="true" outlineLevel="0" collapsed="false">
      <c r="A39" s="1" t="s">
        <v>233</v>
      </c>
      <c r="B39" s="5" t="n">
        <v>12448</v>
      </c>
      <c r="C39" s="1" t="s">
        <v>234</v>
      </c>
    </row>
    <row r="40" customFormat="false" ht="15" hidden="false" customHeight="true" outlineLevel="0" collapsed="false">
      <c r="A40" s="1" t="s">
        <v>235</v>
      </c>
      <c r="B40" s="5" t="n">
        <v>0</v>
      </c>
      <c r="C40" s="1" t="s">
        <v>236</v>
      </c>
    </row>
    <row r="41" customFormat="false" ht="15" hidden="false" customHeight="true" outlineLevel="0" collapsed="false">
      <c r="A41" s="1" t="s">
        <v>237</v>
      </c>
      <c r="B41" s="5" t="n">
        <v>0</v>
      </c>
      <c r="C41" s="1" t="s">
        <v>238</v>
      </c>
    </row>
    <row r="42" customFormat="false" ht="15" hidden="false" customHeight="true" outlineLevel="0" collapsed="false">
      <c r="A42" s="1" t="s">
        <v>239</v>
      </c>
      <c r="B42" s="1" t="n">
        <f aca="false">SUM(B27:B41)</f>
        <v>169194</v>
      </c>
      <c r="C42" s="1" t="n">
        <f aca="false">SUM(B27:B41)</f>
        <v>169194</v>
      </c>
    </row>
    <row r="44" customFormat="false" ht="15" hidden="false" customHeight="true" outlineLevel="0" collapsed="false">
      <c r="A44" s="3" t="s">
        <v>52</v>
      </c>
    </row>
    <row r="45" customFormat="false" ht="15" hidden="false" customHeight="true" outlineLevel="0" collapsed="false">
      <c r="A45" s="1" t="s">
        <v>240</v>
      </c>
    </row>
    <row r="46" customFormat="false" ht="15" hidden="false" customHeight="true" outlineLevel="0" collapsed="false">
      <c r="A46" s="3" t="s">
        <v>52</v>
      </c>
    </row>
    <row r="47" customFormat="false" ht="15" hidden="false" customHeight="true" outlineLevel="0" collapsed="false">
      <c r="A47" s="1" t="s">
        <v>241</v>
      </c>
      <c r="C47" s="1" t="n">
        <f aca="false">B9</f>
        <v>219616</v>
      </c>
    </row>
    <row r="48" customFormat="false" ht="15" hidden="false" customHeight="true" outlineLevel="0" collapsed="false">
      <c r="A48" s="1" t="s">
        <v>242</v>
      </c>
      <c r="C48" s="1" t="n">
        <f aca="false">B21</f>
        <v>0</v>
      </c>
    </row>
    <row r="49" customFormat="false" ht="15" hidden="false" customHeight="true" outlineLevel="0" collapsed="false">
      <c r="A49" s="1" t="s">
        <v>243</v>
      </c>
      <c r="C49" s="1" t="n">
        <f aca="false">-B42</f>
        <v>-169194</v>
      </c>
    </row>
    <row r="50" customFormat="false" ht="15" hidden="false" customHeight="true" outlineLevel="0" collapsed="false">
      <c r="A50" s="1" t="s">
        <v>244</v>
      </c>
      <c r="C50" s="1" t="n">
        <f aca="false">C47+C48+C49</f>
        <v>50422</v>
      </c>
    </row>
    <row r="52" customFormat="false" ht="15" hidden="false" customHeight="true" outlineLevel="0" collapsed="false">
      <c r="A52" s="3" t="s">
        <v>52</v>
      </c>
    </row>
    <row r="53" customFormat="false" ht="15" hidden="false" customHeight="true" outlineLevel="0" collapsed="false">
      <c r="A53" s="1" t="s">
        <v>245</v>
      </c>
    </row>
    <row r="54" customFormat="false" ht="15" hidden="false" customHeight="true" outlineLevel="0" collapsed="false">
      <c r="A54" s="3" t="s">
        <v>52</v>
      </c>
    </row>
    <row r="55" customFormat="false" ht="15" hidden="false" customHeight="true" outlineLevel="0" collapsed="false">
      <c r="A55" s="1" t="s">
        <v>246</v>
      </c>
      <c r="C55" s="6" t="str">
        <f aca="false">IF(C50&lt;0,"EMERGENCY LOAN NEEDED!","OK")</f>
        <v>OK</v>
      </c>
    </row>
    <row r="56" customFormat="false" ht="15" hidden="false" customHeight="true" outlineLevel="0" collapsed="false">
      <c r="A56" s="1" t="s">
        <v>247</v>
      </c>
      <c r="C56" s="1" t="n">
        <f aca="false">IF(C50&lt;0,-C50,0)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4"/>
  </cols>
  <sheetData>
    <row r="1" customFormat="false" ht="15" hidden="false" customHeight="true" outlineLevel="0" collapsed="false">
      <c r="A1" s="1" t="s">
        <v>248</v>
      </c>
    </row>
    <row r="3" customFormat="false" ht="15" hidden="false" customHeight="true" outlineLevel="0" collapsed="false">
      <c r="A3" s="4" t="s">
        <v>183</v>
      </c>
      <c r="B3" s="4" t="s">
        <v>249</v>
      </c>
      <c r="C3" s="4" t="s">
        <v>250</v>
      </c>
      <c r="D3" s="4" t="s">
        <v>251</v>
      </c>
      <c r="E3" s="4" t="s">
        <v>252</v>
      </c>
      <c r="F3" s="4" t="s">
        <v>253</v>
      </c>
      <c r="G3" s="4" t="s">
        <v>254</v>
      </c>
      <c r="H3" s="4" t="s">
        <v>255</v>
      </c>
      <c r="I3" s="4" t="s">
        <v>256</v>
      </c>
      <c r="J3" s="4" t="s">
        <v>257</v>
      </c>
    </row>
    <row r="4" customFormat="false" ht="15" hidden="false" customHeight="true" outlineLevel="0" collapsed="false">
      <c r="A4" s="1" t="s">
        <v>258</v>
      </c>
      <c r="B4" s="1" t="n">
        <f aca="false">Initial_CashFlow!C50</f>
        <v>50422</v>
      </c>
      <c r="C4" s="1" t="n">
        <f aca="false">B37</f>
        <v>10525.6175716705</v>
      </c>
      <c r="D4" s="1" t="n">
        <f aca="false">C37</f>
        <v>0</v>
      </c>
      <c r="E4" s="1" t="n">
        <f aca="false">D37</f>
        <v>0</v>
      </c>
      <c r="F4" s="1" t="n">
        <f aca="false">E37</f>
        <v>0</v>
      </c>
      <c r="G4" s="1" t="n">
        <f aca="false">F37</f>
        <v>0</v>
      </c>
      <c r="H4" s="1" t="n">
        <f aca="false">G37</f>
        <v>0</v>
      </c>
      <c r="I4" s="1" t="n">
        <f aca="false">H37</f>
        <v>0</v>
      </c>
    </row>
    <row r="6" customFormat="false" ht="15" hidden="false" customHeight="true" outlineLevel="0" collapsed="false">
      <c r="A6" s="1" t="s">
        <v>259</v>
      </c>
    </row>
    <row r="7" customFormat="false" ht="15" hidden="false" customHeight="true" outlineLevel="0" collapsed="false">
      <c r="A7" s="1" t="s">
        <v>260</v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1" t="n">
        <f aca="false">SUM(B7:I7)</f>
        <v>0</v>
      </c>
    </row>
    <row r="8" customFormat="false" ht="15" hidden="false" customHeight="true" outlineLevel="0" collapsed="false">
      <c r="A8" s="1" t="s">
        <v>261</v>
      </c>
      <c r="B8" s="1" t="n">
        <f aca="false">Inputs_Global!$C$15*200000</f>
        <v>982.925299535697</v>
      </c>
      <c r="C8" s="1" t="n">
        <f aca="false">Inputs_Global!$C$15*B41</f>
        <v>982.925299535697</v>
      </c>
      <c r="D8" s="1" t="n">
        <f aca="false">Inputs_Global!$C$15*C41</f>
        <v>982.925299535697</v>
      </c>
      <c r="E8" s="1" t="n">
        <f aca="false">Inputs_Global!$C$15*D41</f>
        <v>982.925299535697</v>
      </c>
      <c r="F8" s="1" t="n">
        <f aca="false">Inputs_Global!$C$15*E41</f>
        <v>982.925299535697</v>
      </c>
      <c r="G8" s="1" t="n">
        <f aca="false">Inputs_Global!$C$15*F41</f>
        <v>982.925299535697</v>
      </c>
      <c r="H8" s="1" t="n">
        <f aca="false">Inputs_Global!$C$15*G41</f>
        <v>982.925299535697</v>
      </c>
      <c r="I8" s="1" t="n">
        <f aca="false">Inputs_Global!$C$15*H41</f>
        <v>982.925299535697</v>
      </c>
      <c r="J8" s="1" t="n">
        <f aca="false">SUM(B8:I8)</f>
        <v>7863.40239628558</v>
      </c>
    </row>
    <row r="10" customFormat="false" ht="15" hidden="false" customHeight="true" outlineLevel="0" collapsed="false">
      <c r="A10" s="1" t="s">
        <v>262</v>
      </c>
    </row>
    <row r="11" customFormat="false" ht="15" hidden="false" customHeight="true" outlineLevel="0" collapsed="false">
      <c r="A11" s="1" t="s">
        <v>263</v>
      </c>
      <c r="B11" s="1" t="n">
        <v>-39525</v>
      </c>
      <c r="C11" s="1" t="n">
        <v>-39525</v>
      </c>
      <c r="D11" s="1" t="n">
        <v>-39525</v>
      </c>
      <c r="E11" s="1" t="n">
        <v>-39525</v>
      </c>
      <c r="F11" s="1" t="n">
        <v>-39525</v>
      </c>
      <c r="G11" s="1" t="n">
        <v>-39525</v>
      </c>
      <c r="H11" s="1" t="n">
        <v>-39525</v>
      </c>
      <c r="I11" s="1" t="n">
        <v>-39525</v>
      </c>
    </row>
    <row r="12" customFormat="false" ht="15" hidden="false" customHeight="true" outlineLevel="0" collapsed="false">
      <c r="A12" s="1" t="s">
        <v>264</v>
      </c>
      <c r="B12" s="1" t="n">
        <f aca="false">0.5*(B13+B14)</f>
        <v>0</v>
      </c>
      <c r="C12" s="1" t="n">
        <f aca="false">0.5*(C13+C14)</f>
        <v>0</v>
      </c>
      <c r="D12" s="1" t="n">
        <f aca="false">0.5*(D13+D14)</f>
        <v>0</v>
      </c>
      <c r="E12" s="1" t="n">
        <f aca="false">0.5*(E13+E14)</f>
        <v>0</v>
      </c>
      <c r="F12" s="1" t="n">
        <f aca="false">0.5*(F13+F14)</f>
        <v>0</v>
      </c>
      <c r="G12" s="1" t="n">
        <f aca="false">0.5*(G13+G14)</f>
        <v>0</v>
      </c>
      <c r="H12" s="1" t="n">
        <f aca="false">0.5*(H13+H14)</f>
        <v>0</v>
      </c>
      <c r="I12" s="1" t="n">
        <f aca="false">0.5*(I13+I14)</f>
        <v>0</v>
      </c>
    </row>
    <row r="13" customFormat="false" ht="15" hidden="false" customHeight="true" outlineLevel="0" collapsed="false">
      <c r="A13" s="1" t="s">
        <v>265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 customFormat="false" ht="15" hidden="false" customHeight="true" outlineLevel="0" collapsed="false">
      <c r="A14" s="1" t="s">
        <v>266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</row>
    <row r="15" customFormat="false" ht="15" hidden="false" customHeight="true" outlineLevel="0" collapsed="false">
      <c r="A15" s="1" t="s">
        <v>267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 customFormat="false" ht="15" hidden="false" customHeight="true" outlineLevel="0" collapsed="false">
      <c r="A16" s="1" t="s">
        <v>268</v>
      </c>
      <c r="B16" s="5" t="n">
        <v>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 customFormat="false" ht="15" hidden="false" customHeight="true" outlineLevel="0" collapsed="false">
      <c r="A17" s="1" t="s">
        <v>269</v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 customFormat="false" ht="15" hidden="false" customHeight="true" outlineLevel="0" collapsed="false">
      <c r="A18" s="1" t="s">
        <v>270</v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 customFormat="false" ht="15" hidden="false" customHeight="true" outlineLevel="0" collapsed="false">
      <c r="A19" s="1" t="s">
        <v>159</v>
      </c>
      <c r="B19" s="5" t="n">
        <v>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true" outlineLevel="0" collapsed="false">
      <c r="A20" s="1" t="s">
        <v>271</v>
      </c>
      <c r="B20" s="5" t="n">
        <v>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</row>
    <row r="21" customFormat="false" ht="15" hidden="false" customHeight="true" outlineLevel="0" collapsed="false">
      <c r="A21" s="1" t="s">
        <v>272</v>
      </c>
      <c r="B21" s="5" t="n">
        <v>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 customFormat="false" ht="15" hidden="false" customHeight="true" outlineLevel="0" collapsed="false">
      <c r="A22" s="1" t="s">
        <v>273</v>
      </c>
      <c r="B22" s="5" t="n">
        <v>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4" customFormat="false" ht="15" hidden="false" customHeight="true" outlineLevel="0" collapsed="false">
      <c r="A24" s="1" t="s">
        <v>274</v>
      </c>
    </row>
    <row r="25" customFormat="false" ht="15" hidden="false" customHeight="true" outlineLevel="0" collapsed="false">
      <c r="A25" s="1" t="s">
        <v>275</v>
      </c>
      <c r="B25" s="1" t="n">
        <f aca="false">-Inputs_Global!$C$14*Inputs_Global!$B$26</f>
        <v>-1354.30772786515</v>
      </c>
      <c r="C25" s="1" t="n">
        <f aca="false">-Inputs_Global!$C$14*B40</f>
        <v>-1354.30772786515</v>
      </c>
      <c r="D25" s="1" t="n">
        <f aca="false">-Inputs_Global!$C$14*C40</f>
        <v>-1354.30772786515</v>
      </c>
      <c r="E25" s="1" t="n">
        <f aca="false">-Inputs_Global!$C$14*D40</f>
        <v>-1354.30772786515</v>
      </c>
      <c r="F25" s="1" t="n">
        <f aca="false">-Inputs_Global!$C$14*E40</f>
        <v>-1354.30772786515</v>
      </c>
      <c r="G25" s="1" t="n">
        <f aca="false">-Inputs_Global!$C$14*F40</f>
        <v>-1354.30772786515</v>
      </c>
      <c r="H25" s="1" t="n">
        <f aca="false">-Inputs_Global!$C$14*G40</f>
        <v>-1354.30772786515</v>
      </c>
      <c r="I25" s="1" t="n">
        <f aca="false">-Inputs_Global!$C$14*H40</f>
        <v>-1354.30772786515</v>
      </c>
      <c r="J25" s="1" t="n">
        <f aca="false">SUM(B25:I25)</f>
        <v>-10834.4618229212</v>
      </c>
    </row>
    <row r="26" customFormat="false" ht="15" hidden="false" customHeight="true" outlineLevel="0" collapsed="false">
      <c r="A26" s="1" t="s">
        <v>276</v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7" customFormat="false" ht="15" hidden="false" customHeight="true" outlineLevel="0" collapsed="false">
      <c r="A27" s="1" t="s">
        <v>277</v>
      </c>
    </row>
    <row r="28" customFormat="false" ht="15" hidden="false" customHeight="true" outlineLevel="0" collapsed="false">
      <c r="A28" s="1" t="s">
        <v>278</v>
      </c>
      <c r="B28" s="5" t="n">
        <v>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 customFormat="false" ht="15" hidden="false" customHeight="true" outlineLevel="0" collapsed="false">
      <c r="A29" s="1" t="s">
        <v>279</v>
      </c>
      <c r="B29" s="5" t="n">
        <v>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1" customFormat="false" ht="15" hidden="false" customHeight="true" outlineLevel="0" collapsed="false">
      <c r="A31" s="1" t="s">
        <v>280</v>
      </c>
    </row>
    <row r="32" customFormat="false" ht="15" hidden="false" customHeight="true" outlineLevel="0" collapsed="false">
      <c r="A32" s="1" t="s">
        <v>281</v>
      </c>
      <c r="B32" s="1" t="n">
        <f aca="false">B7+B8</f>
        <v>982.925299535697</v>
      </c>
      <c r="C32" s="1" t="n">
        <f aca="false">C7+C8</f>
        <v>982.925299535697</v>
      </c>
      <c r="D32" s="1" t="n">
        <f aca="false">D7+D8</f>
        <v>982.925299535697</v>
      </c>
      <c r="E32" s="1" t="n">
        <f aca="false">E7+E8</f>
        <v>982.925299535697</v>
      </c>
      <c r="F32" s="1" t="n">
        <f aca="false">F7+F8</f>
        <v>982.925299535697</v>
      </c>
      <c r="G32" s="1" t="n">
        <f aca="false">G7+G8</f>
        <v>982.925299535697</v>
      </c>
      <c r="H32" s="1" t="n">
        <f aca="false">H7+H8</f>
        <v>982.925299535697</v>
      </c>
      <c r="I32" s="1" t="n">
        <f aca="false">I7+I8</f>
        <v>982.925299535697</v>
      </c>
      <c r="J32" s="1" t="n">
        <f aca="false">SUM(B32:I32)</f>
        <v>7863.40239628558</v>
      </c>
    </row>
    <row r="33" customFormat="false" ht="15" hidden="false" customHeight="true" outlineLevel="0" collapsed="false">
      <c r="A33" s="1" t="s">
        <v>282</v>
      </c>
      <c r="B33" s="1" t="n">
        <f aca="false">SUM(B11:B22)+B25</f>
        <v>-40879.3077278652</v>
      </c>
      <c r="C33" s="1" t="n">
        <f aca="false">SUM(C11:C22)+C25</f>
        <v>-40879.3077278652</v>
      </c>
      <c r="D33" s="1" t="n">
        <f aca="false">SUM(D11:D22)+D25</f>
        <v>-40879.3077278652</v>
      </c>
      <c r="E33" s="1" t="n">
        <f aca="false">SUM(E11:E22)+E25</f>
        <v>-40879.3077278652</v>
      </c>
      <c r="F33" s="1" t="n">
        <f aca="false">SUM(F11:F22)+F25</f>
        <v>-40879.3077278652</v>
      </c>
      <c r="G33" s="1" t="n">
        <f aca="false">SUM(G11:G22)+G25</f>
        <v>-40879.3077278652</v>
      </c>
      <c r="H33" s="1" t="n">
        <f aca="false">SUM(H11:H22)+H25</f>
        <v>-40879.3077278652</v>
      </c>
      <c r="I33" s="1" t="n">
        <f aca="false">SUM(I11:I22)+I25</f>
        <v>-40879.3077278652</v>
      </c>
      <c r="J33" s="1" t="n">
        <f aca="false">SUM(B33:I33)</f>
        <v>-327034.461822921</v>
      </c>
    </row>
    <row r="34" customFormat="false" ht="15" hidden="false" customHeight="true" outlineLevel="0" collapsed="false">
      <c r="A34" s="1" t="s">
        <v>283</v>
      </c>
      <c r="B34" s="1" t="n">
        <f aca="false">B32+B33+B26+B28</f>
        <v>-39896.3824283295</v>
      </c>
      <c r="C34" s="1" t="n">
        <f aca="false">C32+C33+C26+C28</f>
        <v>-39896.3824283295</v>
      </c>
      <c r="D34" s="1" t="n">
        <f aca="false">D32+D33+D26+D28</f>
        <v>-39896.3824283295</v>
      </c>
      <c r="E34" s="1" t="n">
        <f aca="false">E32+E33+E26+E28</f>
        <v>-39896.3824283295</v>
      </c>
      <c r="F34" s="1" t="n">
        <f aca="false">F32+F33+F26+F28</f>
        <v>-39896.3824283295</v>
      </c>
      <c r="G34" s="1" t="n">
        <f aca="false">G32+G33+G26+G28</f>
        <v>-39896.3824283295</v>
      </c>
      <c r="H34" s="1" t="n">
        <f aca="false">H32+H33+H26+H28</f>
        <v>-39896.3824283295</v>
      </c>
      <c r="I34" s="1" t="n">
        <f aca="false">I32+I33+I26+I28</f>
        <v>-39896.3824283295</v>
      </c>
    </row>
    <row r="35" customFormat="false" ht="15" hidden="false" customHeight="true" outlineLevel="0" collapsed="false">
      <c r="A35" s="1" t="s">
        <v>284</v>
      </c>
      <c r="B35" s="1" t="n">
        <f aca="false">B4+B34</f>
        <v>10525.6175716705</v>
      </c>
      <c r="C35" s="1" t="n">
        <f aca="false">C4+C34</f>
        <v>-29370.7648566589</v>
      </c>
      <c r="D35" s="1" t="n">
        <f aca="false">D4+D34</f>
        <v>-39896.3824283295</v>
      </c>
      <c r="E35" s="1" t="n">
        <f aca="false">E4+E34</f>
        <v>-39896.3824283295</v>
      </c>
      <c r="F35" s="1" t="n">
        <f aca="false">F4+F34</f>
        <v>-39896.3824283295</v>
      </c>
      <c r="G35" s="1" t="n">
        <f aca="false">G4+G34</f>
        <v>-39896.3824283295</v>
      </c>
      <c r="H35" s="1" t="n">
        <f aca="false">H4+H34</f>
        <v>-39896.3824283295</v>
      </c>
      <c r="I35" s="1" t="n">
        <f aca="false">I4+I34</f>
        <v>-39896.3824283295</v>
      </c>
    </row>
    <row r="36" customFormat="false" ht="15" hidden="false" customHeight="true" outlineLevel="0" collapsed="false">
      <c r="A36" s="1" t="s">
        <v>285</v>
      </c>
      <c r="B36" s="1" t="n">
        <f aca="false">IF(B35&lt;0,-B35,0)</f>
        <v>0</v>
      </c>
      <c r="C36" s="1" t="n">
        <f aca="false">IF(C35&lt;0,-C35,0)</f>
        <v>29370.7648566589</v>
      </c>
      <c r="D36" s="1" t="n">
        <f aca="false">IF(D35&lt;0,-D35,0)</f>
        <v>39896.3824283295</v>
      </c>
      <c r="E36" s="1" t="n">
        <f aca="false">IF(E35&lt;0,-E35,0)</f>
        <v>39896.3824283295</v>
      </c>
      <c r="F36" s="1" t="n">
        <f aca="false">IF(F35&lt;0,-F35,0)</f>
        <v>39896.3824283295</v>
      </c>
      <c r="G36" s="1" t="n">
        <f aca="false">IF(G35&lt;0,-G35,0)</f>
        <v>39896.3824283295</v>
      </c>
      <c r="H36" s="1" t="n">
        <f aca="false">IF(H35&lt;0,-H35,0)</f>
        <v>39896.3824283295</v>
      </c>
      <c r="I36" s="1" t="n">
        <f aca="false">IF(I35&lt;0,-I35,0)</f>
        <v>39896.3824283295</v>
      </c>
    </row>
    <row r="37" customFormat="false" ht="15" hidden="false" customHeight="true" outlineLevel="0" collapsed="false">
      <c r="A37" s="1" t="s">
        <v>286</v>
      </c>
      <c r="B37" s="1" t="n">
        <f aca="false">B35+B36</f>
        <v>10525.6175716705</v>
      </c>
      <c r="C37" s="1" t="n">
        <f aca="false">C35+C36</f>
        <v>0</v>
      </c>
      <c r="D37" s="1" t="n">
        <f aca="false">D35+D36</f>
        <v>0</v>
      </c>
      <c r="E37" s="1" t="n">
        <f aca="false">E35+E36</f>
        <v>0</v>
      </c>
      <c r="F37" s="1" t="n">
        <f aca="false">F35+F36</f>
        <v>0</v>
      </c>
      <c r="G37" s="1" t="n">
        <f aca="false">G35+G36</f>
        <v>0</v>
      </c>
      <c r="H37" s="1" t="n">
        <f aca="false">H35+H36</f>
        <v>0</v>
      </c>
      <c r="I37" s="1" t="n">
        <f aca="false">I35+I36</f>
        <v>0</v>
      </c>
    </row>
    <row r="39" customFormat="false" ht="15" hidden="false" customHeight="true" outlineLevel="0" collapsed="false">
      <c r="A39" s="1" t="s">
        <v>287</v>
      </c>
    </row>
    <row r="40" customFormat="false" ht="15" hidden="false" customHeight="true" outlineLevel="0" collapsed="false">
      <c r="A40" s="1" t="s">
        <v>288</v>
      </c>
      <c r="B40" s="1" t="n">
        <f aca="false">Inputs_Global!$B$26+B26</f>
        <v>113000</v>
      </c>
      <c r="C40" s="1" t="n">
        <f aca="false">B40+C26</f>
        <v>113000</v>
      </c>
      <c r="D40" s="1" t="n">
        <f aca="false">C40+D26</f>
        <v>113000</v>
      </c>
      <c r="E40" s="1" t="n">
        <f aca="false">D40+E26</f>
        <v>113000</v>
      </c>
      <c r="F40" s="1" t="n">
        <f aca="false">E40+F26</f>
        <v>113000</v>
      </c>
      <c r="G40" s="1" t="n">
        <f aca="false">F40+G26</f>
        <v>113000</v>
      </c>
      <c r="H40" s="1" t="n">
        <f aca="false">G40+H26</f>
        <v>113000</v>
      </c>
      <c r="I40" s="1" t="n">
        <f aca="false">H40+I26</f>
        <v>113000</v>
      </c>
    </row>
    <row r="41" customFormat="false" ht="15" hidden="false" customHeight="true" outlineLevel="0" collapsed="false">
      <c r="A41" s="1" t="s">
        <v>289</v>
      </c>
      <c r="B41" s="1" t="n">
        <f aca="false">200000+B28</f>
        <v>200000</v>
      </c>
      <c r="C41" s="1" t="n">
        <f aca="false">B41+C28</f>
        <v>200000</v>
      </c>
      <c r="D41" s="1" t="n">
        <f aca="false">C41+D28</f>
        <v>200000</v>
      </c>
      <c r="E41" s="1" t="n">
        <f aca="false">D41+E28</f>
        <v>200000</v>
      </c>
      <c r="F41" s="1" t="n">
        <f aca="false">E41+F28</f>
        <v>200000</v>
      </c>
      <c r="G41" s="1" t="n">
        <f aca="false">F41+G28</f>
        <v>200000</v>
      </c>
      <c r="H41" s="1" t="n">
        <f aca="false">G41+H28</f>
        <v>200000</v>
      </c>
      <c r="I41" s="1" t="n">
        <f aca="false">H41+I28</f>
        <v>200000</v>
      </c>
    </row>
    <row r="43" customFormat="false" ht="15" hidden="false" customHeight="true" outlineLevel="0" collapsed="false">
      <c r="A43" s="1" t="s">
        <v>290</v>
      </c>
    </row>
    <row r="44" customFormat="false" ht="15" hidden="false" customHeight="true" outlineLevel="0" collapsed="false">
      <c r="A44" s="1" t="s">
        <v>291</v>
      </c>
      <c r="B44" s="1" t="str">
        <f aca="false">IF(B35&lt;0,"EMERGENCY!","")</f>
        <v/>
      </c>
      <c r="C44" s="1" t="str">
        <f aca="false">IF(C35&lt;0,"EMERGENCY!","")</f>
        <v>EMERGENCY!</v>
      </c>
      <c r="D44" s="1" t="str">
        <f aca="false">IF(D35&lt;0,"EMERGENCY!","")</f>
        <v>EMERGENCY!</v>
      </c>
      <c r="E44" s="1" t="str">
        <f aca="false">IF(E35&lt;0,"EMERGENCY!","")</f>
        <v>EMERGENCY!</v>
      </c>
      <c r="F44" s="1" t="str">
        <f aca="false">IF(F35&lt;0,"EMERGENCY!","")</f>
        <v>EMERGENCY!</v>
      </c>
      <c r="G44" s="1" t="str">
        <f aca="false">IF(G35&lt;0,"EMERGENCY!","")</f>
        <v>EMERGENCY!</v>
      </c>
      <c r="H44" s="1" t="str">
        <f aca="false">IF(H35&lt;0,"EMERGENCY!","")</f>
        <v>EMERGENCY!</v>
      </c>
      <c r="I44" s="1" t="str">
        <f aca="false">IF(I35&lt;0,"EMERGENCY!","")</f>
        <v>EMERGENCY!</v>
      </c>
    </row>
    <row r="45" customFormat="false" ht="15" hidden="false" customHeight="true" outlineLevel="0" collapsed="false">
      <c r="A45" s="1" t="s">
        <v>292</v>
      </c>
      <c r="B45" s="1" t="str">
        <f aca="false">IF(B37&lt;Inputs_Global!$B$33,"LOW CASH","")</f>
        <v>LOW CASH</v>
      </c>
      <c r="C45" s="1" t="str">
        <f aca="false">IF(C37&lt;Inputs_Global!$B$33,"LOW CASH","")</f>
        <v>LOW CASH</v>
      </c>
      <c r="D45" s="1" t="str">
        <f aca="false">IF(D37&lt;Inputs_Global!$B$33,"LOW CASH","")</f>
        <v>LOW CASH</v>
      </c>
      <c r="E45" s="1" t="str">
        <f aca="false">IF(E37&lt;Inputs_Global!$B$33,"LOW CASH","")</f>
        <v>LOW CASH</v>
      </c>
      <c r="F45" s="1" t="str">
        <f aca="false">IF(F37&lt;Inputs_Global!$B$33,"LOW CASH","")</f>
        <v>LOW CASH</v>
      </c>
      <c r="G45" s="1" t="str">
        <f aca="false">IF(G37&lt;Inputs_Global!$B$33,"LOW CASH","")</f>
        <v>LOW CASH</v>
      </c>
      <c r="H45" s="1" t="str">
        <f aca="false">IF(H37&lt;Inputs_Global!$B$33,"LOW CASH","")</f>
        <v>LOW CASH</v>
      </c>
      <c r="I45" s="1" t="str">
        <f aca="false">IF(I37&lt;Inputs_Global!$B$33,"LOW CASH","")</f>
        <v>LOW CASH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2"/>
  </cols>
  <sheetData>
    <row r="1" customFormat="false" ht="17.25" hidden="false" customHeight="true" outlineLevel="0" collapsed="false">
      <c r="A1" s="2" t="s">
        <v>293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true" outlineLevel="0" collapsed="false">
      <c r="A3" s="3" t="s">
        <v>106</v>
      </c>
    </row>
    <row r="4" customFormat="false" ht="15" hidden="false" customHeight="true" outlineLevel="0" collapsed="false">
      <c r="A4" s="1" t="s">
        <v>294</v>
      </c>
    </row>
    <row r="5" customFormat="false" ht="15" hidden="false" customHeight="true" outlineLevel="0" collapsed="false">
      <c r="A5" s="3" t="s">
        <v>106</v>
      </c>
    </row>
    <row r="6" customFormat="false" ht="15" hidden="false" customHeight="true" outlineLevel="0" collapsed="false">
      <c r="A6" s="4"/>
      <c r="B6" s="4" t="s">
        <v>249</v>
      </c>
      <c r="C6" s="4" t="s">
        <v>250</v>
      </c>
      <c r="D6" s="4" t="s">
        <v>251</v>
      </c>
      <c r="E6" s="4" t="s">
        <v>252</v>
      </c>
      <c r="F6" s="4" t="s">
        <v>253</v>
      </c>
      <c r="G6" s="4" t="s">
        <v>254</v>
      </c>
      <c r="H6" s="4" t="s">
        <v>255</v>
      </c>
      <c r="I6" s="4" t="s">
        <v>256</v>
      </c>
      <c r="J6" s="4" t="s">
        <v>257</v>
      </c>
    </row>
    <row r="7" customFormat="false" ht="15" hidden="false" customHeight="true" outlineLevel="0" collapsed="false">
      <c r="A7" s="1" t="s">
        <v>295</v>
      </c>
      <c r="B7" s="5" t="n">
        <v>295885</v>
      </c>
      <c r="C7" s="5" t="n">
        <f aca="false">B10</f>
        <v>295885</v>
      </c>
      <c r="D7" s="5" t="n">
        <f aca="false">C10</f>
        <v>295885</v>
      </c>
      <c r="E7" s="5" t="n">
        <f aca="false">D10</f>
        <v>295885</v>
      </c>
      <c r="F7" s="5" t="n">
        <f aca="false">E10</f>
        <v>295885</v>
      </c>
      <c r="G7" s="5" t="n">
        <f aca="false">F10</f>
        <v>295885</v>
      </c>
      <c r="H7" s="5" t="n">
        <f aca="false">G10</f>
        <v>295885</v>
      </c>
      <c r="I7" s="5" t="n">
        <f aca="false">H10</f>
        <v>295885</v>
      </c>
    </row>
    <row r="8" customFormat="false" ht="15" hidden="false" customHeight="true" outlineLevel="0" collapsed="false">
      <c r="A8" s="1" t="s">
        <v>296</v>
      </c>
      <c r="B8" s="5" t="n">
        <v>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1" t="n">
        <f aca="false">SUM(B8:I8)</f>
        <v>0</v>
      </c>
    </row>
    <row r="9" customFormat="false" ht="15" hidden="false" customHeight="true" outlineLevel="0" collapsed="false">
      <c r="A9" s="1" t="s">
        <v>297</v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1" t="n">
        <f aca="false">SUM(B9:I9)</f>
        <v>0</v>
      </c>
    </row>
    <row r="10" customFormat="false" ht="15" hidden="false" customHeight="true" outlineLevel="0" collapsed="false">
      <c r="A10" s="1" t="s">
        <v>298</v>
      </c>
      <c r="B10" s="1" t="n">
        <f aca="false">B7+B8-B9</f>
        <v>295885</v>
      </c>
      <c r="C10" s="1" t="n">
        <f aca="false">C7+C8-C9</f>
        <v>295885</v>
      </c>
      <c r="D10" s="1" t="n">
        <f aca="false">D7+D8-D9</f>
        <v>295885</v>
      </c>
      <c r="E10" s="1" t="n">
        <f aca="false">E7+E8-E9</f>
        <v>295885</v>
      </c>
      <c r="F10" s="1" t="n">
        <f aca="false">F7+F8-F9</f>
        <v>295885</v>
      </c>
      <c r="G10" s="1" t="n">
        <f aca="false">G7+G8-G9</f>
        <v>295885</v>
      </c>
      <c r="H10" s="1" t="n">
        <f aca="false">H7+H8-H9</f>
        <v>295885</v>
      </c>
      <c r="I10" s="1" t="n">
        <f aca="false">I7+I8-I9</f>
        <v>295885</v>
      </c>
    </row>
    <row r="12" customFormat="false" ht="15" hidden="false" customHeight="true" outlineLevel="0" collapsed="false">
      <c r="A12" s="1" t="s">
        <v>299</v>
      </c>
    </row>
    <row r="13" customFormat="false" ht="15" hidden="false" customHeight="true" outlineLevel="0" collapsed="false">
      <c r="A13" s="1" t="s">
        <v>300</v>
      </c>
    </row>
    <row r="14" customFormat="false" ht="15" hidden="false" customHeight="true" outlineLevel="0" collapsed="false">
      <c r="A14" s="1" t="s">
        <v>301</v>
      </c>
    </row>
    <row r="15" customFormat="false" ht="15" hidden="false" customHeight="true" outlineLevel="0" collapsed="false">
      <c r="A15" s="1" t="s">
        <v>302</v>
      </c>
    </row>
    <row r="16" customFormat="false" ht="15" hidden="false" customHeight="true" outlineLevel="0" collapsed="false">
      <c r="A16" s="1" t="s">
        <v>303</v>
      </c>
    </row>
    <row r="17" customFormat="false" ht="15" hidden="false" customHeight="true" outlineLevel="0" collapsed="false">
      <c r="A17" s="1" t="s">
        <v>304</v>
      </c>
    </row>
    <row r="19" customFormat="false" ht="15" hidden="false" customHeight="true" outlineLevel="0" collapsed="false">
      <c r="A19" s="3" t="s">
        <v>106</v>
      </c>
    </row>
    <row r="20" customFormat="false" ht="15" hidden="false" customHeight="true" outlineLevel="0" collapsed="false">
      <c r="A20" s="1" t="s">
        <v>305</v>
      </c>
    </row>
    <row r="21" customFormat="false" ht="15" hidden="false" customHeight="true" outlineLevel="0" collapsed="false">
      <c r="A21" s="3" t="s">
        <v>106</v>
      </c>
    </row>
    <row r="22" customFormat="false" ht="15" hidden="false" customHeight="true" outlineLevel="0" collapsed="false">
      <c r="A22" s="4"/>
      <c r="B22" s="4" t="s">
        <v>249</v>
      </c>
      <c r="C22" s="4" t="s">
        <v>250</v>
      </c>
      <c r="D22" s="4" t="s">
        <v>251</v>
      </c>
      <c r="E22" s="4" t="s">
        <v>252</v>
      </c>
      <c r="F22" s="4" t="s">
        <v>253</v>
      </c>
      <c r="G22" s="4" t="s">
        <v>254</v>
      </c>
      <c r="H22" s="4" t="s">
        <v>255</v>
      </c>
      <c r="I22" s="4" t="s">
        <v>256</v>
      </c>
      <c r="J22" s="4" t="s">
        <v>257</v>
      </c>
    </row>
    <row r="23" customFormat="false" ht="15" hidden="false" customHeight="true" outlineLevel="0" collapsed="false">
      <c r="A23" s="1" t="s">
        <v>306</v>
      </c>
      <c r="B23" s="5" t="n">
        <v>143968</v>
      </c>
      <c r="C23" s="5" t="n">
        <f aca="false">B26</f>
        <v>143968</v>
      </c>
      <c r="D23" s="5" t="n">
        <f aca="false">C26</f>
        <v>143968</v>
      </c>
      <c r="E23" s="5" t="n">
        <f aca="false">D26</f>
        <v>143968</v>
      </c>
      <c r="F23" s="5" t="n">
        <f aca="false">E26</f>
        <v>143968</v>
      </c>
      <c r="G23" s="5" t="n">
        <f aca="false">F26</f>
        <v>143968</v>
      </c>
      <c r="H23" s="5" t="n">
        <f aca="false">G26</f>
        <v>143968</v>
      </c>
      <c r="I23" s="5" t="n">
        <f aca="false">H26</f>
        <v>143968</v>
      </c>
    </row>
    <row r="24" customFormat="false" ht="15" hidden="false" customHeight="true" outlineLevel="0" collapsed="false">
      <c r="A24" s="1" t="s">
        <v>307</v>
      </c>
      <c r="B24" s="5" t="n">
        <v>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1" t="n">
        <f aca="false">SUM(B24:I24)</f>
        <v>0</v>
      </c>
    </row>
    <row r="25" customFormat="false" ht="15" hidden="false" customHeight="true" outlineLevel="0" collapsed="false">
      <c r="A25" s="1" t="s">
        <v>308</v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1" t="n">
        <f aca="false">SUM(B25:I25)</f>
        <v>0</v>
      </c>
    </row>
    <row r="26" customFormat="false" ht="15" hidden="false" customHeight="true" outlineLevel="0" collapsed="false">
      <c r="A26" s="1" t="s">
        <v>309</v>
      </c>
      <c r="B26" s="1" t="n">
        <f aca="false">B23+B24-B25</f>
        <v>143968</v>
      </c>
      <c r="C26" s="1" t="n">
        <f aca="false">C23+C24-C25</f>
        <v>143968</v>
      </c>
      <c r="D26" s="1" t="n">
        <f aca="false">D23+D24-D25</f>
        <v>143968</v>
      </c>
      <c r="E26" s="1" t="n">
        <f aca="false">E23+E24-E25</f>
        <v>143968</v>
      </c>
      <c r="F26" s="1" t="n">
        <f aca="false">F23+F24-F25</f>
        <v>143968</v>
      </c>
      <c r="G26" s="1" t="n">
        <f aca="false">G23+G24-G25</f>
        <v>143968</v>
      </c>
      <c r="H26" s="1" t="n">
        <f aca="false">H23+H24-H25</f>
        <v>143968</v>
      </c>
      <c r="I26" s="1" t="n">
        <f aca="false">I23+I24-I25</f>
        <v>143968</v>
      </c>
    </row>
    <row r="28" customFormat="false" ht="15" hidden="false" customHeight="true" outlineLevel="0" collapsed="false">
      <c r="A28" s="1" t="s">
        <v>310</v>
      </c>
    </row>
    <row r="29" customFormat="false" ht="15" hidden="false" customHeight="true" outlineLevel="0" collapsed="false">
      <c r="A29" s="1" t="s">
        <v>311</v>
      </c>
    </row>
    <row r="30" customFormat="false" ht="15" hidden="false" customHeight="true" outlineLevel="0" collapsed="false">
      <c r="A30" s="1" t="s">
        <v>312</v>
      </c>
    </row>
    <row r="32" customFormat="false" ht="15" hidden="false" customHeight="true" outlineLevel="0" collapsed="false">
      <c r="A32" s="3" t="s">
        <v>106</v>
      </c>
    </row>
    <row r="33" customFormat="false" ht="15" hidden="false" customHeight="true" outlineLevel="0" collapsed="false">
      <c r="A33" s="1" t="s">
        <v>313</v>
      </c>
    </row>
    <row r="34" customFormat="false" ht="15" hidden="false" customHeight="true" outlineLevel="0" collapsed="false">
      <c r="A34" s="3" t="s">
        <v>106</v>
      </c>
    </row>
    <row r="35" customFormat="false" ht="15" hidden="false" customHeight="true" outlineLevel="0" collapsed="false">
      <c r="A35" s="4" t="s">
        <v>90</v>
      </c>
      <c r="B35" s="4" t="s">
        <v>249</v>
      </c>
      <c r="C35" s="4" t="s">
        <v>250</v>
      </c>
      <c r="D35" s="4" t="s">
        <v>251</v>
      </c>
      <c r="E35" s="4" t="s">
        <v>252</v>
      </c>
      <c r="F35" s="4" t="s">
        <v>253</v>
      </c>
      <c r="G35" s="4" t="s">
        <v>254</v>
      </c>
      <c r="H35" s="4" t="s">
        <v>255</v>
      </c>
      <c r="I35" s="4" t="s">
        <v>256</v>
      </c>
      <c r="J35" s="4"/>
    </row>
    <row r="36" customFormat="false" ht="15" hidden="false" customHeight="true" outlineLevel="0" collapsed="false">
      <c r="A36" s="1" t="s">
        <v>314</v>
      </c>
      <c r="B36" s="5" t="n">
        <v>0</v>
      </c>
      <c r="C36" s="5" t="n">
        <v>17468</v>
      </c>
      <c r="D36" s="5" t="n">
        <v>61630</v>
      </c>
      <c r="E36" s="5" t="n">
        <v>0</v>
      </c>
      <c r="F36" s="5" t="n">
        <v>11620</v>
      </c>
      <c r="G36" s="5" t="n">
        <v>53250</v>
      </c>
      <c r="H36" s="5" t="n">
        <v>0</v>
      </c>
      <c r="I36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0" min="2" style="1" width="12"/>
  </cols>
  <sheetData>
    <row r="1" customFormat="false" ht="17.25" hidden="false" customHeight="true" outlineLevel="0" collapsed="false">
      <c r="A1" s="2" t="s">
        <v>315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true" outlineLevel="0" collapsed="false">
      <c r="A3" s="3" t="s">
        <v>106</v>
      </c>
    </row>
    <row r="4" customFormat="false" ht="15" hidden="false" customHeight="true" outlineLevel="0" collapsed="false">
      <c r="A4" s="1" t="s">
        <v>316</v>
      </c>
    </row>
    <row r="5" customFormat="false" ht="15" hidden="false" customHeight="true" outlineLevel="0" collapsed="false">
      <c r="A5" s="3" t="s">
        <v>106</v>
      </c>
    </row>
    <row r="6" customFormat="false" ht="15" hidden="false" customHeight="true" outlineLevel="0" collapsed="false">
      <c r="A6" s="1" t="s">
        <v>317</v>
      </c>
      <c r="B6" s="5" t="s">
        <v>318</v>
      </c>
      <c r="C6" s="1" t="s">
        <v>319</v>
      </c>
    </row>
    <row r="7" customFormat="false" ht="15" hidden="false" customHeight="true" outlineLevel="0" collapsed="false">
      <c r="A7" s="1" t="s">
        <v>320</v>
      </c>
      <c r="B7" s="5" t="n">
        <v>50000</v>
      </c>
      <c r="C7" s="1" t="s">
        <v>75</v>
      </c>
      <c r="D7" s="1" t="n">
        <f aca="false">Inputs_Global!B33</f>
        <v>50000</v>
      </c>
    </row>
    <row r="8" customFormat="false" ht="15" hidden="false" customHeight="true" outlineLevel="0" collapsed="false">
      <c r="A8" s="1" t="s">
        <v>321</v>
      </c>
      <c r="B8" s="1" t="n">
        <f aca="false">Inputs_Global!B27</f>
        <v>117216.25</v>
      </c>
      <c r="C8" s="1" t="s">
        <v>75</v>
      </c>
      <c r="D8" s="1" t="n">
        <f aca="false">Inputs_Global!B27</f>
        <v>117216.25</v>
      </c>
    </row>
    <row r="9" customFormat="false" ht="15" hidden="false" customHeight="true" outlineLevel="0" collapsed="false">
      <c r="A9" s="1" t="s">
        <v>322</v>
      </c>
      <c r="B9" s="5" t="n">
        <v>200000</v>
      </c>
      <c r="C9" s="1" t="s">
        <v>75</v>
      </c>
      <c r="D9" s="1" t="s">
        <v>323</v>
      </c>
    </row>
    <row r="11" customFormat="false" ht="15" hidden="false" customHeight="true" outlineLevel="0" collapsed="false">
      <c r="A11" s="3" t="s">
        <v>106</v>
      </c>
    </row>
    <row r="12" customFormat="false" ht="15" hidden="false" customHeight="true" outlineLevel="0" collapsed="false">
      <c r="A12" s="1" t="s">
        <v>324</v>
      </c>
    </row>
    <row r="13" customFormat="false" ht="15" hidden="false" customHeight="true" outlineLevel="0" collapsed="false">
      <c r="A13" s="3" t="s">
        <v>106</v>
      </c>
    </row>
    <row r="14" customFormat="false" ht="15" hidden="false" customHeight="true" outlineLevel="0" collapsed="false">
      <c r="A14" s="1" t="s">
        <v>325</v>
      </c>
    </row>
    <row r="15" customFormat="false" ht="15" hidden="false" customHeight="true" outlineLevel="0" collapsed="false">
      <c r="A15" s="1" t="s">
        <v>326</v>
      </c>
    </row>
    <row r="16" customFormat="false" ht="15" hidden="false" customHeight="true" outlineLevel="0" collapsed="false">
      <c r="A16" s="1" t="s">
        <v>327</v>
      </c>
    </row>
    <row r="17" customFormat="false" ht="15" hidden="false" customHeight="true" outlineLevel="0" collapsed="false">
      <c r="A17" s="1" t="s">
        <v>328</v>
      </c>
    </row>
    <row r="18" customFormat="false" ht="15" hidden="false" customHeight="true" outlineLevel="0" collapsed="false">
      <c r="A18" s="1" t="s">
        <v>329</v>
      </c>
    </row>
    <row r="19" customFormat="false" ht="15" hidden="false" customHeight="true" outlineLevel="0" collapsed="false">
      <c r="A19" s="1" t="s">
        <v>330</v>
      </c>
    </row>
    <row r="20" customFormat="false" ht="15" hidden="false" customHeight="true" outlineLevel="0" collapsed="false">
      <c r="A20" s="1" t="s">
        <v>331</v>
      </c>
    </row>
    <row r="22" customFormat="false" ht="15" hidden="false" customHeight="true" outlineLevel="0" collapsed="false">
      <c r="A22" s="3" t="s">
        <v>106</v>
      </c>
    </row>
    <row r="23" customFormat="false" ht="15" hidden="false" customHeight="true" outlineLevel="0" collapsed="false">
      <c r="A23" s="1" t="s">
        <v>332</v>
      </c>
    </row>
    <row r="24" customFormat="false" ht="15" hidden="false" customHeight="true" outlineLevel="0" collapsed="false">
      <c r="A24" s="3" t="s">
        <v>106</v>
      </c>
    </row>
    <row r="25" customFormat="false" ht="15" hidden="false" customHeight="true" outlineLevel="0" collapsed="false">
      <c r="A25" s="4"/>
      <c r="B25" s="4" t="s">
        <v>249</v>
      </c>
      <c r="C25" s="4" t="s">
        <v>250</v>
      </c>
      <c r="D25" s="4" t="s">
        <v>251</v>
      </c>
      <c r="E25" s="4" t="s">
        <v>252</v>
      </c>
      <c r="F25" s="4" t="s">
        <v>253</v>
      </c>
      <c r="G25" s="4" t="s">
        <v>254</v>
      </c>
      <c r="H25" s="4" t="s">
        <v>255</v>
      </c>
      <c r="I25" s="4" t="s">
        <v>256</v>
      </c>
      <c r="J25" s="4"/>
    </row>
    <row r="26" customFormat="false" ht="15" hidden="false" customHeight="true" outlineLevel="0" collapsed="false">
      <c r="A26" s="1" t="s">
        <v>333</v>
      </c>
      <c r="B26" s="1" t="n">
        <f aca="false">Subperiod_CashFlow!B35</f>
        <v>10525.6175716705</v>
      </c>
      <c r="C26" s="1" t="n">
        <f aca="false">Subperiod_CashFlow!C35</f>
        <v>-29370.7648566589</v>
      </c>
      <c r="D26" s="1" t="n">
        <f aca="false">Subperiod_CashFlow!D35</f>
        <v>-39896.3824283295</v>
      </c>
      <c r="E26" s="1" t="n">
        <f aca="false">Subperiod_CashFlow!E35</f>
        <v>-39896.3824283295</v>
      </c>
      <c r="F26" s="1" t="n">
        <f aca="false">Subperiod_CashFlow!F35</f>
        <v>-39896.3824283295</v>
      </c>
      <c r="G26" s="1" t="n">
        <f aca="false">Subperiod_CashFlow!G35</f>
        <v>-39896.3824283295</v>
      </c>
      <c r="H26" s="1" t="n">
        <f aca="false">Subperiod_CashFlow!H35</f>
        <v>-39896.3824283295</v>
      </c>
      <c r="I26" s="1" t="n">
        <f aca="false">Subperiod_CashFlow!I35</f>
        <v>-39896.3824283295</v>
      </c>
    </row>
    <row r="27" customFormat="false" ht="15" hidden="false" customHeight="true" outlineLevel="0" collapsed="false">
      <c r="A27" s="1" t="s">
        <v>334</v>
      </c>
      <c r="B27" s="1" t="n">
        <f aca="false">IF(B26&lt;$B$7,$B$7-B26,0)</f>
        <v>39474.3824283295</v>
      </c>
      <c r="C27" s="1" t="n">
        <f aca="false">IF(C26&lt;$B$7,$B$7-C26,0)</f>
        <v>79370.7648566589</v>
      </c>
      <c r="D27" s="1" t="n">
        <f aca="false">IF(D26&lt;$B$7,$B$7-D26,0)</f>
        <v>89896.3824283295</v>
      </c>
      <c r="E27" s="1" t="n">
        <f aca="false">IF(E26&lt;$B$7,$B$7-E26,0)</f>
        <v>89896.3824283295</v>
      </c>
      <c r="F27" s="1" t="n">
        <f aca="false">IF(F26&lt;$B$7,$B$7-F26,0)</f>
        <v>89896.3824283295</v>
      </c>
      <c r="G27" s="1" t="n">
        <f aca="false">IF(G26&lt;$B$7,$B$7-G26,0)</f>
        <v>89896.3824283295</v>
      </c>
      <c r="H27" s="1" t="n">
        <f aca="false">IF(H26&lt;$B$7,$B$7-H26,0)</f>
        <v>89896.3824283295</v>
      </c>
      <c r="I27" s="1" t="n">
        <f aca="false">IF(I26&lt;$B$7,$B$7-I26,0)</f>
        <v>89896.3824283295</v>
      </c>
    </row>
    <row r="28" customFormat="false" ht="15" hidden="false" customHeight="true" outlineLevel="0" collapsed="false">
      <c r="A28" s="1" t="s">
        <v>335</v>
      </c>
      <c r="B28" s="1" t="n">
        <f aca="false">IF(B26&gt;$B$7,B26-$B$7,0)</f>
        <v>0</v>
      </c>
      <c r="C28" s="1" t="n">
        <f aca="false">IF(C26&gt;$B$7,C26-$B$7,0)</f>
        <v>0</v>
      </c>
      <c r="D28" s="1" t="n">
        <f aca="false">IF(D26&gt;$B$7,D26-$B$7,0)</f>
        <v>0</v>
      </c>
      <c r="E28" s="1" t="n">
        <f aca="false">IF(E26&gt;$B$7,E26-$B$7,0)</f>
        <v>0</v>
      </c>
      <c r="F28" s="1" t="n">
        <f aca="false">IF(F26&gt;$B$7,F26-$B$7,0)</f>
        <v>0</v>
      </c>
      <c r="G28" s="1" t="n">
        <f aca="false">IF(G26&gt;$B$7,G26-$B$7,0)</f>
        <v>0</v>
      </c>
      <c r="H28" s="1" t="n">
        <f aca="false">IF(H26&gt;$B$7,H26-$B$7,0)</f>
        <v>0</v>
      </c>
      <c r="I28" s="1" t="n">
        <f aca="false">IF(I26&gt;$B$7,I26-$B$7,0)</f>
        <v>0</v>
      </c>
    </row>
    <row r="30" customFormat="false" ht="15" hidden="false" customHeight="true" outlineLevel="0" collapsed="false">
      <c r="A30" s="3" t="s">
        <v>106</v>
      </c>
    </row>
    <row r="31" customFormat="false" ht="15" hidden="false" customHeight="true" outlineLevel="0" collapsed="false">
      <c r="A31" s="1" t="s">
        <v>336</v>
      </c>
    </row>
    <row r="32" customFormat="false" ht="15" hidden="false" customHeight="true" outlineLevel="0" collapsed="false">
      <c r="A32" s="3" t="s">
        <v>106</v>
      </c>
    </row>
    <row r="33" customFormat="false" ht="15" hidden="false" customHeight="true" outlineLevel="0" collapsed="false">
      <c r="A33" s="4"/>
      <c r="B33" s="4" t="s">
        <v>249</v>
      </c>
      <c r="C33" s="4" t="s">
        <v>250</v>
      </c>
      <c r="D33" s="4" t="s">
        <v>251</v>
      </c>
      <c r="E33" s="4" t="s">
        <v>252</v>
      </c>
      <c r="F33" s="4" t="s">
        <v>253</v>
      </c>
      <c r="G33" s="4" t="s">
        <v>254</v>
      </c>
      <c r="H33" s="4" t="s">
        <v>255</v>
      </c>
      <c r="I33" s="4" t="s">
        <v>256</v>
      </c>
      <c r="J33" s="4" t="s">
        <v>257</v>
      </c>
    </row>
    <row r="34" customFormat="false" ht="15" hidden="false" customHeight="true" outlineLevel="0" collapsed="false">
      <c r="A34" s="1" t="s">
        <v>337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f aca="false">SUM(B34:I34)</f>
        <v>0</v>
      </c>
    </row>
    <row r="35" customFormat="false" ht="15" hidden="false" customHeight="true" outlineLevel="0" collapsed="false">
      <c r="A35" s="1" t="s">
        <v>338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f aca="false">SUM(B35:I35)</f>
        <v>0</v>
      </c>
    </row>
    <row r="37" customFormat="false" ht="15" hidden="false" customHeight="true" outlineLevel="0" collapsed="false">
      <c r="A37" s="3" t="s">
        <v>106</v>
      </c>
    </row>
    <row r="38" customFormat="false" ht="15" hidden="false" customHeight="true" outlineLevel="0" collapsed="false">
      <c r="A38" s="1" t="s">
        <v>339</v>
      </c>
    </row>
    <row r="39" customFormat="false" ht="15" hidden="false" customHeight="true" outlineLevel="0" collapsed="false">
      <c r="A39" s="3" t="s">
        <v>106</v>
      </c>
    </row>
    <row r="40" customFormat="false" ht="15" hidden="false" customHeight="true" outlineLevel="0" collapsed="false">
      <c r="A40" s="1" t="s">
        <v>340</v>
      </c>
    </row>
    <row r="41" customFormat="false" ht="15" hidden="false" customHeight="true" outlineLevel="0" collapsed="false">
      <c r="A41" s="1" t="s">
        <v>341</v>
      </c>
    </row>
    <row r="42" customFormat="false" ht="15" hidden="false" customHeight="true" outlineLevel="0" collapsed="false">
      <c r="A42" s="1" t="s">
        <v>342</v>
      </c>
    </row>
    <row r="43" customFormat="false" ht="15" hidden="false" customHeight="true" outlineLevel="0" collapsed="false">
      <c r="A43" s="1" t="s">
        <v>343</v>
      </c>
    </row>
    <row r="44" customFormat="false" ht="15" hidden="false" customHeight="true" outlineLevel="0" collapsed="false">
      <c r="A44" s="1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  <col collapsed="false" customWidth="true" hidden="false" outlineLevel="0" max="4" min="3" style="1" width="15"/>
    <col collapsed="false" customWidth="true" hidden="false" outlineLevel="0" max="5" min="5" style="1" width="35"/>
  </cols>
  <sheetData>
    <row r="1" customFormat="false" ht="17.25" hidden="false" customHeight="true" outlineLevel="0" collapsed="false">
      <c r="A1" s="2" t="s">
        <v>345</v>
      </c>
      <c r="B1" s="2"/>
      <c r="C1" s="2"/>
      <c r="D1" s="2"/>
      <c r="E1" s="2"/>
    </row>
    <row r="3" customFormat="false" ht="15" hidden="false" customHeight="true" outlineLevel="0" collapsed="false">
      <c r="A3" s="3" t="s">
        <v>346</v>
      </c>
    </row>
    <row r="4" customFormat="false" ht="15" hidden="false" customHeight="true" outlineLevel="0" collapsed="false">
      <c r="A4" s="1" t="s">
        <v>347</v>
      </c>
    </row>
    <row r="5" customFormat="false" ht="15" hidden="false" customHeight="true" outlineLevel="0" collapsed="false">
      <c r="A5" s="3" t="s">
        <v>346</v>
      </c>
    </row>
    <row r="6" customFormat="false" ht="15" hidden="false" customHeight="true" outlineLevel="0" collapsed="false">
      <c r="A6" s="4" t="s">
        <v>348</v>
      </c>
      <c r="B6" s="4" t="s">
        <v>55</v>
      </c>
      <c r="C6" s="4" t="s">
        <v>349</v>
      </c>
      <c r="D6" s="4" t="s">
        <v>246</v>
      </c>
      <c r="E6" s="4" t="s">
        <v>57</v>
      </c>
    </row>
    <row r="8" customFormat="false" ht="15" hidden="false" customHeight="true" outlineLevel="0" collapsed="false">
      <c r="A8" s="1" t="s">
        <v>350</v>
      </c>
      <c r="B8" s="1" t="n">
        <f aca="false">MIN(Subperiod_CashFlow!B37:I37)</f>
        <v>0</v>
      </c>
      <c r="C8" s="1" t="s">
        <v>351</v>
      </c>
      <c r="D8" s="6" t="str">
        <f aca="false">IF(B8&lt;0,"EMERGENCY!",IF(B8&lt;50000,"LOW","OK"))</f>
        <v>LOW</v>
      </c>
      <c r="E8" s="1" t="s">
        <v>352</v>
      </c>
    </row>
    <row r="9" customFormat="false" ht="15" hidden="false" customHeight="true" outlineLevel="0" collapsed="false">
      <c r="A9" s="1" t="s">
        <v>353</v>
      </c>
    </row>
    <row r="10" customFormat="false" ht="15" hidden="false" customHeight="true" outlineLevel="0" collapsed="false">
      <c r="A10" s="1" t="s">
        <v>354</v>
      </c>
      <c r="B10" s="1" t="n">
        <f aca="false">Subperiod_CashFlow!I37</f>
        <v>0</v>
      </c>
      <c r="C10" s="1" t="s">
        <v>355</v>
      </c>
      <c r="D10" s="1" t="str">
        <f aca="false">IF(B10&lt;50000,"LOW","OK")</f>
        <v>LOW</v>
      </c>
      <c r="E10" s="1" t="s">
        <v>356</v>
      </c>
    </row>
    <row r="12" customFormat="false" ht="15" hidden="false" customHeight="true" outlineLevel="0" collapsed="false">
      <c r="A12" s="1" t="s">
        <v>357</v>
      </c>
      <c r="B12" s="1" t="n">
        <f aca="false">MAX(Subperiod_CashFlow!B40:I40)</f>
        <v>113000</v>
      </c>
      <c r="C12" s="1" t="s">
        <v>358</v>
      </c>
      <c r="D12" s="1" t="str">
        <f aca="false">IF(B12&gt;230000,"OVER LIMIT!","OK")</f>
        <v>OK</v>
      </c>
      <c r="E12" s="1" t="s">
        <v>359</v>
      </c>
    </row>
    <row r="13" customFormat="false" ht="15" hidden="false" customHeight="true" outlineLevel="0" collapsed="false">
      <c r="A13" s="1" t="s">
        <v>360</v>
      </c>
      <c r="B13" s="1" t="n">
        <f aca="false">Inputs_Global!B25-B12</f>
        <v>117216.25</v>
      </c>
      <c r="C13" s="1" t="s">
        <v>351</v>
      </c>
      <c r="D13" s="1" t="str">
        <f aca="false">IF(B13&lt;0,"NO HEADROOM","OK")</f>
        <v>OK</v>
      </c>
      <c r="E13" s="1" t="s">
        <v>361</v>
      </c>
    </row>
    <row r="14" customFormat="false" ht="15" hidden="false" customHeight="true" outlineLevel="0" collapsed="false">
      <c r="A14" s="1" t="s">
        <v>362</v>
      </c>
      <c r="B14" s="1" t="n">
        <f aca="false">AVERAGE(Subperiod_CashFlow!B41:I41)</f>
        <v>200000</v>
      </c>
      <c r="E14" s="1" t="s">
        <v>363</v>
      </c>
    </row>
    <row r="16" customFormat="false" ht="15" hidden="false" customHeight="true" outlineLevel="0" collapsed="false">
      <c r="A16" s="1" t="s">
        <v>364</v>
      </c>
      <c r="B16" s="1" t="n">
        <f aca="false">-Subperiod_CashFlow!J25</f>
        <v>10834.4618229212</v>
      </c>
      <c r="E16" s="1" t="s">
        <v>365</v>
      </c>
    </row>
    <row r="17" customFormat="false" ht="15" hidden="false" customHeight="true" outlineLevel="0" collapsed="false">
      <c r="A17" s="1" t="s">
        <v>366</v>
      </c>
      <c r="B17" s="1" t="n">
        <f aca="false">-Initial_CashFlow!B31</f>
        <v>-30000</v>
      </c>
      <c r="E17" s="1" t="s">
        <v>367</v>
      </c>
    </row>
    <row r="18" customFormat="false" ht="15" hidden="false" customHeight="true" outlineLevel="0" collapsed="false">
      <c r="A18" s="1" t="s">
        <v>368</v>
      </c>
      <c r="B18" s="1" t="n">
        <f aca="false">SUMPRODUCT(Subperiod_CashFlow!B36:I36)*Inputs_Global!B17</f>
        <v>80624.7178279907</v>
      </c>
      <c r="E18" s="1" t="s">
        <v>369</v>
      </c>
    </row>
    <row r="19" customFormat="false" ht="15" hidden="false" customHeight="true" outlineLevel="0" collapsed="false">
      <c r="A19" s="1" t="s">
        <v>370</v>
      </c>
      <c r="B19" s="1" t="n">
        <f aca="false">Subperiod_CashFlow!J8</f>
        <v>7863.40239628558</v>
      </c>
      <c r="E19" s="1" t="s">
        <v>371</v>
      </c>
    </row>
    <row r="20" customFormat="false" ht="15" hidden="false" customHeight="true" outlineLevel="0" collapsed="false">
      <c r="A20" s="1" t="s">
        <v>344</v>
      </c>
      <c r="B20" s="1" t="n">
        <f aca="false">B16+B17+B18-B19</f>
        <v>53595.7772546263</v>
      </c>
    </row>
    <row r="22" customFormat="false" ht="15" hidden="false" customHeight="true" outlineLevel="0" collapsed="false">
      <c r="A22" s="3" t="s">
        <v>346</v>
      </c>
    </row>
    <row r="23" customFormat="false" ht="15" hidden="false" customHeight="true" outlineLevel="0" collapsed="false">
      <c r="A23" s="1" t="s">
        <v>372</v>
      </c>
    </row>
    <row r="24" customFormat="false" ht="15" hidden="false" customHeight="true" outlineLevel="0" collapsed="false">
      <c r="A24" s="3" t="s">
        <v>346</v>
      </c>
    </row>
    <row r="25" customFormat="false" ht="15" hidden="false" customHeight="true" outlineLevel="0" collapsed="false">
      <c r="A25" s="1" t="s">
        <v>373</v>
      </c>
      <c r="B25" s="1" t="n">
        <f aca="false">B20/Inputs_Commercial!D32</f>
        <v>0.0500418656572676</v>
      </c>
      <c r="C25" s="1" t="s">
        <v>374</v>
      </c>
      <c r="D25" s="1" t="str">
        <f aca="false">IF(B25&gt;0.05,"HIGH","OK")</f>
        <v>HIGH</v>
      </c>
      <c r="E25" s="1" t="s">
        <v>375</v>
      </c>
    </row>
    <row r="26" customFormat="false" ht="15" hidden="false" customHeight="true" outlineLevel="0" collapsed="false">
      <c r="A26" s="1" t="s">
        <v>376</v>
      </c>
      <c r="C26" s="1" t="s">
        <v>377</v>
      </c>
      <c r="E26" s="1" t="s">
        <v>378</v>
      </c>
    </row>
    <row r="28" customFormat="false" ht="15" hidden="false" customHeight="true" outlineLevel="0" collapsed="false">
      <c r="A28" s="3" t="s">
        <v>346</v>
      </c>
    </row>
    <row r="29" customFormat="false" ht="15" hidden="false" customHeight="true" outlineLevel="0" collapsed="false">
      <c r="A29" s="1" t="s">
        <v>379</v>
      </c>
    </row>
    <row r="30" customFormat="false" ht="15" hidden="false" customHeight="true" outlineLevel="0" collapsed="false">
      <c r="A30" s="3" t="s">
        <v>346</v>
      </c>
    </row>
    <row r="31" customFormat="false" ht="15" hidden="false" customHeight="true" outlineLevel="0" collapsed="false">
      <c r="A31" s="1" t="s">
        <v>380</v>
      </c>
      <c r="B31" s="3" t="str">
        <f aca="false">IF(B8&lt;0,"ROJO - EMERGENCIA",IF(B8&lt;Inputs_Global!B33,"AMARILLO - ATENCIÓN","VERDE - OK"))</f>
        <v>AMARILLO - ATENCIÓN</v>
      </c>
    </row>
    <row r="33" customFormat="false" ht="15" hidden="false" customHeight="true" outlineLevel="0" collapsed="false">
      <c r="A33" s="1" t="s">
        <v>381</v>
      </c>
      <c r="E33" s="1" t="s">
        <v>382</v>
      </c>
    </row>
    <row r="34" customFormat="false" ht="15" hidden="false" customHeight="true" outlineLevel="0" collapsed="false">
      <c r="A34" s="1" t="s">
        <v>383</v>
      </c>
      <c r="E34" s="1" t="s">
        <v>384</v>
      </c>
    </row>
    <row r="35" customFormat="false" ht="15" hidden="false" customHeight="true" outlineLevel="0" collapsed="false">
      <c r="A35" s="1" t="s">
        <v>385</v>
      </c>
      <c r="E35" s="1" t="s">
        <v>386</v>
      </c>
    </row>
    <row r="37" customFormat="false" ht="15" hidden="false" customHeight="true" outlineLevel="0" collapsed="false">
      <c r="A37" s="3" t="s">
        <v>346</v>
      </c>
    </row>
    <row r="38" customFormat="false" ht="15" hidden="false" customHeight="true" outlineLevel="0" collapsed="false">
      <c r="A38" s="1" t="s">
        <v>387</v>
      </c>
    </row>
    <row r="39" customFormat="false" ht="15" hidden="false" customHeight="true" outlineLevel="0" collapsed="false">
      <c r="A39" s="3" t="s">
        <v>346</v>
      </c>
    </row>
    <row r="40" customFormat="false" ht="15" hidden="false" customHeight="true" outlineLevel="0" collapsed="false">
      <c r="A40" s="1" t="s">
        <v>388</v>
      </c>
      <c r="B40" s="1" t="n">
        <f aca="false">AR_AP_Schedule!I10</f>
        <v>295885</v>
      </c>
      <c r="E40" s="1" t="s">
        <v>389</v>
      </c>
    </row>
    <row r="41" customFormat="false" ht="15" hidden="false" customHeight="true" outlineLevel="0" collapsed="false">
      <c r="A41" s="1" t="s">
        <v>390</v>
      </c>
      <c r="B41" s="1" t="n">
        <f aca="false">AR_AP_Schedule!I26</f>
        <v>143968</v>
      </c>
      <c r="E41" s="1" t="s">
        <v>389</v>
      </c>
    </row>
    <row r="42" customFormat="false" ht="15" hidden="false" customHeight="true" outlineLevel="0" collapsed="false">
      <c r="A42" s="1" t="s">
        <v>391</v>
      </c>
      <c r="B42" s="1" t="n">
        <f aca="false">B40-B41</f>
        <v>151917</v>
      </c>
    </row>
    <row r="44" customFormat="false" ht="15" hidden="false" customHeight="true" outlineLevel="0" collapsed="false">
      <c r="A44" s="3" t="s">
        <v>346</v>
      </c>
    </row>
    <row r="45" customFormat="false" ht="15" hidden="false" customHeight="true" outlineLevel="0" collapsed="false">
      <c r="A45" s="1" t="s">
        <v>392</v>
      </c>
    </row>
    <row r="46" customFormat="false" ht="15" hidden="false" customHeight="true" outlineLevel="0" collapsed="false">
      <c r="A46" s="3" t="s">
        <v>346</v>
      </c>
    </row>
    <row r="47" customFormat="false" ht="15" hidden="false" customHeight="true" outlineLevel="0" collapsed="false">
      <c r="A47" s="1" t="s">
        <v>393</v>
      </c>
    </row>
    <row r="48" customFormat="false" ht="15" hidden="false" customHeight="true" outlineLevel="0" collapsed="false">
      <c r="A48" s="1" t="s">
        <v>394</v>
      </c>
    </row>
    <row r="49" customFormat="false" ht="15" hidden="false" customHeight="true" outlineLevel="0" collapsed="false">
      <c r="A49" s="1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</cols>
  <sheetData>
    <row r="1" customFormat="false" ht="17.25" hidden="false" customHeight="true" outlineLevel="0" collapsed="false">
      <c r="A1" s="2" t="s">
        <v>396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true" outlineLevel="0" collapsed="false">
      <c r="A3" s="1" t="s">
        <v>397</v>
      </c>
    </row>
    <row r="4" customFormat="false" ht="15" hidden="false" customHeight="true" outlineLevel="0" collapsed="false">
      <c r="A4" s="1" t="s">
        <v>398</v>
      </c>
    </row>
    <row r="5" customFormat="false" ht="15" hidden="false" customHeight="true" outlineLevel="0" collapsed="false">
      <c r="A5" s="1" t="s">
        <v>399</v>
      </c>
    </row>
    <row r="6" customFormat="false" ht="15" hidden="false" customHeight="true" outlineLevel="0" collapsed="false">
      <c r="A6" s="1" t="s">
        <v>400</v>
      </c>
    </row>
    <row r="8" customFormat="false" ht="15" hidden="false" customHeight="true" outlineLevel="0" collapsed="false">
      <c r="A8" s="3" t="s">
        <v>106</v>
      </c>
    </row>
    <row r="9" customFormat="false" ht="15" hidden="false" customHeight="true" outlineLevel="0" collapsed="false">
      <c r="A9" s="1" t="s">
        <v>401</v>
      </c>
    </row>
    <row r="10" customFormat="false" ht="15" hidden="false" customHeight="true" outlineLevel="0" collapsed="false">
      <c r="A10" s="3" t="s">
        <v>106</v>
      </c>
    </row>
    <row r="21" customFormat="false" ht="15" hidden="false" customHeight="true" outlineLevel="0" collapsed="false">
      <c r="A21" s="3" t="s">
        <v>106</v>
      </c>
    </row>
    <row r="22" customFormat="false" ht="15" hidden="false" customHeight="true" outlineLevel="0" collapsed="false">
      <c r="A22" s="1" t="s">
        <v>402</v>
      </c>
    </row>
    <row r="23" customFormat="false" ht="15" hidden="false" customHeight="true" outlineLevel="0" collapsed="false">
      <c r="A23" s="3" t="s">
        <v>106</v>
      </c>
    </row>
    <row r="36" customFormat="false" ht="15" hidden="false" customHeight="true" outlineLevel="0" collapsed="false">
      <c r="A36" s="3" t="s">
        <v>106</v>
      </c>
    </row>
    <row r="37" customFormat="false" ht="15" hidden="false" customHeight="true" outlineLevel="0" collapsed="false">
      <c r="A37" s="1" t="s">
        <v>403</v>
      </c>
    </row>
    <row r="38" customFormat="false" ht="15" hidden="false" customHeight="true" outlineLevel="0" collapsed="false">
      <c r="A38" s="3" t="s">
        <v>106</v>
      </c>
    </row>
    <row r="41" customFormat="false" ht="15" hidden="false" customHeight="true" outlineLevel="0" collapsed="false">
      <c r="A41" s="3" t="s">
        <v>106</v>
      </c>
    </row>
    <row r="42" customFormat="false" ht="15" hidden="false" customHeight="true" outlineLevel="0" collapsed="false">
      <c r="A42" s="1" t="s">
        <v>404</v>
      </c>
    </row>
    <row r="43" customFormat="false" ht="15" hidden="false" customHeight="true" outlineLevel="0" collapsed="false">
      <c r="A43" s="3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2026-01-13T19:20:56Z</dcterms:created>
  <dc:creator>openpyxl</dc:creator>
  <dc:description/>
  <dc:language>en-US</dc:language>
  <cp:lastModifiedBy/>
  <dcterms:modified xsi:type="dcterms:W3CDTF">2026-01-13T19:21:16Z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