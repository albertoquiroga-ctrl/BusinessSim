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Logistics/"/>
    </mc:Choice>
  </mc:AlternateContent>
  <xr:revisionPtr revIDLastSave="3" documentId="11_B438D64092D298D52C54B18CE1EE53AFFD4BF492" xr6:coauthVersionLast="47" xr6:coauthVersionMax="47" xr10:uidLastSave="{29AB298F-2098-4492-AE16-5018ECBEF38E}"/>
  <bookViews>
    <workbookView xWindow="-108" yWindow="-108" windowWidth="23256" windowHeight="12456" tabRatio="500" activeTab="3" xr2:uid="{00000000-000D-0000-FFFF-FFFF00000000}"/>
  </bookViews>
  <sheets>
    <sheet name="Inputs_Global" sheetId="1" r:id="rId1"/>
    <sheet name="Demand_Forecast" sheetId="2" r:id="rId2"/>
    <sheet name="Production_Supply" sheetId="3" r:id="rId3"/>
    <sheet name="Transport_Costs" sheetId="4" r:id="rId4"/>
    <sheet name="LeadTime_Probs" sheetId="5" r:id="rId5"/>
    <sheet name="ShipPlan" sheetId="6" r:id="rId6"/>
    <sheet name="Arrivals" sheetId="7" r:id="rId7"/>
    <sheet name="Warehouse_Capacity" sheetId="8" r:id="rId8"/>
    <sheet name="Inventory_Flow" sheetId="9" r:id="rId9"/>
    <sheet name="KPIs" sheetId="10" r:id="rId10"/>
    <sheet name="Dashboard" sheetId="11" r:id="rId11"/>
    <sheet name="README" sheetId="12" r:id="rId12"/>
  </sheets>
  <calcPr calcId="191029" iterate="1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11" l="1"/>
  <c r="H30" i="11"/>
  <c r="G30" i="11"/>
  <c r="F30" i="11"/>
  <c r="E30" i="11"/>
  <c r="D30" i="11"/>
  <c r="C30" i="11"/>
  <c r="B30" i="11"/>
  <c r="J30" i="11" s="1"/>
  <c r="I29" i="11"/>
  <c r="H29" i="11"/>
  <c r="G29" i="11"/>
  <c r="F29" i="11"/>
  <c r="D29" i="11"/>
  <c r="A18" i="11"/>
  <c r="A17" i="11"/>
  <c r="A16" i="11"/>
  <c r="A15" i="11"/>
  <c r="A14" i="11"/>
  <c r="D7" i="10"/>
  <c r="B18" i="11" s="1"/>
  <c r="C7" i="10"/>
  <c r="B7" i="10"/>
  <c r="C6" i="10"/>
  <c r="B6" i="10"/>
  <c r="D6" i="10" s="1"/>
  <c r="B17" i="11" s="1"/>
  <c r="C5" i="10"/>
  <c r="B5" i="10"/>
  <c r="D5" i="10" s="1"/>
  <c r="B16" i="11" s="1"/>
  <c r="D4" i="10"/>
  <c r="B15" i="11" s="1"/>
  <c r="C4" i="10"/>
  <c r="B4" i="10"/>
  <c r="C3" i="10"/>
  <c r="C8" i="10" s="1"/>
  <c r="O41" i="9"/>
  <c r="I41" i="9"/>
  <c r="H41" i="9"/>
  <c r="D41" i="9"/>
  <c r="I40" i="9"/>
  <c r="H40" i="9"/>
  <c r="D40" i="9"/>
  <c r="I39" i="9"/>
  <c r="H39" i="9"/>
  <c r="D39" i="9"/>
  <c r="I38" i="9"/>
  <c r="H38" i="9"/>
  <c r="D38" i="9"/>
  <c r="I37" i="9"/>
  <c r="H37" i="9"/>
  <c r="D37" i="9"/>
  <c r="I36" i="9"/>
  <c r="H36" i="9"/>
  <c r="D36" i="9"/>
  <c r="I35" i="9"/>
  <c r="H35" i="9"/>
  <c r="D35" i="9"/>
  <c r="I34" i="9"/>
  <c r="H34" i="9"/>
  <c r="D34" i="9"/>
  <c r="C34" i="9"/>
  <c r="O33" i="9"/>
  <c r="I33" i="9"/>
  <c r="H33" i="9"/>
  <c r="D33" i="9"/>
  <c r="I32" i="9"/>
  <c r="H32" i="9"/>
  <c r="D32" i="9"/>
  <c r="I31" i="9"/>
  <c r="H31" i="9"/>
  <c r="D31" i="9"/>
  <c r="I30" i="9"/>
  <c r="H30" i="9"/>
  <c r="D30" i="9"/>
  <c r="I29" i="9"/>
  <c r="H29" i="9"/>
  <c r="D29" i="9"/>
  <c r="I28" i="9"/>
  <c r="H28" i="9"/>
  <c r="D28" i="9"/>
  <c r="I27" i="9"/>
  <c r="H27" i="9"/>
  <c r="D27" i="9"/>
  <c r="I26" i="9"/>
  <c r="H26" i="9"/>
  <c r="D26" i="9"/>
  <c r="C26" i="9"/>
  <c r="O25" i="9"/>
  <c r="I25" i="9"/>
  <c r="H25" i="9"/>
  <c r="D25" i="9"/>
  <c r="I24" i="9"/>
  <c r="H24" i="9"/>
  <c r="D24" i="9"/>
  <c r="I23" i="9"/>
  <c r="H23" i="9"/>
  <c r="D23" i="9"/>
  <c r="I22" i="9"/>
  <c r="H22" i="9"/>
  <c r="D22" i="9"/>
  <c r="I21" i="9"/>
  <c r="H21" i="9"/>
  <c r="D21" i="9"/>
  <c r="I20" i="9"/>
  <c r="H20" i="9"/>
  <c r="D20" i="9"/>
  <c r="I19" i="9"/>
  <c r="H19" i="9"/>
  <c r="D19" i="9"/>
  <c r="I18" i="9"/>
  <c r="H18" i="9"/>
  <c r="D18" i="9"/>
  <c r="C18" i="9"/>
  <c r="O17" i="9"/>
  <c r="I17" i="9"/>
  <c r="H17" i="9"/>
  <c r="D17" i="9"/>
  <c r="I16" i="9"/>
  <c r="H16" i="9"/>
  <c r="D16" i="9"/>
  <c r="I15" i="9"/>
  <c r="H15" i="9"/>
  <c r="D15" i="9"/>
  <c r="I14" i="9"/>
  <c r="H14" i="9"/>
  <c r="D14" i="9"/>
  <c r="I13" i="9"/>
  <c r="H13" i="9"/>
  <c r="D13" i="9"/>
  <c r="O12" i="9"/>
  <c r="I12" i="9"/>
  <c r="H12" i="9"/>
  <c r="D12" i="9"/>
  <c r="I11" i="9"/>
  <c r="H11" i="9"/>
  <c r="D11" i="9"/>
  <c r="I10" i="9"/>
  <c r="H10" i="9"/>
  <c r="D10" i="9"/>
  <c r="C10" i="9"/>
  <c r="O9" i="9"/>
  <c r="I9" i="9"/>
  <c r="H9" i="9"/>
  <c r="D9" i="9"/>
  <c r="I8" i="9"/>
  <c r="H8" i="9"/>
  <c r="D8" i="9"/>
  <c r="I7" i="9"/>
  <c r="H7" i="9"/>
  <c r="D7" i="9"/>
  <c r="I6" i="9"/>
  <c r="H6" i="9"/>
  <c r="D6" i="9"/>
  <c r="H5" i="9"/>
  <c r="D5" i="9"/>
  <c r="O4" i="9"/>
  <c r="I4" i="9"/>
  <c r="H4" i="9"/>
  <c r="D4" i="9"/>
  <c r="H3" i="9"/>
  <c r="D3" i="9"/>
  <c r="O2" i="9"/>
  <c r="H2" i="9"/>
  <c r="D2" i="9"/>
  <c r="C2" i="9"/>
  <c r="C6" i="8"/>
  <c r="O37" i="9" s="1"/>
  <c r="C5" i="8"/>
  <c r="O29" i="9" s="1"/>
  <c r="C4" i="8"/>
  <c r="C3" i="8"/>
  <c r="O13" i="9" s="1"/>
  <c r="C2" i="8"/>
  <c r="O5" i="9" s="1"/>
  <c r="C19" i="7"/>
  <c r="B19" i="7"/>
  <c r="C18" i="7"/>
  <c r="B18" i="7"/>
  <c r="C17" i="7"/>
  <c r="B17" i="7"/>
  <c r="C16" i="7"/>
  <c r="B16" i="7"/>
  <c r="C15" i="7"/>
  <c r="B15" i="7"/>
  <c r="I10" i="7"/>
  <c r="H10" i="7"/>
  <c r="G10" i="7"/>
  <c r="F10" i="7"/>
  <c r="E10" i="7"/>
  <c r="D10" i="7"/>
  <c r="C10" i="7"/>
  <c r="B10" i="7"/>
  <c r="J10" i="7" s="1"/>
  <c r="I9" i="7"/>
  <c r="H9" i="7"/>
  <c r="G9" i="7"/>
  <c r="F9" i="7"/>
  <c r="E9" i="7"/>
  <c r="D9" i="7"/>
  <c r="C9" i="7"/>
  <c r="B9" i="7"/>
  <c r="J9" i="7" s="1"/>
  <c r="I6" i="7"/>
  <c r="H6" i="7"/>
  <c r="H24" i="7" s="1"/>
  <c r="E8" i="9" s="1"/>
  <c r="F8" i="9" s="1"/>
  <c r="G6" i="7"/>
  <c r="F6" i="7"/>
  <c r="E6" i="7"/>
  <c r="D6" i="7"/>
  <c r="C6" i="7"/>
  <c r="B6" i="7"/>
  <c r="J6" i="7" s="1"/>
  <c r="B1" i="7"/>
  <c r="N4" i="6"/>
  <c r="L4" i="6"/>
  <c r="K4" i="6"/>
  <c r="H4" i="6"/>
  <c r="I4" i="6" s="1"/>
  <c r="J4" i="6" s="1"/>
  <c r="N3" i="6"/>
  <c r="K3" i="6"/>
  <c r="L3" i="6" s="1"/>
  <c r="H3" i="6"/>
  <c r="I3" i="6" s="1"/>
  <c r="J3" i="6" s="1"/>
  <c r="N2" i="6"/>
  <c r="K2" i="6"/>
  <c r="L2" i="6" s="1"/>
  <c r="H2" i="6"/>
  <c r="I2" i="6" s="1"/>
  <c r="J2" i="6" s="1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41" i="2"/>
  <c r="K41" i="9" s="1"/>
  <c r="F40" i="2"/>
  <c r="K40" i="9" s="1"/>
  <c r="F39" i="2"/>
  <c r="K39" i="9" s="1"/>
  <c r="F38" i="2"/>
  <c r="K38" i="9" s="1"/>
  <c r="F37" i="2"/>
  <c r="K37" i="9" s="1"/>
  <c r="F36" i="2"/>
  <c r="K36" i="9" s="1"/>
  <c r="F35" i="2"/>
  <c r="K35" i="9" s="1"/>
  <c r="F34" i="2"/>
  <c r="K34" i="9" s="1"/>
  <c r="F33" i="2"/>
  <c r="K33" i="9" s="1"/>
  <c r="F32" i="2"/>
  <c r="K32" i="9" s="1"/>
  <c r="F31" i="2"/>
  <c r="K31" i="9" s="1"/>
  <c r="F30" i="2"/>
  <c r="K30" i="9" s="1"/>
  <c r="F29" i="2"/>
  <c r="K29" i="9" s="1"/>
  <c r="F28" i="2"/>
  <c r="K28" i="9" s="1"/>
  <c r="F27" i="2"/>
  <c r="K27" i="9" s="1"/>
  <c r="F26" i="2"/>
  <c r="K26" i="9" s="1"/>
  <c r="F25" i="2"/>
  <c r="K25" i="9" s="1"/>
  <c r="F24" i="2"/>
  <c r="K24" i="9" s="1"/>
  <c r="F23" i="2"/>
  <c r="K23" i="9" s="1"/>
  <c r="F22" i="2"/>
  <c r="K22" i="9" s="1"/>
  <c r="F21" i="2"/>
  <c r="K21" i="9" s="1"/>
  <c r="F20" i="2"/>
  <c r="K20" i="9" s="1"/>
  <c r="F19" i="2"/>
  <c r="K19" i="9" s="1"/>
  <c r="F18" i="2"/>
  <c r="K18" i="9" s="1"/>
  <c r="F17" i="2"/>
  <c r="K17" i="9" s="1"/>
  <c r="F16" i="2"/>
  <c r="K16" i="9" s="1"/>
  <c r="F15" i="2"/>
  <c r="K15" i="9" s="1"/>
  <c r="F14" i="2"/>
  <c r="K14" i="9" s="1"/>
  <c r="F13" i="2"/>
  <c r="K13" i="9" s="1"/>
  <c r="F12" i="2"/>
  <c r="K12" i="9" s="1"/>
  <c r="F11" i="2"/>
  <c r="K11" i="9" s="1"/>
  <c r="F10" i="2"/>
  <c r="K10" i="9" s="1"/>
  <c r="F9" i="2"/>
  <c r="K9" i="9" s="1"/>
  <c r="F8" i="2"/>
  <c r="K8" i="9" s="1"/>
  <c r="F7" i="2"/>
  <c r="K7" i="9" s="1"/>
  <c r="F6" i="2"/>
  <c r="K6" i="9" s="1"/>
  <c r="F5" i="2"/>
  <c r="K5" i="9" s="1"/>
  <c r="F4" i="2"/>
  <c r="K4" i="9" s="1"/>
  <c r="F3" i="2"/>
  <c r="K3" i="9" s="1"/>
  <c r="F2" i="2"/>
  <c r="K2" i="9" s="1"/>
  <c r="B7" i="7" l="1"/>
  <c r="B25" i="7" s="1"/>
  <c r="E10" i="9" s="1"/>
  <c r="F10" i="9" s="1"/>
  <c r="G10" i="9" s="1"/>
  <c r="J10" i="9" s="1"/>
  <c r="I7" i="7"/>
  <c r="G7" i="7"/>
  <c r="G25" i="7" s="1"/>
  <c r="E15" i="9" s="1"/>
  <c r="F15" i="9" s="1"/>
  <c r="F7" i="7"/>
  <c r="F25" i="7" s="1"/>
  <c r="E14" i="9" s="1"/>
  <c r="F14" i="9" s="1"/>
  <c r="H7" i="7"/>
  <c r="D7" i="7"/>
  <c r="C7" i="7"/>
  <c r="H8" i="7"/>
  <c r="F8" i="7"/>
  <c r="E8" i="7"/>
  <c r="D8" i="7"/>
  <c r="C8" i="7"/>
  <c r="C26" i="7" s="1"/>
  <c r="E19" i="9" s="1"/>
  <c r="F19" i="9" s="1"/>
  <c r="B8" i="7"/>
  <c r="E32" i="7"/>
  <c r="M34" i="9"/>
  <c r="C35" i="7"/>
  <c r="O21" i="9"/>
  <c r="O22" i="9"/>
  <c r="O23" i="9"/>
  <c r="O24" i="9"/>
  <c r="O18" i="9"/>
  <c r="O19" i="9"/>
  <c r="O20" i="9"/>
  <c r="G34" i="9"/>
  <c r="J34" i="9" s="1"/>
  <c r="L34" i="9" s="1"/>
  <c r="F41" i="9"/>
  <c r="E36" i="7"/>
  <c r="I33" i="7"/>
  <c r="H28" i="7"/>
  <c r="E40" i="9" s="1"/>
  <c r="F40" i="9" s="1"/>
  <c r="I27" i="7"/>
  <c r="E33" i="9" s="1"/>
  <c r="F33" i="9" s="1"/>
  <c r="B26" i="7"/>
  <c r="E18" i="9" s="1"/>
  <c r="F18" i="9" s="1"/>
  <c r="G18" i="9" s="1"/>
  <c r="J18" i="9" s="1"/>
  <c r="C25" i="7"/>
  <c r="E11" i="9" s="1"/>
  <c r="F11" i="9" s="1"/>
  <c r="D24" i="7"/>
  <c r="E4" i="9" s="1"/>
  <c r="F4" i="9" s="1"/>
  <c r="C36" i="7"/>
  <c r="E33" i="7"/>
  <c r="G28" i="7"/>
  <c r="E39" i="9" s="1"/>
  <c r="F39" i="9" s="1"/>
  <c r="H27" i="7"/>
  <c r="E32" i="9" s="1"/>
  <c r="F32" i="9" s="1"/>
  <c r="C24" i="7"/>
  <c r="E3" i="9" s="1"/>
  <c r="F3" i="9" s="1"/>
  <c r="I35" i="7"/>
  <c r="C33" i="7"/>
  <c r="F28" i="7"/>
  <c r="E38" i="9" s="1"/>
  <c r="G27" i="7"/>
  <c r="E31" i="9" s="1"/>
  <c r="F31" i="9" s="1"/>
  <c r="H26" i="7"/>
  <c r="E24" i="9" s="1"/>
  <c r="F24" i="9" s="1"/>
  <c r="I25" i="7"/>
  <c r="E17" i="9" s="1"/>
  <c r="F17" i="9" s="1"/>
  <c r="J24" i="7"/>
  <c r="B24" i="7"/>
  <c r="E2" i="9" s="1"/>
  <c r="F2" i="9" s="1"/>
  <c r="G2" i="9" s="1"/>
  <c r="E35" i="7"/>
  <c r="I32" i="7"/>
  <c r="E28" i="7"/>
  <c r="E37" i="9" s="1"/>
  <c r="F27" i="7"/>
  <c r="E30" i="9" s="1"/>
  <c r="F30" i="9" s="1"/>
  <c r="H25" i="7"/>
  <c r="E16" i="9" s="1"/>
  <c r="F16" i="9" s="1"/>
  <c r="I24" i="7"/>
  <c r="E9" i="9" s="1"/>
  <c r="I34" i="7"/>
  <c r="C32" i="7"/>
  <c r="C28" i="7"/>
  <c r="E35" i="9" s="1"/>
  <c r="F35" i="9" s="1"/>
  <c r="D27" i="7"/>
  <c r="E28" i="9" s="1"/>
  <c r="F28" i="9" s="1"/>
  <c r="E26" i="7"/>
  <c r="E21" i="9" s="1"/>
  <c r="F21" i="9" s="1"/>
  <c r="G24" i="7"/>
  <c r="E7" i="9" s="1"/>
  <c r="F7" i="9" s="1"/>
  <c r="E34" i="7"/>
  <c r="J28" i="7"/>
  <c r="B28" i="7"/>
  <c r="E34" i="9" s="1"/>
  <c r="F34" i="9" s="1"/>
  <c r="C27" i="7"/>
  <c r="E27" i="9" s="1"/>
  <c r="F27" i="9" s="1"/>
  <c r="D26" i="7"/>
  <c r="E20" i="9" s="1"/>
  <c r="F20" i="9" s="1"/>
  <c r="F24" i="7"/>
  <c r="E6" i="9" s="1"/>
  <c r="F6" i="9" s="1"/>
  <c r="I36" i="7"/>
  <c r="C34" i="7"/>
  <c r="I28" i="7"/>
  <c r="E41" i="9" s="1"/>
  <c r="J27" i="7"/>
  <c r="B27" i="7"/>
  <c r="E26" i="9" s="1"/>
  <c r="F26" i="9" s="1"/>
  <c r="D25" i="7"/>
  <c r="E12" i="9" s="1"/>
  <c r="F12" i="9" s="1"/>
  <c r="E24" i="7"/>
  <c r="E5" i="9" s="1"/>
  <c r="F26" i="7"/>
  <c r="E22" i="9" s="1"/>
  <c r="F22" i="9" s="1"/>
  <c r="F29" i="9"/>
  <c r="E27" i="7"/>
  <c r="E29" i="9" s="1"/>
  <c r="F5" i="9"/>
  <c r="F38" i="9"/>
  <c r="F37" i="9"/>
  <c r="D28" i="7"/>
  <c r="E36" i="9" s="1"/>
  <c r="F36" i="9" s="1"/>
  <c r="F9" i="9"/>
  <c r="G26" i="9"/>
  <c r="J26" i="9" s="1"/>
  <c r="L26" i="9" s="1"/>
  <c r="O28" i="9"/>
  <c r="O36" i="9"/>
  <c r="O3" i="9"/>
  <c r="O11" i="9"/>
  <c r="O27" i="9"/>
  <c r="O35" i="9"/>
  <c r="O10" i="9"/>
  <c r="O26" i="9"/>
  <c r="O34" i="9"/>
  <c r="O8" i="9"/>
  <c r="O16" i="9"/>
  <c r="O32" i="9"/>
  <c r="O40" i="9"/>
  <c r="O7" i="9"/>
  <c r="O15" i="9"/>
  <c r="O31" i="9"/>
  <c r="O39" i="9"/>
  <c r="O6" i="9"/>
  <c r="O14" i="9"/>
  <c r="O30" i="9"/>
  <c r="O38" i="9"/>
  <c r="L18" i="9" l="1"/>
  <c r="M18" i="9"/>
  <c r="L10" i="9"/>
  <c r="N10" i="9" s="1"/>
  <c r="M10" i="9"/>
  <c r="N34" i="9"/>
  <c r="M26" i="9"/>
  <c r="N26" i="9"/>
  <c r="O2" i="6"/>
  <c r="P10" i="9" l="1"/>
  <c r="E19" i="7"/>
  <c r="D19" i="7"/>
  <c r="E18" i="7"/>
  <c r="D18" i="7"/>
  <c r="E17" i="7"/>
  <c r="I2" i="9"/>
  <c r="J2" i="9" s="1"/>
  <c r="D17" i="7"/>
  <c r="E16" i="7"/>
  <c r="D15" i="7"/>
  <c r="E15" i="7"/>
  <c r="Q2" i="6"/>
  <c r="P2" i="6"/>
  <c r="D16" i="7"/>
  <c r="E7" i="7"/>
  <c r="E25" i="7" s="1"/>
  <c r="E13" i="9" s="1"/>
  <c r="F13" i="9" s="1"/>
  <c r="Q26" i="9"/>
  <c r="C27" i="9" s="1"/>
  <c r="G27" i="9" s="1"/>
  <c r="J27" i="9" s="1"/>
  <c r="P26" i="9"/>
  <c r="P34" i="9"/>
  <c r="N18" i="9"/>
  <c r="P18" i="9" l="1"/>
  <c r="J7" i="7"/>
  <c r="J25" i="7" s="1"/>
  <c r="B29" i="11"/>
  <c r="Q34" i="9"/>
  <c r="C35" i="9" s="1"/>
  <c r="G35" i="9" s="1"/>
  <c r="J35" i="9" s="1"/>
  <c r="L2" i="9"/>
  <c r="N2" i="9" s="1"/>
  <c r="M2" i="9"/>
  <c r="L27" i="9"/>
  <c r="M27" i="9"/>
  <c r="Q10" i="9"/>
  <c r="C11" i="9" s="1"/>
  <c r="G11" i="9" s="1"/>
  <c r="J11" i="9" s="1"/>
  <c r="P2" i="9" l="1"/>
  <c r="N27" i="9"/>
  <c r="N11" i="9"/>
  <c r="M11" i="9"/>
  <c r="L11" i="9"/>
  <c r="M35" i="9"/>
  <c r="L35" i="9"/>
  <c r="Q18" i="9"/>
  <c r="C19" i="9" s="1"/>
  <c r="G19" i="9" s="1"/>
  <c r="J19" i="9" s="1"/>
  <c r="P11" i="9" l="1"/>
  <c r="Q11" i="9"/>
  <c r="C12" i="9" s="1"/>
  <c r="G12" i="9" s="1"/>
  <c r="J12" i="9" s="1"/>
  <c r="P27" i="9"/>
  <c r="Q27" i="9" s="1"/>
  <c r="C28" i="9" s="1"/>
  <c r="G28" i="9" s="1"/>
  <c r="J28" i="9" s="1"/>
  <c r="M19" i="9"/>
  <c r="L19" i="9"/>
  <c r="N35" i="9"/>
  <c r="Q2" i="9"/>
  <c r="C3" i="9" s="1"/>
  <c r="G3" i="9" s="1"/>
  <c r="M28" i="9" l="1"/>
  <c r="L28" i="9"/>
  <c r="O3" i="6"/>
  <c r="N19" i="9"/>
  <c r="P35" i="9"/>
  <c r="Q35" i="9"/>
  <c r="C36" i="9" s="1"/>
  <c r="G36" i="9" s="1"/>
  <c r="J36" i="9" s="1"/>
  <c r="L12" i="9"/>
  <c r="M12" i="9"/>
  <c r="P19" i="9" l="1"/>
  <c r="Q19" i="9" s="1"/>
  <c r="C20" i="9" s="1"/>
  <c r="G20" i="9" s="1"/>
  <c r="J20" i="9" s="1"/>
  <c r="M36" i="9"/>
  <c r="L36" i="9"/>
  <c r="G17" i="7"/>
  <c r="G16" i="7"/>
  <c r="G15" i="7"/>
  <c r="G19" i="7"/>
  <c r="G18" i="7"/>
  <c r="Q3" i="6"/>
  <c r="I3" i="9"/>
  <c r="J3" i="9" s="1"/>
  <c r="P3" i="6"/>
  <c r="G8" i="7"/>
  <c r="G26" i="7" s="1"/>
  <c r="E23" i="9" s="1"/>
  <c r="F23" i="9" s="1"/>
  <c r="F15" i="7"/>
  <c r="F17" i="7"/>
  <c r="F19" i="7"/>
  <c r="F16" i="7"/>
  <c r="F18" i="7"/>
  <c r="N12" i="9"/>
  <c r="N28" i="9"/>
  <c r="M20" i="9" l="1"/>
  <c r="L20" i="9"/>
  <c r="C29" i="11"/>
  <c r="N36" i="9"/>
  <c r="P28" i="9"/>
  <c r="Q28" i="9" s="1"/>
  <c r="C29" i="9" s="1"/>
  <c r="G29" i="9" s="1"/>
  <c r="J29" i="9" s="1"/>
  <c r="P12" i="9"/>
  <c r="M3" i="9"/>
  <c r="L3" i="9"/>
  <c r="M29" i="9" l="1"/>
  <c r="L29" i="9"/>
  <c r="N29" i="9" s="1"/>
  <c r="P36" i="9"/>
  <c r="Q12" i="9"/>
  <c r="C13" i="9" s="1"/>
  <c r="G13" i="9" s="1"/>
  <c r="J13" i="9" s="1"/>
  <c r="N3" i="9"/>
  <c r="N20" i="9"/>
  <c r="P29" i="9" l="1"/>
  <c r="Q29" i="9" s="1"/>
  <c r="C30" i="9" s="1"/>
  <c r="G30" i="9" s="1"/>
  <c r="J30" i="9" s="1"/>
  <c r="Q36" i="9"/>
  <c r="C37" i="9" s="1"/>
  <c r="G37" i="9" s="1"/>
  <c r="J37" i="9" s="1"/>
  <c r="P20" i="9"/>
  <c r="P3" i="9"/>
  <c r="Q3" i="9"/>
  <c r="C4" i="9" s="1"/>
  <c r="G4" i="9" s="1"/>
  <c r="J4" i="9" s="1"/>
  <c r="M13" i="9"/>
  <c r="L13" i="9"/>
  <c r="N13" i="9" s="1"/>
  <c r="P13" i="9" l="1"/>
  <c r="Q13" i="9" s="1"/>
  <c r="C14" i="9" s="1"/>
  <c r="G14" i="9" s="1"/>
  <c r="J14" i="9" s="1"/>
  <c r="M30" i="9"/>
  <c r="L30" i="9"/>
  <c r="N30" i="9" s="1"/>
  <c r="M4" i="9"/>
  <c r="L4" i="9"/>
  <c r="M37" i="9"/>
  <c r="L37" i="9"/>
  <c r="N37" i="9" s="1"/>
  <c r="Q20" i="9"/>
  <c r="C21" i="9" s="1"/>
  <c r="G21" i="9" s="1"/>
  <c r="J21" i="9" s="1"/>
  <c r="P37" i="9" l="1"/>
  <c r="Q37" i="9" s="1"/>
  <c r="C38" i="9" s="1"/>
  <c r="G38" i="9" s="1"/>
  <c r="J38" i="9" s="1"/>
  <c r="P30" i="9"/>
  <c r="Q30" i="9"/>
  <c r="C31" i="9" s="1"/>
  <c r="G31" i="9" s="1"/>
  <c r="J31" i="9" s="1"/>
  <c r="L14" i="9"/>
  <c r="N14" i="9" s="1"/>
  <c r="M14" i="9"/>
  <c r="M21" i="9"/>
  <c r="L21" i="9"/>
  <c r="N21" i="9" s="1"/>
  <c r="N4" i="9"/>
  <c r="P14" i="9" l="1"/>
  <c r="Q14" i="9"/>
  <c r="C15" i="9" s="1"/>
  <c r="G15" i="9" s="1"/>
  <c r="J15" i="9" s="1"/>
  <c r="P21" i="9"/>
  <c r="Q21" i="9" s="1"/>
  <c r="C22" i="9" s="1"/>
  <c r="G22" i="9" s="1"/>
  <c r="J22" i="9" s="1"/>
  <c r="M38" i="9"/>
  <c r="L38" i="9"/>
  <c r="N38" i="9" s="1"/>
  <c r="Q4" i="9"/>
  <c r="C5" i="9" s="1"/>
  <c r="G5" i="9" s="1"/>
  <c r="P4" i="9"/>
  <c r="L31" i="9"/>
  <c r="N31" i="9" s="1"/>
  <c r="M31" i="9"/>
  <c r="P31" i="9" l="1"/>
  <c r="Q31" i="9" s="1"/>
  <c r="C32" i="9" s="1"/>
  <c r="G32" i="9" s="1"/>
  <c r="J32" i="9" s="1"/>
  <c r="P38" i="9"/>
  <c r="Q38" i="9"/>
  <c r="C39" i="9" s="1"/>
  <c r="G39" i="9" s="1"/>
  <c r="J39" i="9" s="1"/>
  <c r="M22" i="9"/>
  <c r="L22" i="9"/>
  <c r="N22" i="9" s="1"/>
  <c r="O4" i="6"/>
  <c r="L15" i="9"/>
  <c r="N15" i="9" s="1"/>
  <c r="M15" i="9"/>
  <c r="P15" i="9" l="1"/>
  <c r="Q15" i="9" s="1"/>
  <c r="C16" i="9" s="1"/>
  <c r="G16" i="9" s="1"/>
  <c r="J16" i="9" s="1"/>
  <c r="P22" i="9"/>
  <c r="Q22" i="9"/>
  <c r="C23" i="9" s="1"/>
  <c r="G23" i="9" s="1"/>
  <c r="J23" i="9" s="1"/>
  <c r="L32" i="9"/>
  <c r="N32" i="9" s="1"/>
  <c r="M32" i="9"/>
  <c r="N39" i="9"/>
  <c r="L39" i="9"/>
  <c r="M39" i="9"/>
  <c r="H16" i="7"/>
  <c r="I15" i="7"/>
  <c r="J15" i="7" s="1"/>
  <c r="H15" i="7"/>
  <c r="H19" i="7"/>
  <c r="I18" i="7"/>
  <c r="J18" i="7" s="1"/>
  <c r="I5" i="9"/>
  <c r="J5" i="9" s="1"/>
  <c r="H18" i="7"/>
  <c r="I17" i="7"/>
  <c r="H17" i="7"/>
  <c r="J17" i="7" s="1"/>
  <c r="P4" i="6"/>
  <c r="B24" i="11" s="1"/>
  <c r="Q4" i="6"/>
  <c r="I19" i="7"/>
  <c r="J19" i="7" s="1"/>
  <c r="I16" i="7"/>
  <c r="J16" i="7" s="1"/>
  <c r="I8" i="7"/>
  <c r="I26" i="7" s="1"/>
  <c r="E25" i="9" s="1"/>
  <c r="F25" i="9" s="1"/>
  <c r="P32" i="9" l="1"/>
  <c r="Q32" i="9" s="1"/>
  <c r="C33" i="9" s="1"/>
  <c r="G33" i="9" s="1"/>
  <c r="J33" i="9" s="1"/>
  <c r="M16" i="9"/>
  <c r="L16" i="9"/>
  <c r="N16" i="9" s="1"/>
  <c r="L5" i="9"/>
  <c r="N5" i="9" s="1"/>
  <c r="M5" i="9"/>
  <c r="P39" i="9"/>
  <c r="Q39" i="9" s="1"/>
  <c r="C40" i="9" s="1"/>
  <c r="G40" i="9" s="1"/>
  <c r="J40" i="9" s="1"/>
  <c r="E29" i="11"/>
  <c r="J29" i="11" s="1"/>
  <c r="B3" i="10"/>
  <c r="M23" i="9"/>
  <c r="L23" i="9"/>
  <c r="N23" i="9" s="1"/>
  <c r="J8" i="7"/>
  <c r="J26" i="7" s="1"/>
  <c r="P23" i="9" l="1"/>
  <c r="Q23" i="9" s="1"/>
  <c r="C24" i="9" s="1"/>
  <c r="G24" i="9" s="1"/>
  <c r="J24" i="9" s="1"/>
  <c r="M40" i="9"/>
  <c r="L40" i="9"/>
  <c r="N40" i="9" s="1"/>
  <c r="P5" i="9"/>
  <c r="Q16" i="9"/>
  <c r="C17" i="9" s="1"/>
  <c r="G17" i="9" s="1"/>
  <c r="J17" i="9" s="1"/>
  <c r="P16" i="9"/>
  <c r="L33" i="9"/>
  <c r="N33" i="9" s="1"/>
  <c r="M33" i="9"/>
  <c r="B8" i="10"/>
  <c r="D3" i="10"/>
  <c r="P33" i="9" l="1"/>
  <c r="Q33" i="9" s="1"/>
  <c r="P40" i="9"/>
  <c r="Q40" i="9" s="1"/>
  <c r="C41" i="9" s="1"/>
  <c r="G41" i="9" s="1"/>
  <c r="J41" i="9" s="1"/>
  <c r="L24" i="9"/>
  <c r="N24" i="9" s="1"/>
  <c r="M24" i="9"/>
  <c r="D8" i="10"/>
  <c r="B27" i="10" s="1"/>
  <c r="B5" i="11" s="1"/>
  <c r="B14" i="11"/>
  <c r="M17" i="9"/>
  <c r="L17" i="9"/>
  <c r="N17" i="9" s="1"/>
  <c r="Q5" i="9"/>
  <c r="C6" i="9" s="1"/>
  <c r="G6" i="9" s="1"/>
  <c r="J6" i="9" s="1"/>
  <c r="M41" i="9" l="1"/>
  <c r="L41" i="9"/>
  <c r="P17" i="9"/>
  <c r="Q17" i="9" s="1"/>
  <c r="P24" i="9"/>
  <c r="Q24" i="9" s="1"/>
  <c r="C25" i="9" s="1"/>
  <c r="G25" i="9" s="1"/>
  <c r="J25" i="9" s="1"/>
  <c r="N6" i="9"/>
  <c r="M6" i="9"/>
  <c r="L6" i="9"/>
  <c r="M25" i="9" l="1"/>
  <c r="L25" i="9"/>
  <c r="N25" i="9" s="1"/>
  <c r="P6" i="9"/>
  <c r="Q6" i="9"/>
  <c r="C7" i="9" s="1"/>
  <c r="G7" i="9" s="1"/>
  <c r="J7" i="9" s="1"/>
  <c r="E4" i="10"/>
  <c r="E6" i="10"/>
  <c r="E7" i="10"/>
  <c r="E5" i="10"/>
  <c r="F6" i="10"/>
  <c r="D17" i="11" s="1"/>
  <c r="F4" i="10"/>
  <c r="D15" i="11" s="1"/>
  <c r="F7" i="10"/>
  <c r="D18" i="11" s="1"/>
  <c r="F5" i="10"/>
  <c r="D16" i="11" s="1"/>
  <c r="N41" i="9"/>
  <c r="P25" i="9" l="1"/>
  <c r="Q25" i="9" s="1"/>
  <c r="J4" i="10"/>
  <c r="B21" i="10"/>
  <c r="H4" i="10"/>
  <c r="E15" i="11" s="1"/>
  <c r="C15" i="11"/>
  <c r="N7" i="9"/>
  <c r="M7" i="9"/>
  <c r="L7" i="9"/>
  <c r="B23" i="10"/>
  <c r="H6" i="10"/>
  <c r="E17" i="11" s="1"/>
  <c r="C17" i="11"/>
  <c r="J6" i="10"/>
  <c r="J7" i="10"/>
  <c r="C18" i="11"/>
  <c r="B24" i="10"/>
  <c r="H7" i="10"/>
  <c r="E18" i="11" s="1"/>
  <c r="P41" i="9"/>
  <c r="C16" i="11"/>
  <c r="B22" i="10"/>
  <c r="H5" i="10"/>
  <c r="E16" i="11" s="1"/>
  <c r="J5" i="10"/>
  <c r="G6" i="10" l="1"/>
  <c r="I6" i="10" s="1"/>
  <c r="G4" i="10"/>
  <c r="I4" i="10" s="1"/>
  <c r="G7" i="10"/>
  <c r="I7" i="10" s="1"/>
  <c r="G5" i="10"/>
  <c r="I5" i="10" s="1"/>
  <c r="P7" i="9"/>
  <c r="Q7" i="9" s="1"/>
  <c r="C8" i="9" s="1"/>
  <c r="G8" i="9" s="1"/>
  <c r="J8" i="9" s="1"/>
  <c r="Q41" i="9"/>
  <c r="M8" i="9" l="1"/>
  <c r="L8" i="9"/>
  <c r="N8" i="9" l="1"/>
  <c r="P8" i="9" l="1"/>
  <c r="Q8" i="9" l="1"/>
  <c r="C9" i="9" s="1"/>
  <c r="G9" i="9" s="1"/>
  <c r="J9" i="9" s="1"/>
  <c r="M9" i="9" l="1"/>
  <c r="L9" i="9"/>
  <c r="E3" i="10" s="1"/>
  <c r="E8" i="10" l="1"/>
  <c r="J3" i="10"/>
  <c r="C14" i="11"/>
  <c r="B20" i="10"/>
  <c r="B26" i="10" s="1"/>
  <c r="F3" i="10"/>
  <c r="H3" i="10" s="1"/>
  <c r="E14" i="11" s="1"/>
  <c r="B25" i="11"/>
  <c r="N9" i="9"/>
  <c r="F8" i="10" l="1"/>
  <c r="B7" i="11" s="1"/>
  <c r="D14" i="11"/>
  <c r="B6" i="11"/>
  <c r="B28" i="10"/>
  <c r="B4" i="11" s="1"/>
  <c r="Q9" i="9"/>
  <c r="P9" i="9"/>
  <c r="J8" i="10"/>
  <c r="H8" i="10"/>
  <c r="B9" i="11" s="1"/>
  <c r="B23" i="11" l="1"/>
  <c r="G3" i="10"/>
  <c r="G8" i="10" l="1"/>
  <c r="I3" i="10"/>
  <c r="B8" i="11" l="1"/>
  <c r="I8" i="10"/>
</calcChain>
</file>

<file path=xl/sharedStrings.xml><?xml version="1.0" encoding="utf-8"?>
<sst xmlns="http://schemas.openxmlformats.org/spreadsheetml/2006/main" count="722" uniqueCount="163">
  <si>
    <t>REGIONES</t>
  </si>
  <si>
    <t>PARÃMETROS GLOBALES (del caso)</t>
  </si>
  <si>
    <t>INVENTARIO INICIAL (Period 7)</t>
  </si>
  <si>
    <t>Center</t>
  </si>
  <si>
    <t>Fortnights</t>
  </si>
  <si>
    <t>Region</t>
  </si>
  <si>
    <t>Inv_Begin_P7</t>
  </si>
  <si>
    <t>West</t>
  </si>
  <si>
    <t>Units_per_module</t>
  </si>
  <si>
    <t>North</t>
  </si>
  <si>
    <t>Cost_per_module</t>
  </si>
  <si>
    <t>East</t>
  </si>
  <si>
    <t>Scenario</t>
  </si>
  <si>
    <t>Base</t>
  </si>
  <si>
    <t>South</t>
  </si>
  <si>
    <t>Arrival_Method</t>
  </si>
  <si>
    <t>EV</t>
  </si>
  <si>
    <t>Alert_Prob_Threshold</t>
  </si>
  <si>
    <t>Price_per_unit</t>
  </si>
  <si>
    <t>Fortnight</t>
  </si>
  <si>
    <t>Demand_Base</t>
  </si>
  <si>
    <t>Demand_High</t>
  </si>
  <si>
    <t>Demand_Low</t>
  </si>
  <si>
    <t>Demand_Active</t>
  </si>
  <si>
    <t>Prod_Out</t>
  </si>
  <si>
    <t>Origin</t>
  </si>
  <si>
    <t>Dest</t>
  </si>
  <si>
    <t>Mode</t>
  </si>
  <si>
    <t>Bracket</t>
  </si>
  <si>
    <t>Cost_per_unit</t>
  </si>
  <si>
    <t>BRACKET RULES</t>
  </si>
  <si>
    <t>Air</t>
  </si>
  <si>
    <t>S</t>
  </si>
  <si>
    <t>S: &lt; 1000 units</t>
  </si>
  <si>
    <t>M</t>
  </si>
  <si>
    <t>M: 1000 - 1999</t>
  </si>
  <si>
    <t>L</t>
  </si>
  <si>
    <t>L: &gt;= 2000</t>
  </si>
  <si>
    <t>Truck</t>
  </si>
  <si>
    <t>Train</t>
  </si>
  <si>
    <t>LeadTime</t>
  </si>
  <si>
    <t>Prob</t>
  </si>
  <si>
    <t>CDF</t>
  </si>
  <si>
    <t>ShipID</t>
  </si>
  <si>
    <t>Priority</t>
  </si>
  <si>
    <t>t_dispatch</t>
  </si>
  <si>
    <t>Units_Planned</t>
  </si>
  <si>
    <t>Freight_cost_planned</t>
  </si>
  <si>
    <t>Expected_LT</t>
  </si>
  <si>
    <t>Expected_arrival_t</t>
  </si>
  <si>
    <t>Target_t</t>
  </si>
  <si>
    <t>P_arrive_by_target</t>
  </si>
  <si>
    <t>Units_Fulfilled</t>
  </si>
  <si>
    <t>Units_Unfulfilled</t>
  </si>
  <si>
    <t>Freight_cost_actual</t>
  </si>
  <si>
    <t>SHIP001</t>
  </si>
  <si>
    <t>SHIP002</t>
  </si>
  <si>
    <t>SHIP003</t>
  </si>
  <si>
    <t>Method Switch</t>
  </si>
  <si>
    <t>NOTA: Arrivals usa Units_Fulfilled, no Units_Planned</t>
  </si>
  <si>
    <t>ARRIVALS_EV (basado en Units_Fulfilled)</t>
  </si>
  <si>
    <t>FT_1</t>
  </si>
  <si>
    <t>FT_2</t>
  </si>
  <si>
    <t>FT_3</t>
  </si>
  <si>
    <t>FT_4</t>
  </si>
  <si>
    <t>FT_5</t>
  </si>
  <si>
    <t>FT_6</t>
  </si>
  <si>
    <t>FT_7</t>
  </si>
  <si>
    <t>FT_8</t>
  </si>
  <si>
    <t>ARRIVALS_PROB (distribuciÃ³n por probabilidad)</t>
  </si>
  <si>
    <t>ARRIVALS_ACTIVE</t>
  </si>
  <si>
    <t>Modules_Rented</t>
  </si>
  <si>
    <t>Capacity_Units</t>
  </si>
  <si>
    <t>Inv_Begin</t>
  </si>
  <si>
    <t>Arrivals</t>
  </si>
  <si>
    <t>Receipts</t>
  </si>
  <si>
    <t>Available</t>
  </si>
  <si>
    <t>Ship_Out_Planned</t>
  </si>
  <si>
    <t>Ship_Out_Fulfilled</t>
  </si>
  <si>
    <t>Post_Ship</t>
  </si>
  <si>
    <t>Demand</t>
  </si>
  <si>
    <t>Sales</t>
  </si>
  <si>
    <t>Lost_Sales</t>
  </si>
  <si>
    <t>Inv_End_PreCap</t>
  </si>
  <si>
    <t>Capacity</t>
  </si>
  <si>
    <t>Scrap</t>
  </si>
  <si>
    <t>Inv_End_Effective</t>
  </si>
  <si>
    <t>KPIs POR REGIÃ“N</t>
  </si>
  <si>
    <t>Total_Freight</t>
  </si>
  <si>
    <t>Warehouse_Cost</t>
  </si>
  <si>
    <t>Total_Logistics_Cost</t>
  </si>
  <si>
    <t>Sales_Units</t>
  </si>
  <si>
    <t>Fill_Rate</t>
  </si>
  <si>
    <t>Scrap_Rate</t>
  </si>
  <si>
    <t>Cost_per_Unit_Sold</t>
  </si>
  <si>
    <t>TOTAL</t>
  </si>
  <si>
    <t>PRECIOS POR REGIÃ“N (del caso)</t>
  </si>
  <si>
    <t>Price</t>
  </si>
  <si>
    <t>REVENUE POR REGIÃ“N</t>
  </si>
  <si>
    <t>Total Revenue</t>
  </si>
  <si>
    <t>Total Logistics Cost</t>
  </si>
  <si>
    <t>LOGISTICS COST % SALES</t>
  </si>
  <si>
    <t>DASHBOARD EJECUTIVO - EXSIM LOGISTICS</t>
  </si>
  <si>
    <t>MÃ‰TRICAS CLAVE</t>
  </si>
  <si>
    <t>Logistics Cost % Sales</t>
  </si>
  <si>
    <t>Total Lost Sales (units)</t>
  </si>
  <si>
    <t>Total Scrap (units)</t>
  </si>
  <si>
    <t>Overall Fill Rate</t>
  </si>
  <si>
    <t>POR REGIÃ“N</t>
  </si>
  <si>
    <t>Logistics Cost</t>
  </si>
  <si>
    <t>Sales Units</t>
  </si>
  <si>
    <t>Lost Sales</t>
  </si>
  <si>
    <t>Fill Rate</t>
  </si>
  <si>
    <t>âš ï¸ ALERTAS</t>
  </si>
  <si>
    <t>Capacidad excedida (periodos):</t>
  </si>
  <si>
    <t>Embarques no cumplidos:</t>
  </si>
  <si>
    <t>Lost Sales en periodo con Ship_Out:</t>
  </si>
  <si>
    <t>EXCEL EXSIM LOGISTICS v2.0 - CORREGIDO</t>
  </si>
  <si>
    <t>CORRECCIONES APLICADAS:</t>
  </si>
  <si>
    <t>1. REGIONES REALES: Center, West, North, East, South (5 regiones)</t>
  </si>
  <si>
    <t>2. PARÃMETROS REALES DEL CASO:</t>
  </si>
  <si>
    <t xml:space="preserve">   - MÃ³dulo warehouse: 100 unidades (no 500)</t>
  </si>
  <si>
    <t xml:space="preserve">   - Costo por mÃ³dulo: $800 por periodo (no $1000)</t>
  </si>
  <si>
    <t>3. INVENTARIO INICIAL REAL (del reporte Period 6):</t>
  </si>
  <si>
    <t xml:space="preserve">   - Center: 2,685 units</t>
  </si>
  <si>
    <t xml:space="preserve">   - West: 1,299 units</t>
  </si>
  <si>
    <t xml:space="preserve">   - North: 620 units</t>
  </si>
  <si>
    <t xml:space="preserve">   - East/South: 0 (sin operaciÃ³n)</t>
  </si>
  <si>
    <t>4. COSTOS DE TRANSPORTE REALES (Table V.3 del caso):</t>
  </si>
  <si>
    <t xml:space="preserve">   - Air NO tiene descuento por volumen</t>
  </si>
  <si>
    <t xml:space="preserve">   - Truck y Train tienen brackets S/M/L</t>
  </si>
  <si>
    <t>5. LEAD TIMES REALES (Table V.4 del caso):</t>
  </si>
  <si>
    <t xml:space="preserve">   - Air: 1 fortnight, 100% confiable</t>
  </si>
  <si>
    <t xml:space="preserve">   - Truck/Train: variables segÃºn ruta</t>
  </si>
  <si>
    <t>6. BUG INVENTARIO FANTASMA CORREGIDO:</t>
  </si>
  <si>
    <t xml:space="preserve">   - ShipPlan ahora tiene Units_Fulfilled y Units_Unfulfilled</t>
  </si>
  <si>
    <t xml:space="preserve">   - Arrivals usa Units_Fulfilled (no Units_Planned)</t>
  </si>
  <si>
    <t xml:space="preserve">   - Freight_cost_actual se calcula sobre lo realmente embarcado</t>
  </si>
  <si>
    <t>7. PRECIOS POR REGIÃ“N (del caso):</t>
  </si>
  <si>
    <t xml:space="preserve">   - Center/West: $68</t>
  </si>
  <si>
    <t xml:space="preserve">   - North: $91</t>
  </si>
  <si>
    <t xml:space="preserve">   - East/South: $68 (estimado)</t>
  </si>
  <si>
    <t>8. KPIs CORREGIDOS:</t>
  </si>
  <si>
    <t xml:space="preserve">   - Revenue = Sales_Units Ã— Precio_RegiÃ³n</t>
  </si>
  <si>
    <t xml:space="preserve">   - Logistics Cost % Sales = Costo_Total / Revenue</t>
  </si>
  <si>
    <t>CÃ“MO USAR:</t>
  </si>
  <si>
    <t>1. Inputs_Global: Ajusta escenario y mÃ©todo de llegadas</t>
  </si>
  <si>
    <t>2. Demand_Forecast: Actualiza demanda esperada por regiÃ³n</t>
  </si>
  <si>
    <t>3. Production_Supply: Ajusta producciÃ³n por planta</t>
  </si>
  <si>
    <t>4. ShipPlan: CLAVE - Define tu plan de embarques</t>
  </si>
  <si>
    <t>5. Warehouse_Capacity: Ajusta mÃ³dulos rentados</t>
  </si>
  <si>
    <t>6. KPIs / Dashboard: Revisa impacto de decisiones</t>
  </si>
  <si>
    <t>PRIORIDAD EN CADA FORTNIGHT (como el simulador):</t>
  </si>
  <si>
    <t>1. Arrivals + Production â†’ Inv disponible</t>
  </si>
  <si>
    <t>2. Ship_Out se cumple primero (prioridad sobre ventas)</t>
  </si>
  <si>
    <t>3. Demand local se atiende con lo que queda</t>
  </si>
  <si>
    <t>4. Scrap si Inv_End &gt; Capacity</t>
  </si>
  <si>
    <t>In_Transit_End</t>
  </si>
  <si>
    <t>ARRIVALS_NEXT_PERIOD (ACTIVE)</t>
  </si>
  <si>
    <t>CFO CASH SUMMARY</t>
  </si>
  <si>
    <t>Item</t>
  </si>
  <si>
    <t>Freight (dispatch)</t>
  </si>
  <si>
    <t>Warehouse rental (upfront)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</si>
</sst>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.00"/>
    <numFmt numFmtId="166" formatCode="\$#,##0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sz val="11"/>
      <color rgb="FF0000FF"/>
      <name val="Cambria"/>
      <family val="1"/>
    </font>
    <font>
      <b/>
      <sz val="11"/>
      <name val="Cambria"/>
      <family val="1"/>
    </font>
    <font>
      <sz val="11"/>
      <color rgb="FF000000"/>
      <name val="Cambria"/>
      <family val="1"/>
    </font>
    <font>
      <sz val="11"/>
      <color rgb="FF008000"/>
      <name val="Cambria"/>
      <family val="1"/>
    </font>
    <font>
      <b/>
      <sz val="11"/>
      <color rgb="FFFF0000"/>
      <name val="Cambria"/>
      <family val="1"/>
    </font>
    <font>
      <b/>
      <sz val="11"/>
      <color rgb="FF51513D"/>
      <name val="Cambria"/>
      <family val="1"/>
    </font>
    <font>
      <b/>
      <sz val="11"/>
      <color rgb="FF008000"/>
      <name val="Cambria"/>
      <family val="1"/>
    </font>
    <font>
      <b/>
      <sz val="14"/>
      <name val="Cambria"/>
      <family val="1"/>
    </font>
    <font>
      <b/>
      <sz val="16"/>
      <color rgb="FF51513D"/>
      <name val="Cambria"/>
      <family val="1"/>
    </font>
    <font>
      <b/>
      <sz val="12"/>
      <name val="Cambria"/>
      <family val="1"/>
    </font>
    <font>
      <b/>
      <sz val="12"/>
      <color rgb="FFFF000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51513D"/>
        <bgColor rgb="FF333300"/>
      </patternFill>
    </fill>
    <fill>
      <patternFill patternType="solid">
        <fgColor rgb="FFFFFF99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0" fillId="0" borderId="0" xfId="0" applyFont="1"/>
    <xf numFmtId="0" fontId="1" fillId="2" borderId="0" xfId="0" applyFont="1" applyFill="1"/>
    <xf numFmtId="0" fontId="1" fillId="2" borderId="0" xfId="0" applyFont="1" applyFill="1"/>
    <xf numFmtId="0" fontId="2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horizontal="center" wrapText="1"/>
    </xf>
    <xf numFmtId="0" fontId="4" fillId="0" borderId="1" xfId="0" applyFont="1" applyBorder="1"/>
    <xf numFmtId="0" fontId="5" fillId="0" borderId="1" xfId="0" applyFont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0" fillId="0" borderId="0" xfId="0" applyNumberFormat="1"/>
    <xf numFmtId="165" fontId="0" fillId="0" borderId="0" xfId="0" applyNumberFormat="1"/>
    <xf numFmtId="166" fontId="4" fillId="0" borderId="1" xfId="0" applyNumberFormat="1" applyFont="1" applyBorder="1"/>
    <xf numFmtId="166" fontId="0" fillId="0" borderId="0" xfId="0" applyNumberFormat="1"/>
    <xf numFmtId="10" fontId="9" fillId="0" borderId="0" xfId="0" applyNumberFormat="1" applyFont="1"/>
    <xf numFmtId="0" fontId="11" fillId="0" borderId="0" xfId="0" applyFont="1"/>
    <xf numFmtId="10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151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zoomScaleNormal="100" workbookViewId="0">
      <selection activeCell="G3" sqref="G3:G7"/>
    </sheetView>
  </sheetViews>
  <sheetFormatPr baseColWidth="10" defaultColWidth="8.6640625" defaultRowHeight="14.4" x14ac:dyDescent="0.3"/>
  <cols>
    <col min="1" max="1" width="12" customWidth="1"/>
    <col min="3" max="3" width="20" customWidth="1"/>
    <col min="4" max="4" width="15" customWidth="1"/>
    <col min="6" max="6" width="12" customWidth="1"/>
    <col min="7" max="7" width="15" customWidth="1"/>
  </cols>
  <sheetData>
    <row r="1" spans="1:7" x14ac:dyDescent="0.3">
      <c r="A1" s="3" t="s">
        <v>0</v>
      </c>
      <c r="C1" s="2" t="s">
        <v>1</v>
      </c>
      <c r="D1" s="2"/>
      <c r="F1" s="2" t="s">
        <v>2</v>
      </c>
      <c r="G1" s="2"/>
    </row>
    <row r="2" spans="1:7" x14ac:dyDescent="0.3">
      <c r="A2" s="4" t="s">
        <v>3</v>
      </c>
      <c r="C2" s="5" t="s">
        <v>4</v>
      </c>
      <c r="D2" s="4">
        <v>8</v>
      </c>
      <c r="F2" s="5" t="s">
        <v>5</v>
      </c>
      <c r="G2" s="5" t="s">
        <v>6</v>
      </c>
    </row>
    <row r="3" spans="1:7" x14ac:dyDescent="0.3">
      <c r="A3" s="4" t="s">
        <v>7</v>
      </c>
      <c r="C3" s="5" t="s">
        <v>8</v>
      </c>
      <c r="D3" s="4">
        <v>100</v>
      </c>
      <c r="F3" t="s">
        <v>3</v>
      </c>
      <c r="G3" s="4">
        <v>2685</v>
      </c>
    </row>
    <row r="4" spans="1:7" x14ac:dyDescent="0.3">
      <c r="A4" s="4" t="s">
        <v>9</v>
      </c>
      <c r="C4" s="5" t="s">
        <v>10</v>
      </c>
      <c r="D4" s="4">
        <v>800</v>
      </c>
      <c r="F4" t="s">
        <v>7</v>
      </c>
      <c r="G4" s="4">
        <v>1299</v>
      </c>
    </row>
    <row r="5" spans="1:7" x14ac:dyDescent="0.3">
      <c r="A5" s="4" t="s">
        <v>11</v>
      </c>
      <c r="C5" s="5" t="s">
        <v>12</v>
      </c>
      <c r="D5" s="4" t="s">
        <v>13</v>
      </c>
      <c r="F5" t="s">
        <v>9</v>
      </c>
      <c r="G5" s="4">
        <v>620</v>
      </c>
    </row>
    <row r="6" spans="1:7" x14ac:dyDescent="0.3">
      <c r="A6" s="4" t="s">
        <v>14</v>
      </c>
      <c r="C6" s="5" t="s">
        <v>15</v>
      </c>
      <c r="D6" s="4" t="s">
        <v>16</v>
      </c>
      <c r="F6" t="s">
        <v>11</v>
      </c>
      <c r="G6" s="4">
        <v>0</v>
      </c>
    </row>
    <row r="7" spans="1:7" x14ac:dyDescent="0.3">
      <c r="C7" s="5" t="s">
        <v>17</v>
      </c>
      <c r="D7" s="4">
        <v>0.8</v>
      </c>
      <c r="F7" t="s">
        <v>14</v>
      </c>
      <c r="G7" s="4">
        <v>0</v>
      </c>
    </row>
    <row r="8" spans="1:7" x14ac:dyDescent="0.3">
      <c r="C8" s="5" t="s">
        <v>18</v>
      </c>
      <c r="D8" s="4">
        <v>68</v>
      </c>
    </row>
  </sheetData>
  <mergeCells count="2">
    <mergeCell ref="C1:D1"/>
    <mergeCell ref="F1:G1"/>
  </mergeCells>
  <dataValidations count="2">
    <dataValidation type="list" sqref="D5" xr:uid="{00000000-0002-0000-0000-000000000000}">
      <formula1>"Base,High,Low"</formula1>
      <formula2>0</formula2>
    </dataValidation>
    <dataValidation type="list" sqref="D6" xr:uid="{00000000-0002-0000-0000-000001000000}">
      <formula1>"EV,Probabilistic"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1"/>
  <sheetViews>
    <sheetView zoomScaleNormal="100" workbookViewId="0"/>
  </sheetViews>
  <sheetFormatPr baseColWidth="10" defaultColWidth="8.6640625" defaultRowHeight="14.4" x14ac:dyDescent="0.3"/>
  <cols>
    <col min="1" max="6" width="14" customWidth="1"/>
  </cols>
  <sheetData>
    <row r="1" spans="1:6" ht="28.2" x14ac:dyDescent="0.3">
      <c r="A1" s="6" t="s">
        <v>5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</row>
    <row r="2" spans="1:6" x14ac:dyDescent="0.3">
      <c r="A2" t="s">
        <v>3</v>
      </c>
      <c r="B2">
        <v>1</v>
      </c>
      <c r="C2" s="4">
        <v>0</v>
      </c>
      <c r="D2" s="4">
        <v>0</v>
      </c>
      <c r="E2" s="4">
        <v>0</v>
      </c>
      <c r="F2" s="7">
        <f>IF(Inputs_Global!$D$5="Base",C2,IF(Inputs_Global!$D$5="High",D2,E2))</f>
        <v>0</v>
      </c>
    </row>
    <row r="3" spans="1:6" x14ac:dyDescent="0.3">
      <c r="A3" t="s">
        <v>3</v>
      </c>
      <c r="B3">
        <v>2</v>
      </c>
      <c r="C3" s="4">
        <v>2225</v>
      </c>
      <c r="D3" s="4">
        <v>2670</v>
      </c>
      <c r="E3" s="4">
        <v>1780</v>
      </c>
      <c r="F3" s="7">
        <f>IF(Inputs_Global!$D$5="Base",C3,IF(Inputs_Global!$D$5="High",D3,E3))</f>
        <v>2225</v>
      </c>
    </row>
    <row r="4" spans="1:6" x14ac:dyDescent="0.3">
      <c r="A4" t="s">
        <v>3</v>
      </c>
      <c r="B4">
        <v>3</v>
      </c>
      <c r="C4" s="4">
        <v>0</v>
      </c>
      <c r="D4" s="4">
        <v>0</v>
      </c>
      <c r="E4" s="4">
        <v>0</v>
      </c>
      <c r="F4" s="7">
        <f>IF(Inputs_Global!$D$5="Base",C4,IF(Inputs_Global!$D$5="High",D4,E4))</f>
        <v>0</v>
      </c>
    </row>
    <row r="5" spans="1:6" x14ac:dyDescent="0.3">
      <c r="A5" t="s">
        <v>3</v>
      </c>
      <c r="B5">
        <v>4</v>
      </c>
      <c r="C5" s="4">
        <v>2225</v>
      </c>
      <c r="D5" s="4">
        <v>2670</v>
      </c>
      <c r="E5" s="4">
        <v>1780</v>
      </c>
      <c r="F5" s="7">
        <f>IF(Inputs_Global!$D$5="Base",C5,IF(Inputs_Global!$D$5="High",D5,E5))</f>
        <v>2225</v>
      </c>
    </row>
    <row r="6" spans="1:6" x14ac:dyDescent="0.3">
      <c r="A6" t="s">
        <v>3</v>
      </c>
      <c r="B6">
        <v>5</v>
      </c>
      <c r="C6" s="4">
        <v>0</v>
      </c>
      <c r="D6" s="4">
        <v>0</v>
      </c>
      <c r="E6" s="4">
        <v>0</v>
      </c>
      <c r="F6" s="7">
        <f>IF(Inputs_Global!$D$5="Base",C6,IF(Inputs_Global!$D$5="High",D6,E6))</f>
        <v>0</v>
      </c>
    </row>
    <row r="7" spans="1:6" x14ac:dyDescent="0.3">
      <c r="A7" t="s">
        <v>3</v>
      </c>
      <c r="B7">
        <v>6</v>
      </c>
      <c r="C7" s="4">
        <v>2225</v>
      </c>
      <c r="D7" s="4">
        <v>2670</v>
      </c>
      <c r="E7" s="4">
        <v>1780</v>
      </c>
      <c r="F7" s="7">
        <f>IF(Inputs_Global!$D$5="Base",C7,IF(Inputs_Global!$D$5="High",D7,E7))</f>
        <v>2225</v>
      </c>
    </row>
    <row r="8" spans="1:6" x14ac:dyDescent="0.3">
      <c r="A8" t="s">
        <v>3</v>
      </c>
      <c r="B8">
        <v>7</v>
      </c>
      <c r="C8" s="4">
        <v>0</v>
      </c>
      <c r="D8" s="4">
        <v>0</v>
      </c>
      <c r="E8" s="4">
        <v>0</v>
      </c>
      <c r="F8" s="7">
        <f>IF(Inputs_Global!$D$5="Base",C8,IF(Inputs_Global!$D$5="High",D8,E8))</f>
        <v>0</v>
      </c>
    </row>
    <row r="9" spans="1:6" x14ac:dyDescent="0.3">
      <c r="A9" t="s">
        <v>3</v>
      </c>
      <c r="B9">
        <v>8</v>
      </c>
      <c r="C9" s="4">
        <v>2225</v>
      </c>
      <c r="D9" s="4">
        <v>2670</v>
      </c>
      <c r="E9" s="4">
        <v>1780</v>
      </c>
      <c r="F9" s="7">
        <f>IF(Inputs_Global!$D$5="Base",C9,IF(Inputs_Global!$D$5="High",D9,E9))</f>
        <v>2225</v>
      </c>
    </row>
    <row r="10" spans="1:6" x14ac:dyDescent="0.3">
      <c r="A10" t="s">
        <v>7</v>
      </c>
      <c r="B10">
        <v>1</v>
      </c>
      <c r="C10" s="4">
        <v>0</v>
      </c>
      <c r="D10" s="4">
        <v>0</v>
      </c>
      <c r="E10" s="4">
        <v>0</v>
      </c>
      <c r="F10" s="7">
        <f>IF(Inputs_Global!$D$5="Base",C10,IF(Inputs_Global!$D$5="High",D10,E10))</f>
        <v>0</v>
      </c>
    </row>
    <row r="11" spans="1:6" x14ac:dyDescent="0.3">
      <c r="A11" t="s">
        <v>7</v>
      </c>
      <c r="B11">
        <v>2</v>
      </c>
      <c r="C11" s="4">
        <v>1007</v>
      </c>
      <c r="D11" s="4">
        <v>1208</v>
      </c>
      <c r="E11" s="4">
        <v>805</v>
      </c>
      <c r="F11" s="7">
        <f>IF(Inputs_Global!$D$5="Base",C11,IF(Inputs_Global!$D$5="High",D11,E11))</f>
        <v>1007</v>
      </c>
    </row>
    <row r="12" spans="1:6" x14ac:dyDescent="0.3">
      <c r="A12" t="s">
        <v>7</v>
      </c>
      <c r="B12">
        <v>3</v>
      </c>
      <c r="C12" s="4">
        <v>0</v>
      </c>
      <c r="D12" s="4">
        <v>0</v>
      </c>
      <c r="E12" s="4">
        <v>0</v>
      </c>
      <c r="F12" s="7">
        <f>IF(Inputs_Global!$D$5="Base",C12,IF(Inputs_Global!$D$5="High",D12,E12))</f>
        <v>0</v>
      </c>
    </row>
    <row r="13" spans="1:6" x14ac:dyDescent="0.3">
      <c r="A13" t="s">
        <v>7</v>
      </c>
      <c r="B13">
        <v>4</v>
      </c>
      <c r="C13" s="4">
        <v>1007</v>
      </c>
      <c r="D13" s="4">
        <v>1208</v>
      </c>
      <c r="E13" s="4">
        <v>805</v>
      </c>
      <c r="F13" s="7">
        <f>IF(Inputs_Global!$D$5="Base",C13,IF(Inputs_Global!$D$5="High",D13,E13))</f>
        <v>1007</v>
      </c>
    </row>
    <row r="14" spans="1:6" x14ac:dyDescent="0.3">
      <c r="A14" t="s">
        <v>7</v>
      </c>
      <c r="B14">
        <v>5</v>
      </c>
      <c r="C14" s="4">
        <v>0</v>
      </c>
      <c r="D14" s="4">
        <v>0</v>
      </c>
      <c r="E14" s="4">
        <v>0</v>
      </c>
      <c r="F14" s="7">
        <f>IF(Inputs_Global!$D$5="Base",C14,IF(Inputs_Global!$D$5="High",D14,E14))</f>
        <v>0</v>
      </c>
    </row>
    <row r="15" spans="1:6" x14ac:dyDescent="0.3">
      <c r="A15" t="s">
        <v>7</v>
      </c>
      <c r="B15">
        <v>6</v>
      </c>
      <c r="C15" s="4">
        <v>1007</v>
      </c>
      <c r="D15" s="4">
        <v>1208</v>
      </c>
      <c r="E15" s="4">
        <v>805</v>
      </c>
      <c r="F15" s="7">
        <f>IF(Inputs_Global!$D$5="Base",C15,IF(Inputs_Global!$D$5="High",D15,E15))</f>
        <v>1007</v>
      </c>
    </row>
    <row r="16" spans="1:6" x14ac:dyDescent="0.3">
      <c r="A16" t="s">
        <v>7</v>
      </c>
      <c r="B16">
        <v>7</v>
      </c>
      <c r="C16" s="4">
        <v>0</v>
      </c>
      <c r="D16" s="4">
        <v>0</v>
      </c>
      <c r="E16" s="4">
        <v>0</v>
      </c>
      <c r="F16" s="7">
        <f>IF(Inputs_Global!$D$5="Base",C16,IF(Inputs_Global!$D$5="High",D16,E16))</f>
        <v>0</v>
      </c>
    </row>
    <row r="17" spans="1:6" x14ac:dyDescent="0.3">
      <c r="A17" t="s">
        <v>7</v>
      </c>
      <c r="B17">
        <v>8</v>
      </c>
      <c r="C17" s="4">
        <v>1007</v>
      </c>
      <c r="D17" s="4">
        <v>1208</v>
      </c>
      <c r="E17" s="4">
        <v>805</v>
      </c>
      <c r="F17" s="7">
        <f>IF(Inputs_Global!$D$5="Base",C17,IF(Inputs_Global!$D$5="High",D17,E17))</f>
        <v>1007</v>
      </c>
    </row>
    <row r="18" spans="1:6" x14ac:dyDescent="0.3">
      <c r="A18" t="s">
        <v>9</v>
      </c>
      <c r="B18">
        <v>1</v>
      </c>
      <c r="C18" s="4">
        <v>0</v>
      </c>
      <c r="D18" s="4">
        <v>0</v>
      </c>
      <c r="E18" s="4">
        <v>0</v>
      </c>
      <c r="F18" s="7">
        <f>IF(Inputs_Global!$D$5="Base",C18,IF(Inputs_Global!$D$5="High",D18,E18))</f>
        <v>0</v>
      </c>
    </row>
    <row r="19" spans="1:6" x14ac:dyDescent="0.3">
      <c r="A19" t="s">
        <v>9</v>
      </c>
      <c r="B19">
        <v>2</v>
      </c>
      <c r="C19" s="4">
        <v>1100</v>
      </c>
      <c r="D19" s="4">
        <v>1320</v>
      </c>
      <c r="E19" s="4">
        <v>880</v>
      </c>
      <c r="F19" s="7">
        <f>IF(Inputs_Global!$D$5="Base",C19,IF(Inputs_Global!$D$5="High",D19,E19))</f>
        <v>1100</v>
      </c>
    </row>
    <row r="20" spans="1:6" x14ac:dyDescent="0.3">
      <c r="A20" t="s">
        <v>9</v>
      </c>
      <c r="B20">
        <v>3</v>
      </c>
      <c r="C20" s="4">
        <v>0</v>
      </c>
      <c r="D20" s="4">
        <v>0</v>
      </c>
      <c r="E20" s="4">
        <v>0</v>
      </c>
      <c r="F20" s="7">
        <f>IF(Inputs_Global!$D$5="Base",C20,IF(Inputs_Global!$D$5="High",D20,E20))</f>
        <v>0</v>
      </c>
    </row>
    <row r="21" spans="1:6" x14ac:dyDescent="0.3">
      <c r="A21" t="s">
        <v>9</v>
      </c>
      <c r="B21">
        <v>4</v>
      </c>
      <c r="C21" s="4">
        <v>1100</v>
      </c>
      <c r="D21" s="4">
        <v>1320</v>
      </c>
      <c r="E21" s="4">
        <v>880</v>
      </c>
      <c r="F21" s="7">
        <f>IF(Inputs_Global!$D$5="Base",C21,IF(Inputs_Global!$D$5="High",D21,E21))</f>
        <v>1100</v>
      </c>
    </row>
    <row r="22" spans="1:6" x14ac:dyDescent="0.3">
      <c r="A22" t="s">
        <v>9</v>
      </c>
      <c r="B22">
        <v>5</v>
      </c>
      <c r="C22" s="4">
        <v>0</v>
      </c>
      <c r="D22" s="4">
        <v>0</v>
      </c>
      <c r="E22" s="4">
        <v>0</v>
      </c>
      <c r="F22" s="7">
        <f>IF(Inputs_Global!$D$5="Base",C22,IF(Inputs_Global!$D$5="High",D22,E22))</f>
        <v>0</v>
      </c>
    </row>
    <row r="23" spans="1:6" x14ac:dyDescent="0.3">
      <c r="A23" t="s">
        <v>9</v>
      </c>
      <c r="B23">
        <v>6</v>
      </c>
      <c r="C23" s="4">
        <v>1100</v>
      </c>
      <c r="D23" s="4">
        <v>1320</v>
      </c>
      <c r="E23" s="4">
        <v>880</v>
      </c>
      <c r="F23" s="7">
        <f>IF(Inputs_Global!$D$5="Base",C23,IF(Inputs_Global!$D$5="High",D23,E23))</f>
        <v>1100</v>
      </c>
    </row>
    <row r="24" spans="1:6" x14ac:dyDescent="0.3">
      <c r="A24" t="s">
        <v>9</v>
      </c>
      <c r="B24">
        <v>7</v>
      </c>
      <c r="C24" s="4">
        <v>0</v>
      </c>
      <c r="D24" s="4">
        <v>0</v>
      </c>
      <c r="E24" s="4">
        <v>0</v>
      </c>
      <c r="F24" s="7">
        <f>IF(Inputs_Global!$D$5="Base",C24,IF(Inputs_Global!$D$5="High",D24,E24))</f>
        <v>0</v>
      </c>
    </row>
    <row r="25" spans="1:6" x14ac:dyDescent="0.3">
      <c r="A25" t="s">
        <v>9</v>
      </c>
      <c r="B25">
        <v>8</v>
      </c>
      <c r="C25" s="4">
        <v>1100</v>
      </c>
      <c r="D25" s="4">
        <v>1320</v>
      </c>
      <c r="E25" s="4">
        <v>880</v>
      </c>
      <c r="F25" s="7">
        <f>IF(Inputs_Global!$D$5="Base",C25,IF(Inputs_Global!$D$5="High",D25,E25))</f>
        <v>1100</v>
      </c>
    </row>
    <row r="26" spans="1:6" x14ac:dyDescent="0.3">
      <c r="A26" t="s">
        <v>11</v>
      </c>
      <c r="B26">
        <v>1</v>
      </c>
      <c r="C26" s="4">
        <v>0</v>
      </c>
      <c r="D26" s="4">
        <v>0</v>
      </c>
      <c r="E26" s="4">
        <v>0</v>
      </c>
      <c r="F26" s="7">
        <f>IF(Inputs_Global!$D$5="Base",C26,IF(Inputs_Global!$D$5="High",D26,E26))</f>
        <v>0</v>
      </c>
    </row>
    <row r="27" spans="1:6" x14ac:dyDescent="0.3">
      <c r="A27" t="s">
        <v>11</v>
      </c>
      <c r="B27">
        <v>2</v>
      </c>
      <c r="C27" s="4">
        <v>0</v>
      </c>
      <c r="D27" s="4">
        <v>0</v>
      </c>
      <c r="E27" s="4">
        <v>0</v>
      </c>
      <c r="F27" s="7">
        <f>IF(Inputs_Global!$D$5="Base",C27,IF(Inputs_Global!$D$5="High",D27,E27))</f>
        <v>0</v>
      </c>
    </row>
    <row r="28" spans="1:6" x14ac:dyDescent="0.3">
      <c r="A28" t="s">
        <v>11</v>
      </c>
      <c r="B28">
        <v>3</v>
      </c>
      <c r="C28" s="4">
        <v>0</v>
      </c>
      <c r="D28" s="4">
        <v>0</v>
      </c>
      <c r="E28" s="4">
        <v>0</v>
      </c>
      <c r="F28" s="7">
        <f>IF(Inputs_Global!$D$5="Base",C28,IF(Inputs_Global!$D$5="High",D28,E28))</f>
        <v>0</v>
      </c>
    </row>
    <row r="29" spans="1:6" x14ac:dyDescent="0.3">
      <c r="A29" t="s">
        <v>11</v>
      </c>
      <c r="B29">
        <v>4</v>
      </c>
      <c r="C29" s="4">
        <v>0</v>
      </c>
      <c r="D29" s="4">
        <v>0</v>
      </c>
      <c r="E29" s="4">
        <v>0</v>
      </c>
      <c r="F29" s="7">
        <f>IF(Inputs_Global!$D$5="Base",C29,IF(Inputs_Global!$D$5="High",D29,E29))</f>
        <v>0</v>
      </c>
    </row>
    <row r="30" spans="1:6" x14ac:dyDescent="0.3">
      <c r="A30" t="s">
        <v>11</v>
      </c>
      <c r="B30">
        <v>5</v>
      </c>
      <c r="C30" s="4">
        <v>0</v>
      </c>
      <c r="D30" s="4">
        <v>0</v>
      </c>
      <c r="E30" s="4">
        <v>0</v>
      </c>
      <c r="F30" s="7">
        <f>IF(Inputs_Global!$D$5="Base",C30,IF(Inputs_Global!$D$5="High",D30,E30))</f>
        <v>0</v>
      </c>
    </row>
    <row r="31" spans="1:6" x14ac:dyDescent="0.3">
      <c r="A31" t="s">
        <v>11</v>
      </c>
      <c r="B31">
        <v>6</v>
      </c>
      <c r="C31" s="4">
        <v>0</v>
      </c>
      <c r="D31" s="4">
        <v>0</v>
      </c>
      <c r="E31" s="4">
        <v>0</v>
      </c>
      <c r="F31" s="7">
        <f>IF(Inputs_Global!$D$5="Base",C31,IF(Inputs_Global!$D$5="High",D31,E31))</f>
        <v>0</v>
      </c>
    </row>
    <row r="32" spans="1:6" x14ac:dyDescent="0.3">
      <c r="A32" t="s">
        <v>11</v>
      </c>
      <c r="B32">
        <v>7</v>
      </c>
      <c r="C32" s="4">
        <v>0</v>
      </c>
      <c r="D32" s="4">
        <v>0</v>
      </c>
      <c r="E32" s="4">
        <v>0</v>
      </c>
      <c r="F32" s="7">
        <f>IF(Inputs_Global!$D$5="Base",C32,IF(Inputs_Global!$D$5="High",D32,E32))</f>
        <v>0</v>
      </c>
    </row>
    <row r="33" spans="1:6" x14ac:dyDescent="0.3">
      <c r="A33" t="s">
        <v>11</v>
      </c>
      <c r="B33">
        <v>8</v>
      </c>
      <c r="C33" s="4">
        <v>0</v>
      </c>
      <c r="D33" s="4">
        <v>0</v>
      </c>
      <c r="E33" s="4">
        <v>0</v>
      </c>
      <c r="F33" s="7">
        <f>IF(Inputs_Global!$D$5="Base",C33,IF(Inputs_Global!$D$5="High",D33,E33))</f>
        <v>0</v>
      </c>
    </row>
    <row r="34" spans="1:6" x14ac:dyDescent="0.3">
      <c r="A34" t="s">
        <v>14</v>
      </c>
      <c r="B34">
        <v>1</v>
      </c>
      <c r="C34" s="4">
        <v>0</v>
      </c>
      <c r="D34" s="4">
        <v>0</v>
      </c>
      <c r="E34" s="4">
        <v>0</v>
      </c>
      <c r="F34" s="7">
        <f>IF(Inputs_Global!$D$5="Base",C34,IF(Inputs_Global!$D$5="High",D34,E34))</f>
        <v>0</v>
      </c>
    </row>
    <row r="35" spans="1:6" x14ac:dyDescent="0.3">
      <c r="A35" t="s">
        <v>14</v>
      </c>
      <c r="B35">
        <v>2</v>
      </c>
      <c r="C35" s="4">
        <v>0</v>
      </c>
      <c r="D35" s="4">
        <v>0</v>
      </c>
      <c r="E35" s="4">
        <v>0</v>
      </c>
      <c r="F35" s="7">
        <f>IF(Inputs_Global!$D$5="Base",C35,IF(Inputs_Global!$D$5="High",D35,E35))</f>
        <v>0</v>
      </c>
    </row>
    <row r="36" spans="1:6" x14ac:dyDescent="0.3">
      <c r="A36" t="s">
        <v>14</v>
      </c>
      <c r="B36">
        <v>3</v>
      </c>
      <c r="C36" s="4">
        <v>0</v>
      </c>
      <c r="D36" s="4">
        <v>0</v>
      </c>
      <c r="E36" s="4">
        <v>0</v>
      </c>
      <c r="F36" s="7">
        <f>IF(Inputs_Global!$D$5="Base",C36,IF(Inputs_Global!$D$5="High",D36,E36))</f>
        <v>0</v>
      </c>
    </row>
    <row r="37" spans="1:6" x14ac:dyDescent="0.3">
      <c r="A37" t="s">
        <v>14</v>
      </c>
      <c r="B37">
        <v>4</v>
      </c>
      <c r="C37" s="4">
        <v>0</v>
      </c>
      <c r="D37" s="4">
        <v>0</v>
      </c>
      <c r="E37" s="4">
        <v>0</v>
      </c>
      <c r="F37" s="7">
        <f>IF(Inputs_Global!$D$5="Base",C37,IF(Inputs_Global!$D$5="High",D37,E37))</f>
        <v>0</v>
      </c>
    </row>
    <row r="38" spans="1:6" x14ac:dyDescent="0.3">
      <c r="A38" t="s">
        <v>14</v>
      </c>
      <c r="B38">
        <v>5</v>
      </c>
      <c r="C38" s="4">
        <v>0</v>
      </c>
      <c r="D38" s="4">
        <v>0</v>
      </c>
      <c r="E38" s="4">
        <v>0</v>
      </c>
      <c r="F38" s="7">
        <f>IF(Inputs_Global!$D$5="Base",C38,IF(Inputs_Global!$D$5="High",D38,E38))</f>
        <v>0</v>
      </c>
    </row>
    <row r="39" spans="1:6" x14ac:dyDescent="0.3">
      <c r="A39" t="s">
        <v>14</v>
      </c>
      <c r="B39">
        <v>6</v>
      </c>
      <c r="C39" s="4">
        <v>0</v>
      </c>
      <c r="D39" s="4">
        <v>0</v>
      </c>
      <c r="E39" s="4">
        <v>0</v>
      </c>
      <c r="F39" s="7">
        <f>IF(Inputs_Global!$D$5="Base",C39,IF(Inputs_Global!$D$5="High",D39,E39))</f>
        <v>0</v>
      </c>
    </row>
    <row r="40" spans="1:6" x14ac:dyDescent="0.3">
      <c r="A40" t="s">
        <v>14</v>
      </c>
      <c r="B40">
        <v>7</v>
      </c>
      <c r="C40" s="4">
        <v>0</v>
      </c>
      <c r="D40" s="4">
        <v>0</v>
      </c>
      <c r="E40" s="4">
        <v>0</v>
      </c>
      <c r="F40" s="7">
        <f>IF(Inputs_Global!$D$5="Base",C40,IF(Inputs_Global!$D$5="High",D40,E40))</f>
        <v>0</v>
      </c>
    </row>
    <row r="41" spans="1:6" x14ac:dyDescent="0.3">
      <c r="A41" t="s">
        <v>14</v>
      </c>
      <c r="B41">
        <v>8</v>
      </c>
      <c r="C41" s="4">
        <v>0</v>
      </c>
      <c r="D41" s="4">
        <v>0</v>
      </c>
      <c r="E41" s="4">
        <v>0</v>
      </c>
      <c r="F41" s="7">
        <f>IF(Inputs_Global!$D$5="Base",C41,IF(Inputs_Global!$D$5="High",D41,E41))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1"/>
  <sheetViews>
    <sheetView zoomScaleNormal="100" workbookViewId="0"/>
  </sheetViews>
  <sheetFormatPr baseColWidth="10" defaultColWidth="8.6640625" defaultRowHeight="14.4" x14ac:dyDescent="0.3"/>
  <cols>
    <col min="1" max="3" width="15" customWidth="1"/>
  </cols>
  <sheetData>
    <row r="1" spans="1:3" x14ac:dyDescent="0.3">
      <c r="A1" s="6" t="s">
        <v>5</v>
      </c>
      <c r="B1" s="6" t="s">
        <v>19</v>
      </c>
      <c r="C1" s="6" t="s">
        <v>24</v>
      </c>
    </row>
    <row r="2" spans="1:3" x14ac:dyDescent="0.3">
      <c r="A2" t="s">
        <v>3</v>
      </c>
      <c r="B2">
        <v>1</v>
      </c>
      <c r="C2" s="4">
        <v>1500</v>
      </c>
    </row>
    <row r="3" spans="1:3" x14ac:dyDescent="0.3">
      <c r="A3" t="s">
        <v>3</v>
      </c>
      <c r="B3">
        <v>2</v>
      </c>
      <c r="C3" s="4">
        <v>1500</v>
      </c>
    </row>
    <row r="4" spans="1:3" x14ac:dyDescent="0.3">
      <c r="A4" t="s">
        <v>3</v>
      </c>
      <c r="B4">
        <v>3</v>
      </c>
      <c r="C4" s="4">
        <v>1500</v>
      </c>
    </row>
    <row r="5" spans="1:3" x14ac:dyDescent="0.3">
      <c r="A5" t="s">
        <v>3</v>
      </c>
      <c r="B5">
        <v>4</v>
      </c>
      <c r="C5" s="4">
        <v>1500</v>
      </c>
    </row>
    <row r="6" spans="1:3" x14ac:dyDescent="0.3">
      <c r="A6" t="s">
        <v>3</v>
      </c>
      <c r="B6">
        <v>5</v>
      </c>
      <c r="C6" s="4">
        <v>1500</v>
      </c>
    </row>
    <row r="7" spans="1:3" x14ac:dyDescent="0.3">
      <c r="A7" t="s">
        <v>3</v>
      </c>
      <c r="B7">
        <v>6</v>
      </c>
      <c r="C7" s="4">
        <v>1500</v>
      </c>
    </row>
    <row r="8" spans="1:3" x14ac:dyDescent="0.3">
      <c r="A8" t="s">
        <v>3</v>
      </c>
      <c r="B8">
        <v>7</v>
      </c>
      <c r="C8" s="4">
        <v>1500</v>
      </c>
    </row>
    <row r="9" spans="1:3" x14ac:dyDescent="0.3">
      <c r="A9" t="s">
        <v>3</v>
      </c>
      <c r="B9">
        <v>8</v>
      </c>
      <c r="C9" s="4">
        <v>1500</v>
      </c>
    </row>
    <row r="10" spans="1:3" x14ac:dyDescent="0.3">
      <c r="A10" t="s">
        <v>7</v>
      </c>
      <c r="B10">
        <v>1</v>
      </c>
      <c r="C10" s="4">
        <v>350</v>
      </c>
    </row>
    <row r="11" spans="1:3" x14ac:dyDescent="0.3">
      <c r="A11" t="s">
        <v>7</v>
      </c>
      <c r="B11">
        <v>2</v>
      </c>
      <c r="C11" s="4">
        <v>350</v>
      </c>
    </row>
    <row r="12" spans="1:3" x14ac:dyDescent="0.3">
      <c r="A12" t="s">
        <v>7</v>
      </c>
      <c r="B12">
        <v>3</v>
      </c>
      <c r="C12" s="4">
        <v>350</v>
      </c>
    </row>
    <row r="13" spans="1:3" x14ac:dyDescent="0.3">
      <c r="A13" t="s">
        <v>7</v>
      </c>
      <c r="B13">
        <v>4</v>
      </c>
      <c r="C13" s="4">
        <v>350</v>
      </c>
    </row>
    <row r="14" spans="1:3" x14ac:dyDescent="0.3">
      <c r="A14" t="s">
        <v>7</v>
      </c>
      <c r="B14">
        <v>5</v>
      </c>
      <c r="C14" s="4">
        <v>350</v>
      </c>
    </row>
    <row r="15" spans="1:3" x14ac:dyDescent="0.3">
      <c r="A15" t="s">
        <v>7</v>
      </c>
      <c r="B15">
        <v>6</v>
      </c>
      <c r="C15" s="4">
        <v>350</v>
      </c>
    </row>
    <row r="16" spans="1:3" x14ac:dyDescent="0.3">
      <c r="A16" t="s">
        <v>7</v>
      </c>
      <c r="B16">
        <v>7</v>
      </c>
      <c r="C16" s="4">
        <v>350</v>
      </c>
    </row>
    <row r="17" spans="1:3" x14ac:dyDescent="0.3">
      <c r="A17" t="s">
        <v>7</v>
      </c>
      <c r="B17">
        <v>8</v>
      </c>
      <c r="C17" s="4">
        <v>350</v>
      </c>
    </row>
    <row r="18" spans="1:3" x14ac:dyDescent="0.3">
      <c r="A18" t="s">
        <v>9</v>
      </c>
      <c r="B18">
        <v>1</v>
      </c>
      <c r="C18" s="4">
        <v>0</v>
      </c>
    </row>
    <row r="19" spans="1:3" x14ac:dyDescent="0.3">
      <c r="A19" t="s">
        <v>9</v>
      </c>
      <c r="B19">
        <v>2</v>
      </c>
      <c r="C19" s="4">
        <v>0</v>
      </c>
    </row>
    <row r="20" spans="1:3" x14ac:dyDescent="0.3">
      <c r="A20" t="s">
        <v>9</v>
      </c>
      <c r="B20">
        <v>3</v>
      </c>
      <c r="C20" s="4">
        <v>0</v>
      </c>
    </row>
    <row r="21" spans="1:3" x14ac:dyDescent="0.3">
      <c r="A21" t="s">
        <v>9</v>
      </c>
      <c r="B21">
        <v>4</v>
      </c>
      <c r="C21" s="4">
        <v>0</v>
      </c>
    </row>
    <row r="22" spans="1:3" x14ac:dyDescent="0.3">
      <c r="A22" t="s">
        <v>9</v>
      </c>
      <c r="B22">
        <v>5</v>
      </c>
      <c r="C22" s="4">
        <v>0</v>
      </c>
    </row>
    <row r="23" spans="1:3" x14ac:dyDescent="0.3">
      <c r="A23" t="s">
        <v>9</v>
      </c>
      <c r="B23">
        <v>6</v>
      </c>
      <c r="C23" s="4">
        <v>0</v>
      </c>
    </row>
    <row r="24" spans="1:3" x14ac:dyDescent="0.3">
      <c r="A24" t="s">
        <v>9</v>
      </c>
      <c r="B24">
        <v>7</v>
      </c>
      <c r="C24" s="4">
        <v>0</v>
      </c>
    </row>
    <row r="25" spans="1:3" x14ac:dyDescent="0.3">
      <c r="A25" t="s">
        <v>9</v>
      </c>
      <c r="B25">
        <v>8</v>
      </c>
      <c r="C25" s="4">
        <v>0</v>
      </c>
    </row>
    <row r="26" spans="1:3" x14ac:dyDescent="0.3">
      <c r="A26" t="s">
        <v>11</v>
      </c>
      <c r="B26">
        <v>1</v>
      </c>
      <c r="C26" s="4">
        <v>0</v>
      </c>
    </row>
    <row r="27" spans="1:3" x14ac:dyDescent="0.3">
      <c r="A27" t="s">
        <v>11</v>
      </c>
      <c r="B27">
        <v>2</v>
      </c>
      <c r="C27" s="4">
        <v>0</v>
      </c>
    </row>
    <row r="28" spans="1:3" x14ac:dyDescent="0.3">
      <c r="A28" t="s">
        <v>11</v>
      </c>
      <c r="B28">
        <v>3</v>
      </c>
      <c r="C28" s="4">
        <v>0</v>
      </c>
    </row>
    <row r="29" spans="1:3" x14ac:dyDescent="0.3">
      <c r="A29" t="s">
        <v>11</v>
      </c>
      <c r="B29">
        <v>4</v>
      </c>
      <c r="C29" s="4">
        <v>0</v>
      </c>
    </row>
    <row r="30" spans="1:3" x14ac:dyDescent="0.3">
      <c r="A30" t="s">
        <v>11</v>
      </c>
      <c r="B30">
        <v>5</v>
      </c>
      <c r="C30" s="4">
        <v>0</v>
      </c>
    </row>
    <row r="31" spans="1:3" x14ac:dyDescent="0.3">
      <c r="A31" t="s">
        <v>11</v>
      </c>
      <c r="B31">
        <v>6</v>
      </c>
      <c r="C31" s="4">
        <v>0</v>
      </c>
    </row>
    <row r="32" spans="1:3" x14ac:dyDescent="0.3">
      <c r="A32" t="s">
        <v>11</v>
      </c>
      <c r="B32">
        <v>7</v>
      </c>
      <c r="C32" s="4">
        <v>0</v>
      </c>
    </row>
    <row r="33" spans="1:3" x14ac:dyDescent="0.3">
      <c r="A33" t="s">
        <v>11</v>
      </c>
      <c r="B33">
        <v>8</v>
      </c>
      <c r="C33" s="4">
        <v>0</v>
      </c>
    </row>
    <row r="34" spans="1:3" x14ac:dyDescent="0.3">
      <c r="A34" t="s">
        <v>14</v>
      </c>
      <c r="B34">
        <v>1</v>
      </c>
      <c r="C34" s="4">
        <v>0</v>
      </c>
    </row>
    <row r="35" spans="1:3" x14ac:dyDescent="0.3">
      <c r="A35" t="s">
        <v>14</v>
      </c>
      <c r="B35">
        <v>2</v>
      </c>
      <c r="C35" s="4">
        <v>0</v>
      </c>
    </row>
    <row r="36" spans="1:3" x14ac:dyDescent="0.3">
      <c r="A36" t="s">
        <v>14</v>
      </c>
      <c r="B36">
        <v>3</v>
      </c>
      <c r="C36" s="4">
        <v>0</v>
      </c>
    </row>
    <row r="37" spans="1:3" x14ac:dyDescent="0.3">
      <c r="A37" t="s">
        <v>14</v>
      </c>
      <c r="B37">
        <v>4</v>
      </c>
      <c r="C37" s="4">
        <v>0</v>
      </c>
    </row>
    <row r="38" spans="1:3" x14ac:dyDescent="0.3">
      <c r="A38" t="s">
        <v>14</v>
      </c>
      <c r="B38">
        <v>5</v>
      </c>
      <c r="C38" s="4">
        <v>0</v>
      </c>
    </row>
    <row r="39" spans="1:3" x14ac:dyDescent="0.3">
      <c r="A39" t="s">
        <v>14</v>
      </c>
      <c r="B39">
        <v>6</v>
      </c>
      <c r="C39" s="4">
        <v>0</v>
      </c>
    </row>
    <row r="40" spans="1:3" x14ac:dyDescent="0.3">
      <c r="A40" t="s">
        <v>14</v>
      </c>
      <c r="B40">
        <v>7</v>
      </c>
      <c r="C40" s="4">
        <v>0</v>
      </c>
    </row>
    <row r="41" spans="1:3" x14ac:dyDescent="0.3">
      <c r="A41" t="s">
        <v>14</v>
      </c>
      <c r="B41">
        <v>8</v>
      </c>
      <c r="C41" s="4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4"/>
  <sheetViews>
    <sheetView tabSelected="1" zoomScaleNormal="100" workbookViewId="0"/>
  </sheetViews>
  <sheetFormatPr baseColWidth="10" defaultColWidth="8.6640625" defaultRowHeight="14.4" x14ac:dyDescent="0.3"/>
  <cols>
    <col min="1" max="5" width="12" customWidth="1"/>
  </cols>
  <sheetData>
    <row r="1" spans="1:7" ht="28.2" x14ac:dyDescent="0.3">
      <c r="A1" s="6" t="s">
        <v>25</v>
      </c>
      <c r="B1" s="6" t="s">
        <v>26</v>
      </c>
      <c r="C1" s="6" t="s">
        <v>27</v>
      </c>
      <c r="D1" s="6" t="s">
        <v>28</v>
      </c>
      <c r="E1" s="6" t="s">
        <v>29</v>
      </c>
      <c r="G1" s="5" t="s">
        <v>30</v>
      </c>
    </row>
    <row r="2" spans="1:7" x14ac:dyDescent="0.3">
      <c r="A2" s="4" t="s">
        <v>3</v>
      </c>
      <c r="B2" s="4" t="s">
        <v>7</v>
      </c>
      <c r="C2" s="4" t="s">
        <v>31</v>
      </c>
      <c r="D2" s="4" t="s">
        <v>32</v>
      </c>
      <c r="E2" s="4">
        <v>19.2</v>
      </c>
      <c r="G2" t="s">
        <v>33</v>
      </c>
    </row>
    <row r="3" spans="1:7" x14ac:dyDescent="0.3">
      <c r="A3" s="4" t="s">
        <v>3</v>
      </c>
      <c r="B3" s="4" t="s">
        <v>7</v>
      </c>
      <c r="C3" s="4" t="s">
        <v>31</v>
      </c>
      <c r="D3" s="4" t="s">
        <v>34</v>
      </c>
      <c r="E3" s="4">
        <v>19.2</v>
      </c>
      <c r="G3" t="s">
        <v>35</v>
      </c>
    </row>
    <row r="4" spans="1:7" x14ac:dyDescent="0.3">
      <c r="A4" s="4" t="s">
        <v>3</v>
      </c>
      <c r="B4" s="4" t="s">
        <v>7</v>
      </c>
      <c r="C4" s="4" t="s">
        <v>31</v>
      </c>
      <c r="D4" s="4" t="s">
        <v>36</v>
      </c>
      <c r="E4" s="4">
        <v>19.2</v>
      </c>
      <c r="G4" t="s">
        <v>37</v>
      </c>
    </row>
    <row r="5" spans="1:7" x14ac:dyDescent="0.3">
      <c r="A5" s="4" t="s">
        <v>3</v>
      </c>
      <c r="B5" s="4" t="s">
        <v>7</v>
      </c>
      <c r="C5" s="4" t="s">
        <v>38</v>
      </c>
      <c r="D5" s="4" t="s">
        <v>32</v>
      </c>
      <c r="E5" s="4">
        <v>18</v>
      </c>
    </row>
    <row r="6" spans="1:7" x14ac:dyDescent="0.3">
      <c r="A6" s="4" t="s">
        <v>3</v>
      </c>
      <c r="B6" s="4" t="s">
        <v>7</v>
      </c>
      <c r="C6" s="4" t="s">
        <v>38</v>
      </c>
      <c r="D6" s="4" t="s">
        <v>34</v>
      </c>
      <c r="E6" s="4">
        <v>16.8</v>
      </c>
    </row>
    <row r="7" spans="1:7" x14ac:dyDescent="0.3">
      <c r="A7" s="4" t="s">
        <v>3</v>
      </c>
      <c r="B7" s="4" t="s">
        <v>7</v>
      </c>
      <c r="C7" s="4" t="s">
        <v>38</v>
      </c>
      <c r="D7" s="4" t="s">
        <v>36</v>
      </c>
      <c r="E7" s="4">
        <v>15.6</v>
      </c>
    </row>
    <row r="8" spans="1:7" x14ac:dyDescent="0.3">
      <c r="A8" s="4" t="s">
        <v>3</v>
      </c>
      <c r="B8" s="4" t="s">
        <v>7</v>
      </c>
      <c r="C8" s="4" t="s">
        <v>39</v>
      </c>
      <c r="D8" s="4" t="s">
        <v>32</v>
      </c>
      <c r="E8" s="4">
        <v>13.2</v>
      </c>
    </row>
    <row r="9" spans="1:7" x14ac:dyDescent="0.3">
      <c r="A9" s="4" t="s">
        <v>3</v>
      </c>
      <c r="B9" s="4" t="s">
        <v>7</v>
      </c>
      <c r="C9" s="4" t="s">
        <v>39</v>
      </c>
      <c r="D9" s="4" t="s">
        <v>34</v>
      </c>
      <c r="E9" s="4">
        <v>12</v>
      </c>
    </row>
    <row r="10" spans="1:7" x14ac:dyDescent="0.3">
      <c r="A10" s="4" t="s">
        <v>3</v>
      </c>
      <c r="B10" s="4" t="s">
        <v>7</v>
      </c>
      <c r="C10" s="4" t="s">
        <v>39</v>
      </c>
      <c r="D10" s="4" t="s">
        <v>36</v>
      </c>
      <c r="E10" s="4">
        <v>10.8</v>
      </c>
    </row>
    <row r="11" spans="1:7" x14ac:dyDescent="0.3">
      <c r="A11" s="4" t="s">
        <v>3</v>
      </c>
      <c r="B11" s="4" t="s">
        <v>9</v>
      </c>
      <c r="C11" s="4" t="s">
        <v>31</v>
      </c>
      <c r="D11" s="4" t="s">
        <v>32</v>
      </c>
      <c r="E11" s="4">
        <v>26.4</v>
      </c>
    </row>
    <row r="12" spans="1:7" x14ac:dyDescent="0.3">
      <c r="A12" s="4" t="s">
        <v>3</v>
      </c>
      <c r="B12" s="4" t="s">
        <v>9</v>
      </c>
      <c r="C12" s="4" t="s">
        <v>31</v>
      </c>
      <c r="D12" s="4" t="s">
        <v>34</v>
      </c>
      <c r="E12" s="4">
        <v>26.4</v>
      </c>
    </row>
    <row r="13" spans="1:7" x14ac:dyDescent="0.3">
      <c r="A13" s="4" t="s">
        <v>3</v>
      </c>
      <c r="B13" s="4" t="s">
        <v>9</v>
      </c>
      <c r="C13" s="4" t="s">
        <v>31</v>
      </c>
      <c r="D13" s="4" t="s">
        <v>36</v>
      </c>
      <c r="E13" s="4">
        <v>26.4</v>
      </c>
    </row>
    <row r="14" spans="1:7" x14ac:dyDescent="0.3">
      <c r="A14" s="4" t="s">
        <v>3</v>
      </c>
      <c r="B14" s="4" t="s">
        <v>9</v>
      </c>
      <c r="C14" s="4" t="s">
        <v>38</v>
      </c>
      <c r="D14" s="4" t="s">
        <v>32</v>
      </c>
      <c r="E14" s="4">
        <v>20.16</v>
      </c>
    </row>
    <row r="15" spans="1:7" x14ac:dyDescent="0.3">
      <c r="A15" s="4" t="s">
        <v>3</v>
      </c>
      <c r="B15" s="4" t="s">
        <v>9</v>
      </c>
      <c r="C15" s="4" t="s">
        <v>38</v>
      </c>
      <c r="D15" s="4" t="s">
        <v>34</v>
      </c>
      <c r="E15" s="4">
        <v>18.96</v>
      </c>
    </row>
    <row r="16" spans="1:7" x14ac:dyDescent="0.3">
      <c r="A16" s="4" t="s">
        <v>3</v>
      </c>
      <c r="B16" s="4" t="s">
        <v>9</v>
      </c>
      <c r="C16" s="4" t="s">
        <v>38</v>
      </c>
      <c r="D16" s="4" t="s">
        <v>36</v>
      </c>
      <c r="E16" s="4">
        <v>18.48</v>
      </c>
    </row>
    <row r="17" spans="1:5" x14ac:dyDescent="0.3">
      <c r="A17" s="4" t="s">
        <v>3</v>
      </c>
      <c r="B17" s="4" t="s">
        <v>9</v>
      </c>
      <c r="C17" s="4" t="s">
        <v>39</v>
      </c>
      <c r="D17" s="4" t="s">
        <v>32</v>
      </c>
      <c r="E17" s="4">
        <v>19.690000000000001</v>
      </c>
    </row>
    <row r="18" spans="1:5" x14ac:dyDescent="0.3">
      <c r="A18" s="4" t="s">
        <v>3</v>
      </c>
      <c r="B18" s="4" t="s">
        <v>9</v>
      </c>
      <c r="C18" s="4" t="s">
        <v>39</v>
      </c>
      <c r="D18" s="4" t="s">
        <v>34</v>
      </c>
      <c r="E18" s="4">
        <v>18.239999999999998</v>
      </c>
    </row>
    <row r="19" spans="1:5" x14ac:dyDescent="0.3">
      <c r="A19" s="4" t="s">
        <v>3</v>
      </c>
      <c r="B19" s="4" t="s">
        <v>9</v>
      </c>
      <c r="C19" s="4" t="s">
        <v>39</v>
      </c>
      <c r="D19" s="4" t="s">
        <v>36</v>
      </c>
      <c r="E19" s="4">
        <v>14.4</v>
      </c>
    </row>
    <row r="20" spans="1:5" x14ac:dyDescent="0.3">
      <c r="A20" s="4" t="s">
        <v>3</v>
      </c>
      <c r="B20" s="4" t="s">
        <v>11</v>
      </c>
      <c r="C20" s="4" t="s">
        <v>31</v>
      </c>
      <c r="D20" s="4" t="s">
        <v>32</v>
      </c>
      <c r="E20" s="4">
        <v>49.2</v>
      </c>
    </row>
    <row r="21" spans="1:5" x14ac:dyDescent="0.3">
      <c r="A21" s="4" t="s">
        <v>3</v>
      </c>
      <c r="B21" s="4" t="s">
        <v>11</v>
      </c>
      <c r="C21" s="4" t="s">
        <v>31</v>
      </c>
      <c r="D21" s="4" t="s">
        <v>34</v>
      </c>
      <c r="E21" s="4">
        <v>49.2</v>
      </c>
    </row>
    <row r="22" spans="1:5" x14ac:dyDescent="0.3">
      <c r="A22" s="4" t="s">
        <v>3</v>
      </c>
      <c r="B22" s="4" t="s">
        <v>11</v>
      </c>
      <c r="C22" s="4" t="s">
        <v>31</v>
      </c>
      <c r="D22" s="4" t="s">
        <v>36</v>
      </c>
      <c r="E22" s="4">
        <v>49.2</v>
      </c>
    </row>
    <row r="23" spans="1:5" x14ac:dyDescent="0.3">
      <c r="A23" s="4" t="s">
        <v>3</v>
      </c>
      <c r="B23" s="4" t="s">
        <v>11</v>
      </c>
      <c r="C23" s="4" t="s">
        <v>38</v>
      </c>
      <c r="D23" s="4" t="s">
        <v>32</v>
      </c>
      <c r="E23" s="4">
        <v>47.52</v>
      </c>
    </row>
    <row r="24" spans="1:5" x14ac:dyDescent="0.3">
      <c r="A24" s="4" t="s">
        <v>3</v>
      </c>
      <c r="B24" s="4" t="s">
        <v>11</v>
      </c>
      <c r="C24" s="4" t="s">
        <v>38</v>
      </c>
      <c r="D24" s="4" t="s">
        <v>34</v>
      </c>
      <c r="E24" s="4">
        <v>43.52</v>
      </c>
    </row>
    <row r="25" spans="1:5" x14ac:dyDescent="0.3">
      <c r="A25" s="4" t="s">
        <v>3</v>
      </c>
      <c r="B25" s="4" t="s">
        <v>11</v>
      </c>
      <c r="C25" s="4" t="s">
        <v>38</v>
      </c>
      <c r="D25" s="4" t="s">
        <v>36</v>
      </c>
      <c r="E25" s="4">
        <v>40.799999999999997</v>
      </c>
    </row>
    <row r="26" spans="1:5" x14ac:dyDescent="0.3">
      <c r="A26" s="4" t="s">
        <v>3</v>
      </c>
      <c r="B26" s="4" t="s">
        <v>11</v>
      </c>
      <c r="C26" s="4" t="s">
        <v>39</v>
      </c>
      <c r="D26" s="4" t="s">
        <v>32</v>
      </c>
      <c r="E26" s="4">
        <v>46.32</v>
      </c>
    </row>
    <row r="27" spans="1:5" x14ac:dyDescent="0.3">
      <c r="A27" s="4" t="s">
        <v>3</v>
      </c>
      <c r="B27" s="4" t="s">
        <v>11</v>
      </c>
      <c r="C27" s="4" t="s">
        <v>39</v>
      </c>
      <c r="D27" s="4" t="s">
        <v>34</v>
      </c>
      <c r="E27" s="4">
        <v>42</v>
      </c>
    </row>
    <row r="28" spans="1:5" x14ac:dyDescent="0.3">
      <c r="A28" s="4" t="s">
        <v>3</v>
      </c>
      <c r="B28" s="4" t="s">
        <v>11</v>
      </c>
      <c r="C28" s="4" t="s">
        <v>39</v>
      </c>
      <c r="D28" s="4" t="s">
        <v>36</v>
      </c>
      <c r="E28" s="4">
        <v>39.6</v>
      </c>
    </row>
    <row r="29" spans="1:5" x14ac:dyDescent="0.3">
      <c r="A29" s="4" t="s">
        <v>3</v>
      </c>
      <c r="B29" s="4" t="s">
        <v>14</v>
      </c>
      <c r="C29" s="4" t="s">
        <v>31</v>
      </c>
      <c r="D29" s="4" t="s">
        <v>32</v>
      </c>
      <c r="E29" s="4">
        <v>24</v>
      </c>
    </row>
    <row r="30" spans="1:5" x14ac:dyDescent="0.3">
      <c r="A30" s="4" t="s">
        <v>3</v>
      </c>
      <c r="B30" s="4" t="s">
        <v>14</v>
      </c>
      <c r="C30" s="4" t="s">
        <v>31</v>
      </c>
      <c r="D30" s="4" t="s">
        <v>34</v>
      </c>
      <c r="E30" s="4">
        <v>24</v>
      </c>
    </row>
    <row r="31" spans="1:5" x14ac:dyDescent="0.3">
      <c r="A31" s="4" t="s">
        <v>3</v>
      </c>
      <c r="B31" s="4" t="s">
        <v>14</v>
      </c>
      <c r="C31" s="4" t="s">
        <v>31</v>
      </c>
      <c r="D31" s="4" t="s">
        <v>36</v>
      </c>
      <c r="E31" s="4">
        <v>24</v>
      </c>
    </row>
    <row r="32" spans="1:5" x14ac:dyDescent="0.3">
      <c r="A32" s="4" t="s">
        <v>3</v>
      </c>
      <c r="B32" s="4" t="s">
        <v>14</v>
      </c>
      <c r="C32" s="4" t="s">
        <v>38</v>
      </c>
      <c r="D32" s="4" t="s">
        <v>32</v>
      </c>
      <c r="E32" s="4">
        <v>18</v>
      </c>
    </row>
    <row r="33" spans="1:5" x14ac:dyDescent="0.3">
      <c r="A33" s="4" t="s">
        <v>3</v>
      </c>
      <c r="B33" s="4" t="s">
        <v>14</v>
      </c>
      <c r="C33" s="4" t="s">
        <v>38</v>
      </c>
      <c r="D33" s="4" t="s">
        <v>34</v>
      </c>
      <c r="E33" s="4">
        <v>16.8</v>
      </c>
    </row>
    <row r="34" spans="1:5" x14ac:dyDescent="0.3">
      <c r="A34" s="4" t="s">
        <v>3</v>
      </c>
      <c r="B34" s="4" t="s">
        <v>14</v>
      </c>
      <c r="C34" s="4" t="s">
        <v>38</v>
      </c>
      <c r="D34" s="4" t="s">
        <v>36</v>
      </c>
      <c r="E34" s="4">
        <v>16.32</v>
      </c>
    </row>
    <row r="35" spans="1:5" x14ac:dyDescent="0.3">
      <c r="A35" s="4" t="s">
        <v>3</v>
      </c>
      <c r="B35" s="4" t="s">
        <v>14</v>
      </c>
      <c r="C35" s="4" t="s">
        <v>39</v>
      </c>
      <c r="D35" s="4" t="s">
        <v>32</v>
      </c>
      <c r="E35" s="4">
        <v>16.8</v>
      </c>
    </row>
    <row r="36" spans="1:5" x14ac:dyDescent="0.3">
      <c r="A36" s="4" t="s">
        <v>3</v>
      </c>
      <c r="B36" s="4" t="s">
        <v>14</v>
      </c>
      <c r="C36" s="4" t="s">
        <v>39</v>
      </c>
      <c r="D36" s="4" t="s">
        <v>34</v>
      </c>
      <c r="E36" s="4">
        <v>15.6</v>
      </c>
    </row>
    <row r="37" spans="1:5" x14ac:dyDescent="0.3">
      <c r="A37" s="4" t="s">
        <v>3</v>
      </c>
      <c r="B37" s="4" t="s">
        <v>14</v>
      </c>
      <c r="C37" s="4" t="s">
        <v>39</v>
      </c>
      <c r="D37" s="4" t="s">
        <v>36</v>
      </c>
      <c r="E37" s="4">
        <v>12.72</v>
      </c>
    </row>
    <row r="38" spans="1:5" x14ac:dyDescent="0.3">
      <c r="A38" s="4" t="s">
        <v>7</v>
      </c>
      <c r="B38" s="4" t="s">
        <v>9</v>
      </c>
      <c r="C38" s="4" t="s">
        <v>31</v>
      </c>
      <c r="D38" s="4" t="s">
        <v>32</v>
      </c>
      <c r="E38" s="4">
        <v>25.2</v>
      </c>
    </row>
    <row r="39" spans="1:5" x14ac:dyDescent="0.3">
      <c r="A39" s="4" t="s">
        <v>7</v>
      </c>
      <c r="B39" s="4" t="s">
        <v>9</v>
      </c>
      <c r="C39" s="4" t="s">
        <v>31</v>
      </c>
      <c r="D39" s="4" t="s">
        <v>34</v>
      </c>
      <c r="E39" s="4">
        <v>25.2</v>
      </c>
    </row>
    <row r="40" spans="1:5" x14ac:dyDescent="0.3">
      <c r="A40" s="4" t="s">
        <v>7</v>
      </c>
      <c r="B40" s="4" t="s">
        <v>9</v>
      </c>
      <c r="C40" s="4" t="s">
        <v>31</v>
      </c>
      <c r="D40" s="4" t="s">
        <v>36</v>
      </c>
      <c r="E40" s="4">
        <v>25.2</v>
      </c>
    </row>
    <row r="41" spans="1:5" x14ac:dyDescent="0.3">
      <c r="A41" s="4" t="s">
        <v>7</v>
      </c>
      <c r="B41" s="4" t="s">
        <v>9</v>
      </c>
      <c r="C41" s="4" t="s">
        <v>38</v>
      </c>
      <c r="D41" s="4" t="s">
        <v>32</v>
      </c>
      <c r="E41" s="4">
        <v>22.08</v>
      </c>
    </row>
    <row r="42" spans="1:5" x14ac:dyDescent="0.3">
      <c r="A42" s="4" t="s">
        <v>7</v>
      </c>
      <c r="B42" s="4" t="s">
        <v>9</v>
      </c>
      <c r="C42" s="4" t="s">
        <v>38</v>
      </c>
      <c r="D42" s="4" t="s">
        <v>34</v>
      </c>
      <c r="E42" s="4">
        <v>21.6</v>
      </c>
    </row>
    <row r="43" spans="1:5" x14ac:dyDescent="0.3">
      <c r="A43" s="4" t="s">
        <v>7</v>
      </c>
      <c r="B43" s="4" t="s">
        <v>9</v>
      </c>
      <c r="C43" s="4" t="s">
        <v>38</v>
      </c>
      <c r="D43" s="4" t="s">
        <v>36</v>
      </c>
      <c r="E43" s="4">
        <v>18</v>
      </c>
    </row>
    <row r="44" spans="1:5" x14ac:dyDescent="0.3">
      <c r="A44" s="4" t="s">
        <v>7</v>
      </c>
      <c r="B44" s="4" t="s">
        <v>9</v>
      </c>
      <c r="C44" s="4" t="s">
        <v>39</v>
      </c>
      <c r="D44" s="4" t="s">
        <v>32</v>
      </c>
      <c r="E44" s="4">
        <v>20.399999999999999</v>
      </c>
    </row>
    <row r="45" spans="1:5" x14ac:dyDescent="0.3">
      <c r="A45" s="4" t="s">
        <v>7</v>
      </c>
      <c r="B45" s="4" t="s">
        <v>9</v>
      </c>
      <c r="C45" s="4" t="s">
        <v>39</v>
      </c>
      <c r="D45" s="4" t="s">
        <v>34</v>
      </c>
      <c r="E45" s="4">
        <v>18</v>
      </c>
    </row>
    <row r="46" spans="1:5" x14ac:dyDescent="0.3">
      <c r="A46" s="4" t="s">
        <v>7</v>
      </c>
      <c r="B46" s="4" t="s">
        <v>9</v>
      </c>
      <c r="C46" s="4" t="s">
        <v>39</v>
      </c>
      <c r="D46" s="4" t="s">
        <v>36</v>
      </c>
      <c r="E46" s="4">
        <v>16.8</v>
      </c>
    </row>
    <row r="47" spans="1:5" x14ac:dyDescent="0.3">
      <c r="A47" s="4" t="s">
        <v>7</v>
      </c>
      <c r="B47" s="4" t="s">
        <v>11</v>
      </c>
      <c r="C47" s="4" t="s">
        <v>31</v>
      </c>
      <c r="D47" s="4" t="s">
        <v>32</v>
      </c>
      <c r="E47" s="4">
        <v>28.8</v>
      </c>
    </row>
    <row r="48" spans="1:5" x14ac:dyDescent="0.3">
      <c r="A48" s="4" t="s">
        <v>7</v>
      </c>
      <c r="B48" s="4" t="s">
        <v>11</v>
      </c>
      <c r="C48" s="4" t="s">
        <v>31</v>
      </c>
      <c r="D48" s="4" t="s">
        <v>34</v>
      </c>
      <c r="E48" s="4">
        <v>28.8</v>
      </c>
    </row>
    <row r="49" spans="1:5" x14ac:dyDescent="0.3">
      <c r="A49" s="4" t="s">
        <v>7</v>
      </c>
      <c r="B49" s="4" t="s">
        <v>11</v>
      </c>
      <c r="C49" s="4" t="s">
        <v>31</v>
      </c>
      <c r="D49" s="4" t="s">
        <v>36</v>
      </c>
      <c r="E49" s="4">
        <v>28.8</v>
      </c>
    </row>
    <row r="50" spans="1:5" x14ac:dyDescent="0.3">
      <c r="A50" s="4" t="s">
        <v>7</v>
      </c>
      <c r="B50" s="4" t="s">
        <v>11</v>
      </c>
      <c r="C50" s="4" t="s">
        <v>38</v>
      </c>
      <c r="D50" s="4" t="s">
        <v>32</v>
      </c>
      <c r="E50" s="4">
        <v>28.32</v>
      </c>
    </row>
    <row r="51" spans="1:5" x14ac:dyDescent="0.3">
      <c r="A51" s="4" t="s">
        <v>7</v>
      </c>
      <c r="B51" s="4" t="s">
        <v>11</v>
      </c>
      <c r="C51" s="4" t="s">
        <v>38</v>
      </c>
      <c r="D51" s="4" t="s">
        <v>34</v>
      </c>
      <c r="E51" s="4">
        <v>27.6</v>
      </c>
    </row>
    <row r="52" spans="1:5" x14ac:dyDescent="0.3">
      <c r="A52" s="4" t="s">
        <v>7</v>
      </c>
      <c r="B52" s="4" t="s">
        <v>11</v>
      </c>
      <c r="C52" s="4" t="s">
        <v>38</v>
      </c>
      <c r="D52" s="4" t="s">
        <v>36</v>
      </c>
      <c r="E52" s="4">
        <v>26.64</v>
      </c>
    </row>
    <row r="53" spans="1:5" x14ac:dyDescent="0.3">
      <c r="A53" s="4" t="s">
        <v>7</v>
      </c>
      <c r="B53" s="4" t="s">
        <v>11</v>
      </c>
      <c r="C53" s="4" t="s">
        <v>39</v>
      </c>
      <c r="D53" s="4" t="s">
        <v>32</v>
      </c>
      <c r="E53" s="4">
        <v>27.6</v>
      </c>
    </row>
    <row r="54" spans="1:5" x14ac:dyDescent="0.3">
      <c r="A54" s="4" t="s">
        <v>7</v>
      </c>
      <c r="B54" s="4" t="s">
        <v>11</v>
      </c>
      <c r="C54" s="4" t="s">
        <v>39</v>
      </c>
      <c r="D54" s="4" t="s">
        <v>34</v>
      </c>
      <c r="E54" s="4">
        <v>26.4</v>
      </c>
    </row>
    <row r="55" spans="1:5" x14ac:dyDescent="0.3">
      <c r="A55" s="4" t="s">
        <v>7</v>
      </c>
      <c r="B55" s="4" t="s">
        <v>11</v>
      </c>
      <c r="C55" s="4" t="s">
        <v>39</v>
      </c>
      <c r="D55" s="4" t="s">
        <v>36</v>
      </c>
      <c r="E55" s="4">
        <v>24.48</v>
      </c>
    </row>
    <row r="56" spans="1:5" x14ac:dyDescent="0.3">
      <c r="A56" s="4" t="s">
        <v>7</v>
      </c>
      <c r="B56" s="4" t="s">
        <v>14</v>
      </c>
      <c r="C56" s="4" t="s">
        <v>31</v>
      </c>
      <c r="D56" s="4" t="s">
        <v>32</v>
      </c>
      <c r="E56" s="4">
        <v>34.799999999999997</v>
      </c>
    </row>
    <row r="57" spans="1:5" x14ac:dyDescent="0.3">
      <c r="A57" s="4" t="s">
        <v>7</v>
      </c>
      <c r="B57" s="4" t="s">
        <v>14</v>
      </c>
      <c r="C57" s="4" t="s">
        <v>31</v>
      </c>
      <c r="D57" s="4" t="s">
        <v>34</v>
      </c>
      <c r="E57" s="4">
        <v>34.799999999999997</v>
      </c>
    </row>
    <row r="58" spans="1:5" x14ac:dyDescent="0.3">
      <c r="A58" s="4" t="s">
        <v>7</v>
      </c>
      <c r="B58" s="4" t="s">
        <v>14</v>
      </c>
      <c r="C58" s="4" t="s">
        <v>31</v>
      </c>
      <c r="D58" s="4" t="s">
        <v>36</v>
      </c>
      <c r="E58" s="4">
        <v>34.799999999999997</v>
      </c>
    </row>
    <row r="59" spans="1:5" x14ac:dyDescent="0.3">
      <c r="A59" s="4" t="s">
        <v>7</v>
      </c>
      <c r="B59" s="4" t="s">
        <v>14</v>
      </c>
      <c r="C59" s="4" t="s">
        <v>38</v>
      </c>
      <c r="D59" s="4" t="s">
        <v>32</v>
      </c>
      <c r="E59" s="4">
        <v>33.6</v>
      </c>
    </row>
    <row r="60" spans="1:5" x14ac:dyDescent="0.3">
      <c r="A60" s="4" t="s">
        <v>7</v>
      </c>
      <c r="B60" s="4" t="s">
        <v>14</v>
      </c>
      <c r="C60" s="4" t="s">
        <v>38</v>
      </c>
      <c r="D60" s="4" t="s">
        <v>34</v>
      </c>
      <c r="E60" s="4">
        <v>32.4</v>
      </c>
    </row>
    <row r="61" spans="1:5" x14ac:dyDescent="0.3">
      <c r="A61" s="4" t="s">
        <v>7</v>
      </c>
      <c r="B61" s="4" t="s">
        <v>14</v>
      </c>
      <c r="C61" s="4" t="s">
        <v>38</v>
      </c>
      <c r="D61" s="4" t="s">
        <v>36</v>
      </c>
      <c r="E61" s="4">
        <v>31.2</v>
      </c>
    </row>
    <row r="62" spans="1:5" x14ac:dyDescent="0.3">
      <c r="A62" s="4" t="s">
        <v>7</v>
      </c>
      <c r="B62" s="4" t="s">
        <v>14</v>
      </c>
      <c r="C62" s="4" t="s">
        <v>39</v>
      </c>
      <c r="D62" s="4" t="s">
        <v>32</v>
      </c>
      <c r="E62" s="4">
        <v>32.4</v>
      </c>
    </row>
    <row r="63" spans="1:5" x14ac:dyDescent="0.3">
      <c r="A63" s="4" t="s">
        <v>7</v>
      </c>
      <c r="B63" s="4" t="s">
        <v>14</v>
      </c>
      <c r="C63" s="4" t="s">
        <v>39</v>
      </c>
      <c r="D63" s="4" t="s">
        <v>34</v>
      </c>
      <c r="E63" s="4">
        <v>28.8</v>
      </c>
    </row>
    <row r="64" spans="1:5" x14ac:dyDescent="0.3">
      <c r="A64" s="4" t="s">
        <v>7</v>
      </c>
      <c r="B64" s="4" t="s">
        <v>14</v>
      </c>
      <c r="C64" s="4" t="s">
        <v>39</v>
      </c>
      <c r="D64" s="4" t="s">
        <v>36</v>
      </c>
      <c r="E64" s="4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zoomScaleNormal="100" workbookViewId="0"/>
  </sheetViews>
  <sheetFormatPr baseColWidth="10" defaultColWidth="8.6640625" defaultRowHeight="14.4" x14ac:dyDescent="0.3"/>
  <cols>
    <col min="1" max="6" width="12" customWidth="1"/>
  </cols>
  <sheetData>
    <row r="1" spans="1:6" x14ac:dyDescent="0.3">
      <c r="A1" s="6" t="s">
        <v>25</v>
      </c>
      <c r="B1" s="6" t="s">
        <v>26</v>
      </c>
      <c r="C1" s="6" t="s">
        <v>27</v>
      </c>
      <c r="D1" s="6" t="s">
        <v>40</v>
      </c>
      <c r="E1" s="6" t="s">
        <v>41</v>
      </c>
      <c r="F1" s="6" t="s">
        <v>42</v>
      </c>
    </row>
    <row r="2" spans="1:6" x14ac:dyDescent="0.3">
      <c r="A2" s="4" t="s">
        <v>3</v>
      </c>
      <c r="B2" s="4" t="s">
        <v>7</v>
      </c>
      <c r="C2" s="4" t="s">
        <v>31</v>
      </c>
      <c r="D2" s="4">
        <v>1</v>
      </c>
      <c r="E2" s="4">
        <v>1</v>
      </c>
      <c r="F2" s="7">
        <f t="shared" ref="F2:F27" si="0">SUMIFS(E:E,A:A,A2,B:B,B2,C:C,C2,D:D,"&lt;="&amp;D2)</f>
        <v>1</v>
      </c>
    </row>
    <row r="3" spans="1:6" x14ac:dyDescent="0.3">
      <c r="A3" s="4" t="s">
        <v>3</v>
      </c>
      <c r="B3" s="4" t="s">
        <v>9</v>
      </c>
      <c r="C3" s="4" t="s">
        <v>31</v>
      </c>
      <c r="D3" s="4">
        <v>1</v>
      </c>
      <c r="E3" s="4">
        <v>1</v>
      </c>
      <c r="F3" s="7">
        <f t="shared" si="0"/>
        <v>1</v>
      </c>
    </row>
    <row r="4" spans="1:6" x14ac:dyDescent="0.3">
      <c r="A4" s="4" t="s">
        <v>3</v>
      </c>
      <c r="B4" s="4" t="s">
        <v>11</v>
      </c>
      <c r="C4" s="4" t="s">
        <v>31</v>
      </c>
      <c r="D4" s="4">
        <v>1</v>
      </c>
      <c r="E4" s="4">
        <v>1</v>
      </c>
      <c r="F4" s="7">
        <f t="shared" si="0"/>
        <v>1</v>
      </c>
    </row>
    <row r="5" spans="1:6" x14ac:dyDescent="0.3">
      <c r="A5" s="4" t="s">
        <v>3</v>
      </c>
      <c r="B5" s="4" t="s">
        <v>14</v>
      </c>
      <c r="C5" s="4" t="s">
        <v>31</v>
      </c>
      <c r="D5" s="4">
        <v>1</v>
      </c>
      <c r="E5" s="4">
        <v>1</v>
      </c>
      <c r="F5" s="7">
        <f t="shared" si="0"/>
        <v>1</v>
      </c>
    </row>
    <row r="6" spans="1:6" x14ac:dyDescent="0.3">
      <c r="A6" s="4" t="s">
        <v>7</v>
      </c>
      <c r="B6" s="4" t="s">
        <v>9</v>
      </c>
      <c r="C6" s="4" t="s">
        <v>31</v>
      </c>
      <c r="D6" s="4">
        <v>1</v>
      </c>
      <c r="E6" s="4">
        <v>1</v>
      </c>
      <c r="F6" s="7">
        <f t="shared" si="0"/>
        <v>1</v>
      </c>
    </row>
    <row r="7" spans="1:6" x14ac:dyDescent="0.3">
      <c r="A7" s="4" t="s">
        <v>7</v>
      </c>
      <c r="B7" s="4" t="s">
        <v>11</v>
      </c>
      <c r="C7" s="4" t="s">
        <v>31</v>
      </c>
      <c r="D7" s="4">
        <v>1</v>
      </c>
      <c r="E7" s="4">
        <v>1</v>
      </c>
      <c r="F7" s="7">
        <f t="shared" si="0"/>
        <v>1</v>
      </c>
    </row>
    <row r="8" spans="1:6" x14ac:dyDescent="0.3">
      <c r="A8" s="4" t="s">
        <v>7</v>
      </c>
      <c r="B8" s="4" t="s">
        <v>14</v>
      </c>
      <c r="C8" s="4" t="s">
        <v>31</v>
      </c>
      <c r="D8" s="4">
        <v>1</v>
      </c>
      <c r="E8" s="4">
        <v>1</v>
      </c>
      <c r="F8" s="7">
        <f t="shared" si="0"/>
        <v>1</v>
      </c>
    </row>
    <row r="9" spans="1:6" x14ac:dyDescent="0.3">
      <c r="A9" s="4" t="s">
        <v>3</v>
      </c>
      <c r="B9" s="4" t="s">
        <v>7</v>
      </c>
      <c r="C9" s="4" t="s">
        <v>38</v>
      </c>
      <c r="D9" s="4">
        <v>1</v>
      </c>
      <c r="E9" s="4">
        <v>0.5</v>
      </c>
      <c r="F9" s="7">
        <f t="shared" si="0"/>
        <v>0.5</v>
      </c>
    </row>
    <row r="10" spans="1:6" x14ac:dyDescent="0.3">
      <c r="A10" s="4" t="s">
        <v>3</v>
      </c>
      <c r="B10" s="4" t="s">
        <v>7</v>
      </c>
      <c r="C10" s="4" t="s">
        <v>38</v>
      </c>
      <c r="D10" s="4">
        <v>2</v>
      </c>
      <c r="E10" s="4">
        <v>0.5</v>
      </c>
      <c r="F10" s="7">
        <f t="shared" si="0"/>
        <v>1</v>
      </c>
    </row>
    <row r="11" spans="1:6" x14ac:dyDescent="0.3">
      <c r="A11" s="4" t="s">
        <v>3</v>
      </c>
      <c r="B11" s="4" t="s">
        <v>7</v>
      </c>
      <c r="C11" s="4" t="s">
        <v>39</v>
      </c>
      <c r="D11" s="4">
        <v>2</v>
      </c>
      <c r="E11" s="4">
        <v>0.2</v>
      </c>
      <c r="F11" s="7">
        <f t="shared" si="0"/>
        <v>0.2</v>
      </c>
    </row>
    <row r="12" spans="1:6" x14ac:dyDescent="0.3">
      <c r="A12" s="4" t="s">
        <v>3</v>
      </c>
      <c r="B12" s="4" t="s">
        <v>7</v>
      </c>
      <c r="C12" s="4" t="s">
        <v>39</v>
      </c>
      <c r="D12" s="4">
        <v>3</v>
      </c>
      <c r="E12" s="4">
        <v>0.3</v>
      </c>
      <c r="F12" s="7">
        <f t="shared" si="0"/>
        <v>0.5</v>
      </c>
    </row>
    <row r="13" spans="1:6" x14ac:dyDescent="0.3">
      <c r="A13" s="4" t="s">
        <v>3</v>
      </c>
      <c r="B13" s="4" t="s">
        <v>7</v>
      </c>
      <c r="C13" s="4" t="s">
        <v>39</v>
      </c>
      <c r="D13" s="4">
        <v>4</v>
      </c>
      <c r="E13" s="4">
        <v>0.5</v>
      </c>
      <c r="F13" s="7">
        <f t="shared" si="0"/>
        <v>1</v>
      </c>
    </row>
    <row r="14" spans="1:6" x14ac:dyDescent="0.3">
      <c r="A14" s="4" t="s">
        <v>3</v>
      </c>
      <c r="B14" s="4" t="s">
        <v>9</v>
      </c>
      <c r="C14" s="4" t="s">
        <v>38</v>
      </c>
      <c r="D14" s="4">
        <v>2</v>
      </c>
      <c r="E14" s="4">
        <v>1</v>
      </c>
      <c r="F14" s="7">
        <f t="shared" si="0"/>
        <v>1</v>
      </c>
    </row>
    <row r="15" spans="1:6" x14ac:dyDescent="0.3">
      <c r="A15" s="4" t="s">
        <v>3</v>
      </c>
      <c r="B15" s="4" t="s">
        <v>9</v>
      </c>
      <c r="C15" s="4" t="s">
        <v>39</v>
      </c>
      <c r="D15" s="4">
        <v>3</v>
      </c>
      <c r="E15" s="4">
        <v>0.5</v>
      </c>
      <c r="F15" s="7">
        <f t="shared" si="0"/>
        <v>0.5</v>
      </c>
    </row>
    <row r="16" spans="1:6" x14ac:dyDescent="0.3">
      <c r="A16" s="4" t="s">
        <v>3</v>
      </c>
      <c r="B16" s="4" t="s">
        <v>9</v>
      </c>
      <c r="C16" s="4" t="s">
        <v>39</v>
      </c>
      <c r="D16" s="4">
        <v>4</v>
      </c>
      <c r="E16" s="4">
        <v>0.5</v>
      </c>
      <c r="F16" s="7">
        <f t="shared" si="0"/>
        <v>1</v>
      </c>
    </row>
    <row r="17" spans="1:6" x14ac:dyDescent="0.3">
      <c r="A17" s="4" t="s">
        <v>3</v>
      </c>
      <c r="B17" s="4" t="s">
        <v>11</v>
      </c>
      <c r="C17" s="4" t="s">
        <v>38</v>
      </c>
      <c r="D17" s="4">
        <v>3</v>
      </c>
      <c r="E17" s="4">
        <v>0.5</v>
      </c>
      <c r="F17" s="7">
        <f t="shared" si="0"/>
        <v>0.5</v>
      </c>
    </row>
    <row r="18" spans="1:6" x14ac:dyDescent="0.3">
      <c r="A18" s="4" t="s">
        <v>3</v>
      </c>
      <c r="B18" s="4" t="s">
        <v>11</v>
      </c>
      <c r="C18" s="4" t="s">
        <v>38</v>
      </c>
      <c r="D18" s="4">
        <v>4</v>
      </c>
      <c r="E18" s="4">
        <v>0.5</v>
      </c>
      <c r="F18" s="7">
        <f t="shared" si="0"/>
        <v>1</v>
      </c>
    </row>
    <row r="19" spans="1:6" x14ac:dyDescent="0.3">
      <c r="A19" s="4" t="s">
        <v>3</v>
      </c>
      <c r="B19" s="4" t="s">
        <v>11</v>
      </c>
      <c r="C19" s="4" t="s">
        <v>39</v>
      </c>
      <c r="D19" s="4">
        <v>4</v>
      </c>
      <c r="E19" s="4">
        <v>0.25</v>
      </c>
      <c r="F19" s="7">
        <f t="shared" si="0"/>
        <v>0.25</v>
      </c>
    </row>
    <row r="20" spans="1:6" x14ac:dyDescent="0.3">
      <c r="A20" s="4" t="s">
        <v>3</v>
      </c>
      <c r="B20" s="4" t="s">
        <v>11</v>
      </c>
      <c r="C20" s="4" t="s">
        <v>39</v>
      </c>
      <c r="D20" s="4">
        <v>5</v>
      </c>
      <c r="E20" s="4">
        <v>0.5</v>
      </c>
      <c r="F20" s="7">
        <f t="shared" si="0"/>
        <v>0.75</v>
      </c>
    </row>
    <row r="21" spans="1:6" x14ac:dyDescent="0.3">
      <c r="A21" s="4" t="s">
        <v>3</v>
      </c>
      <c r="B21" s="4" t="s">
        <v>11</v>
      </c>
      <c r="C21" s="4" t="s">
        <v>39</v>
      </c>
      <c r="D21" s="4">
        <v>6</v>
      </c>
      <c r="E21" s="4">
        <v>0.25</v>
      </c>
      <c r="F21" s="7">
        <f t="shared" si="0"/>
        <v>1</v>
      </c>
    </row>
    <row r="22" spans="1:6" x14ac:dyDescent="0.3">
      <c r="A22" s="4" t="s">
        <v>3</v>
      </c>
      <c r="B22" s="4" t="s">
        <v>14</v>
      </c>
      <c r="C22" s="4" t="s">
        <v>38</v>
      </c>
      <c r="D22" s="4">
        <v>2</v>
      </c>
      <c r="E22" s="4">
        <v>1</v>
      </c>
      <c r="F22" s="7">
        <f t="shared" si="0"/>
        <v>1</v>
      </c>
    </row>
    <row r="23" spans="1:6" x14ac:dyDescent="0.3">
      <c r="A23" s="4" t="s">
        <v>3</v>
      </c>
      <c r="B23" s="4" t="s">
        <v>14</v>
      </c>
      <c r="C23" s="4" t="s">
        <v>39</v>
      </c>
      <c r="D23" s="4">
        <v>3</v>
      </c>
      <c r="E23" s="4">
        <v>0.5</v>
      </c>
      <c r="F23" s="7">
        <f t="shared" si="0"/>
        <v>0.5</v>
      </c>
    </row>
    <row r="24" spans="1:6" x14ac:dyDescent="0.3">
      <c r="A24" s="4" t="s">
        <v>3</v>
      </c>
      <c r="B24" s="4" t="s">
        <v>14</v>
      </c>
      <c r="C24" s="4" t="s">
        <v>39</v>
      </c>
      <c r="D24" s="4">
        <v>4</v>
      </c>
      <c r="E24" s="4">
        <v>0.5</v>
      </c>
      <c r="F24" s="7">
        <f t="shared" si="0"/>
        <v>1</v>
      </c>
    </row>
    <row r="25" spans="1:6" x14ac:dyDescent="0.3">
      <c r="A25" s="4" t="s">
        <v>7</v>
      </c>
      <c r="B25" s="4" t="s">
        <v>9</v>
      </c>
      <c r="C25" s="4" t="s">
        <v>38</v>
      </c>
      <c r="D25" s="4">
        <v>2</v>
      </c>
      <c r="E25" s="4">
        <v>1</v>
      </c>
      <c r="F25" s="7">
        <f t="shared" si="0"/>
        <v>1</v>
      </c>
    </row>
    <row r="26" spans="1:6" x14ac:dyDescent="0.3">
      <c r="A26" s="4" t="s">
        <v>7</v>
      </c>
      <c r="B26" s="4" t="s">
        <v>9</v>
      </c>
      <c r="C26" s="4" t="s">
        <v>39</v>
      </c>
      <c r="D26" s="4">
        <v>3</v>
      </c>
      <c r="E26" s="4">
        <v>0.5</v>
      </c>
      <c r="F26" s="7">
        <f t="shared" si="0"/>
        <v>0.5</v>
      </c>
    </row>
    <row r="27" spans="1:6" x14ac:dyDescent="0.3">
      <c r="A27" s="4" t="s">
        <v>7</v>
      </c>
      <c r="B27" s="4" t="s">
        <v>9</v>
      </c>
      <c r="C27" s="4" t="s">
        <v>39</v>
      </c>
      <c r="D27" s="4">
        <v>4</v>
      </c>
      <c r="E27" s="4">
        <v>0.5</v>
      </c>
      <c r="F27" s="7">
        <f t="shared" si="0"/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"/>
  <sheetViews>
    <sheetView zoomScaleNormal="100" workbookViewId="0"/>
  </sheetViews>
  <sheetFormatPr baseColWidth="10" defaultColWidth="8.6640625" defaultRowHeight="14.4" x14ac:dyDescent="0.3"/>
  <cols>
    <col min="1" max="1" width="10" customWidth="1"/>
    <col min="2" max="2" width="8" customWidth="1"/>
    <col min="3" max="5" width="10" customWidth="1"/>
    <col min="6" max="6" width="8" customWidth="1"/>
    <col min="7" max="7" width="12" customWidth="1"/>
    <col min="8" max="8" width="8" customWidth="1"/>
    <col min="9" max="9" width="12" customWidth="1"/>
    <col min="10" max="10" width="15" customWidth="1"/>
    <col min="11" max="11" width="12" customWidth="1"/>
    <col min="12" max="12" width="15" customWidth="1"/>
    <col min="13" max="13" width="10" customWidth="1"/>
    <col min="14" max="14" width="16" customWidth="1"/>
    <col min="15" max="16" width="14" customWidth="1"/>
    <col min="17" max="17" width="16" customWidth="1"/>
  </cols>
  <sheetData>
    <row r="1" spans="1:17" ht="28.2" x14ac:dyDescent="0.3">
      <c r="A1" s="6" t="s">
        <v>43</v>
      </c>
      <c r="B1" s="6" t="s">
        <v>44</v>
      </c>
      <c r="C1" s="6" t="s">
        <v>45</v>
      </c>
      <c r="D1" s="6" t="s">
        <v>25</v>
      </c>
      <c r="E1" s="6" t="s">
        <v>26</v>
      </c>
      <c r="F1" s="6" t="s">
        <v>27</v>
      </c>
      <c r="G1" s="6" t="s">
        <v>46</v>
      </c>
      <c r="H1" s="6" t="s">
        <v>28</v>
      </c>
      <c r="I1" s="6" t="s">
        <v>29</v>
      </c>
      <c r="J1" s="6" t="s">
        <v>47</v>
      </c>
      <c r="K1" s="6" t="s">
        <v>48</v>
      </c>
      <c r="L1" s="6" t="s">
        <v>49</v>
      </c>
      <c r="M1" s="6" t="s">
        <v>50</v>
      </c>
      <c r="N1" s="6" t="s">
        <v>51</v>
      </c>
      <c r="O1" s="6" t="s">
        <v>52</v>
      </c>
      <c r="P1" s="6" t="s">
        <v>53</v>
      </c>
      <c r="Q1" s="6" t="s">
        <v>54</v>
      </c>
    </row>
    <row r="2" spans="1:17" x14ac:dyDescent="0.3">
      <c r="A2" s="4" t="s">
        <v>55</v>
      </c>
      <c r="B2" s="4">
        <v>1</v>
      </c>
      <c r="C2" s="4">
        <v>1</v>
      </c>
      <c r="D2" s="4" t="s">
        <v>3</v>
      </c>
      <c r="E2" s="4" t="s">
        <v>7</v>
      </c>
      <c r="F2" s="4" t="s">
        <v>39</v>
      </c>
      <c r="G2" s="4">
        <v>571</v>
      </c>
      <c r="H2" s="7" t="str">
        <f>IF(G2&lt;1000,"S",IF(G2&lt;2000,"M","L"))</f>
        <v>S</v>
      </c>
      <c r="I2" s="7">
        <f>IFERROR(INDEX(Transport_Costs!E:E,MATCH(1,(Transport_Costs!A:A=D2)*(Transport_Costs!B:B=E2)*(Transport_Costs!C:C=F2)*(Transport_Costs!D:D=H2),0)),0)</f>
        <v>0</v>
      </c>
      <c r="J2" s="7">
        <f>G2*I2</f>
        <v>0</v>
      </c>
      <c r="K2" s="7">
        <f>IFERROR(SUMPRODUCT((LeadTime_Probs!A$2:A$100=D2)*(LeadTime_Probs!B$2:B$100=E2)*(LeadTime_Probs!C$2:C$100=F2)*LeadTime_Probs!D$2:D$100*LeadTime_Probs!E$2:E$100)/SUMPRODUCT((LeadTime_Probs!A$2:A$100=D2)*(LeadTime_Probs!B$2:B$100=E2)*(LeadTime_Probs!C$2:C$100=F2)*LeadTime_Probs!E$2:E$100),1)</f>
        <v>3.3</v>
      </c>
      <c r="L2" s="7">
        <f>C2+ROUND(K2,0)</f>
        <v>4</v>
      </c>
      <c r="M2" s="4"/>
      <c r="N2" s="7" t="str">
        <f>IF(M2="","",IFERROR(SUMPRODUCT((LeadTime_Probs!A$2:A$100=D2)*(LeadTime_Probs!B$2:B$100=E2)*(LeadTime_Probs!C$2:C$100=F2)*(LeadTime_Probs!D$2:D$100&lt;=(M2-C2))*LeadTime_Probs!E$2:E$100),0))</f>
        <v/>
      </c>
      <c r="O2" s="8">
        <f>MAX(0,MIN(G2,IFERROR(SUMIFS(Inventory_Flow!G:G,Inventory_Flow!A:A,D2,Inventory_Flow!B:B,C2),0)-SUMIFS(ShipPlan!G:G,ShipPlan!D:D,D2,ShipPlan!C:C,C2,ShipPlan!B:B,"&lt;"&amp;B2)))</f>
        <v>571</v>
      </c>
      <c r="P2" s="7">
        <f>G2-O2</f>
        <v>0</v>
      </c>
      <c r="Q2" s="7">
        <f>O2*I2</f>
        <v>0</v>
      </c>
    </row>
    <row r="3" spans="1:17" x14ac:dyDescent="0.3">
      <c r="A3" s="4" t="s">
        <v>56</v>
      </c>
      <c r="B3" s="4">
        <v>2</v>
      </c>
      <c r="C3" s="4">
        <v>2</v>
      </c>
      <c r="D3" s="4" t="s">
        <v>3</v>
      </c>
      <c r="E3" s="4" t="s">
        <v>9</v>
      </c>
      <c r="F3" s="4" t="s">
        <v>39</v>
      </c>
      <c r="G3" s="4">
        <v>1025</v>
      </c>
      <c r="H3" s="7" t="str">
        <f>IF(G3&lt;1000,"S",IF(G3&lt;2000,"M","L"))</f>
        <v>M</v>
      </c>
      <c r="I3" s="7">
        <f>IFERROR(INDEX(Transport_Costs!E:E,MATCH(1,(Transport_Costs!A:A=D3)*(Transport_Costs!B:B=E3)*(Transport_Costs!C:C=F3)*(Transport_Costs!D:D=H3),0)),0)</f>
        <v>0</v>
      </c>
      <c r="J3" s="7">
        <f>G3*I3</f>
        <v>0</v>
      </c>
      <c r="K3" s="7">
        <f>IFERROR(SUMPRODUCT((LeadTime_Probs!A$2:A$100=D3)*(LeadTime_Probs!B$2:B$100=E3)*(LeadTime_Probs!C$2:C$100=F3)*LeadTime_Probs!D$2:D$100*LeadTime_Probs!E$2:E$100)/SUMPRODUCT((LeadTime_Probs!A$2:A$100=D3)*(LeadTime_Probs!B$2:B$100=E3)*(LeadTime_Probs!C$2:C$100=F3)*LeadTime_Probs!E$2:E$100),1)</f>
        <v>3.5</v>
      </c>
      <c r="L3" s="7">
        <f>C3+ROUND(K3,0)</f>
        <v>6</v>
      </c>
      <c r="M3" s="4"/>
      <c r="N3" s="7" t="str">
        <f>IF(M3="","",IFERROR(SUMPRODUCT((LeadTime_Probs!A$2:A$100=D3)*(LeadTime_Probs!B$2:B$100=E3)*(LeadTime_Probs!C$2:C$100=F3)*(LeadTime_Probs!D$2:D$100&lt;=(M3-C3))*LeadTime_Probs!E$2:E$100),0))</f>
        <v/>
      </c>
      <c r="O3" s="8">
        <f>MAX(0,MIN(G3,IFERROR(SUMIFS(Inventory_Flow!G:G,Inventory_Flow!A:A,D3,Inventory_Flow!B:B,C3),0)-SUMIFS(ShipPlan!G:G,ShipPlan!D:D,D3,ShipPlan!C:C,C3,ShipPlan!B:B,"&lt;"&amp;B3)))</f>
        <v>1025</v>
      </c>
      <c r="P3" s="7">
        <f>G3-O3</f>
        <v>0</v>
      </c>
      <c r="Q3" s="7">
        <f>O3*I3</f>
        <v>0</v>
      </c>
    </row>
    <row r="4" spans="1:17" x14ac:dyDescent="0.3">
      <c r="A4" s="4" t="s">
        <v>57</v>
      </c>
      <c r="B4" s="4">
        <v>3</v>
      </c>
      <c r="C4" s="4">
        <v>4</v>
      </c>
      <c r="D4" s="4" t="s">
        <v>3</v>
      </c>
      <c r="E4" s="4" t="s">
        <v>9</v>
      </c>
      <c r="F4" s="4" t="s">
        <v>39</v>
      </c>
      <c r="G4" s="4">
        <v>2681</v>
      </c>
      <c r="H4" s="7" t="str">
        <f>IF(G4&lt;1000,"S",IF(G4&lt;2000,"M","L"))</f>
        <v>L</v>
      </c>
      <c r="I4" s="7">
        <f>IFERROR(INDEX(Transport_Costs!E:E,MATCH(1,(Transport_Costs!A:A=D4)*(Transport_Costs!B:B=E4)*(Transport_Costs!C:C=F4)*(Transport_Costs!D:D=H4),0)),0)</f>
        <v>0</v>
      </c>
      <c r="J4" s="7">
        <f>G4*I4</f>
        <v>0</v>
      </c>
      <c r="K4" s="7">
        <f>IFERROR(SUMPRODUCT((LeadTime_Probs!A$2:A$100=D4)*(LeadTime_Probs!B$2:B$100=E4)*(LeadTime_Probs!C$2:C$100=F4)*LeadTime_Probs!D$2:D$100*LeadTime_Probs!E$2:E$100)/SUMPRODUCT((LeadTime_Probs!A$2:A$100=D4)*(LeadTime_Probs!B$2:B$100=E4)*(LeadTime_Probs!C$2:C$100=F4)*LeadTime_Probs!E$2:E$100),1)</f>
        <v>3.5</v>
      </c>
      <c r="L4" s="7">
        <f>C4+ROUND(K4,0)</f>
        <v>8</v>
      </c>
      <c r="M4" s="4"/>
      <c r="N4" s="7" t="str">
        <f>IF(M4="","",IFERROR(SUMPRODUCT((LeadTime_Probs!A$2:A$100=D4)*(LeadTime_Probs!B$2:B$100=E4)*(LeadTime_Probs!C$2:C$100=F4)*(LeadTime_Probs!D$2:D$100&lt;=(M4-C4))*LeadTime_Probs!E$2:E$100),0))</f>
        <v/>
      </c>
      <c r="O4" s="8">
        <f>MAX(0,MIN(G4,IFERROR(SUMIFS(Inventory_Flow!G:G,Inventory_Flow!A:A,D4,Inventory_Flow!B:B,C4),0)-SUMIFS(ShipPlan!G:G,ShipPlan!D:D,D4,ShipPlan!C:C,C4,ShipPlan!B:B,"&lt;"&amp;B4)))</f>
        <v>2681</v>
      </c>
      <c r="P4" s="7">
        <f>G4-O4</f>
        <v>0</v>
      </c>
      <c r="Q4" s="7">
        <f>O4*I4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6"/>
  <sheetViews>
    <sheetView zoomScaleNormal="100" workbookViewId="0"/>
  </sheetViews>
  <sheetFormatPr baseColWidth="10" defaultColWidth="8.6640625" defaultRowHeight="14.4" x14ac:dyDescent="0.3"/>
  <cols>
    <col min="1" max="1" width="40" customWidth="1"/>
  </cols>
  <sheetData>
    <row r="1" spans="1:10" x14ac:dyDescent="0.3">
      <c r="A1" s="5" t="s">
        <v>58</v>
      </c>
      <c r="B1" s="8" t="str">
        <f>Inputs_Global!D6</f>
        <v>EV</v>
      </c>
    </row>
    <row r="2" spans="1:10" x14ac:dyDescent="0.3">
      <c r="A2" s="9" t="s">
        <v>59</v>
      </c>
    </row>
    <row r="4" spans="1:10" x14ac:dyDescent="0.3">
      <c r="A4" s="10" t="s">
        <v>60</v>
      </c>
    </row>
    <row r="5" spans="1:10" ht="28.2" x14ac:dyDescent="0.3">
      <c r="A5" s="6" t="s">
        <v>5</v>
      </c>
      <c r="B5" s="6" t="s">
        <v>61</v>
      </c>
      <c r="C5" s="6" t="s">
        <v>62</v>
      </c>
      <c r="D5" s="6" t="s">
        <v>63</v>
      </c>
      <c r="E5" s="6" t="s">
        <v>64</v>
      </c>
      <c r="F5" s="6" t="s">
        <v>65</v>
      </c>
      <c r="G5" s="6" t="s">
        <v>66</v>
      </c>
      <c r="H5" s="6" t="s">
        <v>67</v>
      </c>
      <c r="I5" s="6" t="s">
        <v>68</v>
      </c>
      <c r="J5" s="6" t="s">
        <v>157</v>
      </c>
    </row>
    <row r="6" spans="1:10" x14ac:dyDescent="0.3">
      <c r="A6" t="s">
        <v>3</v>
      </c>
      <c r="B6" s="7">
        <f>SUMIFS(ShipPlan!O:O,ShipPlan!E:E,A6,ShipPlan!L:L,1)</f>
        <v>0</v>
      </c>
      <c r="C6" s="7">
        <f>SUMIFS(ShipPlan!O:O,ShipPlan!E:E,A6,ShipPlan!L:L,2)</f>
        <v>0</v>
      </c>
      <c r="D6" s="7">
        <f>SUMIFS(ShipPlan!O:O,ShipPlan!E:E,A6,ShipPlan!L:L,3)</f>
        <v>0</v>
      </c>
      <c r="E6" s="7">
        <f>SUMIFS(ShipPlan!O:O,ShipPlan!E:E,A6,ShipPlan!L:L,4)</f>
        <v>0</v>
      </c>
      <c r="F6" s="7">
        <f>SUMIFS(ShipPlan!O:O,ShipPlan!E:E,A6,ShipPlan!L:L,5)</f>
        <v>0</v>
      </c>
      <c r="G6" s="7">
        <f>SUMIFS(ShipPlan!O:O,ShipPlan!E:E,A6,ShipPlan!L:L,6)</f>
        <v>0</v>
      </c>
      <c r="H6" s="7">
        <f>SUMIFS(ShipPlan!O:O,ShipPlan!E:E,A6,ShipPlan!L:L,7)</f>
        <v>0</v>
      </c>
      <c r="I6" s="7">
        <f>SUMIFS(ShipPlan!O:O,ShipPlan!E:E,A6,ShipPlan!L:L,8)</f>
        <v>0</v>
      </c>
      <c r="J6" s="7">
        <f>MAX(0,SUMIFS(ShipPlan!O:O,ShipPlan!E:E,A6)-SUM(B6:I6))</f>
        <v>0</v>
      </c>
    </row>
    <row r="7" spans="1:10" x14ac:dyDescent="0.3">
      <c r="A7" t="s">
        <v>7</v>
      </c>
      <c r="B7" s="7">
        <f>SUMIFS(ShipPlan!O:O,ShipPlan!E:E,A7,ShipPlan!L:L,1)</f>
        <v>0</v>
      </c>
      <c r="C7" s="7">
        <f>SUMIFS(ShipPlan!O:O,ShipPlan!E:E,A7,ShipPlan!L:L,2)</f>
        <v>0</v>
      </c>
      <c r="D7" s="7">
        <f>SUMIFS(ShipPlan!O:O,ShipPlan!E:E,A7,ShipPlan!L:L,3)</f>
        <v>0</v>
      </c>
      <c r="E7" s="7">
        <f>SUMIFS(ShipPlan!O:O,ShipPlan!E:E,A7,ShipPlan!L:L,4)</f>
        <v>571</v>
      </c>
      <c r="F7" s="7">
        <f>SUMIFS(ShipPlan!O:O,ShipPlan!E:E,A7,ShipPlan!L:L,5)</f>
        <v>0</v>
      </c>
      <c r="G7" s="7">
        <f>SUMIFS(ShipPlan!O:O,ShipPlan!E:E,A7,ShipPlan!L:L,6)</f>
        <v>0</v>
      </c>
      <c r="H7" s="7">
        <f>SUMIFS(ShipPlan!O:O,ShipPlan!E:E,A7,ShipPlan!L:L,7)</f>
        <v>0</v>
      </c>
      <c r="I7" s="7">
        <f>SUMIFS(ShipPlan!O:O,ShipPlan!E:E,A7,ShipPlan!L:L,8)</f>
        <v>0</v>
      </c>
      <c r="J7" s="7">
        <f>MAX(0,SUMIFS(ShipPlan!O:O,ShipPlan!E:E,A7)-SUM(B7:I7))</f>
        <v>0</v>
      </c>
    </row>
    <row r="8" spans="1:10" x14ac:dyDescent="0.3">
      <c r="A8" t="s">
        <v>9</v>
      </c>
      <c r="B8" s="7">
        <f>SUMIFS(ShipPlan!O:O,ShipPlan!E:E,A8,ShipPlan!L:L,1)</f>
        <v>0</v>
      </c>
      <c r="C8" s="7">
        <f>SUMIFS(ShipPlan!O:O,ShipPlan!E:E,A8,ShipPlan!L:L,2)</f>
        <v>0</v>
      </c>
      <c r="D8" s="7">
        <f>SUMIFS(ShipPlan!O:O,ShipPlan!E:E,A8,ShipPlan!L:L,3)</f>
        <v>0</v>
      </c>
      <c r="E8" s="7">
        <f>SUMIFS(ShipPlan!O:O,ShipPlan!E:E,A8,ShipPlan!L:L,4)</f>
        <v>0</v>
      </c>
      <c r="F8" s="7">
        <f>SUMIFS(ShipPlan!O:O,ShipPlan!E:E,A8,ShipPlan!L:L,5)</f>
        <v>0</v>
      </c>
      <c r="G8" s="7">
        <f>SUMIFS(ShipPlan!O:O,ShipPlan!E:E,A8,ShipPlan!L:L,6)</f>
        <v>1025</v>
      </c>
      <c r="H8" s="7">
        <f>SUMIFS(ShipPlan!O:O,ShipPlan!E:E,A8,ShipPlan!L:L,7)</f>
        <v>0</v>
      </c>
      <c r="I8" s="7">
        <f>SUMIFS(ShipPlan!O:O,ShipPlan!E:E,A8,ShipPlan!L:L,8)</f>
        <v>2681</v>
      </c>
      <c r="J8" s="7">
        <f>MAX(0,SUMIFS(ShipPlan!O:O,ShipPlan!E:E,A8)-SUM(B8:I8))</f>
        <v>0</v>
      </c>
    </row>
    <row r="9" spans="1:10" x14ac:dyDescent="0.3">
      <c r="A9" t="s">
        <v>11</v>
      </c>
      <c r="B9" s="7">
        <f>SUMIFS(ShipPlan!O:O,ShipPlan!E:E,A9,ShipPlan!L:L,1)</f>
        <v>0</v>
      </c>
      <c r="C9" s="7">
        <f>SUMIFS(ShipPlan!O:O,ShipPlan!E:E,A9,ShipPlan!L:L,2)</f>
        <v>0</v>
      </c>
      <c r="D9" s="7">
        <f>SUMIFS(ShipPlan!O:O,ShipPlan!E:E,A9,ShipPlan!L:L,3)</f>
        <v>0</v>
      </c>
      <c r="E9" s="7">
        <f>SUMIFS(ShipPlan!O:O,ShipPlan!E:E,A9,ShipPlan!L:L,4)</f>
        <v>0</v>
      </c>
      <c r="F9" s="7">
        <f>SUMIFS(ShipPlan!O:O,ShipPlan!E:E,A9,ShipPlan!L:L,5)</f>
        <v>0</v>
      </c>
      <c r="G9" s="7">
        <f>SUMIFS(ShipPlan!O:O,ShipPlan!E:E,A9,ShipPlan!L:L,6)</f>
        <v>0</v>
      </c>
      <c r="H9" s="7">
        <f>SUMIFS(ShipPlan!O:O,ShipPlan!E:E,A9,ShipPlan!L:L,7)</f>
        <v>0</v>
      </c>
      <c r="I9" s="7">
        <f>SUMIFS(ShipPlan!O:O,ShipPlan!E:E,A9,ShipPlan!L:L,8)</f>
        <v>0</v>
      </c>
      <c r="J9" s="7">
        <f>MAX(0,SUMIFS(ShipPlan!O:O,ShipPlan!E:E,A9)-SUM(B9:I9))</f>
        <v>0</v>
      </c>
    </row>
    <row r="10" spans="1:10" x14ac:dyDescent="0.3">
      <c r="A10" t="s">
        <v>14</v>
      </c>
      <c r="B10" s="7">
        <f>SUMIFS(ShipPlan!O:O,ShipPlan!E:E,A10,ShipPlan!L:L,1)</f>
        <v>0</v>
      </c>
      <c r="C10" s="7">
        <f>SUMIFS(ShipPlan!O:O,ShipPlan!E:E,A10,ShipPlan!L:L,2)</f>
        <v>0</v>
      </c>
      <c r="D10" s="7">
        <f>SUMIFS(ShipPlan!O:O,ShipPlan!E:E,A10,ShipPlan!L:L,3)</f>
        <v>0</v>
      </c>
      <c r="E10" s="7">
        <f>SUMIFS(ShipPlan!O:O,ShipPlan!E:E,A10,ShipPlan!L:L,4)</f>
        <v>0</v>
      </c>
      <c r="F10" s="7">
        <f>SUMIFS(ShipPlan!O:O,ShipPlan!E:E,A10,ShipPlan!L:L,5)</f>
        <v>0</v>
      </c>
      <c r="G10" s="7">
        <f>SUMIFS(ShipPlan!O:O,ShipPlan!E:E,A10,ShipPlan!L:L,6)</f>
        <v>0</v>
      </c>
      <c r="H10" s="7">
        <f>SUMIFS(ShipPlan!O:O,ShipPlan!E:E,A10,ShipPlan!L:L,7)</f>
        <v>0</v>
      </c>
      <c r="I10" s="7">
        <f>SUMIFS(ShipPlan!O:O,ShipPlan!E:E,A10,ShipPlan!L:L,8)</f>
        <v>0</v>
      </c>
      <c r="J10" s="7">
        <f>MAX(0,SUMIFS(ShipPlan!O:O,ShipPlan!E:E,A10)-SUM(B10:I10))</f>
        <v>0</v>
      </c>
    </row>
    <row r="13" spans="1:10" x14ac:dyDescent="0.3">
      <c r="A13" s="10" t="s">
        <v>69</v>
      </c>
    </row>
    <row r="14" spans="1:10" ht="28.2" x14ac:dyDescent="0.3">
      <c r="A14" s="6" t="s">
        <v>5</v>
      </c>
      <c r="B14" s="6" t="s">
        <v>61</v>
      </c>
      <c r="C14" s="6" t="s">
        <v>62</v>
      </c>
      <c r="D14" s="6" t="s">
        <v>63</v>
      </c>
      <c r="E14" s="6" t="s">
        <v>64</v>
      </c>
      <c r="F14" s="6" t="s">
        <v>65</v>
      </c>
      <c r="G14" s="6" t="s">
        <v>66</v>
      </c>
      <c r="H14" s="6" t="s">
        <v>67</v>
      </c>
      <c r="I14" s="6" t="s">
        <v>68</v>
      </c>
      <c r="J14" s="6" t="s">
        <v>157</v>
      </c>
    </row>
    <row r="15" spans="1:10" x14ac:dyDescent="0.3">
      <c r="A15" t="s">
        <v>3</v>
      </c>
      <c r="B15" s="7">
        <f>SUMPRODUCT((LeadTime_Probs!B$2:B$100=$A15)*LeadTime_Probs!E$2:E$100*SUMIFS(ShipPlan!O:O,ShipPlan!D:D,LeadTime_Probs!A$2:A$100,ShipPlan!E:E,LeadTime_Probs!B$2:B$100,ShipPlan!F:F,LeadTime_Probs!C$2:C$100,ShipPlan!C:C,1-LeadTime_Probs!D$2:D$100))</f>
        <v>0</v>
      </c>
      <c r="C15" s="7">
        <f>SUMPRODUCT((LeadTime_Probs!B$2:B$100=$A15)*LeadTime_Probs!E$2:E$100*SUMIFS(ShipPlan!O:O,ShipPlan!D:D,LeadTime_Probs!A$2:A$100,ShipPlan!E:E,LeadTime_Probs!B$2:B$100,ShipPlan!F:F,LeadTime_Probs!C$2:C$100,ShipPlan!C:C,2-LeadTime_Probs!D$2:D$100))</f>
        <v>0</v>
      </c>
      <c r="D15" s="7">
        <f>SUMPRODUCT((LeadTime_Probs!B$2:B$100=$A15)*LeadTime_Probs!E$2:E$100*SUMIFS(ShipPlan!O:O,ShipPlan!D:D,LeadTime_Probs!A$2:A$100,ShipPlan!E:E,LeadTime_Probs!B$2:B$100,ShipPlan!F:F,LeadTime_Probs!C$2:C$100,ShipPlan!C:C,3-LeadTime_Probs!D$2:D$100))</f>
        <v>0</v>
      </c>
      <c r="E15" s="7">
        <f>SUMPRODUCT((LeadTime_Probs!B$2:B$100=$A15)*LeadTime_Probs!E$2:E$100*SUMIFS(ShipPlan!O:O,ShipPlan!D:D,LeadTime_Probs!A$2:A$100,ShipPlan!E:E,LeadTime_Probs!B$2:B$100,ShipPlan!F:F,LeadTime_Probs!C$2:C$100,ShipPlan!C:C,4-LeadTime_Probs!D$2:D$100))</f>
        <v>0</v>
      </c>
      <c r="F15" s="7">
        <f>SUMPRODUCT((LeadTime_Probs!B$2:B$100=$A15)*LeadTime_Probs!E$2:E$100*SUMIFS(ShipPlan!O:O,ShipPlan!D:D,LeadTime_Probs!A$2:A$100,ShipPlan!E:E,LeadTime_Probs!B$2:B$100,ShipPlan!F:F,LeadTime_Probs!C$2:C$100,ShipPlan!C:C,5-LeadTime_Probs!D$2:D$100))</f>
        <v>0</v>
      </c>
      <c r="G15" s="7">
        <f>SUMPRODUCT((LeadTime_Probs!B$2:B$100=$A15)*LeadTime_Probs!E$2:E$100*SUMIFS(ShipPlan!O:O,ShipPlan!D:D,LeadTime_Probs!A$2:A$100,ShipPlan!E:E,LeadTime_Probs!B$2:B$100,ShipPlan!F:F,LeadTime_Probs!C$2:C$100,ShipPlan!C:C,6-LeadTime_Probs!D$2:D$100))</f>
        <v>0</v>
      </c>
      <c r="H15" s="7">
        <f>SUMPRODUCT((LeadTime_Probs!B$2:B$100=$A15)*LeadTime_Probs!E$2:E$100*SUMIFS(ShipPlan!O:O,ShipPlan!D:D,LeadTime_Probs!A$2:A$100,ShipPlan!E:E,LeadTime_Probs!B$2:B$100,ShipPlan!F:F,LeadTime_Probs!C$2:C$100,ShipPlan!C:C,7-LeadTime_Probs!D$2:D$100))</f>
        <v>0</v>
      </c>
      <c r="I15" s="7">
        <f>SUMPRODUCT((LeadTime_Probs!B$2:B$100=$A15)*LeadTime_Probs!E$2:E$100*SUMIFS(ShipPlan!O:O,ShipPlan!D:D,LeadTime_Probs!A$2:A$100,ShipPlan!E:E,LeadTime_Probs!B$2:B$100,ShipPlan!F:F,LeadTime_Probs!C$2:C$100,ShipPlan!C:C,8-LeadTime_Probs!D$2:D$100))</f>
        <v>0</v>
      </c>
      <c r="J15" s="7">
        <f>MAX(0,SUMIFS(ShipPlan!O:O,ShipPlan!E:E,A15)-SUM(B15:I15))</f>
        <v>0</v>
      </c>
    </row>
    <row r="16" spans="1:10" x14ac:dyDescent="0.3">
      <c r="A16" t="s">
        <v>7</v>
      </c>
      <c r="B16" s="7">
        <f>SUMPRODUCT((LeadTime_Probs!B$2:B$100=$A16)*LeadTime_Probs!E$2:E$100*SUMIFS(ShipPlan!O:O,ShipPlan!D:D,LeadTime_Probs!A$2:A$100,ShipPlan!E:E,LeadTime_Probs!B$2:B$100,ShipPlan!F:F,LeadTime_Probs!C$2:C$100,ShipPlan!C:C,1-LeadTime_Probs!D$2:D$100))</f>
        <v>0</v>
      </c>
      <c r="C16" s="7">
        <f>SUMPRODUCT((LeadTime_Probs!B$2:B$100=$A16)*LeadTime_Probs!E$2:E$100*SUMIFS(ShipPlan!O:O,ShipPlan!D:D,LeadTime_Probs!A$2:A$100,ShipPlan!E:E,LeadTime_Probs!B$2:B$100,ShipPlan!F:F,LeadTime_Probs!C$2:C$100,ShipPlan!C:C,2-LeadTime_Probs!D$2:D$100))</f>
        <v>0</v>
      </c>
      <c r="D16" s="7">
        <f>SUMPRODUCT((LeadTime_Probs!B$2:B$100=$A16)*LeadTime_Probs!E$2:E$100*SUMIFS(ShipPlan!O:O,ShipPlan!D:D,LeadTime_Probs!A$2:A$100,ShipPlan!E:E,LeadTime_Probs!B$2:B$100,ShipPlan!F:F,LeadTime_Probs!C$2:C$100,ShipPlan!C:C,3-LeadTime_Probs!D$2:D$100))</f>
        <v>114.2</v>
      </c>
      <c r="E16" s="7">
        <f>SUMPRODUCT((LeadTime_Probs!B$2:B$100=$A16)*LeadTime_Probs!E$2:E$100*SUMIFS(ShipPlan!O:O,ShipPlan!D:D,LeadTime_Probs!A$2:A$100,ShipPlan!E:E,LeadTime_Probs!B$2:B$100,ShipPlan!F:F,LeadTime_Probs!C$2:C$100,ShipPlan!C:C,4-LeadTime_Probs!D$2:D$100))</f>
        <v>171.29999999999998</v>
      </c>
      <c r="F16" s="7">
        <f>SUMPRODUCT((LeadTime_Probs!B$2:B$100=$A16)*LeadTime_Probs!E$2:E$100*SUMIFS(ShipPlan!O:O,ShipPlan!D:D,LeadTime_Probs!A$2:A$100,ShipPlan!E:E,LeadTime_Probs!B$2:B$100,ShipPlan!F:F,LeadTime_Probs!C$2:C$100,ShipPlan!C:C,5-LeadTime_Probs!D$2:D$100))</f>
        <v>285.5</v>
      </c>
      <c r="G16" s="7">
        <f>SUMPRODUCT((LeadTime_Probs!B$2:B$100=$A16)*LeadTime_Probs!E$2:E$100*SUMIFS(ShipPlan!O:O,ShipPlan!D:D,LeadTime_Probs!A$2:A$100,ShipPlan!E:E,LeadTime_Probs!B$2:B$100,ShipPlan!F:F,LeadTime_Probs!C$2:C$100,ShipPlan!C:C,6-LeadTime_Probs!D$2:D$100))</f>
        <v>0</v>
      </c>
      <c r="H16" s="7">
        <f>SUMPRODUCT((LeadTime_Probs!B$2:B$100=$A16)*LeadTime_Probs!E$2:E$100*SUMIFS(ShipPlan!O:O,ShipPlan!D:D,LeadTime_Probs!A$2:A$100,ShipPlan!E:E,LeadTime_Probs!B$2:B$100,ShipPlan!F:F,LeadTime_Probs!C$2:C$100,ShipPlan!C:C,7-LeadTime_Probs!D$2:D$100))</f>
        <v>0</v>
      </c>
      <c r="I16" s="7">
        <f>SUMPRODUCT((LeadTime_Probs!B$2:B$100=$A16)*LeadTime_Probs!E$2:E$100*SUMIFS(ShipPlan!O:O,ShipPlan!D:D,LeadTime_Probs!A$2:A$100,ShipPlan!E:E,LeadTime_Probs!B$2:B$100,ShipPlan!F:F,LeadTime_Probs!C$2:C$100,ShipPlan!C:C,8-LeadTime_Probs!D$2:D$100))</f>
        <v>0</v>
      </c>
      <c r="J16" s="7">
        <f>MAX(0,SUMIFS(ShipPlan!O:O,ShipPlan!E:E,A16)-SUM(B16:I16))</f>
        <v>0</v>
      </c>
    </row>
    <row r="17" spans="1:10" x14ac:dyDescent="0.3">
      <c r="A17" t="s">
        <v>9</v>
      </c>
      <c r="B17" s="7">
        <f>SUMPRODUCT((LeadTime_Probs!B$2:B$100=$A17)*LeadTime_Probs!E$2:E$100*SUMIFS(ShipPlan!O:O,ShipPlan!D:D,LeadTime_Probs!A$2:A$100,ShipPlan!E:E,LeadTime_Probs!B$2:B$100,ShipPlan!F:F,LeadTime_Probs!C$2:C$100,ShipPlan!C:C,1-LeadTime_Probs!D$2:D$100))</f>
        <v>0</v>
      </c>
      <c r="C17" s="7">
        <f>SUMPRODUCT((LeadTime_Probs!B$2:B$100=$A17)*LeadTime_Probs!E$2:E$100*SUMIFS(ShipPlan!O:O,ShipPlan!D:D,LeadTime_Probs!A$2:A$100,ShipPlan!E:E,LeadTime_Probs!B$2:B$100,ShipPlan!F:F,LeadTime_Probs!C$2:C$100,ShipPlan!C:C,2-LeadTime_Probs!D$2:D$100))</f>
        <v>0</v>
      </c>
      <c r="D17" s="7">
        <f>SUMPRODUCT((LeadTime_Probs!B$2:B$100=$A17)*LeadTime_Probs!E$2:E$100*SUMIFS(ShipPlan!O:O,ShipPlan!D:D,LeadTime_Probs!A$2:A$100,ShipPlan!E:E,LeadTime_Probs!B$2:B$100,ShipPlan!F:F,LeadTime_Probs!C$2:C$100,ShipPlan!C:C,3-LeadTime_Probs!D$2:D$100))</f>
        <v>0</v>
      </c>
      <c r="E17" s="7">
        <f>SUMPRODUCT((LeadTime_Probs!B$2:B$100=$A17)*LeadTime_Probs!E$2:E$100*SUMIFS(ShipPlan!O:O,ShipPlan!D:D,LeadTime_Probs!A$2:A$100,ShipPlan!E:E,LeadTime_Probs!B$2:B$100,ShipPlan!F:F,LeadTime_Probs!C$2:C$100,ShipPlan!C:C,4-LeadTime_Probs!D$2:D$100))</f>
        <v>0</v>
      </c>
      <c r="F17" s="7">
        <f>SUMPRODUCT((LeadTime_Probs!B$2:B$100=$A17)*LeadTime_Probs!E$2:E$100*SUMIFS(ShipPlan!O:O,ShipPlan!D:D,LeadTime_Probs!A$2:A$100,ShipPlan!E:E,LeadTime_Probs!B$2:B$100,ShipPlan!F:F,LeadTime_Probs!C$2:C$100,ShipPlan!C:C,5-LeadTime_Probs!D$2:D$100))</f>
        <v>512.5</v>
      </c>
      <c r="G17" s="7">
        <f>SUMPRODUCT((LeadTime_Probs!B$2:B$100=$A17)*LeadTime_Probs!E$2:E$100*SUMIFS(ShipPlan!O:O,ShipPlan!D:D,LeadTime_Probs!A$2:A$100,ShipPlan!E:E,LeadTime_Probs!B$2:B$100,ShipPlan!F:F,LeadTime_Probs!C$2:C$100,ShipPlan!C:C,6-LeadTime_Probs!D$2:D$100))</f>
        <v>512.5</v>
      </c>
      <c r="H17" s="7">
        <f>SUMPRODUCT((LeadTime_Probs!B$2:B$100=$A17)*LeadTime_Probs!E$2:E$100*SUMIFS(ShipPlan!O:O,ShipPlan!D:D,LeadTime_Probs!A$2:A$100,ShipPlan!E:E,LeadTime_Probs!B$2:B$100,ShipPlan!F:F,LeadTime_Probs!C$2:C$100,ShipPlan!C:C,7-LeadTime_Probs!D$2:D$100))</f>
        <v>1340.5</v>
      </c>
      <c r="I17" s="7">
        <f>SUMPRODUCT((LeadTime_Probs!B$2:B$100=$A17)*LeadTime_Probs!E$2:E$100*SUMIFS(ShipPlan!O:O,ShipPlan!D:D,LeadTime_Probs!A$2:A$100,ShipPlan!E:E,LeadTime_Probs!B$2:B$100,ShipPlan!F:F,LeadTime_Probs!C$2:C$100,ShipPlan!C:C,8-LeadTime_Probs!D$2:D$100))</f>
        <v>1340.5</v>
      </c>
      <c r="J17" s="7">
        <f>MAX(0,SUMIFS(ShipPlan!O:O,ShipPlan!E:E,A17)-SUM(B17:I17))</f>
        <v>0</v>
      </c>
    </row>
    <row r="18" spans="1:10" x14ac:dyDescent="0.3">
      <c r="A18" t="s">
        <v>11</v>
      </c>
      <c r="B18" s="7">
        <f>SUMPRODUCT((LeadTime_Probs!B$2:B$100=$A18)*LeadTime_Probs!E$2:E$100*SUMIFS(ShipPlan!O:O,ShipPlan!D:D,LeadTime_Probs!A$2:A$100,ShipPlan!E:E,LeadTime_Probs!B$2:B$100,ShipPlan!F:F,LeadTime_Probs!C$2:C$100,ShipPlan!C:C,1-LeadTime_Probs!D$2:D$100))</f>
        <v>0</v>
      </c>
      <c r="C18" s="7">
        <f>SUMPRODUCT((LeadTime_Probs!B$2:B$100=$A18)*LeadTime_Probs!E$2:E$100*SUMIFS(ShipPlan!O:O,ShipPlan!D:D,LeadTime_Probs!A$2:A$100,ShipPlan!E:E,LeadTime_Probs!B$2:B$100,ShipPlan!F:F,LeadTime_Probs!C$2:C$100,ShipPlan!C:C,2-LeadTime_Probs!D$2:D$100))</f>
        <v>0</v>
      </c>
      <c r="D18" s="7">
        <f>SUMPRODUCT((LeadTime_Probs!B$2:B$100=$A18)*LeadTime_Probs!E$2:E$100*SUMIFS(ShipPlan!O:O,ShipPlan!D:D,LeadTime_Probs!A$2:A$100,ShipPlan!E:E,LeadTime_Probs!B$2:B$100,ShipPlan!F:F,LeadTime_Probs!C$2:C$100,ShipPlan!C:C,3-LeadTime_Probs!D$2:D$100))</f>
        <v>0</v>
      </c>
      <c r="E18" s="7">
        <f>SUMPRODUCT((LeadTime_Probs!B$2:B$100=$A18)*LeadTime_Probs!E$2:E$100*SUMIFS(ShipPlan!O:O,ShipPlan!D:D,LeadTime_Probs!A$2:A$100,ShipPlan!E:E,LeadTime_Probs!B$2:B$100,ShipPlan!F:F,LeadTime_Probs!C$2:C$100,ShipPlan!C:C,4-LeadTime_Probs!D$2:D$100))</f>
        <v>0</v>
      </c>
      <c r="F18" s="7">
        <f>SUMPRODUCT((LeadTime_Probs!B$2:B$100=$A18)*LeadTime_Probs!E$2:E$100*SUMIFS(ShipPlan!O:O,ShipPlan!D:D,LeadTime_Probs!A$2:A$100,ShipPlan!E:E,LeadTime_Probs!B$2:B$100,ShipPlan!F:F,LeadTime_Probs!C$2:C$100,ShipPlan!C:C,5-LeadTime_Probs!D$2:D$100))</f>
        <v>0</v>
      </c>
      <c r="G18" s="7">
        <f>SUMPRODUCT((LeadTime_Probs!B$2:B$100=$A18)*LeadTime_Probs!E$2:E$100*SUMIFS(ShipPlan!O:O,ShipPlan!D:D,LeadTime_Probs!A$2:A$100,ShipPlan!E:E,LeadTime_Probs!B$2:B$100,ShipPlan!F:F,LeadTime_Probs!C$2:C$100,ShipPlan!C:C,6-LeadTime_Probs!D$2:D$100))</f>
        <v>0</v>
      </c>
      <c r="H18" s="7">
        <f>SUMPRODUCT((LeadTime_Probs!B$2:B$100=$A18)*LeadTime_Probs!E$2:E$100*SUMIFS(ShipPlan!O:O,ShipPlan!D:D,LeadTime_Probs!A$2:A$100,ShipPlan!E:E,LeadTime_Probs!B$2:B$100,ShipPlan!F:F,LeadTime_Probs!C$2:C$100,ShipPlan!C:C,7-LeadTime_Probs!D$2:D$100))</f>
        <v>0</v>
      </c>
      <c r="I18" s="7">
        <f>SUMPRODUCT((LeadTime_Probs!B$2:B$100=$A18)*LeadTime_Probs!E$2:E$100*SUMIFS(ShipPlan!O:O,ShipPlan!D:D,LeadTime_Probs!A$2:A$100,ShipPlan!E:E,LeadTime_Probs!B$2:B$100,ShipPlan!F:F,LeadTime_Probs!C$2:C$100,ShipPlan!C:C,8-LeadTime_Probs!D$2:D$100))</f>
        <v>0</v>
      </c>
      <c r="J18" s="7">
        <f>MAX(0,SUMIFS(ShipPlan!O:O,ShipPlan!E:E,A18)-SUM(B18:I18))</f>
        <v>0</v>
      </c>
    </row>
    <row r="19" spans="1:10" x14ac:dyDescent="0.3">
      <c r="A19" t="s">
        <v>14</v>
      </c>
      <c r="B19" s="7">
        <f>SUMPRODUCT((LeadTime_Probs!B$2:B$100=$A19)*LeadTime_Probs!E$2:E$100*SUMIFS(ShipPlan!O:O,ShipPlan!D:D,LeadTime_Probs!A$2:A$100,ShipPlan!E:E,LeadTime_Probs!B$2:B$100,ShipPlan!F:F,LeadTime_Probs!C$2:C$100,ShipPlan!C:C,1-LeadTime_Probs!D$2:D$100))</f>
        <v>0</v>
      </c>
      <c r="C19" s="7">
        <f>SUMPRODUCT((LeadTime_Probs!B$2:B$100=$A19)*LeadTime_Probs!E$2:E$100*SUMIFS(ShipPlan!O:O,ShipPlan!D:D,LeadTime_Probs!A$2:A$100,ShipPlan!E:E,LeadTime_Probs!B$2:B$100,ShipPlan!F:F,LeadTime_Probs!C$2:C$100,ShipPlan!C:C,2-LeadTime_Probs!D$2:D$100))</f>
        <v>0</v>
      </c>
      <c r="D19" s="7">
        <f>SUMPRODUCT((LeadTime_Probs!B$2:B$100=$A19)*LeadTime_Probs!E$2:E$100*SUMIFS(ShipPlan!O:O,ShipPlan!D:D,LeadTime_Probs!A$2:A$100,ShipPlan!E:E,LeadTime_Probs!B$2:B$100,ShipPlan!F:F,LeadTime_Probs!C$2:C$100,ShipPlan!C:C,3-LeadTime_Probs!D$2:D$100))</f>
        <v>0</v>
      </c>
      <c r="E19" s="7">
        <f>SUMPRODUCT((LeadTime_Probs!B$2:B$100=$A19)*LeadTime_Probs!E$2:E$100*SUMIFS(ShipPlan!O:O,ShipPlan!D:D,LeadTime_Probs!A$2:A$100,ShipPlan!E:E,LeadTime_Probs!B$2:B$100,ShipPlan!F:F,LeadTime_Probs!C$2:C$100,ShipPlan!C:C,4-LeadTime_Probs!D$2:D$100))</f>
        <v>0</v>
      </c>
      <c r="F19" s="7">
        <f>SUMPRODUCT((LeadTime_Probs!B$2:B$100=$A19)*LeadTime_Probs!E$2:E$100*SUMIFS(ShipPlan!O:O,ShipPlan!D:D,LeadTime_Probs!A$2:A$100,ShipPlan!E:E,LeadTime_Probs!B$2:B$100,ShipPlan!F:F,LeadTime_Probs!C$2:C$100,ShipPlan!C:C,5-LeadTime_Probs!D$2:D$100))</f>
        <v>0</v>
      </c>
      <c r="G19" s="7">
        <f>SUMPRODUCT((LeadTime_Probs!B$2:B$100=$A19)*LeadTime_Probs!E$2:E$100*SUMIFS(ShipPlan!O:O,ShipPlan!D:D,LeadTime_Probs!A$2:A$100,ShipPlan!E:E,LeadTime_Probs!B$2:B$100,ShipPlan!F:F,LeadTime_Probs!C$2:C$100,ShipPlan!C:C,6-LeadTime_Probs!D$2:D$100))</f>
        <v>0</v>
      </c>
      <c r="H19" s="7">
        <f>SUMPRODUCT((LeadTime_Probs!B$2:B$100=$A19)*LeadTime_Probs!E$2:E$100*SUMIFS(ShipPlan!O:O,ShipPlan!D:D,LeadTime_Probs!A$2:A$100,ShipPlan!E:E,LeadTime_Probs!B$2:B$100,ShipPlan!F:F,LeadTime_Probs!C$2:C$100,ShipPlan!C:C,7-LeadTime_Probs!D$2:D$100))</f>
        <v>0</v>
      </c>
      <c r="I19" s="7">
        <f>SUMPRODUCT((LeadTime_Probs!B$2:B$100=$A19)*LeadTime_Probs!E$2:E$100*SUMIFS(ShipPlan!O:O,ShipPlan!D:D,LeadTime_Probs!A$2:A$100,ShipPlan!E:E,LeadTime_Probs!B$2:B$100,ShipPlan!F:F,LeadTime_Probs!C$2:C$100,ShipPlan!C:C,8-LeadTime_Probs!D$2:D$100))</f>
        <v>0</v>
      </c>
      <c r="J19" s="7">
        <f>MAX(0,SUMIFS(ShipPlan!O:O,ShipPlan!E:E,A19)-SUM(B19:I19))</f>
        <v>0</v>
      </c>
    </row>
    <row r="22" spans="1:10" x14ac:dyDescent="0.3">
      <c r="A22" s="11" t="s">
        <v>70</v>
      </c>
    </row>
    <row r="23" spans="1:10" ht="28.2" x14ac:dyDescent="0.3">
      <c r="A23" s="6" t="s">
        <v>5</v>
      </c>
      <c r="B23" s="6" t="s">
        <v>61</v>
      </c>
      <c r="C23" s="6" t="s">
        <v>62</v>
      </c>
      <c r="D23" s="6" t="s">
        <v>63</v>
      </c>
      <c r="E23" s="6" t="s">
        <v>64</v>
      </c>
      <c r="F23" s="6" t="s">
        <v>65</v>
      </c>
      <c r="G23" s="6" t="s">
        <v>66</v>
      </c>
      <c r="H23" s="6" t="s">
        <v>67</v>
      </c>
      <c r="I23" s="6" t="s">
        <v>68</v>
      </c>
      <c r="J23" s="6" t="s">
        <v>157</v>
      </c>
    </row>
    <row r="24" spans="1:10" x14ac:dyDescent="0.3">
      <c r="A24" t="s">
        <v>3</v>
      </c>
      <c r="B24" s="7">
        <f t="shared" ref="B24:J24" si="0">IF($B$1="EV",B6,B15)</f>
        <v>0</v>
      </c>
      <c r="C24" s="7">
        <f t="shared" si="0"/>
        <v>0</v>
      </c>
      <c r="D24" s="7">
        <f t="shared" si="0"/>
        <v>0</v>
      </c>
      <c r="E24" s="7">
        <f t="shared" si="0"/>
        <v>0</v>
      </c>
      <c r="F24" s="7">
        <f t="shared" si="0"/>
        <v>0</v>
      </c>
      <c r="G24" s="7">
        <f t="shared" si="0"/>
        <v>0</v>
      </c>
      <c r="H24" s="7">
        <f t="shared" si="0"/>
        <v>0</v>
      </c>
      <c r="I24" s="7">
        <f t="shared" si="0"/>
        <v>0</v>
      </c>
      <c r="J24" s="7">
        <f t="shared" si="0"/>
        <v>0</v>
      </c>
    </row>
    <row r="25" spans="1:10" x14ac:dyDescent="0.3">
      <c r="A25" t="s">
        <v>7</v>
      </c>
      <c r="B25" s="7">
        <f t="shared" ref="B25:J25" si="1">IF($B$1="EV",B7,B16)</f>
        <v>0</v>
      </c>
      <c r="C25" s="7">
        <f t="shared" si="1"/>
        <v>0</v>
      </c>
      <c r="D25" s="7">
        <f t="shared" si="1"/>
        <v>0</v>
      </c>
      <c r="E25" s="7">
        <f t="shared" si="1"/>
        <v>571</v>
      </c>
      <c r="F25" s="7">
        <f t="shared" si="1"/>
        <v>0</v>
      </c>
      <c r="G25" s="7">
        <f t="shared" si="1"/>
        <v>0</v>
      </c>
      <c r="H25" s="7">
        <f t="shared" si="1"/>
        <v>0</v>
      </c>
      <c r="I25" s="7">
        <f t="shared" si="1"/>
        <v>0</v>
      </c>
      <c r="J25" s="7">
        <f t="shared" si="1"/>
        <v>0</v>
      </c>
    </row>
    <row r="26" spans="1:10" x14ac:dyDescent="0.3">
      <c r="A26" t="s">
        <v>9</v>
      </c>
      <c r="B26" s="7">
        <f t="shared" ref="B26:J26" si="2">IF($B$1="EV",B8,B17)</f>
        <v>0</v>
      </c>
      <c r="C26" s="7">
        <f t="shared" si="2"/>
        <v>0</v>
      </c>
      <c r="D26" s="7">
        <f t="shared" si="2"/>
        <v>0</v>
      </c>
      <c r="E26" s="7">
        <f t="shared" si="2"/>
        <v>0</v>
      </c>
      <c r="F26" s="7">
        <f t="shared" si="2"/>
        <v>0</v>
      </c>
      <c r="G26" s="7">
        <f t="shared" si="2"/>
        <v>1025</v>
      </c>
      <c r="H26" s="7">
        <f t="shared" si="2"/>
        <v>0</v>
      </c>
      <c r="I26" s="7">
        <f t="shared" si="2"/>
        <v>2681</v>
      </c>
      <c r="J26" s="7">
        <f t="shared" si="2"/>
        <v>0</v>
      </c>
    </row>
    <row r="27" spans="1:10" x14ac:dyDescent="0.3">
      <c r="A27" t="s">
        <v>11</v>
      </c>
      <c r="B27" s="7">
        <f t="shared" ref="B27:J27" si="3">IF($B$1="EV",B9,B18)</f>
        <v>0</v>
      </c>
      <c r="C27" s="7">
        <f t="shared" si="3"/>
        <v>0</v>
      </c>
      <c r="D27" s="7">
        <f t="shared" si="3"/>
        <v>0</v>
      </c>
      <c r="E27" s="7">
        <f t="shared" si="3"/>
        <v>0</v>
      </c>
      <c r="F27" s="7">
        <f t="shared" si="3"/>
        <v>0</v>
      </c>
      <c r="G27" s="7">
        <f t="shared" si="3"/>
        <v>0</v>
      </c>
      <c r="H27" s="7">
        <f t="shared" si="3"/>
        <v>0</v>
      </c>
      <c r="I27" s="7">
        <f t="shared" si="3"/>
        <v>0</v>
      </c>
      <c r="J27" s="7">
        <f t="shared" si="3"/>
        <v>0</v>
      </c>
    </row>
    <row r="28" spans="1:10" x14ac:dyDescent="0.3">
      <c r="A28" t="s">
        <v>14</v>
      </c>
      <c r="B28" s="7">
        <f t="shared" ref="B28:J28" si="4">IF($B$1="EV",B10,B19)</f>
        <v>0</v>
      </c>
      <c r="C28" s="7">
        <f t="shared" si="4"/>
        <v>0</v>
      </c>
      <c r="D28" s="7">
        <f t="shared" si="4"/>
        <v>0</v>
      </c>
      <c r="E28" s="7">
        <f t="shared" si="4"/>
        <v>0</v>
      </c>
      <c r="F28" s="7">
        <f t="shared" si="4"/>
        <v>0</v>
      </c>
      <c r="G28" s="7">
        <f t="shared" si="4"/>
        <v>0</v>
      </c>
      <c r="H28" s="7">
        <f t="shared" si="4"/>
        <v>0</v>
      </c>
      <c r="I28" s="7">
        <f t="shared" si="4"/>
        <v>0</v>
      </c>
      <c r="J28" s="7">
        <f t="shared" si="4"/>
        <v>0</v>
      </c>
    </row>
    <row r="30" spans="1:10" x14ac:dyDescent="0.3">
      <c r="A30" s="11" t="s">
        <v>158</v>
      </c>
    </row>
    <row r="31" spans="1:10" x14ac:dyDescent="0.3">
      <c r="A31" s="6" t="s">
        <v>5</v>
      </c>
      <c r="B31" s="6" t="s">
        <v>61</v>
      </c>
      <c r="C31" s="6" t="s">
        <v>62</v>
      </c>
      <c r="D31" s="6" t="s">
        <v>63</v>
      </c>
      <c r="E31" s="6" t="s">
        <v>64</v>
      </c>
      <c r="F31" s="6" t="s">
        <v>65</v>
      </c>
      <c r="G31" s="6" t="s">
        <v>66</v>
      </c>
      <c r="H31" s="6" t="s">
        <v>67</v>
      </c>
      <c r="I31" s="6" t="s">
        <v>68</v>
      </c>
    </row>
    <row r="32" spans="1:10" x14ac:dyDescent="0.3">
      <c r="A32" t="s">
        <v>3</v>
      </c>
      <c r="C32" s="7">
        <f>IF($B$1="EV",SUMIFS(ShipPlan!O:O,ShipPlan!E:E,$A32,ShipPlan!L:L,10),SUMPRODUCT((LeadTime_Probs!B$2:B$100=$A32)*LeadTime_Probs!E$2:E$100*SUMIFS(ShipPlan!O:O,ShipPlan!D:D,LeadTime_Probs!A$2:A$100,ShipPlan!E:E,LeadTime_Probs!B$2:B$100,ShipPlan!F:F,LeadTime_Probs!C$2:C$100,ShipPlan!C:C,10-LeadTime_Probs!D$2:D$100)))</f>
        <v>0</v>
      </c>
      <c r="E32" s="7">
        <f>IF($B$1="EV",SUMIFS(ShipPlan!O:O,ShipPlan!E:E,$A32,ShipPlan!L:L,12),SUMPRODUCT((LeadTime_Probs!B$2:B$100=$A32)*LeadTime_Probs!E$2:E$100*SUMIFS(ShipPlan!O:O,ShipPlan!D:D,LeadTime_Probs!A$2:A$100,ShipPlan!E:E,LeadTime_Probs!B$2:B$100,ShipPlan!F:F,LeadTime_Probs!C$2:C$100,ShipPlan!C:C,12-LeadTime_Probs!D$2:D$100)))</f>
        <v>0</v>
      </c>
      <c r="I32" s="7">
        <f>IF($B$1="EV",SUMIFS(ShipPlan!O:O,ShipPlan!E:E,$A32,ShipPlan!L:L,16),SUMPRODUCT((LeadTime_Probs!B$2:B$100=$A32)*LeadTime_Probs!E$2:E$100*SUMIFS(ShipPlan!O:O,ShipPlan!D:D,LeadTime_Probs!A$2:A$100,ShipPlan!E:E,LeadTime_Probs!B$2:B$100,ShipPlan!F:F,LeadTime_Probs!C$2:C$100,ShipPlan!C:C,16-LeadTime_Probs!D$2:D$100)))</f>
        <v>0</v>
      </c>
    </row>
    <row r="33" spans="1:9" x14ac:dyDescent="0.3">
      <c r="A33" t="s">
        <v>7</v>
      </c>
      <c r="C33" s="7">
        <f>IF($B$1="EV",SUMIFS(ShipPlan!O:O,ShipPlan!E:E,$A33,ShipPlan!L:L,10),SUMPRODUCT((LeadTime_Probs!B$2:B$100=$A33)*LeadTime_Probs!E$2:E$100*SUMIFS(ShipPlan!O:O,ShipPlan!D:D,LeadTime_Probs!A$2:A$100,ShipPlan!E:E,LeadTime_Probs!B$2:B$100,ShipPlan!F:F,LeadTime_Probs!C$2:C$100,ShipPlan!C:C,10-LeadTime_Probs!D$2:D$100)))</f>
        <v>0</v>
      </c>
      <c r="E33" s="7">
        <f>IF($B$1="EV",SUMIFS(ShipPlan!O:O,ShipPlan!E:E,$A33,ShipPlan!L:L,12),SUMPRODUCT((LeadTime_Probs!B$2:B$100=$A33)*LeadTime_Probs!E$2:E$100*SUMIFS(ShipPlan!O:O,ShipPlan!D:D,LeadTime_Probs!A$2:A$100,ShipPlan!E:E,LeadTime_Probs!B$2:B$100,ShipPlan!F:F,LeadTime_Probs!C$2:C$100,ShipPlan!C:C,12-LeadTime_Probs!D$2:D$100)))</f>
        <v>0</v>
      </c>
      <c r="I33" s="7">
        <f>IF($B$1="EV",SUMIFS(ShipPlan!O:O,ShipPlan!E:E,$A33,ShipPlan!L:L,16),SUMPRODUCT((LeadTime_Probs!B$2:B$100=$A33)*LeadTime_Probs!E$2:E$100*SUMIFS(ShipPlan!O:O,ShipPlan!D:D,LeadTime_Probs!A$2:A$100,ShipPlan!E:E,LeadTime_Probs!B$2:B$100,ShipPlan!F:F,LeadTime_Probs!C$2:C$100,ShipPlan!C:C,16-LeadTime_Probs!D$2:D$100)))</f>
        <v>0</v>
      </c>
    </row>
    <row r="34" spans="1:9" x14ac:dyDescent="0.3">
      <c r="A34" t="s">
        <v>9</v>
      </c>
      <c r="C34" s="7">
        <f>IF($B$1="EV",SUMIFS(ShipPlan!O:O,ShipPlan!E:E,$A34,ShipPlan!L:L,10),SUMPRODUCT((LeadTime_Probs!B$2:B$100=$A34)*LeadTime_Probs!E$2:E$100*SUMIFS(ShipPlan!O:O,ShipPlan!D:D,LeadTime_Probs!A$2:A$100,ShipPlan!E:E,LeadTime_Probs!B$2:B$100,ShipPlan!F:F,LeadTime_Probs!C$2:C$100,ShipPlan!C:C,10-LeadTime_Probs!D$2:D$100)))</f>
        <v>0</v>
      </c>
      <c r="E34" s="7">
        <f>IF($B$1="EV",SUMIFS(ShipPlan!O:O,ShipPlan!E:E,$A34,ShipPlan!L:L,12),SUMPRODUCT((LeadTime_Probs!B$2:B$100=$A34)*LeadTime_Probs!E$2:E$100*SUMIFS(ShipPlan!O:O,ShipPlan!D:D,LeadTime_Probs!A$2:A$100,ShipPlan!E:E,LeadTime_Probs!B$2:B$100,ShipPlan!F:F,LeadTime_Probs!C$2:C$100,ShipPlan!C:C,12-LeadTime_Probs!D$2:D$100)))</f>
        <v>0</v>
      </c>
      <c r="I34" s="7">
        <f>IF($B$1="EV",SUMIFS(ShipPlan!O:O,ShipPlan!E:E,$A34,ShipPlan!L:L,16),SUMPRODUCT((LeadTime_Probs!B$2:B$100=$A34)*LeadTime_Probs!E$2:E$100*SUMIFS(ShipPlan!O:O,ShipPlan!D:D,LeadTime_Probs!A$2:A$100,ShipPlan!E:E,LeadTime_Probs!B$2:B$100,ShipPlan!F:F,LeadTime_Probs!C$2:C$100,ShipPlan!C:C,16-LeadTime_Probs!D$2:D$100)))</f>
        <v>0</v>
      </c>
    </row>
    <row r="35" spans="1:9" x14ac:dyDescent="0.3">
      <c r="A35" t="s">
        <v>11</v>
      </c>
      <c r="C35" s="7">
        <f>IF($B$1="EV",SUMIFS(ShipPlan!O:O,ShipPlan!E:E,$A35,ShipPlan!L:L,10),SUMPRODUCT((LeadTime_Probs!B$2:B$100=$A35)*LeadTime_Probs!E$2:E$100*SUMIFS(ShipPlan!O:O,ShipPlan!D:D,LeadTime_Probs!A$2:A$100,ShipPlan!E:E,LeadTime_Probs!B$2:B$100,ShipPlan!F:F,LeadTime_Probs!C$2:C$100,ShipPlan!C:C,10-LeadTime_Probs!D$2:D$100)))</f>
        <v>0</v>
      </c>
      <c r="E35" s="7">
        <f>IF($B$1="EV",SUMIFS(ShipPlan!O:O,ShipPlan!E:E,$A35,ShipPlan!L:L,12),SUMPRODUCT((LeadTime_Probs!B$2:B$100=$A35)*LeadTime_Probs!E$2:E$100*SUMIFS(ShipPlan!O:O,ShipPlan!D:D,LeadTime_Probs!A$2:A$100,ShipPlan!E:E,LeadTime_Probs!B$2:B$100,ShipPlan!F:F,LeadTime_Probs!C$2:C$100,ShipPlan!C:C,12-LeadTime_Probs!D$2:D$100)))</f>
        <v>0</v>
      </c>
      <c r="I35" s="7">
        <f>IF($B$1="EV",SUMIFS(ShipPlan!O:O,ShipPlan!E:E,$A35,ShipPlan!L:L,16),SUMPRODUCT((LeadTime_Probs!B$2:B$100=$A35)*LeadTime_Probs!E$2:E$100*SUMIFS(ShipPlan!O:O,ShipPlan!D:D,LeadTime_Probs!A$2:A$100,ShipPlan!E:E,LeadTime_Probs!B$2:B$100,ShipPlan!F:F,LeadTime_Probs!C$2:C$100,ShipPlan!C:C,16-LeadTime_Probs!D$2:D$100)))</f>
        <v>0</v>
      </c>
    </row>
    <row r="36" spans="1:9" x14ac:dyDescent="0.3">
      <c r="A36" t="s">
        <v>14</v>
      </c>
      <c r="C36" s="7">
        <f>IF($B$1="EV",SUMIFS(ShipPlan!O:O,ShipPlan!E:E,$A36,ShipPlan!L:L,10),SUMPRODUCT((LeadTime_Probs!B$2:B$100=$A36)*LeadTime_Probs!E$2:E$100*SUMIFS(ShipPlan!O:O,ShipPlan!D:D,LeadTime_Probs!A$2:A$100,ShipPlan!E:E,LeadTime_Probs!B$2:B$100,ShipPlan!F:F,LeadTime_Probs!C$2:C$100,ShipPlan!C:C,10-LeadTime_Probs!D$2:D$100)))</f>
        <v>0</v>
      </c>
      <c r="E36" s="7">
        <f>IF($B$1="EV",SUMIFS(ShipPlan!O:O,ShipPlan!E:E,$A36,ShipPlan!L:L,12),SUMPRODUCT((LeadTime_Probs!B$2:B$100=$A36)*LeadTime_Probs!E$2:E$100*SUMIFS(ShipPlan!O:O,ShipPlan!D:D,LeadTime_Probs!A$2:A$100,ShipPlan!E:E,LeadTime_Probs!B$2:B$100,ShipPlan!F:F,LeadTime_Probs!C$2:C$100,ShipPlan!C:C,12-LeadTime_Probs!D$2:D$100)))</f>
        <v>0</v>
      </c>
      <c r="I36" s="7">
        <f>IF($B$1="EV",SUMIFS(ShipPlan!O:O,ShipPlan!E:E,$A36,ShipPlan!L:L,16),SUMPRODUCT((LeadTime_Probs!B$2:B$100=$A36)*LeadTime_Probs!E$2:E$100*SUMIFS(ShipPlan!O:O,ShipPlan!D:D,LeadTime_Probs!A$2:A$100,ShipPlan!E:E,LeadTime_Probs!B$2:B$100,ShipPlan!F:F,LeadTime_Probs!C$2:C$100,ShipPlan!C:C,16-LeadTime_Probs!D$2:D$100))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zoomScaleNormal="100" workbookViewId="0"/>
  </sheetViews>
  <sheetFormatPr baseColWidth="10" defaultColWidth="8.6640625" defaultRowHeight="14.4" x14ac:dyDescent="0.3"/>
  <cols>
    <col min="1" max="3" width="18" customWidth="1"/>
  </cols>
  <sheetData>
    <row r="1" spans="1:3" x14ac:dyDescent="0.3">
      <c r="A1" s="6" t="s">
        <v>5</v>
      </c>
      <c r="B1" s="6" t="s">
        <v>71</v>
      </c>
      <c r="C1" s="6" t="s">
        <v>72</v>
      </c>
    </row>
    <row r="2" spans="1:3" x14ac:dyDescent="0.3">
      <c r="A2" t="s">
        <v>3</v>
      </c>
      <c r="B2" s="4">
        <v>48</v>
      </c>
      <c r="C2" s="8">
        <f>B2*Inputs_Global!$D$3</f>
        <v>4800</v>
      </c>
    </row>
    <row r="3" spans="1:3" x14ac:dyDescent="0.3">
      <c r="A3" t="s">
        <v>7</v>
      </c>
      <c r="B3" s="4">
        <v>25</v>
      </c>
      <c r="C3" s="8">
        <f>B3*Inputs_Global!$D$3</f>
        <v>2500</v>
      </c>
    </row>
    <row r="4" spans="1:3" x14ac:dyDescent="0.3">
      <c r="A4" t="s">
        <v>9</v>
      </c>
      <c r="B4" s="4">
        <v>20</v>
      </c>
      <c r="C4" s="8">
        <f>B4*Inputs_Global!$D$3</f>
        <v>2000</v>
      </c>
    </row>
    <row r="5" spans="1:3" x14ac:dyDescent="0.3">
      <c r="A5" t="s">
        <v>11</v>
      </c>
      <c r="B5" s="4">
        <v>0</v>
      </c>
      <c r="C5" s="8">
        <f>B5*Inputs_Global!$D$3</f>
        <v>0</v>
      </c>
    </row>
    <row r="6" spans="1:3" x14ac:dyDescent="0.3">
      <c r="A6" t="s">
        <v>14</v>
      </c>
      <c r="B6" s="4">
        <v>0</v>
      </c>
      <c r="C6" s="8">
        <f>B6*Inputs_Global!$D$3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1"/>
  <sheetViews>
    <sheetView zoomScaleNormal="100" workbookViewId="0">
      <selection activeCell="D2" sqref="D2"/>
    </sheetView>
  </sheetViews>
  <sheetFormatPr baseColWidth="10" defaultColWidth="8.6640625" defaultRowHeight="14.4" x14ac:dyDescent="0.3"/>
  <cols>
    <col min="1" max="17" width="14" customWidth="1"/>
  </cols>
  <sheetData>
    <row r="1" spans="1:17" ht="28.2" x14ac:dyDescent="0.3">
      <c r="A1" s="6" t="s">
        <v>5</v>
      </c>
      <c r="B1" s="6" t="s">
        <v>19</v>
      </c>
      <c r="C1" s="6" t="s">
        <v>73</v>
      </c>
      <c r="D1" s="6" t="s">
        <v>24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79</v>
      </c>
      <c r="K1" s="6" t="s">
        <v>80</v>
      </c>
      <c r="L1" s="6" t="s">
        <v>81</v>
      </c>
      <c r="M1" s="6" t="s">
        <v>82</v>
      </c>
      <c r="N1" s="6" t="s">
        <v>83</v>
      </c>
      <c r="O1" s="6" t="s">
        <v>84</v>
      </c>
      <c r="P1" s="6" t="s">
        <v>85</v>
      </c>
      <c r="Q1" s="6" t="s">
        <v>86</v>
      </c>
    </row>
    <row r="2" spans="1:17" x14ac:dyDescent="0.3">
      <c r="A2" t="s">
        <v>3</v>
      </c>
      <c r="B2">
        <v>1</v>
      </c>
      <c r="C2" s="8">
        <f>Inputs_Global!G3</f>
        <v>2685</v>
      </c>
      <c r="D2" s="8">
        <f>SUMIFS(Production_Supply!C:C,Production_Supply!A:A,A2,Production_Supply!B:B,B2)</f>
        <v>1500</v>
      </c>
      <c r="E2" s="8">
        <f>Arrivals!B24</f>
        <v>0</v>
      </c>
      <c r="F2" s="7">
        <f t="shared" ref="F2:F41" si="0">D2+E2</f>
        <v>1500</v>
      </c>
      <c r="G2" s="7">
        <f t="shared" ref="G2:G41" si="1">C2+F2</f>
        <v>4185</v>
      </c>
      <c r="H2" s="7">
        <f>SUMIFS(ShipPlan!G:G,ShipPlan!D:D,A2,ShipPlan!C:C,B2)</f>
        <v>571</v>
      </c>
      <c r="I2" s="7">
        <f>SUMIFS(ShipPlan!O:O,ShipPlan!D:D,A2,ShipPlan!C:C,B2)</f>
        <v>571</v>
      </c>
      <c r="J2" s="7">
        <f t="shared" ref="J2:J41" si="2">G2-I2</f>
        <v>3614</v>
      </c>
      <c r="K2" s="8">
        <f>SUMIFS(Demand_Forecast!F:F,Demand_Forecast!A:A,A2,Demand_Forecast!B:B,B2)</f>
        <v>0</v>
      </c>
      <c r="L2" s="7">
        <f t="shared" ref="L2:L41" si="3">MIN(K2,J2)</f>
        <v>0</v>
      </c>
      <c r="M2" s="7">
        <f t="shared" ref="M2:M41" si="4">MAX(0,K2-J2)</f>
        <v>0</v>
      </c>
      <c r="N2" s="7">
        <f t="shared" ref="N2:N41" si="5">J2-L2</f>
        <v>3614</v>
      </c>
      <c r="O2" s="8">
        <f>Warehouse_Capacity!C2</f>
        <v>4800</v>
      </c>
      <c r="P2" s="7">
        <f t="shared" ref="P2:P41" si="6">MAX(0,N2-O2)</f>
        <v>0</v>
      </c>
      <c r="Q2" s="7">
        <f t="shared" ref="Q2:Q41" si="7">N2-P2</f>
        <v>3614</v>
      </c>
    </row>
    <row r="3" spans="1:17" x14ac:dyDescent="0.3">
      <c r="A3" t="s">
        <v>3</v>
      </c>
      <c r="B3">
        <v>2</v>
      </c>
      <c r="C3" s="8">
        <f t="shared" ref="C3:C9" si="8">Q2</f>
        <v>3614</v>
      </c>
      <c r="D3" s="8">
        <f>SUMIFS(Production_Supply!C:C,Production_Supply!A:A,A3,Production_Supply!B:B,B3)</f>
        <v>1500</v>
      </c>
      <c r="E3" s="8">
        <f>Arrivals!C24</f>
        <v>0</v>
      </c>
      <c r="F3" s="7">
        <f t="shared" si="0"/>
        <v>1500</v>
      </c>
      <c r="G3" s="7">
        <f t="shared" si="1"/>
        <v>5114</v>
      </c>
      <c r="H3" s="7">
        <f>SUMIFS(ShipPlan!G:G,ShipPlan!D:D,A3,ShipPlan!C:C,B3)</f>
        <v>1025</v>
      </c>
      <c r="I3" s="7">
        <f>SUMIFS(ShipPlan!O:O,ShipPlan!D:D,A3,ShipPlan!C:C,B3)</f>
        <v>1025</v>
      </c>
      <c r="J3" s="7">
        <f t="shared" si="2"/>
        <v>4089</v>
      </c>
      <c r="K3" s="8">
        <f>SUMIFS(Demand_Forecast!F:F,Demand_Forecast!A:A,A3,Demand_Forecast!B:B,B3)</f>
        <v>2225</v>
      </c>
      <c r="L3" s="7">
        <f t="shared" si="3"/>
        <v>2225</v>
      </c>
      <c r="M3" s="7">
        <f t="shared" si="4"/>
        <v>0</v>
      </c>
      <c r="N3" s="7">
        <f t="shared" si="5"/>
        <v>1864</v>
      </c>
      <c r="O3" s="8">
        <f>Warehouse_Capacity!C2</f>
        <v>4800</v>
      </c>
      <c r="P3" s="7">
        <f t="shared" si="6"/>
        <v>0</v>
      </c>
      <c r="Q3" s="7">
        <f t="shared" si="7"/>
        <v>1864</v>
      </c>
    </row>
    <row r="4" spans="1:17" x14ac:dyDescent="0.3">
      <c r="A4" t="s">
        <v>3</v>
      </c>
      <c r="B4">
        <v>3</v>
      </c>
      <c r="C4" s="8">
        <f t="shared" si="8"/>
        <v>1864</v>
      </c>
      <c r="D4" s="8">
        <f>SUMIFS(Production_Supply!C:C,Production_Supply!A:A,A4,Production_Supply!B:B,B4)</f>
        <v>1500</v>
      </c>
      <c r="E4" s="8">
        <f>Arrivals!D24</f>
        <v>0</v>
      </c>
      <c r="F4" s="7">
        <f t="shared" si="0"/>
        <v>1500</v>
      </c>
      <c r="G4" s="7">
        <f t="shared" si="1"/>
        <v>3364</v>
      </c>
      <c r="H4" s="7">
        <f>SUMIFS(ShipPlan!G:G,ShipPlan!D:D,A4,ShipPlan!C:C,B4)</f>
        <v>0</v>
      </c>
      <c r="I4" s="7">
        <f>SUMIFS(ShipPlan!O:O,ShipPlan!D:D,A4,ShipPlan!C:C,B4)</f>
        <v>0</v>
      </c>
      <c r="J4" s="7">
        <f t="shared" si="2"/>
        <v>3364</v>
      </c>
      <c r="K4" s="8">
        <f>SUMIFS(Demand_Forecast!F:F,Demand_Forecast!A:A,A4,Demand_Forecast!B:B,B4)</f>
        <v>0</v>
      </c>
      <c r="L4" s="7">
        <f t="shared" si="3"/>
        <v>0</v>
      </c>
      <c r="M4" s="7">
        <f t="shared" si="4"/>
        <v>0</v>
      </c>
      <c r="N4" s="7">
        <f t="shared" si="5"/>
        <v>3364</v>
      </c>
      <c r="O4" s="8">
        <f>Warehouse_Capacity!C2</f>
        <v>4800</v>
      </c>
      <c r="P4" s="7">
        <f t="shared" si="6"/>
        <v>0</v>
      </c>
      <c r="Q4" s="7">
        <f t="shared" si="7"/>
        <v>3364</v>
      </c>
    </row>
    <row r="5" spans="1:17" x14ac:dyDescent="0.3">
      <c r="A5" t="s">
        <v>3</v>
      </c>
      <c r="B5">
        <v>4</v>
      </c>
      <c r="C5" s="8">
        <f t="shared" si="8"/>
        <v>3364</v>
      </c>
      <c r="D5" s="8">
        <f>SUMIFS(Production_Supply!C:C,Production_Supply!A:A,A5,Production_Supply!B:B,B5)</f>
        <v>1500</v>
      </c>
      <c r="E5" s="8">
        <f>Arrivals!E24</f>
        <v>0</v>
      </c>
      <c r="F5" s="7">
        <f t="shared" si="0"/>
        <v>1500</v>
      </c>
      <c r="G5" s="7">
        <f t="shared" si="1"/>
        <v>4864</v>
      </c>
      <c r="H5" s="7">
        <f>SUMIFS(ShipPlan!G:G,ShipPlan!D:D,A5,ShipPlan!C:C,B5)</f>
        <v>2681</v>
      </c>
      <c r="I5" s="7">
        <f>SUMIFS(ShipPlan!O:O,ShipPlan!D:D,A5,ShipPlan!C:C,B5)</f>
        <v>2681</v>
      </c>
      <c r="J5" s="7">
        <f t="shared" si="2"/>
        <v>2183</v>
      </c>
      <c r="K5" s="8">
        <f>SUMIFS(Demand_Forecast!F:F,Demand_Forecast!A:A,A5,Demand_Forecast!B:B,B5)</f>
        <v>2225</v>
      </c>
      <c r="L5" s="7">
        <f t="shared" si="3"/>
        <v>2183</v>
      </c>
      <c r="M5" s="7">
        <f t="shared" si="4"/>
        <v>42</v>
      </c>
      <c r="N5" s="7">
        <f t="shared" si="5"/>
        <v>0</v>
      </c>
      <c r="O5" s="8">
        <f>Warehouse_Capacity!C2</f>
        <v>4800</v>
      </c>
      <c r="P5" s="7">
        <f t="shared" si="6"/>
        <v>0</v>
      </c>
      <c r="Q5" s="7">
        <f t="shared" si="7"/>
        <v>0</v>
      </c>
    </row>
    <row r="6" spans="1:17" x14ac:dyDescent="0.3">
      <c r="A6" t="s">
        <v>3</v>
      </c>
      <c r="B6">
        <v>5</v>
      </c>
      <c r="C6" s="8">
        <f t="shared" si="8"/>
        <v>0</v>
      </c>
      <c r="D6" s="8">
        <f>SUMIFS(Production_Supply!C:C,Production_Supply!A:A,A6,Production_Supply!B:B,B6)</f>
        <v>1500</v>
      </c>
      <c r="E6" s="8">
        <f>Arrivals!F24</f>
        <v>0</v>
      </c>
      <c r="F6" s="7">
        <f t="shared" si="0"/>
        <v>1500</v>
      </c>
      <c r="G6" s="7">
        <f t="shared" si="1"/>
        <v>1500</v>
      </c>
      <c r="H6" s="7">
        <f>SUMIFS(ShipPlan!G:G,ShipPlan!D:D,A6,ShipPlan!C:C,B6)</f>
        <v>0</v>
      </c>
      <c r="I6" s="7">
        <f>SUMIFS(ShipPlan!O:O,ShipPlan!D:D,A6,ShipPlan!C:C,B6)</f>
        <v>0</v>
      </c>
      <c r="J6" s="7">
        <f t="shared" si="2"/>
        <v>1500</v>
      </c>
      <c r="K6" s="8">
        <f>SUMIFS(Demand_Forecast!F:F,Demand_Forecast!A:A,A6,Demand_Forecast!B:B,B6)</f>
        <v>0</v>
      </c>
      <c r="L6" s="7">
        <f t="shared" si="3"/>
        <v>0</v>
      </c>
      <c r="M6" s="7">
        <f t="shared" si="4"/>
        <v>0</v>
      </c>
      <c r="N6" s="7">
        <f t="shared" si="5"/>
        <v>1500</v>
      </c>
      <c r="O6" s="8">
        <f>Warehouse_Capacity!C2</f>
        <v>4800</v>
      </c>
      <c r="P6" s="7">
        <f t="shared" si="6"/>
        <v>0</v>
      </c>
      <c r="Q6" s="7">
        <f t="shared" si="7"/>
        <v>1500</v>
      </c>
    </row>
    <row r="7" spans="1:17" x14ac:dyDescent="0.3">
      <c r="A7" t="s">
        <v>3</v>
      </c>
      <c r="B7">
        <v>6</v>
      </c>
      <c r="C7" s="8">
        <f t="shared" si="8"/>
        <v>1500</v>
      </c>
      <c r="D7" s="8">
        <f>SUMIFS(Production_Supply!C:C,Production_Supply!A:A,A7,Production_Supply!B:B,B7)</f>
        <v>1500</v>
      </c>
      <c r="E7" s="8">
        <f>Arrivals!G24</f>
        <v>0</v>
      </c>
      <c r="F7" s="7">
        <f t="shared" si="0"/>
        <v>1500</v>
      </c>
      <c r="G7" s="7">
        <f t="shared" si="1"/>
        <v>3000</v>
      </c>
      <c r="H7" s="7">
        <f>SUMIFS(ShipPlan!G:G,ShipPlan!D:D,A7,ShipPlan!C:C,B7)</f>
        <v>0</v>
      </c>
      <c r="I7" s="7">
        <f>SUMIFS(ShipPlan!O:O,ShipPlan!D:D,A7,ShipPlan!C:C,B7)</f>
        <v>0</v>
      </c>
      <c r="J7" s="7">
        <f t="shared" si="2"/>
        <v>3000</v>
      </c>
      <c r="K7" s="8">
        <f>SUMIFS(Demand_Forecast!F:F,Demand_Forecast!A:A,A7,Demand_Forecast!B:B,B7)</f>
        <v>2225</v>
      </c>
      <c r="L7" s="7">
        <f t="shared" si="3"/>
        <v>2225</v>
      </c>
      <c r="M7" s="7">
        <f t="shared" si="4"/>
        <v>0</v>
      </c>
      <c r="N7" s="7">
        <f t="shared" si="5"/>
        <v>775</v>
      </c>
      <c r="O7" s="8">
        <f>Warehouse_Capacity!C2</f>
        <v>4800</v>
      </c>
      <c r="P7" s="7">
        <f t="shared" si="6"/>
        <v>0</v>
      </c>
      <c r="Q7" s="7">
        <f t="shared" si="7"/>
        <v>775</v>
      </c>
    </row>
    <row r="8" spans="1:17" x14ac:dyDescent="0.3">
      <c r="A8" t="s">
        <v>3</v>
      </c>
      <c r="B8">
        <v>7</v>
      </c>
      <c r="C8" s="8">
        <f t="shared" si="8"/>
        <v>775</v>
      </c>
      <c r="D8" s="8">
        <f>SUMIFS(Production_Supply!C:C,Production_Supply!A:A,A8,Production_Supply!B:B,B8)</f>
        <v>1500</v>
      </c>
      <c r="E8" s="8">
        <f>Arrivals!H24</f>
        <v>0</v>
      </c>
      <c r="F8" s="7">
        <f t="shared" si="0"/>
        <v>1500</v>
      </c>
      <c r="G8" s="7">
        <f t="shared" si="1"/>
        <v>2275</v>
      </c>
      <c r="H8" s="7">
        <f>SUMIFS(ShipPlan!G:G,ShipPlan!D:D,A8,ShipPlan!C:C,B8)</f>
        <v>0</v>
      </c>
      <c r="I8" s="7">
        <f>SUMIFS(ShipPlan!O:O,ShipPlan!D:D,A8,ShipPlan!C:C,B8)</f>
        <v>0</v>
      </c>
      <c r="J8" s="7">
        <f t="shared" si="2"/>
        <v>2275</v>
      </c>
      <c r="K8" s="8">
        <f>SUMIFS(Demand_Forecast!F:F,Demand_Forecast!A:A,A8,Demand_Forecast!B:B,B8)</f>
        <v>0</v>
      </c>
      <c r="L8" s="7">
        <f t="shared" si="3"/>
        <v>0</v>
      </c>
      <c r="M8" s="7">
        <f t="shared" si="4"/>
        <v>0</v>
      </c>
      <c r="N8" s="7">
        <f t="shared" si="5"/>
        <v>2275</v>
      </c>
      <c r="O8" s="8">
        <f>Warehouse_Capacity!C2</f>
        <v>4800</v>
      </c>
      <c r="P8" s="7">
        <f t="shared" si="6"/>
        <v>0</v>
      </c>
      <c r="Q8" s="7">
        <f t="shared" si="7"/>
        <v>2275</v>
      </c>
    </row>
    <row r="9" spans="1:17" x14ac:dyDescent="0.3">
      <c r="A9" t="s">
        <v>3</v>
      </c>
      <c r="B9">
        <v>8</v>
      </c>
      <c r="C9" s="8">
        <f t="shared" si="8"/>
        <v>2275</v>
      </c>
      <c r="D9" s="8">
        <f>SUMIFS(Production_Supply!C:C,Production_Supply!A:A,A9,Production_Supply!B:B,B9)</f>
        <v>1500</v>
      </c>
      <c r="E9" s="8">
        <f>Arrivals!I24</f>
        <v>0</v>
      </c>
      <c r="F9" s="7">
        <f t="shared" si="0"/>
        <v>1500</v>
      </c>
      <c r="G9" s="7">
        <f t="shared" si="1"/>
        <v>3775</v>
      </c>
      <c r="H9" s="7">
        <f>SUMIFS(ShipPlan!G:G,ShipPlan!D:D,A9,ShipPlan!C:C,B9)</f>
        <v>0</v>
      </c>
      <c r="I9" s="7">
        <f>SUMIFS(ShipPlan!O:O,ShipPlan!D:D,A9,ShipPlan!C:C,B9)</f>
        <v>0</v>
      </c>
      <c r="J9" s="7">
        <f t="shared" si="2"/>
        <v>3775</v>
      </c>
      <c r="K9" s="8">
        <f>SUMIFS(Demand_Forecast!F:F,Demand_Forecast!A:A,A9,Demand_Forecast!B:B,B9)</f>
        <v>2225</v>
      </c>
      <c r="L9" s="7">
        <f t="shared" si="3"/>
        <v>2225</v>
      </c>
      <c r="M9" s="7">
        <f t="shared" si="4"/>
        <v>0</v>
      </c>
      <c r="N9" s="7">
        <f t="shared" si="5"/>
        <v>1550</v>
      </c>
      <c r="O9" s="8">
        <f>Warehouse_Capacity!C2</f>
        <v>4800</v>
      </c>
      <c r="P9" s="7">
        <f t="shared" si="6"/>
        <v>0</v>
      </c>
      <c r="Q9" s="7">
        <f t="shared" si="7"/>
        <v>1550</v>
      </c>
    </row>
    <row r="10" spans="1:17" x14ac:dyDescent="0.3">
      <c r="A10" t="s">
        <v>7</v>
      </c>
      <c r="B10">
        <v>1</v>
      </c>
      <c r="C10" s="8">
        <f>Inputs_Global!G4</f>
        <v>1299</v>
      </c>
      <c r="D10" s="8">
        <f>SUMIFS(Production_Supply!C:C,Production_Supply!A:A,A10,Production_Supply!B:B,B10)</f>
        <v>350</v>
      </c>
      <c r="E10" s="8">
        <f>Arrivals!B25</f>
        <v>0</v>
      </c>
      <c r="F10" s="7">
        <f t="shared" si="0"/>
        <v>350</v>
      </c>
      <c r="G10" s="7">
        <f t="shared" si="1"/>
        <v>1649</v>
      </c>
      <c r="H10" s="7">
        <f>SUMIFS(ShipPlan!G:G,ShipPlan!D:D,A10,ShipPlan!C:C,B10)</f>
        <v>0</v>
      </c>
      <c r="I10" s="7">
        <f>SUMIFS(ShipPlan!O:O,ShipPlan!D:D,A10,ShipPlan!C:C,B10)</f>
        <v>0</v>
      </c>
      <c r="J10" s="7">
        <f t="shared" si="2"/>
        <v>1649</v>
      </c>
      <c r="K10" s="8">
        <f>SUMIFS(Demand_Forecast!F:F,Demand_Forecast!A:A,A10,Demand_Forecast!B:B,B10)</f>
        <v>0</v>
      </c>
      <c r="L10" s="7">
        <f t="shared" si="3"/>
        <v>0</v>
      </c>
      <c r="M10" s="7">
        <f t="shared" si="4"/>
        <v>0</v>
      </c>
      <c r="N10" s="7">
        <f t="shared" si="5"/>
        <v>1649</v>
      </c>
      <c r="O10" s="8">
        <f>Warehouse_Capacity!C3</f>
        <v>2500</v>
      </c>
      <c r="P10" s="7">
        <f t="shared" si="6"/>
        <v>0</v>
      </c>
      <c r="Q10" s="7">
        <f t="shared" si="7"/>
        <v>1649</v>
      </c>
    </row>
    <row r="11" spans="1:17" x14ac:dyDescent="0.3">
      <c r="A11" t="s">
        <v>7</v>
      </c>
      <c r="B11">
        <v>2</v>
      </c>
      <c r="C11" s="8">
        <f t="shared" ref="C11:C17" si="9">Q10</f>
        <v>1649</v>
      </c>
      <c r="D11" s="8">
        <f>SUMIFS(Production_Supply!C:C,Production_Supply!A:A,A11,Production_Supply!B:B,B11)</f>
        <v>350</v>
      </c>
      <c r="E11" s="8">
        <f>Arrivals!C25</f>
        <v>0</v>
      </c>
      <c r="F11" s="7">
        <f t="shared" si="0"/>
        <v>350</v>
      </c>
      <c r="G11" s="7">
        <f t="shared" si="1"/>
        <v>1999</v>
      </c>
      <c r="H11" s="7">
        <f>SUMIFS(ShipPlan!G:G,ShipPlan!D:D,A11,ShipPlan!C:C,B11)</f>
        <v>0</v>
      </c>
      <c r="I11" s="7">
        <f>SUMIFS(ShipPlan!O:O,ShipPlan!D:D,A11,ShipPlan!C:C,B11)</f>
        <v>0</v>
      </c>
      <c r="J11" s="7">
        <f t="shared" si="2"/>
        <v>1999</v>
      </c>
      <c r="K11" s="8">
        <f>SUMIFS(Demand_Forecast!F:F,Demand_Forecast!A:A,A11,Demand_Forecast!B:B,B11)</f>
        <v>1007</v>
      </c>
      <c r="L11" s="7">
        <f t="shared" si="3"/>
        <v>1007</v>
      </c>
      <c r="M11" s="7">
        <f t="shared" si="4"/>
        <v>0</v>
      </c>
      <c r="N11" s="7">
        <f t="shared" si="5"/>
        <v>992</v>
      </c>
      <c r="O11" s="8">
        <f>Warehouse_Capacity!C3</f>
        <v>2500</v>
      </c>
      <c r="P11" s="7">
        <f t="shared" si="6"/>
        <v>0</v>
      </c>
      <c r="Q11" s="7">
        <f t="shared" si="7"/>
        <v>992</v>
      </c>
    </row>
    <row r="12" spans="1:17" x14ac:dyDescent="0.3">
      <c r="A12" t="s">
        <v>7</v>
      </c>
      <c r="B12">
        <v>3</v>
      </c>
      <c r="C12" s="8">
        <f t="shared" si="9"/>
        <v>992</v>
      </c>
      <c r="D12" s="8">
        <f>SUMIFS(Production_Supply!C:C,Production_Supply!A:A,A12,Production_Supply!B:B,B12)</f>
        <v>350</v>
      </c>
      <c r="E12" s="8">
        <f>Arrivals!D25</f>
        <v>0</v>
      </c>
      <c r="F12" s="7">
        <f t="shared" si="0"/>
        <v>350</v>
      </c>
      <c r="G12" s="7">
        <f t="shared" si="1"/>
        <v>1342</v>
      </c>
      <c r="H12" s="7">
        <f>SUMIFS(ShipPlan!G:G,ShipPlan!D:D,A12,ShipPlan!C:C,B12)</f>
        <v>0</v>
      </c>
      <c r="I12" s="7">
        <f>SUMIFS(ShipPlan!O:O,ShipPlan!D:D,A12,ShipPlan!C:C,B12)</f>
        <v>0</v>
      </c>
      <c r="J12" s="7">
        <f t="shared" si="2"/>
        <v>1342</v>
      </c>
      <c r="K12" s="8">
        <f>SUMIFS(Demand_Forecast!F:F,Demand_Forecast!A:A,A12,Demand_Forecast!B:B,B12)</f>
        <v>0</v>
      </c>
      <c r="L12" s="7">
        <f t="shared" si="3"/>
        <v>0</v>
      </c>
      <c r="M12" s="7">
        <f t="shared" si="4"/>
        <v>0</v>
      </c>
      <c r="N12" s="7">
        <f t="shared" si="5"/>
        <v>1342</v>
      </c>
      <c r="O12" s="8">
        <f>Warehouse_Capacity!C3</f>
        <v>2500</v>
      </c>
      <c r="P12" s="7">
        <f t="shared" si="6"/>
        <v>0</v>
      </c>
      <c r="Q12" s="7">
        <f t="shared" si="7"/>
        <v>1342</v>
      </c>
    </row>
    <row r="13" spans="1:17" x14ac:dyDescent="0.3">
      <c r="A13" t="s">
        <v>7</v>
      </c>
      <c r="B13">
        <v>4</v>
      </c>
      <c r="C13" s="8">
        <f t="shared" si="9"/>
        <v>1342</v>
      </c>
      <c r="D13" s="8">
        <f>SUMIFS(Production_Supply!C:C,Production_Supply!A:A,A13,Production_Supply!B:B,B13)</f>
        <v>350</v>
      </c>
      <c r="E13" s="8">
        <f>Arrivals!E25</f>
        <v>571</v>
      </c>
      <c r="F13" s="7">
        <f t="shared" si="0"/>
        <v>921</v>
      </c>
      <c r="G13" s="7">
        <f t="shared" si="1"/>
        <v>2263</v>
      </c>
      <c r="H13" s="7">
        <f>SUMIFS(ShipPlan!G:G,ShipPlan!D:D,A13,ShipPlan!C:C,B13)</f>
        <v>0</v>
      </c>
      <c r="I13" s="7">
        <f>SUMIFS(ShipPlan!O:O,ShipPlan!D:D,A13,ShipPlan!C:C,B13)</f>
        <v>0</v>
      </c>
      <c r="J13" s="7">
        <f t="shared" si="2"/>
        <v>2263</v>
      </c>
      <c r="K13" s="8">
        <f>SUMIFS(Demand_Forecast!F:F,Demand_Forecast!A:A,A13,Demand_Forecast!B:B,B13)</f>
        <v>1007</v>
      </c>
      <c r="L13" s="7">
        <f t="shared" si="3"/>
        <v>1007</v>
      </c>
      <c r="M13" s="7">
        <f t="shared" si="4"/>
        <v>0</v>
      </c>
      <c r="N13" s="7">
        <f t="shared" si="5"/>
        <v>1256</v>
      </c>
      <c r="O13" s="8">
        <f>Warehouse_Capacity!C3</f>
        <v>2500</v>
      </c>
      <c r="P13" s="7">
        <f t="shared" si="6"/>
        <v>0</v>
      </c>
      <c r="Q13" s="7">
        <f t="shared" si="7"/>
        <v>1256</v>
      </c>
    </row>
    <row r="14" spans="1:17" x14ac:dyDescent="0.3">
      <c r="A14" t="s">
        <v>7</v>
      </c>
      <c r="B14">
        <v>5</v>
      </c>
      <c r="C14" s="8">
        <f t="shared" si="9"/>
        <v>1256</v>
      </c>
      <c r="D14" s="8">
        <f>SUMIFS(Production_Supply!C:C,Production_Supply!A:A,A14,Production_Supply!B:B,B14)</f>
        <v>350</v>
      </c>
      <c r="E14" s="8">
        <f>Arrivals!F25</f>
        <v>0</v>
      </c>
      <c r="F14" s="7">
        <f t="shared" si="0"/>
        <v>350</v>
      </c>
      <c r="G14" s="7">
        <f t="shared" si="1"/>
        <v>1606</v>
      </c>
      <c r="H14" s="7">
        <f>SUMIFS(ShipPlan!G:G,ShipPlan!D:D,A14,ShipPlan!C:C,B14)</f>
        <v>0</v>
      </c>
      <c r="I14" s="7">
        <f>SUMIFS(ShipPlan!O:O,ShipPlan!D:D,A14,ShipPlan!C:C,B14)</f>
        <v>0</v>
      </c>
      <c r="J14" s="7">
        <f t="shared" si="2"/>
        <v>1606</v>
      </c>
      <c r="K14" s="8">
        <f>SUMIFS(Demand_Forecast!F:F,Demand_Forecast!A:A,A14,Demand_Forecast!B:B,B14)</f>
        <v>0</v>
      </c>
      <c r="L14" s="7">
        <f t="shared" si="3"/>
        <v>0</v>
      </c>
      <c r="M14" s="7">
        <f t="shared" si="4"/>
        <v>0</v>
      </c>
      <c r="N14" s="7">
        <f t="shared" si="5"/>
        <v>1606</v>
      </c>
      <c r="O14" s="8">
        <f>Warehouse_Capacity!C3</f>
        <v>2500</v>
      </c>
      <c r="P14" s="7">
        <f t="shared" si="6"/>
        <v>0</v>
      </c>
      <c r="Q14" s="7">
        <f t="shared" si="7"/>
        <v>1606</v>
      </c>
    </row>
    <row r="15" spans="1:17" x14ac:dyDescent="0.3">
      <c r="A15" t="s">
        <v>7</v>
      </c>
      <c r="B15">
        <v>6</v>
      </c>
      <c r="C15" s="8">
        <f t="shared" si="9"/>
        <v>1606</v>
      </c>
      <c r="D15" s="8">
        <f>SUMIFS(Production_Supply!C:C,Production_Supply!A:A,A15,Production_Supply!B:B,B15)</f>
        <v>350</v>
      </c>
      <c r="E15" s="8">
        <f>Arrivals!G25</f>
        <v>0</v>
      </c>
      <c r="F15" s="7">
        <f t="shared" si="0"/>
        <v>350</v>
      </c>
      <c r="G15" s="7">
        <f t="shared" si="1"/>
        <v>1956</v>
      </c>
      <c r="H15" s="7">
        <f>SUMIFS(ShipPlan!G:G,ShipPlan!D:D,A15,ShipPlan!C:C,B15)</f>
        <v>0</v>
      </c>
      <c r="I15" s="7">
        <f>SUMIFS(ShipPlan!O:O,ShipPlan!D:D,A15,ShipPlan!C:C,B15)</f>
        <v>0</v>
      </c>
      <c r="J15" s="7">
        <f t="shared" si="2"/>
        <v>1956</v>
      </c>
      <c r="K15" s="8">
        <f>SUMIFS(Demand_Forecast!F:F,Demand_Forecast!A:A,A15,Demand_Forecast!B:B,B15)</f>
        <v>1007</v>
      </c>
      <c r="L15" s="7">
        <f t="shared" si="3"/>
        <v>1007</v>
      </c>
      <c r="M15" s="7">
        <f t="shared" si="4"/>
        <v>0</v>
      </c>
      <c r="N15" s="7">
        <f t="shared" si="5"/>
        <v>949</v>
      </c>
      <c r="O15" s="8">
        <f>Warehouse_Capacity!C3</f>
        <v>2500</v>
      </c>
      <c r="P15" s="7">
        <f t="shared" si="6"/>
        <v>0</v>
      </c>
      <c r="Q15" s="7">
        <f t="shared" si="7"/>
        <v>949</v>
      </c>
    </row>
    <row r="16" spans="1:17" x14ac:dyDescent="0.3">
      <c r="A16" t="s">
        <v>7</v>
      </c>
      <c r="B16">
        <v>7</v>
      </c>
      <c r="C16" s="8">
        <f t="shared" si="9"/>
        <v>949</v>
      </c>
      <c r="D16" s="8">
        <f>SUMIFS(Production_Supply!C:C,Production_Supply!A:A,A16,Production_Supply!B:B,B16)</f>
        <v>350</v>
      </c>
      <c r="E16" s="8">
        <f>Arrivals!H25</f>
        <v>0</v>
      </c>
      <c r="F16" s="7">
        <f t="shared" si="0"/>
        <v>350</v>
      </c>
      <c r="G16" s="7">
        <f t="shared" si="1"/>
        <v>1299</v>
      </c>
      <c r="H16" s="7">
        <f>SUMIFS(ShipPlan!G:G,ShipPlan!D:D,A16,ShipPlan!C:C,B16)</f>
        <v>0</v>
      </c>
      <c r="I16" s="7">
        <f>SUMIFS(ShipPlan!O:O,ShipPlan!D:D,A16,ShipPlan!C:C,B16)</f>
        <v>0</v>
      </c>
      <c r="J16" s="7">
        <f t="shared" si="2"/>
        <v>1299</v>
      </c>
      <c r="K16" s="8">
        <f>SUMIFS(Demand_Forecast!F:F,Demand_Forecast!A:A,A16,Demand_Forecast!B:B,B16)</f>
        <v>0</v>
      </c>
      <c r="L16" s="7">
        <f t="shared" si="3"/>
        <v>0</v>
      </c>
      <c r="M16" s="7">
        <f t="shared" si="4"/>
        <v>0</v>
      </c>
      <c r="N16" s="7">
        <f t="shared" si="5"/>
        <v>1299</v>
      </c>
      <c r="O16" s="8">
        <f>Warehouse_Capacity!C3</f>
        <v>2500</v>
      </c>
      <c r="P16" s="7">
        <f t="shared" si="6"/>
        <v>0</v>
      </c>
      <c r="Q16" s="7">
        <f t="shared" si="7"/>
        <v>1299</v>
      </c>
    </row>
    <row r="17" spans="1:17" x14ac:dyDescent="0.3">
      <c r="A17" t="s">
        <v>7</v>
      </c>
      <c r="B17">
        <v>8</v>
      </c>
      <c r="C17" s="8">
        <f t="shared" si="9"/>
        <v>1299</v>
      </c>
      <c r="D17" s="8">
        <f>SUMIFS(Production_Supply!C:C,Production_Supply!A:A,A17,Production_Supply!B:B,B17)</f>
        <v>350</v>
      </c>
      <c r="E17" s="8">
        <f>Arrivals!I25</f>
        <v>0</v>
      </c>
      <c r="F17" s="7">
        <f t="shared" si="0"/>
        <v>350</v>
      </c>
      <c r="G17" s="7">
        <f t="shared" si="1"/>
        <v>1649</v>
      </c>
      <c r="H17" s="7">
        <f>SUMIFS(ShipPlan!G:G,ShipPlan!D:D,A17,ShipPlan!C:C,B17)</f>
        <v>0</v>
      </c>
      <c r="I17" s="7">
        <f>SUMIFS(ShipPlan!O:O,ShipPlan!D:D,A17,ShipPlan!C:C,B17)</f>
        <v>0</v>
      </c>
      <c r="J17" s="7">
        <f t="shared" si="2"/>
        <v>1649</v>
      </c>
      <c r="K17" s="8">
        <f>SUMIFS(Demand_Forecast!F:F,Demand_Forecast!A:A,A17,Demand_Forecast!B:B,B17)</f>
        <v>1007</v>
      </c>
      <c r="L17" s="7">
        <f t="shared" si="3"/>
        <v>1007</v>
      </c>
      <c r="M17" s="7">
        <f t="shared" si="4"/>
        <v>0</v>
      </c>
      <c r="N17" s="7">
        <f t="shared" si="5"/>
        <v>642</v>
      </c>
      <c r="O17" s="8">
        <f>Warehouse_Capacity!C3</f>
        <v>2500</v>
      </c>
      <c r="P17" s="7">
        <f t="shared" si="6"/>
        <v>0</v>
      </c>
      <c r="Q17" s="7">
        <f t="shared" si="7"/>
        <v>642</v>
      </c>
    </row>
    <row r="18" spans="1:17" x14ac:dyDescent="0.3">
      <c r="A18" t="s">
        <v>9</v>
      </c>
      <c r="B18">
        <v>1</v>
      </c>
      <c r="C18" s="8">
        <f>Inputs_Global!G5</f>
        <v>620</v>
      </c>
      <c r="D18" s="8">
        <f>SUMIFS(Production_Supply!C:C,Production_Supply!A:A,A18,Production_Supply!B:B,B18)</f>
        <v>0</v>
      </c>
      <c r="E18" s="8">
        <f>Arrivals!B26</f>
        <v>0</v>
      </c>
      <c r="F18" s="7">
        <f t="shared" si="0"/>
        <v>0</v>
      </c>
      <c r="G18" s="7">
        <f t="shared" si="1"/>
        <v>620</v>
      </c>
      <c r="H18" s="7">
        <f>SUMIFS(ShipPlan!G:G,ShipPlan!D:D,A18,ShipPlan!C:C,B18)</f>
        <v>0</v>
      </c>
      <c r="I18" s="7">
        <f>SUMIFS(ShipPlan!O:O,ShipPlan!D:D,A18,ShipPlan!C:C,B18)</f>
        <v>0</v>
      </c>
      <c r="J18" s="7">
        <f t="shared" si="2"/>
        <v>620</v>
      </c>
      <c r="K18" s="8">
        <f>SUMIFS(Demand_Forecast!F:F,Demand_Forecast!A:A,A18,Demand_Forecast!B:B,B18)</f>
        <v>0</v>
      </c>
      <c r="L18" s="7">
        <f t="shared" si="3"/>
        <v>0</v>
      </c>
      <c r="M18" s="7">
        <f t="shared" si="4"/>
        <v>0</v>
      </c>
      <c r="N18" s="7">
        <f t="shared" si="5"/>
        <v>620</v>
      </c>
      <c r="O18" s="8">
        <f>Warehouse_Capacity!C4</f>
        <v>2000</v>
      </c>
      <c r="P18" s="7">
        <f t="shared" si="6"/>
        <v>0</v>
      </c>
      <c r="Q18" s="7">
        <f t="shared" si="7"/>
        <v>620</v>
      </c>
    </row>
    <row r="19" spans="1:17" x14ac:dyDescent="0.3">
      <c r="A19" t="s">
        <v>9</v>
      </c>
      <c r="B19">
        <v>2</v>
      </c>
      <c r="C19" s="8">
        <f t="shared" ref="C19:C25" si="10">Q18</f>
        <v>620</v>
      </c>
      <c r="D19" s="8">
        <f>SUMIFS(Production_Supply!C:C,Production_Supply!A:A,A19,Production_Supply!B:B,B19)</f>
        <v>0</v>
      </c>
      <c r="E19" s="8">
        <f>Arrivals!C26</f>
        <v>0</v>
      </c>
      <c r="F19" s="7">
        <f t="shared" si="0"/>
        <v>0</v>
      </c>
      <c r="G19" s="7">
        <f t="shared" si="1"/>
        <v>620</v>
      </c>
      <c r="H19" s="7">
        <f>SUMIFS(ShipPlan!G:G,ShipPlan!D:D,A19,ShipPlan!C:C,B19)</f>
        <v>0</v>
      </c>
      <c r="I19" s="7">
        <f>SUMIFS(ShipPlan!O:O,ShipPlan!D:D,A19,ShipPlan!C:C,B19)</f>
        <v>0</v>
      </c>
      <c r="J19" s="7">
        <f t="shared" si="2"/>
        <v>620</v>
      </c>
      <c r="K19" s="8">
        <f>SUMIFS(Demand_Forecast!F:F,Demand_Forecast!A:A,A19,Demand_Forecast!B:B,B19)</f>
        <v>1100</v>
      </c>
      <c r="L19" s="7">
        <f t="shared" si="3"/>
        <v>620</v>
      </c>
      <c r="M19" s="7">
        <f t="shared" si="4"/>
        <v>480</v>
      </c>
      <c r="N19" s="7">
        <f t="shared" si="5"/>
        <v>0</v>
      </c>
      <c r="O19" s="8">
        <f>Warehouse_Capacity!C4</f>
        <v>2000</v>
      </c>
      <c r="P19" s="7">
        <f t="shared" si="6"/>
        <v>0</v>
      </c>
      <c r="Q19" s="7">
        <f t="shared" si="7"/>
        <v>0</v>
      </c>
    </row>
    <row r="20" spans="1:17" x14ac:dyDescent="0.3">
      <c r="A20" t="s">
        <v>9</v>
      </c>
      <c r="B20">
        <v>3</v>
      </c>
      <c r="C20" s="8">
        <f t="shared" si="10"/>
        <v>0</v>
      </c>
      <c r="D20" s="8">
        <f>SUMIFS(Production_Supply!C:C,Production_Supply!A:A,A20,Production_Supply!B:B,B20)</f>
        <v>0</v>
      </c>
      <c r="E20" s="8">
        <f>Arrivals!D26</f>
        <v>0</v>
      </c>
      <c r="F20" s="7">
        <f t="shared" si="0"/>
        <v>0</v>
      </c>
      <c r="G20" s="7">
        <f t="shared" si="1"/>
        <v>0</v>
      </c>
      <c r="H20" s="7">
        <f>SUMIFS(ShipPlan!G:G,ShipPlan!D:D,A20,ShipPlan!C:C,B20)</f>
        <v>0</v>
      </c>
      <c r="I20" s="7">
        <f>SUMIFS(ShipPlan!O:O,ShipPlan!D:D,A20,ShipPlan!C:C,B20)</f>
        <v>0</v>
      </c>
      <c r="J20" s="7">
        <f t="shared" si="2"/>
        <v>0</v>
      </c>
      <c r="K20" s="8">
        <f>SUMIFS(Demand_Forecast!F:F,Demand_Forecast!A:A,A20,Demand_Forecast!B:B,B20)</f>
        <v>0</v>
      </c>
      <c r="L20" s="7">
        <f t="shared" si="3"/>
        <v>0</v>
      </c>
      <c r="M20" s="7">
        <f t="shared" si="4"/>
        <v>0</v>
      </c>
      <c r="N20" s="7">
        <f t="shared" si="5"/>
        <v>0</v>
      </c>
      <c r="O20" s="8">
        <f>Warehouse_Capacity!C4</f>
        <v>2000</v>
      </c>
      <c r="P20" s="7">
        <f t="shared" si="6"/>
        <v>0</v>
      </c>
      <c r="Q20" s="7">
        <f t="shared" si="7"/>
        <v>0</v>
      </c>
    </row>
    <row r="21" spans="1:17" x14ac:dyDescent="0.3">
      <c r="A21" t="s">
        <v>9</v>
      </c>
      <c r="B21">
        <v>4</v>
      </c>
      <c r="C21" s="8">
        <f t="shared" si="10"/>
        <v>0</v>
      </c>
      <c r="D21" s="8">
        <f>SUMIFS(Production_Supply!C:C,Production_Supply!A:A,A21,Production_Supply!B:B,B21)</f>
        <v>0</v>
      </c>
      <c r="E21" s="8">
        <f>Arrivals!E26</f>
        <v>0</v>
      </c>
      <c r="F21" s="7">
        <f t="shared" si="0"/>
        <v>0</v>
      </c>
      <c r="G21" s="7">
        <f t="shared" si="1"/>
        <v>0</v>
      </c>
      <c r="H21" s="7">
        <f>SUMIFS(ShipPlan!G:G,ShipPlan!D:D,A21,ShipPlan!C:C,B21)</f>
        <v>0</v>
      </c>
      <c r="I21" s="7">
        <f>SUMIFS(ShipPlan!O:O,ShipPlan!D:D,A21,ShipPlan!C:C,B21)</f>
        <v>0</v>
      </c>
      <c r="J21" s="7">
        <f t="shared" si="2"/>
        <v>0</v>
      </c>
      <c r="K21" s="8">
        <f>SUMIFS(Demand_Forecast!F:F,Demand_Forecast!A:A,A21,Demand_Forecast!B:B,B21)</f>
        <v>1100</v>
      </c>
      <c r="L21" s="7">
        <f t="shared" si="3"/>
        <v>0</v>
      </c>
      <c r="M21" s="7">
        <f t="shared" si="4"/>
        <v>1100</v>
      </c>
      <c r="N21" s="7">
        <f t="shared" si="5"/>
        <v>0</v>
      </c>
      <c r="O21" s="8">
        <f>Warehouse_Capacity!C4</f>
        <v>2000</v>
      </c>
      <c r="P21" s="7">
        <f t="shared" si="6"/>
        <v>0</v>
      </c>
      <c r="Q21" s="7">
        <f t="shared" si="7"/>
        <v>0</v>
      </c>
    </row>
    <row r="22" spans="1:17" x14ac:dyDescent="0.3">
      <c r="A22" t="s">
        <v>9</v>
      </c>
      <c r="B22">
        <v>5</v>
      </c>
      <c r="C22" s="8">
        <f t="shared" si="10"/>
        <v>0</v>
      </c>
      <c r="D22" s="8">
        <f>SUMIFS(Production_Supply!C:C,Production_Supply!A:A,A22,Production_Supply!B:B,B22)</f>
        <v>0</v>
      </c>
      <c r="E22" s="8">
        <f>Arrivals!F26</f>
        <v>0</v>
      </c>
      <c r="F22" s="7">
        <f t="shared" si="0"/>
        <v>0</v>
      </c>
      <c r="G22" s="7">
        <f t="shared" si="1"/>
        <v>0</v>
      </c>
      <c r="H22" s="7">
        <f>SUMIFS(ShipPlan!G:G,ShipPlan!D:D,A22,ShipPlan!C:C,B22)</f>
        <v>0</v>
      </c>
      <c r="I22" s="7">
        <f>SUMIFS(ShipPlan!O:O,ShipPlan!D:D,A22,ShipPlan!C:C,B22)</f>
        <v>0</v>
      </c>
      <c r="J22" s="7">
        <f t="shared" si="2"/>
        <v>0</v>
      </c>
      <c r="K22" s="8">
        <f>SUMIFS(Demand_Forecast!F:F,Demand_Forecast!A:A,A22,Demand_Forecast!B:B,B22)</f>
        <v>0</v>
      </c>
      <c r="L22" s="7">
        <f t="shared" si="3"/>
        <v>0</v>
      </c>
      <c r="M22" s="7">
        <f t="shared" si="4"/>
        <v>0</v>
      </c>
      <c r="N22" s="7">
        <f t="shared" si="5"/>
        <v>0</v>
      </c>
      <c r="O22" s="8">
        <f>Warehouse_Capacity!C4</f>
        <v>2000</v>
      </c>
      <c r="P22" s="7">
        <f t="shared" si="6"/>
        <v>0</v>
      </c>
      <c r="Q22" s="7">
        <f t="shared" si="7"/>
        <v>0</v>
      </c>
    </row>
    <row r="23" spans="1:17" x14ac:dyDescent="0.3">
      <c r="A23" t="s">
        <v>9</v>
      </c>
      <c r="B23">
        <v>6</v>
      </c>
      <c r="C23" s="8">
        <f t="shared" si="10"/>
        <v>0</v>
      </c>
      <c r="D23" s="8">
        <f>SUMIFS(Production_Supply!C:C,Production_Supply!A:A,A23,Production_Supply!B:B,B23)</f>
        <v>0</v>
      </c>
      <c r="E23" s="8">
        <f>Arrivals!G26</f>
        <v>1025</v>
      </c>
      <c r="F23" s="7">
        <f t="shared" si="0"/>
        <v>1025</v>
      </c>
      <c r="G23" s="7">
        <f t="shared" si="1"/>
        <v>1025</v>
      </c>
      <c r="H23" s="7">
        <f>SUMIFS(ShipPlan!G:G,ShipPlan!D:D,A23,ShipPlan!C:C,B23)</f>
        <v>0</v>
      </c>
      <c r="I23" s="7">
        <f>SUMIFS(ShipPlan!O:O,ShipPlan!D:D,A23,ShipPlan!C:C,B23)</f>
        <v>0</v>
      </c>
      <c r="J23" s="7">
        <f t="shared" si="2"/>
        <v>1025</v>
      </c>
      <c r="K23" s="8">
        <f>SUMIFS(Demand_Forecast!F:F,Demand_Forecast!A:A,A23,Demand_Forecast!B:B,B23)</f>
        <v>1100</v>
      </c>
      <c r="L23" s="7">
        <f t="shared" si="3"/>
        <v>1025</v>
      </c>
      <c r="M23" s="7">
        <f t="shared" si="4"/>
        <v>75</v>
      </c>
      <c r="N23" s="7">
        <f t="shared" si="5"/>
        <v>0</v>
      </c>
      <c r="O23" s="8">
        <f>Warehouse_Capacity!C4</f>
        <v>2000</v>
      </c>
      <c r="P23" s="7">
        <f t="shared" si="6"/>
        <v>0</v>
      </c>
      <c r="Q23" s="7">
        <f t="shared" si="7"/>
        <v>0</v>
      </c>
    </row>
    <row r="24" spans="1:17" x14ac:dyDescent="0.3">
      <c r="A24" t="s">
        <v>9</v>
      </c>
      <c r="B24">
        <v>7</v>
      </c>
      <c r="C24" s="8">
        <f t="shared" si="10"/>
        <v>0</v>
      </c>
      <c r="D24" s="8">
        <f>SUMIFS(Production_Supply!C:C,Production_Supply!A:A,A24,Production_Supply!B:B,B24)</f>
        <v>0</v>
      </c>
      <c r="E24" s="8">
        <f>Arrivals!H26</f>
        <v>0</v>
      </c>
      <c r="F24" s="7">
        <f t="shared" si="0"/>
        <v>0</v>
      </c>
      <c r="G24" s="7">
        <f t="shared" si="1"/>
        <v>0</v>
      </c>
      <c r="H24" s="7">
        <f>SUMIFS(ShipPlan!G:G,ShipPlan!D:D,A24,ShipPlan!C:C,B24)</f>
        <v>0</v>
      </c>
      <c r="I24" s="7">
        <f>SUMIFS(ShipPlan!O:O,ShipPlan!D:D,A24,ShipPlan!C:C,B24)</f>
        <v>0</v>
      </c>
      <c r="J24" s="7">
        <f t="shared" si="2"/>
        <v>0</v>
      </c>
      <c r="K24" s="8">
        <f>SUMIFS(Demand_Forecast!F:F,Demand_Forecast!A:A,A24,Demand_Forecast!B:B,B24)</f>
        <v>0</v>
      </c>
      <c r="L24" s="7">
        <f t="shared" si="3"/>
        <v>0</v>
      </c>
      <c r="M24" s="7">
        <f t="shared" si="4"/>
        <v>0</v>
      </c>
      <c r="N24" s="7">
        <f t="shared" si="5"/>
        <v>0</v>
      </c>
      <c r="O24" s="8">
        <f>Warehouse_Capacity!C4</f>
        <v>2000</v>
      </c>
      <c r="P24" s="7">
        <f t="shared" si="6"/>
        <v>0</v>
      </c>
      <c r="Q24" s="7">
        <f t="shared" si="7"/>
        <v>0</v>
      </c>
    </row>
    <row r="25" spans="1:17" x14ac:dyDescent="0.3">
      <c r="A25" t="s">
        <v>9</v>
      </c>
      <c r="B25">
        <v>8</v>
      </c>
      <c r="C25" s="8">
        <f t="shared" si="10"/>
        <v>0</v>
      </c>
      <c r="D25" s="8">
        <f>SUMIFS(Production_Supply!C:C,Production_Supply!A:A,A25,Production_Supply!B:B,B25)</f>
        <v>0</v>
      </c>
      <c r="E25" s="8">
        <f>Arrivals!I26</f>
        <v>2681</v>
      </c>
      <c r="F25" s="7">
        <f t="shared" si="0"/>
        <v>2681</v>
      </c>
      <c r="G25" s="7">
        <f t="shared" si="1"/>
        <v>2681</v>
      </c>
      <c r="H25" s="7">
        <f>SUMIFS(ShipPlan!G:G,ShipPlan!D:D,A25,ShipPlan!C:C,B25)</f>
        <v>0</v>
      </c>
      <c r="I25" s="7">
        <f>SUMIFS(ShipPlan!O:O,ShipPlan!D:D,A25,ShipPlan!C:C,B25)</f>
        <v>0</v>
      </c>
      <c r="J25" s="7">
        <f t="shared" si="2"/>
        <v>2681</v>
      </c>
      <c r="K25" s="8">
        <f>SUMIFS(Demand_Forecast!F:F,Demand_Forecast!A:A,A25,Demand_Forecast!B:B,B25)</f>
        <v>1100</v>
      </c>
      <c r="L25" s="7">
        <f t="shared" si="3"/>
        <v>1100</v>
      </c>
      <c r="M25" s="7">
        <f t="shared" si="4"/>
        <v>0</v>
      </c>
      <c r="N25" s="7">
        <f t="shared" si="5"/>
        <v>1581</v>
      </c>
      <c r="O25" s="8">
        <f>Warehouse_Capacity!C4</f>
        <v>2000</v>
      </c>
      <c r="P25" s="7">
        <f t="shared" si="6"/>
        <v>0</v>
      </c>
      <c r="Q25" s="7">
        <f t="shared" si="7"/>
        <v>1581</v>
      </c>
    </row>
    <row r="26" spans="1:17" x14ac:dyDescent="0.3">
      <c r="A26" t="s">
        <v>11</v>
      </c>
      <c r="B26">
        <v>1</v>
      </c>
      <c r="C26" s="8">
        <f>Inputs_Global!G6</f>
        <v>0</v>
      </c>
      <c r="D26" s="8">
        <f>SUMIFS(Production_Supply!C:C,Production_Supply!A:A,A26,Production_Supply!B:B,B26)</f>
        <v>0</v>
      </c>
      <c r="E26" s="8">
        <f>Arrivals!B27</f>
        <v>0</v>
      </c>
      <c r="F26" s="7">
        <f t="shared" si="0"/>
        <v>0</v>
      </c>
      <c r="G26" s="7">
        <f t="shared" si="1"/>
        <v>0</v>
      </c>
      <c r="H26" s="7">
        <f>SUMIFS(ShipPlan!G:G,ShipPlan!D:D,A26,ShipPlan!C:C,B26)</f>
        <v>0</v>
      </c>
      <c r="I26" s="7">
        <f>SUMIFS(ShipPlan!O:O,ShipPlan!D:D,A26,ShipPlan!C:C,B26)</f>
        <v>0</v>
      </c>
      <c r="J26" s="7">
        <f t="shared" si="2"/>
        <v>0</v>
      </c>
      <c r="K26" s="8">
        <f>SUMIFS(Demand_Forecast!F:F,Demand_Forecast!A:A,A26,Demand_Forecast!B:B,B26)</f>
        <v>0</v>
      </c>
      <c r="L26" s="7">
        <f t="shared" si="3"/>
        <v>0</v>
      </c>
      <c r="M26" s="7">
        <f t="shared" si="4"/>
        <v>0</v>
      </c>
      <c r="N26" s="7">
        <f t="shared" si="5"/>
        <v>0</v>
      </c>
      <c r="O26" s="8">
        <f>Warehouse_Capacity!C5</f>
        <v>0</v>
      </c>
      <c r="P26" s="7">
        <f t="shared" si="6"/>
        <v>0</v>
      </c>
      <c r="Q26" s="7">
        <f t="shared" si="7"/>
        <v>0</v>
      </c>
    </row>
    <row r="27" spans="1:17" x14ac:dyDescent="0.3">
      <c r="A27" t="s">
        <v>11</v>
      </c>
      <c r="B27">
        <v>2</v>
      </c>
      <c r="C27" s="8">
        <f t="shared" ref="C27:C33" si="11">Q26</f>
        <v>0</v>
      </c>
      <c r="D27" s="8">
        <f>SUMIFS(Production_Supply!C:C,Production_Supply!A:A,A27,Production_Supply!B:B,B27)</f>
        <v>0</v>
      </c>
      <c r="E27" s="8">
        <f>Arrivals!C27</f>
        <v>0</v>
      </c>
      <c r="F27" s="7">
        <f t="shared" si="0"/>
        <v>0</v>
      </c>
      <c r="G27" s="7">
        <f t="shared" si="1"/>
        <v>0</v>
      </c>
      <c r="H27" s="7">
        <f>SUMIFS(ShipPlan!G:G,ShipPlan!D:D,A27,ShipPlan!C:C,B27)</f>
        <v>0</v>
      </c>
      <c r="I27" s="7">
        <f>SUMIFS(ShipPlan!O:O,ShipPlan!D:D,A27,ShipPlan!C:C,B27)</f>
        <v>0</v>
      </c>
      <c r="J27" s="7">
        <f t="shared" si="2"/>
        <v>0</v>
      </c>
      <c r="K27" s="8">
        <f>SUMIFS(Demand_Forecast!F:F,Demand_Forecast!A:A,A27,Demand_Forecast!B:B,B27)</f>
        <v>0</v>
      </c>
      <c r="L27" s="7">
        <f t="shared" si="3"/>
        <v>0</v>
      </c>
      <c r="M27" s="7">
        <f t="shared" si="4"/>
        <v>0</v>
      </c>
      <c r="N27" s="7">
        <f t="shared" si="5"/>
        <v>0</v>
      </c>
      <c r="O27" s="8">
        <f>Warehouse_Capacity!C5</f>
        <v>0</v>
      </c>
      <c r="P27" s="7">
        <f t="shared" si="6"/>
        <v>0</v>
      </c>
      <c r="Q27" s="7">
        <f t="shared" si="7"/>
        <v>0</v>
      </c>
    </row>
    <row r="28" spans="1:17" x14ac:dyDescent="0.3">
      <c r="A28" t="s">
        <v>11</v>
      </c>
      <c r="B28">
        <v>3</v>
      </c>
      <c r="C28" s="8">
        <f t="shared" si="11"/>
        <v>0</v>
      </c>
      <c r="D28" s="8">
        <f>SUMIFS(Production_Supply!C:C,Production_Supply!A:A,A28,Production_Supply!B:B,B28)</f>
        <v>0</v>
      </c>
      <c r="E28" s="8">
        <f>Arrivals!D27</f>
        <v>0</v>
      </c>
      <c r="F28" s="7">
        <f t="shared" si="0"/>
        <v>0</v>
      </c>
      <c r="G28" s="7">
        <f t="shared" si="1"/>
        <v>0</v>
      </c>
      <c r="H28" s="7">
        <f>SUMIFS(ShipPlan!G:G,ShipPlan!D:D,A28,ShipPlan!C:C,B28)</f>
        <v>0</v>
      </c>
      <c r="I28" s="7">
        <f>SUMIFS(ShipPlan!O:O,ShipPlan!D:D,A28,ShipPlan!C:C,B28)</f>
        <v>0</v>
      </c>
      <c r="J28" s="7">
        <f t="shared" si="2"/>
        <v>0</v>
      </c>
      <c r="K28" s="8">
        <f>SUMIFS(Demand_Forecast!F:F,Demand_Forecast!A:A,A28,Demand_Forecast!B:B,B28)</f>
        <v>0</v>
      </c>
      <c r="L28" s="7">
        <f t="shared" si="3"/>
        <v>0</v>
      </c>
      <c r="M28" s="7">
        <f t="shared" si="4"/>
        <v>0</v>
      </c>
      <c r="N28" s="7">
        <f t="shared" si="5"/>
        <v>0</v>
      </c>
      <c r="O28" s="8">
        <f>Warehouse_Capacity!C5</f>
        <v>0</v>
      </c>
      <c r="P28" s="7">
        <f t="shared" si="6"/>
        <v>0</v>
      </c>
      <c r="Q28" s="7">
        <f t="shared" si="7"/>
        <v>0</v>
      </c>
    </row>
    <row r="29" spans="1:17" x14ac:dyDescent="0.3">
      <c r="A29" t="s">
        <v>11</v>
      </c>
      <c r="B29">
        <v>4</v>
      </c>
      <c r="C29" s="8">
        <f t="shared" si="11"/>
        <v>0</v>
      </c>
      <c r="D29" s="8">
        <f>SUMIFS(Production_Supply!C:C,Production_Supply!A:A,A29,Production_Supply!B:B,B29)</f>
        <v>0</v>
      </c>
      <c r="E29" s="8">
        <f>Arrivals!E27</f>
        <v>0</v>
      </c>
      <c r="F29" s="7">
        <f t="shared" si="0"/>
        <v>0</v>
      </c>
      <c r="G29" s="7">
        <f t="shared" si="1"/>
        <v>0</v>
      </c>
      <c r="H29" s="7">
        <f>SUMIFS(ShipPlan!G:G,ShipPlan!D:D,A29,ShipPlan!C:C,B29)</f>
        <v>0</v>
      </c>
      <c r="I29" s="7">
        <f>SUMIFS(ShipPlan!O:O,ShipPlan!D:D,A29,ShipPlan!C:C,B29)</f>
        <v>0</v>
      </c>
      <c r="J29" s="7">
        <f t="shared" si="2"/>
        <v>0</v>
      </c>
      <c r="K29" s="8">
        <f>SUMIFS(Demand_Forecast!F:F,Demand_Forecast!A:A,A29,Demand_Forecast!B:B,B29)</f>
        <v>0</v>
      </c>
      <c r="L29" s="7">
        <f t="shared" si="3"/>
        <v>0</v>
      </c>
      <c r="M29" s="7">
        <f t="shared" si="4"/>
        <v>0</v>
      </c>
      <c r="N29" s="7">
        <f t="shared" si="5"/>
        <v>0</v>
      </c>
      <c r="O29" s="8">
        <f>Warehouse_Capacity!C5</f>
        <v>0</v>
      </c>
      <c r="P29" s="7">
        <f t="shared" si="6"/>
        <v>0</v>
      </c>
      <c r="Q29" s="7">
        <f t="shared" si="7"/>
        <v>0</v>
      </c>
    </row>
    <row r="30" spans="1:17" x14ac:dyDescent="0.3">
      <c r="A30" t="s">
        <v>11</v>
      </c>
      <c r="B30">
        <v>5</v>
      </c>
      <c r="C30" s="8">
        <f t="shared" si="11"/>
        <v>0</v>
      </c>
      <c r="D30" s="8">
        <f>SUMIFS(Production_Supply!C:C,Production_Supply!A:A,A30,Production_Supply!B:B,B30)</f>
        <v>0</v>
      </c>
      <c r="E30" s="8">
        <f>Arrivals!F27</f>
        <v>0</v>
      </c>
      <c r="F30" s="7">
        <f t="shared" si="0"/>
        <v>0</v>
      </c>
      <c r="G30" s="7">
        <f t="shared" si="1"/>
        <v>0</v>
      </c>
      <c r="H30" s="7">
        <f>SUMIFS(ShipPlan!G:G,ShipPlan!D:D,A30,ShipPlan!C:C,B30)</f>
        <v>0</v>
      </c>
      <c r="I30" s="7">
        <f>SUMIFS(ShipPlan!O:O,ShipPlan!D:D,A30,ShipPlan!C:C,B30)</f>
        <v>0</v>
      </c>
      <c r="J30" s="7">
        <f t="shared" si="2"/>
        <v>0</v>
      </c>
      <c r="K30" s="8">
        <f>SUMIFS(Demand_Forecast!F:F,Demand_Forecast!A:A,A30,Demand_Forecast!B:B,B30)</f>
        <v>0</v>
      </c>
      <c r="L30" s="7">
        <f t="shared" si="3"/>
        <v>0</v>
      </c>
      <c r="M30" s="7">
        <f t="shared" si="4"/>
        <v>0</v>
      </c>
      <c r="N30" s="7">
        <f t="shared" si="5"/>
        <v>0</v>
      </c>
      <c r="O30" s="8">
        <f>Warehouse_Capacity!C5</f>
        <v>0</v>
      </c>
      <c r="P30" s="7">
        <f t="shared" si="6"/>
        <v>0</v>
      </c>
      <c r="Q30" s="7">
        <f t="shared" si="7"/>
        <v>0</v>
      </c>
    </row>
    <row r="31" spans="1:17" x14ac:dyDescent="0.3">
      <c r="A31" t="s">
        <v>11</v>
      </c>
      <c r="B31">
        <v>6</v>
      </c>
      <c r="C31" s="8">
        <f t="shared" si="11"/>
        <v>0</v>
      </c>
      <c r="D31" s="8">
        <f>SUMIFS(Production_Supply!C:C,Production_Supply!A:A,A31,Production_Supply!B:B,B31)</f>
        <v>0</v>
      </c>
      <c r="E31" s="8">
        <f>Arrivals!G27</f>
        <v>0</v>
      </c>
      <c r="F31" s="7">
        <f t="shared" si="0"/>
        <v>0</v>
      </c>
      <c r="G31" s="7">
        <f t="shared" si="1"/>
        <v>0</v>
      </c>
      <c r="H31" s="7">
        <f>SUMIFS(ShipPlan!G:G,ShipPlan!D:D,A31,ShipPlan!C:C,B31)</f>
        <v>0</v>
      </c>
      <c r="I31" s="7">
        <f>SUMIFS(ShipPlan!O:O,ShipPlan!D:D,A31,ShipPlan!C:C,B31)</f>
        <v>0</v>
      </c>
      <c r="J31" s="7">
        <f t="shared" si="2"/>
        <v>0</v>
      </c>
      <c r="K31" s="8">
        <f>SUMIFS(Demand_Forecast!F:F,Demand_Forecast!A:A,A31,Demand_Forecast!B:B,B31)</f>
        <v>0</v>
      </c>
      <c r="L31" s="7">
        <f t="shared" si="3"/>
        <v>0</v>
      </c>
      <c r="M31" s="7">
        <f t="shared" si="4"/>
        <v>0</v>
      </c>
      <c r="N31" s="7">
        <f t="shared" si="5"/>
        <v>0</v>
      </c>
      <c r="O31" s="8">
        <f>Warehouse_Capacity!C5</f>
        <v>0</v>
      </c>
      <c r="P31" s="7">
        <f t="shared" si="6"/>
        <v>0</v>
      </c>
      <c r="Q31" s="7">
        <f t="shared" si="7"/>
        <v>0</v>
      </c>
    </row>
    <row r="32" spans="1:17" x14ac:dyDescent="0.3">
      <c r="A32" t="s">
        <v>11</v>
      </c>
      <c r="B32">
        <v>7</v>
      </c>
      <c r="C32" s="8">
        <f t="shared" si="11"/>
        <v>0</v>
      </c>
      <c r="D32" s="8">
        <f>SUMIFS(Production_Supply!C:C,Production_Supply!A:A,A32,Production_Supply!B:B,B32)</f>
        <v>0</v>
      </c>
      <c r="E32" s="8">
        <f>Arrivals!H27</f>
        <v>0</v>
      </c>
      <c r="F32" s="7">
        <f t="shared" si="0"/>
        <v>0</v>
      </c>
      <c r="G32" s="7">
        <f t="shared" si="1"/>
        <v>0</v>
      </c>
      <c r="H32" s="7">
        <f>SUMIFS(ShipPlan!G:G,ShipPlan!D:D,A32,ShipPlan!C:C,B32)</f>
        <v>0</v>
      </c>
      <c r="I32" s="7">
        <f>SUMIFS(ShipPlan!O:O,ShipPlan!D:D,A32,ShipPlan!C:C,B32)</f>
        <v>0</v>
      </c>
      <c r="J32" s="7">
        <f t="shared" si="2"/>
        <v>0</v>
      </c>
      <c r="K32" s="8">
        <f>SUMIFS(Demand_Forecast!F:F,Demand_Forecast!A:A,A32,Demand_Forecast!B:B,B32)</f>
        <v>0</v>
      </c>
      <c r="L32" s="7">
        <f t="shared" si="3"/>
        <v>0</v>
      </c>
      <c r="M32" s="7">
        <f t="shared" si="4"/>
        <v>0</v>
      </c>
      <c r="N32" s="7">
        <f t="shared" si="5"/>
        <v>0</v>
      </c>
      <c r="O32" s="8">
        <f>Warehouse_Capacity!C5</f>
        <v>0</v>
      </c>
      <c r="P32" s="7">
        <f t="shared" si="6"/>
        <v>0</v>
      </c>
      <c r="Q32" s="7">
        <f t="shared" si="7"/>
        <v>0</v>
      </c>
    </row>
    <row r="33" spans="1:17" x14ac:dyDescent="0.3">
      <c r="A33" t="s">
        <v>11</v>
      </c>
      <c r="B33">
        <v>8</v>
      </c>
      <c r="C33" s="8">
        <f t="shared" si="11"/>
        <v>0</v>
      </c>
      <c r="D33" s="8">
        <f>SUMIFS(Production_Supply!C:C,Production_Supply!A:A,A33,Production_Supply!B:B,B33)</f>
        <v>0</v>
      </c>
      <c r="E33" s="8">
        <f>Arrivals!I27</f>
        <v>0</v>
      </c>
      <c r="F33" s="7">
        <f t="shared" si="0"/>
        <v>0</v>
      </c>
      <c r="G33" s="7">
        <f t="shared" si="1"/>
        <v>0</v>
      </c>
      <c r="H33" s="7">
        <f>SUMIFS(ShipPlan!G:G,ShipPlan!D:D,A33,ShipPlan!C:C,B33)</f>
        <v>0</v>
      </c>
      <c r="I33" s="7">
        <f>SUMIFS(ShipPlan!O:O,ShipPlan!D:D,A33,ShipPlan!C:C,B33)</f>
        <v>0</v>
      </c>
      <c r="J33" s="7">
        <f t="shared" si="2"/>
        <v>0</v>
      </c>
      <c r="K33" s="8">
        <f>SUMIFS(Demand_Forecast!F:F,Demand_Forecast!A:A,A33,Demand_Forecast!B:B,B33)</f>
        <v>0</v>
      </c>
      <c r="L33" s="7">
        <f t="shared" si="3"/>
        <v>0</v>
      </c>
      <c r="M33" s="7">
        <f t="shared" si="4"/>
        <v>0</v>
      </c>
      <c r="N33" s="7">
        <f t="shared" si="5"/>
        <v>0</v>
      </c>
      <c r="O33" s="8">
        <f>Warehouse_Capacity!C5</f>
        <v>0</v>
      </c>
      <c r="P33" s="7">
        <f t="shared" si="6"/>
        <v>0</v>
      </c>
      <c r="Q33" s="7">
        <f t="shared" si="7"/>
        <v>0</v>
      </c>
    </row>
    <row r="34" spans="1:17" x14ac:dyDescent="0.3">
      <c r="A34" t="s">
        <v>14</v>
      </c>
      <c r="B34">
        <v>1</v>
      </c>
      <c r="C34" s="8">
        <f>Inputs_Global!G7</f>
        <v>0</v>
      </c>
      <c r="D34" s="8">
        <f>SUMIFS(Production_Supply!C:C,Production_Supply!A:A,A34,Production_Supply!B:B,B34)</f>
        <v>0</v>
      </c>
      <c r="E34" s="8">
        <f>Arrivals!B28</f>
        <v>0</v>
      </c>
      <c r="F34" s="7">
        <f t="shared" si="0"/>
        <v>0</v>
      </c>
      <c r="G34" s="7">
        <f t="shared" si="1"/>
        <v>0</v>
      </c>
      <c r="H34" s="7">
        <f>SUMIFS(ShipPlan!G:G,ShipPlan!D:D,A34,ShipPlan!C:C,B34)</f>
        <v>0</v>
      </c>
      <c r="I34" s="7">
        <f>SUMIFS(ShipPlan!O:O,ShipPlan!D:D,A34,ShipPlan!C:C,B34)</f>
        <v>0</v>
      </c>
      <c r="J34" s="7">
        <f t="shared" si="2"/>
        <v>0</v>
      </c>
      <c r="K34" s="8">
        <f>SUMIFS(Demand_Forecast!F:F,Demand_Forecast!A:A,A34,Demand_Forecast!B:B,B34)</f>
        <v>0</v>
      </c>
      <c r="L34" s="7">
        <f t="shared" si="3"/>
        <v>0</v>
      </c>
      <c r="M34" s="7">
        <f t="shared" si="4"/>
        <v>0</v>
      </c>
      <c r="N34" s="7">
        <f t="shared" si="5"/>
        <v>0</v>
      </c>
      <c r="O34" s="8">
        <f>Warehouse_Capacity!C6</f>
        <v>0</v>
      </c>
      <c r="P34" s="7">
        <f t="shared" si="6"/>
        <v>0</v>
      </c>
      <c r="Q34" s="7">
        <f t="shared" si="7"/>
        <v>0</v>
      </c>
    </row>
    <row r="35" spans="1:17" x14ac:dyDescent="0.3">
      <c r="A35" t="s">
        <v>14</v>
      </c>
      <c r="B35">
        <v>2</v>
      </c>
      <c r="C35" s="8">
        <f t="shared" ref="C35:C41" si="12">Q34</f>
        <v>0</v>
      </c>
      <c r="D35" s="8">
        <f>SUMIFS(Production_Supply!C:C,Production_Supply!A:A,A35,Production_Supply!B:B,B35)</f>
        <v>0</v>
      </c>
      <c r="E35" s="8">
        <f>Arrivals!C28</f>
        <v>0</v>
      </c>
      <c r="F35" s="7">
        <f t="shared" si="0"/>
        <v>0</v>
      </c>
      <c r="G35" s="7">
        <f t="shared" si="1"/>
        <v>0</v>
      </c>
      <c r="H35" s="7">
        <f>SUMIFS(ShipPlan!G:G,ShipPlan!D:D,A35,ShipPlan!C:C,B35)</f>
        <v>0</v>
      </c>
      <c r="I35" s="7">
        <f>SUMIFS(ShipPlan!O:O,ShipPlan!D:D,A35,ShipPlan!C:C,B35)</f>
        <v>0</v>
      </c>
      <c r="J35" s="7">
        <f t="shared" si="2"/>
        <v>0</v>
      </c>
      <c r="K35" s="8">
        <f>SUMIFS(Demand_Forecast!F:F,Demand_Forecast!A:A,A35,Demand_Forecast!B:B,B35)</f>
        <v>0</v>
      </c>
      <c r="L35" s="7">
        <f t="shared" si="3"/>
        <v>0</v>
      </c>
      <c r="M35" s="7">
        <f t="shared" si="4"/>
        <v>0</v>
      </c>
      <c r="N35" s="7">
        <f t="shared" si="5"/>
        <v>0</v>
      </c>
      <c r="O35" s="8">
        <f>Warehouse_Capacity!C6</f>
        <v>0</v>
      </c>
      <c r="P35" s="7">
        <f t="shared" si="6"/>
        <v>0</v>
      </c>
      <c r="Q35" s="7">
        <f t="shared" si="7"/>
        <v>0</v>
      </c>
    </row>
    <row r="36" spans="1:17" x14ac:dyDescent="0.3">
      <c r="A36" t="s">
        <v>14</v>
      </c>
      <c r="B36">
        <v>3</v>
      </c>
      <c r="C36" s="8">
        <f t="shared" si="12"/>
        <v>0</v>
      </c>
      <c r="D36" s="8">
        <f>SUMIFS(Production_Supply!C:C,Production_Supply!A:A,A36,Production_Supply!B:B,B36)</f>
        <v>0</v>
      </c>
      <c r="E36" s="8">
        <f>Arrivals!D28</f>
        <v>0</v>
      </c>
      <c r="F36" s="7">
        <f t="shared" si="0"/>
        <v>0</v>
      </c>
      <c r="G36" s="7">
        <f t="shared" si="1"/>
        <v>0</v>
      </c>
      <c r="H36" s="7">
        <f>SUMIFS(ShipPlan!G:G,ShipPlan!D:D,A36,ShipPlan!C:C,B36)</f>
        <v>0</v>
      </c>
      <c r="I36" s="7">
        <f>SUMIFS(ShipPlan!O:O,ShipPlan!D:D,A36,ShipPlan!C:C,B36)</f>
        <v>0</v>
      </c>
      <c r="J36" s="7">
        <f t="shared" si="2"/>
        <v>0</v>
      </c>
      <c r="K36" s="8">
        <f>SUMIFS(Demand_Forecast!F:F,Demand_Forecast!A:A,A36,Demand_Forecast!B:B,B36)</f>
        <v>0</v>
      </c>
      <c r="L36" s="7">
        <f t="shared" si="3"/>
        <v>0</v>
      </c>
      <c r="M36" s="7">
        <f t="shared" si="4"/>
        <v>0</v>
      </c>
      <c r="N36" s="7">
        <f t="shared" si="5"/>
        <v>0</v>
      </c>
      <c r="O36" s="8">
        <f>Warehouse_Capacity!C6</f>
        <v>0</v>
      </c>
      <c r="P36" s="7">
        <f t="shared" si="6"/>
        <v>0</v>
      </c>
      <c r="Q36" s="7">
        <f t="shared" si="7"/>
        <v>0</v>
      </c>
    </row>
    <row r="37" spans="1:17" x14ac:dyDescent="0.3">
      <c r="A37" t="s">
        <v>14</v>
      </c>
      <c r="B37">
        <v>4</v>
      </c>
      <c r="C37" s="8">
        <f t="shared" si="12"/>
        <v>0</v>
      </c>
      <c r="D37" s="8">
        <f>SUMIFS(Production_Supply!C:C,Production_Supply!A:A,A37,Production_Supply!B:B,B37)</f>
        <v>0</v>
      </c>
      <c r="E37" s="8">
        <f>Arrivals!E28</f>
        <v>0</v>
      </c>
      <c r="F37" s="7">
        <f t="shared" si="0"/>
        <v>0</v>
      </c>
      <c r="G37" s="7">
        <f t="shared" si="1"/>
        <v>0</v>
      </c>
      <c r="H37" s="7">
        <f>SUMIFS(ShipPlan!G:G,ShipPlan!D:D,A37,ShipPlan!C:C,B37)</f>
        <v>0</v>
      </c>
      <c r="I37" s="7">
        <f>SUMIFS(ShipPlan!O:O,ShipPlan!D:D,A37,ShipPlan!C:C,B37)</f>
        <v>0</v>
      </c>
      <c r="J37" s="7">
        <f t="shared" si="2"/>
        <v>0</v>
      </c>
      <c r="K37" s="8">
        <f>SUMIFS(Demand_Forecast!F:F,Demand_Forecast!A:A,A37,Demand_Forecast!B:B,B37)</f>
        <v>0</v>
      </c>
      <c r="L37" s="7">
        <f t="shared" si="3"/>
        <v>0</v>
      </c>
      <c r="M37" s="7">
        <f t="shared" si="4"/>
        <v>0</v>
      </c>
      <c r="N37" s="7">
        <f t="shared" si="5"/>
        <v>0</v>
      </c>
      <c r="O37" s="8">
        <f>Warehouse_Capacity!C6</f>
        <v>0</v>
      </c>
      <c r="P37" s="7">
        <f t="shared" si="6"/>
        <v>0</v>
      </c>
      <c r="Q37" s="7">
        <f t="shared" si="7"/>
        <v>0</v>
      </c>
    </row>
    <row r="38" spans="1:17" x14ac:dyDescent="0.3">
      <c r="A38" t="s">
        <v>14</v>
      </c>
      <c r="B38">
        <v>5</v>
      </c>
      <c r="C38" s="8">
        <f t="shared" si="12"/>
        <v>0</v>
      </c>
      <c r="D38" s="8">
        <f>SUMIFS(Production_Supply!C:C,Production_Supply!A:A,A38,Production_Supply!B:B,B38)</f>
        <v>0</v>
      </c>
      <c r="E38" s="8">
        <f>Arrivals!F28</f>
        <v>0</v>
      </c>
      <c r="F38" s="7">
        <f t="shared" si="0"/>
        <v>0</v>
      </c>
      <c r="G38" s="7">
        <f t="shared" si="1"/>
        <v>0</v>
      </c>
      <c r="H38" s="7">
        <f>SUMIFS(ShipPlan!G:G,ShipPlan!D:D,A38,ShipPlan!C:C,B38)</f>
        <v>0</v>
      </c>
      <c r="I38" s="7">
        <f>SUMIFS(ShipPlan!O:O,ShipPlan!D:D,A38,ShipPlan!C:C,B38)</f>
        <v>0</v>
      </c>
      <c r="J38" s="7">
        <f t="shared" si="2"/>
        <v>0</v>
      </c>
      <c r="K38" s="8">
        <f>SUMIFS(Demand_Forecast!F:F,Demand_Forecast!A:A,A38,Demand_Forecast!B:B,B38)</f>
        <v>0</v>
      </c>
      <c r="L38" s="7">
        <f t="shared" si="3"/>
        <v>0</v>
      </c>
      <c r="M38" s="7">
        <f t="shared" si="4"/>
        <v>0</v>
      </c>
      <c r="N38" s="7">
        <f t="shared" si="5"/>
        <v>0</v>
      </c>
      <c r="O38" s="8">
        <f>Warehouse_Capacity!C6</f>
        <v>0</v>
      </c>
      <c r="P38" s="7">
        <f t="shared" si="6"/>
        <v>0</v>
      </c>
      <c r="Q38" s="7">
        <f t="shared" si="7"/>
        <v>0</v>
      </c>
    </row>
    <row r="39" spans="1:17" x14ac:dyDescent="0.3">
      <c r="A39" t="s">
        <v>14</v>
      </c>
      <c r="B39">
        <v>6</v>
      </c>
      <c r="C39" s="8">
        <f t="shared" si="12"/>
        <v>0</v>
      </c>
      <c r="D39" s="8">
        <f>SUMIFS(Production_Supply!C:C,Production_Supply!A:A,A39,Production_Supply!B:B,B39)</f>
        <v>0</v>
      </c>
      <c r="E39" s="8">
        <f>Arrivals!G28</f>
        <v>0</v>
      </c>
      <c r="F39" s="7">
        <f t="shared" si="0"/>
        <v>0</v>
      </c>
      <c r="G39" s="7">
        <f t="shared" si="1"/>
        <v>0</v>
      </c>
      <c r="H39" s="7">
        <f>SUMIFS(ShipPlan!G:G,ShipPlan!D:D,A39,ShipPlan!C:C,B39)</f>
        <v>0</v>
      </c>
      <c r="I39" s="7">
        <f>SUMIFS(ShipPlan!O:O,ShipPlan!D:D,A39,ShipPlan!C:C,B39)</f>
        <v>0</v>
      </c>
      <c r="J39" s="7">
        <f t="shared" si="2"/>
        <v>0</v>
      </c>
      <c r="K39" s="8">
        <f>SUMIFS(Demand_Forecast!F:F,Demand_Forecast!A:A,A39,Demand_Forecast!B:B,B39)</f>
        <v>0</v>
      </c>
      <c r="L39" s="7">
        <f t="shared" si="3"/>
        <v>0</v>
      </c>
      <c r="M39" s="7">
        <f t="shared" si="4"/>
        <v>0</v>
      </c>
      <c r="N39" s="7">
        <f t="shared" si="5"/>
        <v>0</v>
      </c>
      <c r="O39" s="8">
        <f>Warehouse_Capacity!C6</f>
        <v>0</v>
      </c>
      <c r="P39" s="7">
        <f t="shared" si="6"/>
        <v>0</v>
      </c>
      <c r="Q39" s="7">
        <f t="shared" si="7"/>
        <v>0</v>
      </c>
    </row>
    <row r="40" spans="1:17" x14ac:dyDescent="0.3">
      <c r="A40" t="s">
        <v>14</v>
      </c>
      <c r="B40">
        <v>7</v>
      </c>
      <c r="C40" s="8">
        <f t="shared" si="12"/>
        <v>0</v>
      </c>
      <c r="D40" s="8">
        <f>SUMIFS(Production_Supply!C:C,Production_Supply!A:A,A40,Production_Supply!B:B,B40)</f>
        <v>0</v>
      </c>
      <c r="E40" s="8">
        <f>Arrivals!H28</f>
        <v>0</v>
      </c>
      <c r="F40" s="7">
        <f t="shared" si="0"/>
        <v>0</v>
      </c>
      <c r="G40" s="7">
        <f t="shared" si="1"/>
        <v>0</v>
      </c>
      <c r="H40" s="7">
        <f>SUMIFS(ShipPlan!G:G,ShipPlan!D:D,A40,ShipPlan!C:C,B40)</f>
        <v>0</v>
      </c>
      <c r="I40" s="7">
        <f>SUMIFS(ShipPlan!O:O,ShipPlan!D:D,A40,ShipPlan!C:C,B40)</f>
        <v>0</v>
      </c>
      <c r="J40" s="7">
        <f t="shared" si="2"/>
        <v>0</v>
      </c>
      <c r="K40" s="8">
        <f>SUMIFS(Demand_Forecast!F:F,Demand_Forecast!A:A,A40,Demand_Forecast!B:B,B40)</f>
        <v>0</v>
      </c>
      <c r="L40" s="7">
        <f t="shared" si="3"/>
        <v>0</v>
      </c>
      <c r="M40" s="7">
        <f t="shared" si="4"/>
        <v>0</v>
      </c>
      <c r="N40" s="7">
        <f t="shared" si="5"/>
        <v>0</v>
      </c>
      <c r="O40" s="8">
        <f>Warehouse_Capacity!C6</f>
        <v>0</v>
      </c>
      <c r="P40" s="7">
        <f t="shared" si="6"/>
        <v>0</v>
      </c>
      <c r="Q40" s="7">
        <f t="shared" si="7"/>
        <v>0</v>
      </c>
    </row>
    <row r="41" spans="1:17" x14ac:dyDescent="0.3">
      <c r="A41" t="s">
        <v>14</v>
      </c>
      <c r="B41">
        <v>8</v>
      </c>
      <c r="C41" s="8">
        <f t="shared" si="12"/>
        <v>0</v>
      </c>
      <c r="D41" s="8">
        <f>SUMIFS(Production_Supply!C:C,Production_Supply!A:A,A41,Production_Supply!B:B,B41)</f>
        <v>0</v>
      </c>
      <c r="E41" s="8">
        <f>Arrivals!I28</f>
        <v>0</v>
      </c>
      <c r="F41" s="7">
        <f t="shared" si="0"/>
        <v>0</v>
      </c>
      <c r="G41" s="7">
        <f t="shared" si="1"/>
        <v>0</v>
      </c>
      <c r="H41" s="7">
        <f>SUMIFS(ShipPlan!G:G,ShipPlan!D:D,A41,ShipPlan!C:C,B41)</f>
        <v>0</v>
      </c>
      <c r="I41" s="7">
        <f>SUMIFS(ShipPlan!O:O,ShipPlan!D:D,A41,ShipPlan!C:C,B41)</f>
        <v>0</v>
      </c>
      <c r="J41" s="7">
        <f t="shared" si="2"/>
        <v>0</v>
      </c>
      <c r="K41" s="8">
        <f>SUMIFS(Demand_Forecast!F:F,Demand_Forecast!A:A,A41,Demand_Forecast!B:B,B41)</f>
        <v>0</v>
      </c>
      <c r="L41" s="7">
        <f t="shared" si="3"/>
        <v>0</v>
      </c>
      <c r="M41" s="7">
        <f t="shared" si="4"/>
        <v>0</v>
      </c>
      <c r="N41" s="7">
        <f t="shared" si="5"/>
        <v>0</v>
      </c>
      <c r="O41" s="8">
        <f>Warehouse_Capacity!C6</f>
        <v>0</v>
      </c>
      <c r="P41" s="7">
        <f t="shared" si="6"/>
        <v>0</v>
      </c>
      <c r="Q41" s="7">
        <f t="shared" si="7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8"/>
  <sheetViews>
    <sheetView zoomScaleNormal="100" workbookViewId="0"/>
  </sheetViews>
  <sheetFormatPr baseColWidth="10" defaultColWidth="8.6640625" defaultRowHeight="14.4" x14ac:dyDescent="0.3"/>
  <cols>
    <col min="1" max="10" width="16" customWidth="1"/>
  </cols>
  <sheetData>
    <row r="1" spans="1:10" ht="17.399999999999999" x14ac:dyDescent="0.3">
      <c r="A1" s="12" t="s">
        <v>87</v>
      </c>
    </row>
    <row r="2" spans="1:10" ht="28.2" x14ac:dyDescent="0.3">
      <c r="A2" s="6" t="s">
        <v>5</v>
      </c>
      <c r="B2" s="6" t="s">
        <v>88</v>
      </c>
      <c r="C2" s="6" t="s">
        <v>89</v>
      </c>
      <c r="D2" s="6" t="s">
        <v>90</v>
      </c>
      <c r="E2" s="6" t="s">
        <v>91</v>
      </c>
      <c r="F2" s="6" t="s">
        <v>82</v>
      </c>
      <c r="G2" s="6" t="s">
        <v>85</v>
      </c>
      <c r="H2" s="6" t="s">
        <v>92</v>
      </c>
      <c r="I2" s="6" t="s">
        <v>93</v>
      </c>
      <c r="J2" s="6" t="s">
        <v>94</v>
      </c>
    </row>
    <row r="3" spans="1:10" x14ac:dyDescent="0.3">
      <c r="A3" t="s">
        <v>3</v>
      </c>
      <c r="B3" s="7">
        <f>SUMIF(ShipPlan!D:D,A3,ShipPlan!Q:Q)</f>
        <v>0</v>
      </c>
      <c r="C3" s="8">
        <f>Warehouse_Capacity!B2*Inputs_Global!$D$4</f>
        <v>38400</v>
      </c>
      <c r="D3" s="7">
        <f>B3+C3</f>
        <v>38400</v>
      </c>
      <c r="E3" s="7">
        <f>SUMIF(Inventory_Flow!A:A,A3,Inventory_Flow!L:L)</f>
        <v>8858</v>
      </c>
      <c r="F3" s="7">
        <f>SUMIF(Inventory_Flow!A:A,A3,Inventory_Flow!M:M)</f>
        <v>42</v>
      </c>
      <c r="G3" s="7">
        <f>SUMIF(Inventory_Flow!A:A,A3,Inventory_Flow!P:P)</f>
        <v>0</v>
      </c>
      <c r="H3" s="13">
        <f t="shared" ref="H3:H8" si="0">IF((E3+F3)=0,1,1-F3/(E3+F3))</f>
        <v>0.99528089887640447</v>
      </c>
      <c r="I3" s="13">
        <f t="shared" ref="I3:I8" si="1">IF((E3+G3)=0,0,G3/(E3+G3))</f>
        <v>0</v>
      </c>
      <c r="J3" s="14">
        <f t="shared" ref="J3:J8" si="2">IF(E3=0,0,D3/E3)</f>
        <v>4.3350643486114251</v>
      </c>
    </row>
    <row r="4" spans="1:10" x14ac:dyDescent="0.3">
      <c r="A4" t="s">
        <v>7</v>
      </c>
      <c r="B4" s="7">
        <f>SUMIF(ShipPlan!D:D,A4,ShipPlan!Q:Q)</f>
        <v>0</v>
      </c>
      <c r="C4" s="8">
        <f>Warehouse_Capacity!B3*Inputs_Global!$D$4</f>
        <v>20000</v>
      </c>
      <c r="D4" s="7">
        <f>B4+C4</f>
        <v>20000</v>
      </c>
      <c r="E4" s="7">
        <f>SUMIF(Inventory_Flow!A:A,A4,Inventory_Flow!L:L)</f>
        <v>4028</v>
      </c>
      <c r="F4" s="7">
        <f>SUMIF(Inventory_Flow!A:A,A4,Inventory_Flow!M:M)</f>
        <v>0</v>
      </c>
      <c r="G4" s="7">
        <f>SUMIF(Inventory_Flow!A:A,A4,Inventory_Flow!P:P)</f>
        <v>0</v>
      </c>
      <c r="H4" s="13">
        <f t="shared" si="0"/>
        <v>1</v>
      </c>
      <c r="I4" s="13">
        <f t="shared" si="1"/>
        <v>0</v>
      </c>
      <c r="J4" s="14">
        <f t="shared" si="2"/>
        <v>4.9652432969215488</v>
      </c>
    </row>
    <row r="5" spans="1:10" x14ac:dyDescent="0.3">
      <c r="A5" t="s">
        <v>9</v>
      </c>
      <c r="B5" s="7">
        <f>SUMIF(ShipPlan!D:D,A5,ShipPlan!Q:Q)</f>
        <v>0</v>
      </c>
      <c r="C5" s="8">
        <f>Warehouse_Capacity!B4*Inputs_Global!$D$4</f>
        <v>16000</v>
      </c>
      <c r="D5" s="7">
        <f>B5+C5</f>
        <v>16000</v>
      </c>
      <c r="E5" s="7">
        <f>SUMIF(Inventory_Flow!A:A,A5,Inventory_Flow!L:L)</f>
        <v>2745</v>
      </c>
      <c r="F5" s="7">
        <f>SUMIF(Inventory_Flow!A:A,A5,Inventory_Flow!M:M)</f>
        <v>1655</v>
      </c>
      <c r="G5" s="7">
        <f>SUMIF(Inventory_Flow!A:A,A5,Inventory_Flow!P:P)</f>
        <v>0</v>
      </c>
      <c r="H5" s="13">
        <f t="shared" si="0"/>
        <v>0.62386363636363629</v>
      </c>
      <c r="I5" s="13">
        <f t="shared" si="1"/>
        <v>0</v>
      </c>
      <c r="J5" s="14">
        <f t="shared" si="2"/>
        <v>5.8287795992714022</v>
      </c>
    </row>
    <row r="6" spans="1:10" x14ac:dyDescent="0.3">
      <c r="A6" t="s">
        <v>11</v>
      </c>
      <c r="B6" s="7">
        <f>SUMIF(ShipPlan!D:D,A6,ShipPlan!Q:Q)</f>
        <v>0</v>
      </c>
      <c r="C6" s="8">
        <f>Warehouse_Capacity!B5*Inputs_Global!$D$4</f>
        <v>0</v>
      </c>
      <c r="D6" s="7">
        <f>B6+C6</f>
        <v>0</v>
      </c>
      <c r="E6" s="7">
        <f>SUMIF(Inventory_Flow!A:A,A6,Inventory_Flow!L:L)</f>
        <v>0</v>
      </c>
      <c r="F6" s="7">
        <f>SUMIF(Inventory_Flow!A:A,A6,Inventory_Flow!M:M)</f>
        <v>0</v>
      </c>
      <c r="G6" s="7">
        <f>SUMIF(Inventory_Flow!A:A,A6,Inventory_Flow!P:P)</f>
        <v>0</v>
      </c>
      <c r="H6" s="13">
        <f t="shared" si="0"/>
        <v>1</v>
      </c>
      <c r="I6" s="13">
        <f t="shared" si="1"/>
        <v>0</v>
      </c>
      <c r="J6" s="14">
        <f t="shared" si="2"/>
        <v>0</v>
      </c>
    </row>
    <row r="7" spans="1:10" x14ac:dyDescent="0.3">
      <c r="A7" t="s">
        <v>14</v>
      </c>
      <c r="B7" s="7">
        <f>SUMIF(ShipPlan!D:D,A7,ShipPlan!Q:Q)</f>
        <v>0</v>
      </c>
      <c r="C7" s="8">
        <f>Warehouse_Capacity!B6*Inputs_Global!$D$4</f>
        <v>0</v>
      </c>
      <c r="D7" s="7">
        <f>B7+C7</f>
        <v>0</v>
      </c>
      <c r="E7" s="7">
        <f>SUMIF(Inventory_Flow!A:A,A7,Inventory_Flow!L:L)</f>
        <v>0</v>
      </c>
      <c r="F7" s="7">
        <f>SUMIF(Inventory_Flow!A:A,A7,Inventory_Flow!M:M)</f>
        <v>0</v>
      </c>
      <c r="G7" s="7">
        <f>SUMIF(Inventory_Flow!A:A,A7,Inventory_Flow!P:P)</f>
        <v>0</v>
      </c>
      <c r="H7" s="13">
        <f t="shared" si="0"/>
        <v>1</v>
      </c>
      <c r="I7" s="13">
        <f t="shared" si="1"/>
        <v>0</v>
      </c>
      <c r="J7" s="14">
        <f t="shared" si="2"/>
        <v>0</v>
      </c>
    </row>
    <row r="8" spans="1:10" x14ac:dyDescent="0.3">
      <c r="A8" s="5" t="s">
        <v>95</v>
      </c>
      <c r="B8" s="7">
        <f t="shared" ref="B8:G8" si="3">SUM(B3:B7)</f>
        <v>0</v>
      </c>
      <c r="C8" s="7">
        <f t="shared" si="3"/>
        <v>74400</v>
      </c>
      <c r="D8" s="7">
        <f t="shared" si="3"/>
        <v>74400</v>
      </c>
      <c r="E8" s="7">
        <f t="shared" si="3"/>
        <v>15631</v>
      </c>
      <c r="F8" s="7">
        <f t="shared" si="3"/>
        <v>1697</v>
      </c>
      <c r="G8" s="7">
        <f t="shared" si="3"/>
        <v>0</v>
      </c>
      <c r="H8" s="15">
        <f t="shared" si="0"/>
        <v>0.90206602031394278</v>
      </c>
      <c r="I8" s="15">
        <f t="shared" si="1"/>
        <v>0</v>
      </c>
      <c r="J8" s="16">
        <f t="shared" si="2"/>
        <v>4.7597722474569766</v>
      </c>
    </row>
    <row r="11" spans="1:10" x14ac:dyDescent="0.3">
      <c r="A11" s="5" t="s">
        <v>96</v>
      </c>
    </row>
    <row r="12" spans="1:10" x14ac:dyDescent="0.3">
      <c r="A12" t="s">
        <v>5</v>
      </c>
      <c r="B12" t="s">
        <v>97</v>
      </c>
    </row>
    <row r="13" spans="1:10" x14ac:dyDescent="0.3">
      <c r="A13" t="s">
        <v>3</v>
      </c>
      <c r="B13" s="4">
        <v>68</v>
      </c>
    </row>
    <row r="14" spans="1:10" x14ac:dyDescent="0.3">
      <c r="A14" t="s">
        <v>7</v>
      </c>
      <c r="B14" s="4">
        <v>68</v>
      </c>
    </row>
    <row r="15" spans="1:10" x14ac:dyDescent="0.3">
      <c r="A15" t="s">
        <v>9</v>
      </c>
      <c r="B15" s="4">
        <v>91</v>
      </c>
    </row>
    <row r="16" spans="1:10" x14ac:dyDescent="0.3">
      <c r="A16" t="s">
        <v>11</v>
      </c>
      <c r="B16" s="4">
        <v>68</v>
      </c>
    </row>
    <row r="17" spans="1:2" x14ac:dyDescent="0.3">
      <c r="A17" t="s">
        <v>14</v>
      </c>
      <c r="B17" s="4">
        <v>68</v>
      </c>
    </row>
    <row r="19" spans="1:2" x14ac:dyDescent="0.3">
      <c r="A19" s="5" t="s">
        <v>98</v>
      </c>
    </row>
    <row r="20" spans="1:2" x14ac:dyDescent="0.3">
      <c r="A20" t="s">
        <v>3</v>
      </c>
      <c r="B20" s="17">
        <f>E3*B13</f>
        <v>602344</v>
      </c>
    </row>
    <row r="21" spans="1:2" x14ac:dyDescent="0.3">
      <c r="A21" t="s">
        <v>7</v>
      </c>
      <c r="B21" s="17">
        <f>E4*B14</f>
        <v>273904</v>
      </c>
    </row>
    <row r="22" spans="1:2" x14ac:dyDescent="0.3">
      <c r="A22" t="s">
        <v>9</v>
      </c>
      <c r="B22" s="17">
        <f>E5*B15</f>
        <v>249795</v>
      </c>
    </row>
    <row r="23" spans="1:2" x14ac:dyDescent="0.3">
      <c r="A23" t="s">
        <v>11</v>
      </c>
      <c r="B23" s="17">
        <f>E6*B16</f>
        <v>0</v>
      </c>
    </row>
    <row r="24" spans="1:2" x14ac:dyDescent="0.3">
      <c r="A24" t="s">
        <v>14</v>
      </c>
      <c r="B24" s="17">
        <f>E7*B17</f>
        <v>0</v>
      </c>
    </row>
    <row r="26" spans="1:2" x14ac:dyDescent="0.3">
      <c r="A26" t="s">
        <v>99</v>
      </c>
      <c r="B26" s="18">
        <f>SUM(B20:B24)</f>
        <v>1126043</v>
      </c>
    </row>
    <row r="27" spans="1:2" x14ac:dyDescent="0.3">
      <c r="A27" t="s">
        <v>100</v>
      </c>
      <c r="B27" s="18">
        <f>D8</f>
        <v>74400</v>
      </c>
    </row>
    <row r="28" spans="1:2" ht="17.399999999999999" x14ac:dyDescent="0.3">
      <c r="A28" s="9" t="s">
        <v>101</v>
      </c>
      <c r="B28" s="19">
        <f>IF(B26=0,0,B27/B26)</f>
        <v>6.6072077176448862E-2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0"/>
  <sheetViews>
    <sheetView zoomScaleNormal="100" workbookViewId="0"/>
  </sheetViews>
  <sheetFormatPr baseColWidth="10" defaultColWidth="8.6640625" defaultRowHeight="14.4" x14ac:dyDescent="0.3"/>
  <cols>
    <col min="1" max="1" width="35" customWidth="1"/>
    <col min="2" max="2" width="15" customWidth="1"/>
  </cols>
  <sheetData>
    <row r="1" spans="1:6" ht="20.399999999999999" x14ac:dyDescent="0.35">
      <c r="A1" s="1" t="s">
        <v>102</v>
      </c>
      <c r="B1" s="1"/>
      <c r="C1" s="1"/>
      <c r="D1" s="1"/>
      <c r="E1" s="1"/>
      <c r="F1" s="1"/>
    </row>
    <row r="3" spans="1:6" ht="15.6" x14ac:dyDescent="0.3">
      <c r="A3" s="20" t="s">
        <v>103</v>
      </c>
    </row>
    <row r="4" spans="1:6" x14ac:dyDescent="0.3">
      <c r="A4" t="s">
        <v>104</v>
      </c>
      <c r="B4" s="21">
        <f>KPIs!B28</f>
        <v>6.6072077176448862E-2</v>
      </c>
    </row>
    <row r="5" spans="1:6" x14ac:dyDescent="0.3">
      <c r="A5" t="s">
        <v>100</v>
      </c>
      <c r="B5" s="22">
        <f>KPIs!B27</f>
        <v>74400</v>
      </c>
    </row>
    <row r="6" spans="1:6" x14ac:dyDescent="0.3">
      <c r="A6" t="s">
        <v>99</v>
      </c>
      <c r="B6" s="22">
        <f>KPIs!B26</f>
        <v>1126043</v>
      </c>
    </row>
    <row r="7" spans="1:6" x14ac:dyDescent="0.3">
      <c r="A7" t="s">
        <v>105</v>
      </c>
      <c r="B7" s="8">
        <f>KPIs!F8</f>
        <v>1697</v>
      </c>
    </row>
    <row r="8" spans="1:6" x14ac:dyDescent="0.3">
      <c r="A8" t="s">
        <v>106</v>
      </c>
      <c r="B8" s="8">
        <f>KPIs!G8</f>
        <v>0</v>
      </c>
    </row>
    <row r="9" spans="1:6" x14ac:dyDescent="0.3">
      <c r="A9" t="s">
        <v>107</v>
      </c>
      <c r="B9" s="21">
        <f>KPIs!H8</f>
        <v>0.90206602031394278</v>
      </c>
    </row>
    <row r="12" spans="1:6" ht="15.6" x14ac:dyDescent="0.3">
      <c r="A12" s="20" t="s">
        <v>108</v>
      </c>
    </row>
    <row r="13" spans="1:6" ht="28.2" x14ac:dyDescent="0.3">
      <c r="A13" s="6" t="s">
        <v>5</v>
      </c>
      <c r="B13" s="6" t="s">
        <v>109</v>
      </c>
      <c r="C13" s="6" t="s">
        <v>110</v>
      </c>
      <c r="D13" s="6" t="s">
        <v>111</v>
      </c>
      <c r="E13" s="6" t="s">
        <v>112</v>
      </c>
    </row>
    <row r="14" spans="1:6" x14ac:dyDescent="0.3">
      <c r="A14" s="8" t="str">
        <f>KPIs!A3</f>
        <v>Center</v>
      </c>
      <c r="B14" s="22">
        <f>KPIs!D3</f>
        <v>38400</v>
      </c>
      <c r="C14" s="8">
        <f>KPIs!E3</f>
        <v>8858</v>
      </c>
      <c r="D14" s="8">
        <f>KPIs!F3</f>
        <v>42</v>
      </c>
      <c r="E14" s="23">
        <f>KPIs!H3</f>
        <v>0.99528089887640447</v>
      </c>
    </row>
    <row r="15" spans="1:6" x14ac:dyDescent="0.3">
      <c r="A15" s="8" t="str">
        <f>KPIs!A4</f>
        <v>West</v>
      </c>
      <c r="B15" s="22">
        <f>KPIs!D4</f>
        <v>20000</v>
      </c>
      <c r="C15" s="8">
        <f>KPIs!E4</f>
        <v>4028</v>
      </c>
      <c r="D15" s="8">
        <f>KPIs!F4</f>
        <v>0</v>
      </c>
      <c r="E15" s="23">
        <f>KPIs!H4</f>
        <v>1</v>
      </c>
    </row>
    <row r="16" spans="1:6" x14ac:dyDescent="0.3">
      <c r="A16" s="8" t="str">
        <f>KPIs!A5</f>
        <v>North</v>
      </c>
      <c r="B16" s="22">
        <f>KPIs!D5</f>
        <v>16000</v>
      </c>
      <c r="C16" s="8">
        <f>KPIs!E5</f>
        <v>2745</v>
      </c>
      <c r="D16" s="8">
        <f>KPIs!F5</f>
        <v>1655</v>
      </c>
      <c r="E16" s="23">
        <f>KPIs!H5</f>
        <v>0.62386363636363629</v>
      </c>
    </row>
    <row r="17" spans="1:10" x14ac:dyDescent="0.3">
      <c r="A17" s="8" t="str">
        <f>KPIs!A6</f>
        <v>East</v>
      </c>
      <c r="B17" s="22">
        <f>KPIs!D6</f>
        <v>0</v>
      </c>
      <c r="C17" s="8">
        <f>KPIs!E6</f>
        <v>0</v>
      </c>
      <c r="D17" s="8">
        <f>KPIs!F6</f>
        <v>0</v>
      </c>
      <c r="E17" s="23">
        <f>KPIs!H6</f>
        <v>1</v>
      </c>
    </row>
    <row r="18" spans="1:10" x14ac:dyDescent="0.3">
      <c r="A18" s="8" t="str">
        <f>KPIs!A7</f>
        <v>South</v>
      </c>
      <c r="B18" s="22">
        <f>KPIs!D7</f>
        <v>0</v>
      </c>
      <c r="C18" s="8">
        <f>KPIs!E7</f>
        <v>0</v>
      </c>
      <c r="D18" s="8">
        <f>KPIs!F7</f>
        <v>0</v>
      </c>
      <c r="E18" s="23">
        <f>KPIs!H7</f>
        <v>1</v>
      </c>
    </row>
    <row r="21" spans="1:10" ht="15.6" x14ac:dyDescent="0.3">
      <c r="A21" s="24" t="s">
        <v>113</v>
      </c>
    </row>
    <row r="23" spans="1:10" x14ac:dyDescent="0.3">
      <c r="A23" t="s">
        <v>114</v>
      </c>
      <c r="B23" s="7">
        <f>COUNTIF(Inventory_Flow!P:P,"&gt;0")</f>
        <v>0</v>
      </c>
    </row>
    <row r="24" spans="1:10" x14ac:dyDescent="0.3">
      <c r="A24" t="s">
        <v>115</v>
      </c>
      <c r="B24" s="7">
        <f>COUNTIF(ShipPlan!P:P,"&gt;0")</f>
        <v>0</v>
      </c>
    </row>
    <row r="25" spans="1:10" x14ac:dyDescent="0.3">
      <c r="A25" t="s">
        <v>116</v>
      </c>
      <c r="B25" s="7">
        <f>SUMPRODUCT((Inventory_Flow!M2:M100&gt;0)*(Inventory_Flow!I2:I100&gt;0))</f>
        <v>1</v>
      </c>
    </row>
    <row r="27" spans="1:10" ht="15.6" x14ac:dyDescent="0.3">
      <c r="A27" s="20" t="s">
        <v>159</v>
      </c>
    </row>
    <row r="28" spans="1:10" x14ac:dyDescent="0.3">
      <c r="A28" s="6" t="s">
        <v>160</v>
      </c>
      <c r="B28" s="6" t="s">
        <v>61</v>
      </c>
      <c r="C28" s="6" t="s">
        <v>62</v>
      </c>
      <c r="D28" s="6" t="s">
        <v>63</v>
      </c>
      <c r="E28" s="6" t="s">
        <v>64</v>
      </c>
      <c r="F28" s="6" t="s">
        <v>65</v>
      </c>
      <c r="G28" s="6" t="s">
        <v>66</v>
      </c>
      <c r="H28" s="6" t="s">
        <v>67</v>
      </c>
      <c r="I28" s="6" t="s">
        <v>68</v>
      </c>
      <c r="J28" s="6" t="s">
        <v>95</v>
      </c>
    </row>
    <row r="29" spans="1:10" x14ac:dyDescent="0.3">
      <c r="A29" t="s">
        <v>161</v>
      </c>
      <c r="B29" s="22">
        <f>SUMIFS(ShipPlan!Q:Q,ShipPlan!C:C,1)</f>
        <v>0</v>
      </c>
      <c r="C29" s="22">
        <f>SUMIFS(ShipPlan!Q:Q,ShipPlan!C:C,2)</f>
        <v>0</v>
      </c>
      <c r="D29" s="22">
        <f>SUMIFS(ShipPlan!Q:Q,ShipPlan!C:C,3)</f>
        <v>0</v>
      </c>
      <c r="E29" s="22">
        <f>SUMIFS(ShipPlan!Q:Q,ShipPlan!C:C,4)</f>
        <v>0</v>
      </c>
      <c r="F29" s="22">
        <f>SUMIFS(ShipPlan!Q:Q,ShipPlan!C:C,5)</f>
        <v>0</v>
      </c>
      <c r="G29" s="22">
        <f>SUMIFS(ShipPlan!Q:Q,ShipPlan!C:C,6)</f>
        <v>0</v>
      </c>
      <c r="H29" s="22">
        <f>SUMIFS(ShipPlan!Q:Q,ShipPlan!C:C,7)</f>
        <v>0</v>
      </c>
      <c r="I29" s="22">
        <f>SUMIFS(ShipPlan!Q:Q,ShipPlan!C:C,8)</f>
        <v>0</v>
      </c>
      <c r="J29" s="22">
        <f>SUM(B29:I29)</f>
        <v>0</v>
      </c>
    </row>
    <row r="30" spans="1:10" x14ac:dyDescent="0.3">
      <c r="A30" t="s">
        <v>162</v>
      </c>
      <c r="B30" s="22">
        <f>SUM(Warehouse_Capacity!B2:B6)*Inputs_Global!$D$4</f>
        <v>74400</v>
      </c>
      <c r="C30" s="22">
        <f>0</f>
        <v>0</v>
      </c>
      <c r="D30" s="22">
        <f>0</f>
        <v>0</v>
      </c>
      <c r="E30" s="22">
        <f>0</f>
        <v>0</v>
      </c>
      <c r="F30" s="22">
        <f>0</f>
        <v>0</v>
      </c>
      <c r="G30" s="22">
        <f>0</f>
        <v>0</v>
      </c>
      <c r="H30" s="22">
        <f>0</f>
        <v>0</v>
      </c>
      <c r="I30" s="22">
        <f>0</f>
        <v>0</v>
      </c>
      <c r="J30" s="22">
        <f>B30</f>
        <v>74400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53"/>
  <sheetViews>
    <sheetView topLeftCell="A4" zoomScaleNormal="100" workbookViewId="0">
      <selection activeCell="G50" sqref="G50"/>
    </sheetView>
  </sheetViews>
  <sheetFormatPr baseColWidth="10" defaultColWidth="8.6640625" defaultRowHeight="14.4" x14ac:dyDescent="0.3"/>
  <cols>
    <col min="1" max="1" width="70" customWidth="1"/>
  </cols>
  <sheetData>
    <row r="1" spans="1:1" x14ac:dyDescent="0.3">
      <c r="A1" t="s">
        <v>117</v>
      </c>
    </row>
    <row r="2" spans="1:1" x14ac:dyDescent="0.3">
      <c r="A2" t="e">
        <v>#VALUE!</v>
      </c>
    </row>
    <row r="4" spans="1:1" x14ac:dyDescent="0.3">
      <c r="A4" s="5" t="s">
        <v>118</v>
      </c>
    </row>
    <row r="6" spans="1:1" x14ac:dyDescent="0.3">
      <c r="A6" s="5" t="s">
        <v>119</v>
      </c>
    </row>
    <row r="8" spans="1:1" x14ac:dyDescent="0.3">
      <c r="A8" s="5" t="s">
        <v>120</v>
      </c>
    </row>
    <row r="9" spans="1:1" x14ac:dyDescent="0.3">
      <c r="A9" t="s">
        <v>121</v>
      </c>
    </row>
    <row r="10" spans="1:1" x14ac:dyDescent="0.3">
      <c r="A10" t="s">
        <v>122</v>
      </c>
    </row>
    <row r="12" spans="1:1" x14ac:dyDescent="0.3">
      <c r="A12" s="5" t="s">
        <v>123</v>
      </c>
    </row>
    <row r="13" spans="1:1" x14ac:dyDescent="0.3">
      <c r="A13" t="s">
        <v>124</v>
      </c>
    </row>
    <row r="14" spans="1:1" x14ac:dyDescent="0.3">
      <c r="A14" t="s">
        <v>125</v>
      </c>
    </row>
    <row r="15" spans="1:1" x14ac:dyDescent="0.3">
      <c r="A15" t="s">
        <v>126</v>
      </c>
    </row>
    <row r="16" spans="1:1" x14ac:dyDescent="0.3">
      <c r="A16" t="s">
        <v>127</v>
      </c>
    </row>
    <row r="18" spans="1:1" x14ac:dyDescent="0.3">
      <c r="A18" s="5" t="s">
        <v>128</v>
      </c>
    </row>
    <row r="19" spans="1:1" x14ac:dyDescent="0.3">
      <c r="A19" t="s">
        <v>129</v>
      </c>
    </row>
    <row r="20" spans="1:1" x14ac:dyDescent="0.3">
      <c r="A20" t="s">
        <v>130</v>
      </c>
    </row>
    <row r="22" spans="1:1" x14ac:dyDescent="0.3">
      <c r="A22" s="5" t="s">
        <v>131</v>
      </c>
    </row>
    <row r="23" spans="1:1" x14ac:dyDescent="0.3">
      <c r="A23" t="s">
        <v>132</v>
      </c>
    </row>
    <row r="24" spans="1:1" x14ac:dyDescent="0.3">
      <c r="A24" t="s">
        <v>133</v>
      </c>
    </row>
    <row r="26" spans="1:1" x14ac:dyDescent="0.3">
      <c r="A26" s="5" t="s">
        <v>134</v>
      </c>
    </row>
    <row r="27" spans="1:1" x14ac:dyDescent="0.3">
      <c r="A27" t="s">
        <v>135</v>
      </c>
    </row>
    <row r="28" spans="1:1" x14ac:dyDescent="0.3">
      <c r="A28" t="s">
        <v>136</v>
      </c>
    </row>
    <row r="29" spans="1:1" x14ac:dyDescent="0.3">
      <c r="A29" t="s">
        <v>137</v>
      </c>
    </row>
    <row r="31" spans="1:1" x14ac:dyDescent="0.3">
      <c r="A31" s="5" t="s">
        <v>138</v>
      </c>
    </row>
    <row r="32" spans="1:1" x14ac:dyDescent="0.3">
      <c r="A32" t="s">
        <v>139</v>
      </c>
    </row>
    <row r="33" spans="1:1" x14ac:dyDescent="0.3">
      <c r="A33" t="s">
        <v>140</v>
      </c>
    </row>
    <row r="34" spans="1:1" x14ac:dyDescent="0.3">
      <c r="A34" t="s">
        <v>141</v>
      </c>
    </row>
    <row r="36" spans="1:1" x14ac:dyDescent="0.3">
      <c r="A36" s="5" t="s">
        <v>142</v>
      </c>
    </row>
    <row r="37" spans="1:1" x14ac:dyDescent="0.3">
      <c r="A37" t="s">
        <v>143</v>
      </c>
    </row>
    <row r="38" spans="1:1" x14ac:dyDescent="0.3">
      <c r="A38" t="s">
        <v>144</v>
      </c>
    </row>
    <row r="40" spans="1:1" x14ac:dyDescent="0.3">
      <c r="A40" s="5" t="s">
        <v>145</v>
      </c>
    </row>
    <row r="42" spans="1:1" x14ac:dyDescent="0.3">
      <c r="A42" s="5" t="s">
        <v>146</v>
      </c>
    </row>
    <row r="43" spans="1:1" x14ac:dyDescent="0.3">
      <c r="A43" s="5" t="s">
        <v>147</v>
      </c>
    </row>
    <row r="44" spans="1:1" x14ac:dyDescent="0.3">
      <c r="A44" s="5" t="s">
        <v>148</v>
      </c>
    </row>
    <row r="45" spans="1:1" x14ac:dyDescent="0.3">
      <c r="A45" s="5" t="s">
        <v>149</v>
      </c>
    </row>
    <row r="46" spans="1:1" x14ac:dyDescent="0.3">
      <c r="A46" s="5" t="s">
        <v>150</v>
      </c>
    </row>
    <row r="47" spans="1:1" x14ac:dyDescent="0.3">
      <c r="A47" s="5" t="s">
        <v>151</v>
      </c>
    </row>
    <row r="49" spans="1:1" x14ac:dyDescent="0.3">
      <c r="A49" s="5" t="s">
        <v>152</v>
      </c>
    </row>
    <row r="50" spans="1:1" x14ac:dyDescent="0.3">
      <c r="A50" t="s">
        <v>153</v>
      </c>
    </row>
    <row r="51" spans="1:1" x14ac:dyDescent="0.3">
      <c r="A51" t="s">
        <v>154</v>
      </c>
    </row>
    <row r="52" spans="1:1" x14ac:dyDescent="0.3">
      <c r="A52" t="s">
        <v>155</v>
      </c>
    </row>
    <row r="53" spans="1:1" x14ac:dyDescent="0.3">
      <c r="A53" t="s">
        <v>156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Inputs_Global</vt:lpstr>
      <vt:lpstr>Demand_Forecast</vt:lpstr>
      <vt:lpstr>Production_Supply</vt:lpstr>
      <vt:lpstr>Transport_Costs</vt:lpstr>
      <vt:lpstr>LeadTime_Probs</vt:lpstr>
      <vt:lpstr>ShipPlan</vt:lpstr>
      <vt:lpstr>Arrivals</vt:lpstr>
      <vt:lpstr>Warehouse_Capacity</vt:lpstr>
      <vt:lpstr>Inventory_Flow</vt:lpstr>
      <vt:lpstr>KPIs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2026-01-13T00:51:22Z</dcterms:created>
  <dcterms:modified xsi:type="dcterms:W3CDTF">2026-01-13T01:48:28Z</dcterms:modified>
  <dc:language>en-US</dc:language>
</cp:coreProperties>
</file>