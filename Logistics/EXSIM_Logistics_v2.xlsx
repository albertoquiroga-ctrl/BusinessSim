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_Global" sheetId="1" state="visible" r:id="rId3"/>
    <sheet name="Demand_Forecast" sheetId="2" state="visible" r:id="rId4"/>
    <sheet name="Production_Supply" sheetId="3" state="visible" r:id="rId5"/>
    <sheet name="Transport_Costs" sheetId="4" state="visible" r:id="rId6"/>
    <sheet name="LeadTime_Probs" sheetId="5" state="visible" r:id="rId7"/>
    <sheet name="ShipPlan" sheetId="6" state="visible" r:id="rId8"/>
    <sheet name="Arrivals" sheetId="7" state="visible" r:id="rId9"/>
    <sheet name="Warehouse_Capacity" sheetId="8" state="visible" r:id="rId10"/>
    <sheet name="Inventory_Flow" sheetId="9" state="visible" r:id="rId11"/>
    <sheet name="KPIs" sheetId="10" state="visible" r:id="rId12"/>
    <sheet name="Dashboard" sheetId="11" state="visible" r:id="rId13"/>
    <sheet name="README" sheetId="12" state="visible" r:id="rId14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<sst xmlns="http://schemas.openxmlformats.org/spreadsheetml/2006/main" count="492" uniqueCount="163">
  <si>
    <t xml:space="preserve">REGIONES</t>
  </si>
  <si>
    <t xml:space="preserve">PARÃMETROS GLOBALES (del caso)</t>
  </si>
  <si>
    <t xml:space="preserve">INVENTARIO INICIAL (Period 7)</t>
  </si>
  <si>
    <t xml:space="preserve">Center</t>
  </si>
  <si>
    <t xml:space="preserve">Fortnights</t>
  </si>
  <si>
    <t xml:space="preserve">Region</t>
  </si>
  <si>
    <t xml:space="preserve">Inv_Begin_P7</t>
  </si>
  <si>
    <t xml:space="preserve">West</t>
  </si>
  <si>
    <t xml:space="preserve">Units_per_module</t>
  </si>
  <si>
    <t xml:space="preserve">North</t>
  </si>
  <si>
    <t xml:space="preserve">Cost_per_module</t>
  </si>
  <si>
    <t xml:space="preserve">East</t>
  </si>
  <si>
    <t xml:space="preserve">Scenario</t>
  </si>
  <si>
    <t xml:space="preserve">Base</t>
  </si>
  <si>
    <t xml:space="preserve">South</t>
  </si>
  <si>
    <t xml:space="preserve">Arrival_Method</t>
  </si>
  <si>
    <t xml:space="preserve">EV</t>
  </si>
  <si>
    <t xml:space="preserve">Alert_Prob_Threshold</t>
  </si>
  <si>
    <t xml:space="preserve">Price_per_unit</t>
  </si>
  <si>
    <t xml:space="preserve">Fortnight</t>
  </si>
  <si>
    <t xml:space="preserve">Demand_Base</t>
  </si>
  <si>
    <t xml:space="preserve">Demand_High</t>
  </si>
  <si>
    <t xml:space="preserve">Demand_Low</t>
  </si>
  <si>
    <t xml:space="preserve">Demand_Active</t>
  </si>
  <si>
    <t xml:space="preserve">Prod_Out</t>
  </si>
  <si>
    <t xml:space="preserve">Origin</t>
  </si>
  <si>
    <t xml:space="preserve">Dest</t>
  </si>
  <si>
    <t xml:space="preserve">Mode</t>
  </si>
  <si>
    <t xml:space="preserve">Bracket</t>
  </si>
  <si>
    <t xml:space="preserve">Cost_per_unit</t>
  </si>
  <si>
    <t xml:space="preserve">BRACKET RULES</t>
  </si>
  <si>
    <t xml:space="preserve">Air</t>
  </si>
  <si>
    <t xml:space="preserve">S</t>
  </si>
  <si>
    <t xml:space="preserve">S: &lt; 1000 units</t>
  </si>
  <si>
    <t xml:space="preserve">M</t>
  </si>
  <si>
    <t xml:space="preserve">M: 1000 - 1999</t>
  </si>
  <si>
    <t xml:space="preserve">L</t>
  </si>
  <si>
    <t xml:space="preserve">L: &gt;= 2000</t>
  </si>
  <si>
    <t xml:space="preserve">Truck</t>
  </si>
  <si>
    <t xml:space="preserve">Train</t>
  </si>
  <si>
    <t xml:space="preserve">LeadTime</t>
  </si>
  <si>
    <t xml:space="preserve">Prob</t>
  </si>
  <si>
    <t xml:space="preserve">CDF</t>
  </si>
  <si>
    <t xml:space="preserve">ShipID</t>
  </si>
  <si>
    <t xml:space="preserve">Priority</t>
  </si>
  <si>
    <t xml:space="preserve">t_dispatch</t>
  </si>
  <si>
    <t xml:space="preserve">Units_Planned</t>
  </si>
  <si>
    <t xml:space="preserve">Freight_cost_planned</t>
  </si>
  <si>
    <t xml:space="preserve">Expected_LT</t>
  </si>
  <si>
    <t xml:space="preserve">Expected_arrival_t</t>
  </si>
  <si>
    <t xml:space="preserve">Target_t</t>
  </si>
  <si>
    <t xml:space="preserve">P_arrive_by_target</t>
  </si>
  <si>
    <t xml:space="preserve">Units_Fulfilled</t>
  </si>
  <si>
    <t xml:space="preserve">Units_Unfulfilled</t>
  </si>
  <si>
    <t xml:space="preserve">Freight_cost_actual</t>
  </si>
  <si>
    <t xml:space="preserve">SHIP001</t>
  </si>
  <si>
    <t xml:space="preserve">SHIP002</t>
  </si>
  <si>
    <t xml:space="preserve">SHIP003</t>
  </si>
  <si>
    <t xml:space="preserve">Method Switch</t>
  </si>
  <si>
    <t xml:space="preserve">NOTA: Arrivals usa Units_Fulfilled, no Units_Planned</t>
  </si>
  <si>
    <t xml:space="preserve">ARRIVALS_EV (basado en Units_Fulfilled)</t>
  </si>
  <si>
    <t xml:space="preserve">FT_1</t>
  </si>
  <si>
    <t xml:space="preserve">FT_2</t>
  </si>
  <si>
    <t xml:space="preserve">FT_3</t>
  </si>
  <si>
    <t xml:space="preserve">FT_4</t>
  </si>
  <si>
    <t xml:space="preserve">FT_5</t>
  </si>
  <si>
    <t xml:space="preserve">FT_6</t>
  </si>
  <si>
    <t xml:space="preserve">FT_7</t>
  </si>
  <si>
    <t xml:space="preserve">FT_8</t>
  </si>
  <si>
    <t xml:space="preserve">ARRIVALS_PROB (distribuciÃ³n por probabilidad)</t>
  </si>
  <si>
    <t xml:space="preserve">ARRIVALS_ACTIVE</t>
  </si>
  <si>
    <t xml:space="preserve">Modules_Rented</t>
  </si>
  <si>
    <t xml:space="preserve">Capacity_Units</t>
  </si>
  <si>
    <t xml:space="preserve">Inv_Begin</t>
  </si>
  <si>
    <t xml:space="preserve">Arrivals</t>
  </si>
  <si>
    <t xml:space="preserve">Receipts</t>
  </si>
  <si>
    <t xml:space="preserve">Available</t>
  </si>
  <si>
    <t xml:space="preserve">Ship_Out_Planned</t>
  </si>
  <si>
    <t xml:space="preserve">Ship_Out_Fulfilled</t>
  </si>
  <si>
    <t xml:space="preserve">Post_Ship</t>
  </si>
  <si>
    <t xml:space="preserve">Demand</t>
  </si>
  <si>
    <t xml:space="preserve">Sales</t>
  </si>
  <si>
    <t xml:space="preserve">Lost_Sales</t>
  </si>
  <si>
    <t xml:space="preserve">Inv_End_PreCap</t>
  </si>
  <si>
    <t xml:space="preserve">Capacity</t>
  </si>
  <si>
    <t xml:space="preserve">Scrap</t>
  </si>
  <si>
    <t xml:space="preserve">Inv_End_Effective</t>
  </si>
  <si>
    <t xml:space="preserve">KPIs POR REGIÃ“N</t>
  </si>
  <si>
    <t xml:space="preserve">Total_Freight</t>
  </si>
  <si>
    <t xml:space="preserve">Warehouse_Cost</t>
  </si>
  <si>
    <t xml:space="preserve">Total_Logistics_Cost</t>
  </si>
  <si>
    <t xml:space="preserve">Sales_Units</t>
  </si>
  <si>
    <t xml:space="preserve">Fill_Rate</t>
  </si>
  <si>
    <t xml:space="preserve">Scrap_Rate</t>
  </si>
  <si>
    <t xml:space="preserve">Cost_per_Unit_Sold</t>
  </si>
  <si>
    <t xml:space="preserve">TOTAL</t>
  </si>
  <si>
    <t xml:space="preserve">PRECIOS POR REGIÃ“N (del caso)</t>
  </si>
  <si>
    <t xml:space="preserve">Price</t>
  </si>
  <si>
    <t xml:space="preserve">REVENUE POR REGIÃ“N</t>
  </si>
  <si>
    <t xml:space="preserve">Total Revenue</t>
  </si>
  <si>
    <t xml:space="preserve">Total Logistics Cost</t>
  </si>
  <si>
    <t xml:space="preserve">LOGISTICS COST % SALES</t>
  </si>
  <si>
    <t xml:space="preserve">DASHBOARD EJECUTIVO - EXSIM LOGISTICS</t>
  </si>
  <si>
    <t xml:space="preserve">MÃ‰TRICAS CLAVE</t>
  </si>
  <si>
    <t xml:space="preserve">Logistics Cost % Sales</t>
  </si>
  <si>
    <t xml:space="preserve">Total Lost Sales (units)</t>
  </si>
  <si>
    <t xml:space="preserve">Total Scrap (units)</t>
  </si>
  <si>
    <t xml:space="preserve">Overall Fill Rate</t>
  </si>
  <si>
    <t xml:space="preserve">POR REGIÃ“N</t>
  </si>
  <si>
    <t xml:space="preserve">Logistics Cost</t>
  </si>
  <si>
    <t xml:space="preserve">Sales Units</t>
  </si>
  <si>
    <t xml:space="preserve">Lost Sales</t>
  </si>
  <si>
    <t xml:space="preserve">Fill Rate</t>
  </si>
  <si>
    <t xml:space="preserve">âš ï¸ ALERTAS</t>
  </si>
  <si>
    <t xml:space="preserve">Capacidad excedida (periodos):</t>
  </si>
  <si>
    <t xml:space="preserve">Embarques no cumplidos:</t>
  </si>
  <si>
    <t xml:space="preserve">Lost Sales en periodo con Ship_Out:</t>
  </si>
  <si>
    <t xml:space="preserve">EXCEL EXSIM LOGISTICS v2.0 - CORREGIDO</t>
  </si>
  <si>
    <t xml:space="preserve">CORRECCIONES APLICADAS:</t>
  </si>
  <si>
    <t xml:space="preserve">1. REGIONES REALES: Center, West, North, East, South (5 regiones)</t>
  </si>
  <si>
    <t xml:space="preserve">2. PARÃMETROS REALES DEL CASO:</t>
  </si>
  <si>
    <t xml:space="preserve">   - MÃ³dulo warehouse: 100 unidades (no 500)</t>
  </si>
  <si>
    <t xml:space="preserve">   - Costo por mÃ³dulo: $800 por periodo (no $1000)</t>
  </si>
  <si>
    <t xml:space="preserve">3. INVENTARIO INICIAL REAL (del reporte Period 6):</t>
  </si>
  <si>
    <t xml:space="preserve">   - Center: 2,685 units</t>
  </si>
  <si>
    <t xml:space="preserve">   - West: 1,299 units</t>
  </si>
  <si>
    <t xml:space="preserve">   - North: 620 units</t>
  </si>
  <si>
    <t xml:space="preserve">   - East/South: 0 (sin operaciÃ³n)</t>
  </si>
  <si>
    <t xml:space="preserve">4. COSTOS DE TRANSPORTE REALES (Table V.3 del caso):</t>
  </si>
  <si>
    <t xml:space="preserve">   - Air NO tiene descuento por volumen</t>
  </si>
  <si>
    <t xml:space="preserve">   - Truck y Train tienen brackets S/M/L</t>
  </si>
  <si>
    <t xml:space="preserve">5. LEAD TIMES REALES (Table V.4 del caso):</t>
  </si>
  <si>
    <t xml:space="preserve">   - Air: 1 fortnight, 100% confiable</t>
  </si>
  <si>
    <t xml:space="preserve">   - Truck/Train: variables segÃºn ruta</t>
  </si>
  <si>
    <t xml:space="preserve">6. BUG INVENTARIO FANTASMA CORREGIDO:</t>
  </si>
  <si>
    <t xml:space="preserve">   - ShipPlan ahora tiene Units_Fulfilled y Units_Unfulfilled</t>
  </si>
  <si>
    <t xml:space="preserve">   - Arrivals usa Units_Fulfilled (no Units_Planned)</t>
  </si>
  <si>
    <t xml:space="preserve">   - Freight_cost_actual se calcula sobre lo realmente embarcado</t>
  </si>
  <si>
    <t xml:space="preserve">7. PRECIOS POR REGIÃ“N (del caso):</t>
  </si>
  <si>
    <t xml:space="preserve">   - Center/West: $68</t>
  </si>
  <si>
    <t xml:space="preserve">   - North: $91</t>
  </si>
  <si>
    <t xml:space="preserve">   - East/South: $68 (estimado)</t>
  </si>
  <si>
    <t xml:space="preserve">8. KPIs CORREGIDOS:</t>
  </si>
  <si>
    <t xml:space="preserve">   - Revenue = Sales_Units Ã— Precio_RegiÃ³n</t>
  </si>
  <si>
    <t xml:space="preserve">   - Logistics Cost % Sales = Costo_Total / Revenue</t>
  </si>
  <si>
    <t xml:space="preserve">CÃ“MO USAR:</t>
  </si>
  <si>
    <t xml:space="preserve">1. Inputs_Global: Ajusta escenario y mÃ©todo de llegadas</t>
  </si>
  <si>
    <t xml:space="preserve">2. Demand_Forecast: Actualiza demanda esperada por regiÃ³n</t>
  </si>
  <si>
    <t xml:space="preserve">3. Production_Supply: Ajusta producciÃ³n por planta</t>
  </si>
  <si>
    <t xml:space="preserve">4. ShipPlan: CLAVE - Define tu plan de embarques</t>
  </si>
  <si>
    <t xml:space="preserve">5. Warehouse_Capacity: Ajusta mÃ³dulos rentados</t>
  </si>
  <si>
    <t xml:space="preserve">6. KPIs / Dashboard: Revisa impacto de decisiones</t>
  </si>
  <si>
    <t xml:space="preserve">PRIORIDAD EN CADA FORTNIGHT (como el simulador):</t>
  </si>
  <si>
    <t xml:space="preserve">1. Arrivals + Production â†’ Inv disponible</t>
  </si>
  <si>
    <t xml:space="preserve">2. Ship_Out se cumple primero (prioridad sobre ventas)</t>
  </si>
  <si>
    <t xml:space="preserve">3. Demand local se atiende con lo que queda</t>
  </si>
  <si>
    <t xml:space="preserve">4. Scrap si Inv_End &gt; Capacity</t>
  </si>
  <si>
    <t>In_Transit_End</t>
  </si>
  <si>
    <t>ARRIVALS_NEXT_PERIOD (ACTIVE)</t>
  </si>
  <si>
    <t>CFO CASH SUMMARY</t>
  </si>
  <si>
    <t>Item</t>
  </si>
  <si>
    <t>Freight (dispatch)</t>
  </si>
  <si>
    <t>Warehouse rental (upfront)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</si>
</sst>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\$#,##0.00"/>
    <numFmt numFmtId="168" formatCode="\$#,##0"/>
    <numFmt numFmtId="169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1"/>
      <color rgb="FF51513D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6"/>
      <color rgb="FF51513D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FF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1513D"/>
        <bgColor rgb="FF33330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15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6" min="6" style="0" width="12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0</v>
      </c>
      <c r="C1" s="2" t="s">
        <v>1</v>
      </c>
      <c r="D1" s="2"/>
      <c r="F1" s="2" t="s">
        <v>2</v>
      </c>
      <c r="G1" s="2"/>
    </row>
    <row r="2" customFormat="false" ht="15" hidden="false" customHeight="false" outlineLevel="0" collapsed="false">
      <c r="A2" s="3" t="s">
        <v>3</v>
      </c>
      <c r="C2" s="4" t="s">
        <v>4</v>
      </c>
      <c r="D2" s="3" t="n">
        <v>8</v>
      </c>
      <c r="F2" s="4" t="s">
        <v>5</v>
      </c>
      <c r="G2" s="4" t="s">
        <v>6</v>
      </c>
    </row>
    <row r="3" customFormat="false" ht="15" hidden="false" customHeight="false" outlineLevel="0" collapsed="false">
      <c r="A3" s="3" t="s">
        <v>7</v>
      </c>
      <c r="C3" s="4" t="s">
        <v>8</v>
      </c>
      <c r="D3" s="3" t="n">
        <v>100</v>
      </c>
      <c r="F3" s="5" t="s">
        <v>3</v>
      </c>
      <c r="G3" s="3" t="n">
        <v>2685</v>
      </c>
    </row>
    <row r="4" customFormat="false" ht="15" hidden="false" customHeight="false" outlineLevel="0" collapsed="false">
      <c r="A4" s="3" t="s">
        <v>9</v>
      </c>
      <c r="C4" s="4" t="s">
        <v>10</v>
      </c>
      <c r="D4" s="3" t="n">
        <v>800</v>
      </c>
      <c r="F4" s="5" t="s">
        <v>7</v>
      </c>
      <c r="G4" s="3" t="n">
        <v>1299</v>
      </c>
    </row>
    <row r="5" customFormat="false" ht="15" hidden="false" customHeight="false" outlineLevel="0" collapsed="false">
      <c r="A5" s="3" t="s">
        <v>11</v>
      </c>
      <c r="C5" s="4" t="s">
        <v>12</v>
      </c>
      <c r="D5" s="3" t="s">
        <v>13</v>
      </c>
      <c r="F5" s="5" t="s">
        <v>9</v>
      </c>
      <c r="G5" s="3" t="n">
        <v>620</v>
      </c>
    </row>
    <row r="6" customFormat="false" ht="15" hidden="false" customHeight="false" outlineLevel="0" collapsed="false">
      <c r="A6" s="3" t="s">
        <v>14</v>
      </c>
      <c r="C6" s="4" t="s">
        <v>15</v>
      </c>
      <c r="D6" s="3" t="s">
        <v>16</v>
      </c>
      <c r="F6" s="5" t="s">
        <v>11</v>
      </c>
      <c r="G6" s="3" t="n">
        <v>0</v>
      </c>
    </row>
    <row r="7" customFormat="false" ht="15" hidden="false" customHeight="false" outlineLevel="0" collapsed="false">
      <c r="C7" s="4" t="s">
        <v>17</v>
      </c>
      <c r="D7" s="3" t="n">
        <v>0.8</v>
      </c>
      <c r="F7" s="5" t="s">
        <v>14</v>
      </c>
      <c r="G7" s="3" t="n">
        <v>0</v>
      </c>
    </row>
    <row r="8" customFormat="false" ht="15" hidden="false" customHeight="false" outlineLevel="0" collapsed="false">
      <c r="C8" s="4" t="s">
        <v>18</v>
      </c>
      <c r="D8" s="3" t="n">
        <v>68</v>
      </c>
    </row>
  </sheetData>
  <mergeCells count="2">
    <mergeCell ref="C1:D1"/>
    <mergeCell ref="F1:G1"/>
  </mergeCells>
  <dataValidations count="2">
    <dataValidation allowBlank="false" errorStyle="stop" operator="between" showDropDown="false" showErrorMessage="false" showInputMessage="false" sqref="D5" type="list">
      <formula1>"Base,High,Low"</formula1>
      <formula2>0</formula2>
    </dataValidation>
    <dataValidation allowBlank="false" errorStyle="stop" operator="between" showDropDown="false" showErrorMessage="false" showInputMessage="false" sqref="D6" type="list">
      <formula1>"EV,Probabilistic"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28.35" hidden="false" customHeight="false" outlineLevel="0" collapsed="false">
      <c r="A1" s="6" t="s">
        <v>5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</row>
    <row r="2" customFormat="false" ht="15" hidden="false" customHeight="false" outlineLevel="0" collapsed="false">
      <c r="A2" s="0" t="s">
        <v>3</v>
      </c>
      <c r="B2" s="0" t="n">
        <v>1</v>
      </c>
      <c r="C2" s="3" t="n">
        <v>0</v>
      </c>
      <c r="D2" s="3" t="n">
        <v>0</v>
      </c>
      <c r="E2" s="3" t="n">
        <v>0</v>
      </c>
      <c r="F2" s="7" t="n">
        <f aca="false">IF(Inputs_Global!$D$5="Base",C2,IF(Inputs_Global!$D$5="High",D2,E2))</f>
        <v>0</v>
      </c>
    </row>
    <row r="3" customFormat="false" ht="15" hidden="false" customHeight="false" outlineLevel="0" collapsed="false">
      <c r="A3" s="0" t="s">
        <v>3</v>
      </c>
      <c r="B3" s="0" t="n">
        <v>2</v>
      </c>
      <c r="C3" s="3" t="n">
        <v>2225</v>
      </c>
      <c r="D3" s="3" t="n">
        <v>2670</v>
      </c>
      <c r="E3" s="3" t="n">
        <v>1780</v>
      </c>
      <c r="F3" s="7" t="n">
        <f aca="false">IF(Inputs_Global!$D$5="Base",C3,IF(Inputs_Global!$D$5="High",D3,E3))</f>
        <v>2225</v>
      </c>
    </row>
    <row r="4" customFormat="false" ht="15" hidden="false" customHeight="false" outlineLevel="0" collapsed="false">
      <c r="A4" s="0" t="s">
        <v>3</v>
      </c>
      <c r="B4" s="0" t="n">
        <v>3</v>
      </c>
      <c r="C4" s="3" t="n">
        <v>0</v>
      </c>
      <c r="D4" s="3" t="n">
        <v>0</v>
      </c>
      <c r="E4" s="3" t="n">
        <v>0</v>
      </c>
      <c r="F4" s="7" t="n">
        <f aca="false">IF(Inputs_Global!$D$5="Base",C4,IF(Inputs_Global!$D$5="High",D4,E4))</f>
        <v>0</v>
      </c>
    </row>
    <row r="5" customFormat="false" ht="15" hidden="false" customHeight="false" outlineLevel="0" collapsed="false">
      <c r="A5" s="0" t="s">
        <v>3</v>
      </c>
      <c r="B5" s="0" t="n">
        <v>4</v>
      </c>
      <c r="C5" s="3" t="n">
        <v>2225</v>
      </c>
      <c r="D5" s="3" t="n">
        <v>2670</v>
      </c>
      <c r="E5" s="3" t="n">
        <v>1780</v>
      </c>
      <c r="F5" s="7" t="n">
        <f aca="false">IF(Inputs_Global!$D$5="Base",C5,IF(Inputs_Global!$D$5="High",D5,E5))</f>
        <v>2225</v>
      </c>
    </row>
    <row r="6" customFormat="false" ht="15" hidden="false" customHeight="false" outlineLevel="0" collapsed="false">
      <c r="A6" s="0" t="s">
        <v>3</v>
      </c>
      <c r="B6" s="0" t="n">
        <v>5</v>
      </c>
      <c r="C6" s="3" t="n">
        <v>0</v>
      </c>
      <c r="D6" s="3" t="n">
        <v>0</v>
      </c>
      <c r="E6" s="3" t="n">
        <v>0</v>
      </c>
      <c r="F6" s="7" t="n">
        <f aca="false">IF(Inputs_Global!$D$5="Base",C6,IF(Inputs_Global!$D$5="High",D6,E6))</f>
        <v>0</v>
      </c>
    </row>
    <row r="7" customFormat="false" ht="15" hidden="false" customHeight="false" outlineLevel="0" collapsed="false">
      <c r="A7" s="0" t="s">
        <v>3</v>
      </c>
      <c r="B7" s="0" t="n">
        <v>6</v>
      </c>
      <c r="C7" s="3" t="n">
        <v>2225</v>
      </c>
      <c r="D7" s="3" t="n">
        <v>2670</v>
      </c>
      <c r="E7" s="3" t="n">
        <v>1780</v>
      </c>
      <c r="F7" s="7" t="n">
        <f aca="false">IF(Inputs_Global!$D$5="Base",C7,IF(Inputs_Global!$D$5="High",D7,E7))</f>
        <v>2225</v>
      </c>
    </row>
    <row r="8" customFormat="false" ht="15" hidden="false" customHeight="false" outlineLevel="0" collapsed="false">
      <c r="A8" s="0" t="s">
        <v>3</v>
      </c>
      <c r="B8" s="0" t="n">
        <v>7</v>
      </c>
      <c r="C8" s="3" t="n">
        <v>0</v>
      </c>
      <c r="D8" s="3" t="n">
        <v>0</v>
      </c>
      <c r="E8" s="3" t="n">
        <v>0</v>
      </c>
      <c r="F8" s="7" t="n">
        <f aca="false">IF(Inputs_Global!$D$5="Base",C8,IF(Inputs_Global!$D$5="High",D8,E8))</f>
        <v>0</v>
      </c>
    </row>
    <row r="9" customFormat="false" ht="15" hidden="false" customHeight="false" outlineLevel="0" collapsed="false">
      <c r="A9" s="0" t="s">
        <v>3</v>
      </c>
      <c r="B9" s="0" t="n">
        <v>8</v>
      </c>
      <c r="C9" s="3" t="n">
        <v>2225</v>
      </c>
      <c r="D9" s="3" t="n">
        <v>2670</v>
      </c>
      <c r="E9" s="3" t="n">
        <v>1780</v>
      </c>
      <c r="F9" s="7" t="n">
        <f aca="false">IF(Inputs_Global!$D$5="Base",C9,IF(Inputs_Global!$D$5="High",D9,E9))</f>
        <v>2225</v>
      </c>
    </row>
    <row r="10" customFormat="false" ht="15" hidden="false" customHeight="false" outlineLevel="0" collapsed="false">
      <c r="A10" s="0" t="s">
        <v>7</v>
      </c>
      <c r="B10" s="0" t="n">
        <v>1</v>
      </c>
      <c r="C10" s="3" t="n">
        <v>0</v>
      </c>
      <c r="D10" s="3" t="n">
        <v>0</v>
      </c>
      <c r="E10" s="3" t="n">
        <v>0</v>
      </c>
      <c r="F10" s="7" t="n">
        <f aca="false">IF(Inputs_Global!$D$5="Base",C10,IF(Inputs_Global!$D$5="High",D10,E10))</f>
        <v>0</v>
      </c>
    </row>
    <row r="11" customFormat="false" ht="15" hidden="false" customHeight="false" outlineLevel="0" collapsed="false">
      <c r="A11" s="0" t="s">
        <v>7</v>
      </c>
      <c r="B11" s="0" t="n">
        <v>2</v>
      </c>
      <c r="C11" s="3" t="n">
        <v>1007</v>
      </c>
      <c r="D11" s="3" t="n">
        <v>1208</v>
      </c>
      <c r="E11" s="3" t="n">
        <v>805</v>
      </c>
      <c r="F11" s="7" t="n">
        <f aca="false">IF(Inputs_Global!$D$5="Base",C11,IF(Inputs_Global!$D$5="High",D11,E11))</f>
        <v>1007</v>
      </c>
    </row>
    <row r="12" customFormat="false" ht="15" hidden="false" customHeight="false" outlineLevel="0" collapsed="false">
      <c r="A12" s="0" t="s">
        <v>7</v>
      </c>
      <c r="B12" s="0" t="n">
        <v>3</v>
      </c>
      <c r="C12" s="3" t="n">
        <v>0</v>
      </c>
      <c r="D12" s="3" t="n">
        <v>0</v>
      </c>
      <c r="E12" s="3" t="n">
        <v>0</v>
      </c>
      <c r="F12" s="7" t="n">
        <f aca="false">IF(Inputs_Global!$D$5="Base",C12,IF(Inputs_Global!$D$5="High",D12,E12))</f>
        <v>0</v>
      </c>
    </row>
    <row r="13" customFormat="false" ht="15" hidden="false" customHeight="false" outlineLevel="0" collapsed="false">
      <c r="A13" s="0" t="s">
        <v>7</v>
      </c>
      <c r="B13" s="0" t="n">
        <v>4</v>
      </c>
      <c r="C13" s="3" t="n">
        <v>1007</v>
      </c>
      <c r="D13" s="3" t="n">
        <v>1208</v>
      </c>
      <c r="E13" s="3" t="n">
        <v>805</v>
      </c>
      <c r="F13" s="7" t="n">
        <f aca="false">IF(Inputs_Global!$D$5="Base",C13,IF(Inputs_Global!$D$5="High",D13,E13))</f>
        <v>1007</v>
      </c>
    </row>
    <row r="14" customFormat="false" ht="15" hidden="false" customHeight="false" outlineLevel="0" collapsed="false">
      <c r="A14" s="0" t="s">
        <v>7</v>
      </c>
      <c r="B14" s="0" t="n">
        <v>5</v>
      </c>
      <c r="C14" s="3" t="n">
        <v>0</v>
      </c>
      <c r="D14" s="3" t="n">
        <v>0</v>
      </c>
      <c r="E14" s="3" t="n">
        <v>0</v>
      </c>
      <c r="F14" s="7" t="n">
        <f aca="false">IF(Inputs_Global!$D$5="Base",C14,IF(Inputs_Global!$D$5="High",D14,E14))</f>
        <v>0</v>
      </c>
    </row>
    <row r="15" customFormat="false" ht="15" hidden="false" customHeight="false" outlineLevel="0" collapsed="false">
      <c r="A15" s="0" t="s">
        <v>7</v>
      </c>
      <c r="B15" s="0" t="n">
        <v>6</v>
      </c>
      <c r="C15" s="3" t="n">
        <v>1007</v>
      </c>
      <c r="D15" s="3" t="n">
        <v>1208</v>
      </c>
      <c r="E15" s="3" t="n">
        <v>805</v>
      </c>
      <c r="F15" s="7" t="n">
        <f aca="false">IF(Inputs_Global!$D$5="Base",C15,IF(Inputs_Global!$D$5="High",D15,E15))</f>
        <v>1007</v>
      </c>
    </row>
    <row r="16" customFormat="false" ht="15" hidden="false" customHeight="false" outlineLevel="0" collapsed="false">
      <c r="A16" s="0" t="s">
        <v>7</v>
      </c>
      <c r="B16" s="0" t="n">
        <v>7</v>
      </c>
      <c r="C16" s="3" t="n">
        <v>0</v>
      </c>
      <c r="D16" s="3" t="n">
        <v>0</v>
      </c>
      <c r="E16" s="3" t="n">
        <v>0</v>
      </c>
      <c r="F16" s="7" t="n">
        <f aca="false">IF(Inputs_Global!$D$5="Base",C16,IF(Inputs_Global!$D$5="High",D16,E16))</f>
        <v>0</v>
      </c>
    </row>
    <row r="17" customFormat="false" ht="15" hidden="false" customHeight="false" outlineLevel="0" collapsed="false">
      <c r="A17" s="0" t="s">
        <v>7</v>
      </c>
      <c r="B17" s="0" t="n">
        <v>8</v>
      </c>
      <c r="C17" s="3" t="n">
        <v>1007</v>
      </c>
      <c r="D17" s="3" t="n">
        <v>1208</v>
      </c>
      <c r="E17" s="3" t="n">
        <v>805</v>
      </c>
      <c r="F17" s="7" t="n">
        <f aca="false">IF(Inputs_Global!$D$5="Base",C17,IF(Inputs_Global!$D$5="High",D17,E17))</f>
        <v>1007</v>
      </c>
    </row>
    <row r="18" customFormat="false" ht="15" hidden="false" customHeight="false" outlineLevel="0" collapsed="false">
      <c r="A18" s="0" t="s">
        <v>9</v>
      </c>
      <c r="B18" s="0" t="n">
        <v>1</v>
      </c>
      <c r="C18" s="3" t="n">
        <v>0</v>
      </c>
      <c r="D18" s="3" t="n">
        <v>0</v>
      </c>
      <c r="E18" s="3" t="n">
        <v>0</v>
      </c>
      <c r="F18" s="7" t="n">
        <f aca="false">IF(Inputs_Global!$D$5="Base",C18,IF(Inputs_Global!$D$5="High",D18,E18))</f>
        <v>0</v>
      </c>
    </row>
    <row r="19" customFormat="false" ht="15" hidden="false" customHeight="false" outlineLevel="0" collapsed="false">
      <c r="A19" s="0" t="s">
        <v>9</v>
      </c>
      <c r="B19" s="0" t="n">
        <v>2</v>
      </c>
      <c r="C19" s="3" t="n">
        <v>1100</v>
      </c>
      <c r="D19" s="3" t="n">
        <v>1320</v>
      </c>
      <c r="E19" s="3" t="n">
        <v>880</v>
      </c>
      <c r="F19" s="7" t="n">
        <f aca="false">IF(Inputs_Global!$D$5="Base",C19,IF(Inputs_Global!$D$5="High",D19,E19))</f>
        <v>1100</v>
      </c>
    </row>
    <row r="20" customFormat="false" ht="15" hidden="false" customHeight="false" outlineLevel="0" collapsed="false">
      <c r="A20" s="0" t="s">
        <v>9</v>
      </c>
      <c r="B20" s="0" t="n">
        <v>3</v>
      </c>
      <c r="C20" s="3" t="n">
        <v>0</v>
      </c>
      <c r="D20" s="3" t="n">
        <v>0</v>
      </c>
      <c r="E20" s="3" t="n">
        <v>0</v>
      </c>
      <c r="F20" s="7" t="n">
        <f aca="false">IF(Inputs_Global!$D$5="Base",C20,IF(Inputs_Global!$D$5="High",D20,E20))</f>
        <v>0</v>
      </c>
    </row>
    <row r="21" customFormat="false" ht="15" hidden="false" customHeight="false" outlineLevel="0" collapsed="false">
      <c r="A21" s="0" t="s">
        <v>9</v>
      </c>
      <c r="B21" s="0" t="n">
        <v>4</v>
      </c>
      <c r="C21" s="3" t="n">
        <v>1100</v>
      </c>
      <c r="D21" s="3" t="n">
        <v>1320</v>
      </c>
      <c r="E21" s="3" t="n">
        <v>880</v>
      </c>
      <c r="F21" s="7" t="n">
        <f aca="false">IF(Inputs_Global!$D$5="Base",C21,IF(Inputs_Global!$D$5="High",D21,E21))</f>
        <v>1100</v>
      </c>
    </row>
    <row r="22" customFormat="false" ht="15" hidden="false" customHeight="false" outlineLevel="0" collapsed="false">
      <c r="A22" s="0" t="s">
        <v>9</v>
      </c>
      <c r="B22" s="0" t="n">
        <v>5</v>
      </c>
      <c r="C22" s="3" t="n">
        <v>0</v>
      </c>
      <c r="D22" s="3" t="n">
        <v>0</v>
      </c>
      <c r="E22" s="3" t="n">
        <v>0</v>
      </c>
      <c r="F22" s="7" t="n">
        <f aca="false">IF(Inputs_Global!$D$5="Base",C22,IF(Inputs_Global!$D$5="High",D22,E22))</f>
        <v>0</v>
      </c>
    </row>
    <row r="23" customFormat="false" ht="15" hidden="false" customHeight="false" outlineLevel="0" collapsed="false">
      <c r="A23" s="0" t="s">
        <v>9</v>
      </c>
      <c r="B23" s="0" t="n">
        <v>6</v>
      </c>
      <c r="C23" s="3" t="n">
        <v>1100</v>
      </c>
      <c r="D23" s="3" t="n">
        <v>1320</v>
      </c>
      <c r="E23" s="3" t="n">
        <v>880</v>
      </c>
      <c r="F23" s="7" t="n">
        <f aca="false">IF(Inputs_Global!$D$5="Base",C23,IF(Inputs_Global!$D$5="High",D23,E23))</f>
        <v>1100</v>
      </c>
    </row>
    <row r="24" customFormat="false" ht="15" hidden="false" customHeight="false" outlineLevel="0" collapsed="false">
      <c r="A24" s="0" t="s">
        <v>9</v>
      </c>
      <c r="B24" s="0" t="n">
        <v>7</v>
      </c>
      <c r="C24" s="3" t="n">
        <v>0</v>
      </c>
      <c r="D24" s="3" t="n">
        <v>0</v>
      </c>
      <c r="E24" s="3" t="n">
        <v>0</v>
      </c>
      <c r="F24" s="7" t="n">
        <f aca="false">IF(Inputs_Global!$D$5="Base",C24,IF(Inputs_Global!$D$5="High",D24,E24))</f>
        <v>0</v>
      </c>
    </row>
    <row r="25" customFormat="false" ht="15" hidden="false" customHeight="false" outlineLevel="0" collapsed="false">
      <c r="A25" s="0" t="s">
        <v>9</v>
      </c>
      <c r="B25" s="0" t="n">
        <v>8</v>
      </c>
      <c r="C25" s="3" t="n">
        <v>1100</v>
      </c>
      <c r="D25" s="3" t="n">
        <v>1320</v>
      </c>
      <c r="E25" s="3" t="n">
        <v>880</v>
      </c>
      <c r="F25" s="7" t="n">
        <f aca="false">IF(Inputs_Global!$D$5="Base",C25,IF(Inputs_Global!$D$5="High",D25,E25))</f>
        <v>1100</v>
      </c>
    </row>
    <row r="26" customFormat="false" ht="15" hidden="false" customHeight="false" outlineLevel="0" collapsed="false">
      <c r="A26" s="0" t="s">
        <v>11</v>
      </c>
      <c r="B26" s="0" t="n">
        <v>1</v>
      </c>
      <c r="C26" s="3" t="n">
        <v>0</v>
      </c>
      <c r="D26" s="3" t="n">
        <v>0</v>
      </c>
      <c r="E26" s="3" t="n">
        <v>0</v>
      </c>
      <c r="F26" s="7" t="n">
        <f aca="false">IF(Inputs_Global!$D$5="Base",C26,IF(Inputs_Global!$D$5="High",D26,E26))</f>
        <v>0</v>
      </c>
    </row>
    <row r="27" customFormat="false" ht="15" hidden="false" customHeight="false" outlineLevel="0" collapsed="false">
      <c r="A27" s="0" t="s">
        <v>11</v>
      </c>
      <c r="B27" s="0" t="n">
        <v>2</v>
      </c>
      <c r="C27" s="3" t="n">
        <v>0</v>
      </c>
      <c r="D27" s="3" t="n">
        <v>0</v>
      </c>
      <c r="E27" s="3" t="n">
        <v>0</v>
      </c>
      <c r="F27" s="7" t="n">
        <f aca="false">IF(Inputs_Global!$D$5="Base",C27,IF(Inputs_Global!$D$5="High",D27,E27))</f>
        <v>0</v>
      </c>
    </row>
    <row r="28" customFormat="false" ht="15" hidden="false" customHeight="false" outlineLevel="0" collapsed="false">
      <c r="A28" s="0" t="s">
        <v>11</v>
      </c>
      <c r="B28" s="0" t="n">
        <v>3</v>
      </c>
      <c r="C28" s="3" t="n">
        <v>0</v>
      </c>
      <c r="D28" s="3" t="n">
        <v>0</v>
      </c>
      <c r="E28" s="3" t="n">
        <v>0</v>
      </c>
      <c r="F28" s="7" t="n">
        <f aca="false">IF(Inputs_Global!$D$5="Base",C28,IF(Inputs_Global!$D$5="High",D28,E28))</f>
        <v>0</v>
      </c>
    </row>
    <row r="29" customFormat="false" ht="15" hidden="false" customHeight="false" outlineLevel="0" collapsed="false">
      <c r="A29" s="0" t="s">
        <v>11</v>
      </c>
      <c r="B29" s="0" t="n">
        <v>4</v>
      </c>
      <c r="C29" s="3" t="n">
        <v>0</v>
      </c>
      <c r="D29" s="3" t="n">
        <v>0</v>
      </c>
      <c r="E29" s="3" t="n">
        <v>0</v>
      </c>
      <c r="F29" s="7" t="n">
        <f aca="false">IF(Inputs_Global!$D$5="Base",C29,IF(Inputs_Global!$D$5="High",D29,E29))</f>
        <v>0</v>
      </c>
    </row>
    <row r="30" customFormat="false" ht="15" hidden="false" customHeight="false" outlineLevel="0" collapsed="false">
      <c r="A30" s="0" t="s">
        <v>11</v>
      </c>
      <c r="B30" s="0" t="n">
        <v>5</v>
      </c>
      <c r="C30" s="3" t="n">
        <v>0</v>
      </c>
      <c r="D30" s="3" t="n">
        <v>0</v>
      </c>
      <c r="E30" s="3" t="n">
        <v>0</v>
      </c>
      <c r="F30" s="7" t="n">
        <f aca="false">IF(Inputs_Global!$D$5="Base",C30,IF(Inputs_Global!$D$5="High",D30,E30))</f>
        <v>0</v>
      </c>
    </row>
    <row r="31" customFormat="false" ht="15" hidden="false" customHeight="false" outlineLevel="0" collapsed="false">
      <c r="A31" s="0" t="s">
        <v>11</v>
      </c>
      <c r="B31" s="0" t="n">
        <v>6</v>
      </c>
      <c r="C31" s="3" t="n">
        <v>0</v>
      </c>
      <c r="D31" s="3" t="n">
        <v>0</v>
      </c>
      <c r="E31" s="3" t="n">
        <v>0</v>
      </c>
      <c r="F31" s="7" t="n">
        <f aca="false">IF(Inputs_Global!$D$5="Base",C31,IF(Inputs_Global!$D$5="High",D31,E31))</f>
        <v>0</v>
      </c>
    </row>
    <row r="32" customFormat="false" ht="15" hidden="false" customHeight="false" outlineLevel="0" collapsed="false">
      <c r="A32" s="0" t="s">
        <v>11</v>
      </c>
      <c r="B32" s="0" t="n">
        <v>7</v>
      </c>
      <c r="C32" s="3" t="n">
        <v>0</v>
      </c>
      <c r="D32" s="3" t="n">
        <v>0</v>
      </c>
      <c r="E32" s="3" t="n">
        <v>0</v>
      </c>
      <c r="F32" s="7" t="n">
        <f aca="false">IF(Inputs_Global!$D$5="Base",C32,IF(Inputs_Global!$D$5="High",D32,E32))</f>
        <v>0</v>
      </c>
    </row>
    <row r="33" customFormat="false" ht="15" hidden="false" customHeight="false" outlineLevel="0" collapsed="false">
      <c r="A33" s="0" t="s">
        <v>11</v>
      </c>
      <c r="B33" s="0" t="n">
        <v>8</v>
      </c>
      <c r="C33" s="3" t="n">
        <v>0</v>
      </c>
      <c r="D33" s="3" t="n">
        <v>0</v>
      </c>
      <c r="E33" s="3" t="n">
        <v>0</v>
      </c>
      <c r="F33" s="7" t="n">
        <f aca="false">IF(Inputs_Global!$D$5="Base",C33,IF(Inputs_Global!$D$5="High",D33,E33))</f>
        <v>0</v>
      </c>
    </row>
    <row r="34" customFormat="false" ht="15" hidden="false" customHeight="false" outlineLevel="0" collapsed="false">
      <c r="A34" s="0" t="s">
        <v>14</v>
      </c>
      <c r="B34" s="0" t="n">
        <v>1</v>
      </c>
      <c r="C34" s="3" t="n">
        <v>0</v>
      </c>
      <c r="D34" s="3" t="n">
        <v>0</v>
      </c>
      <c r="E34" s="3" t="n">
        <v>0</v>
      </c>
      <c r="F34" s="7" t="n">
        <f aca="false">IF(Inputs_Global!$D$5="Base",C34,IF(Inputs_Global!$D$5="High",D34,E34))</f>
        <v>0</v>
      </c>
    </row>
    <row r="35" customFormat="false" ht="15" hidden="false" customHeight="false" outlineLevel="0" collapsed="false">
      <c r="A35" s="0" t="s">
        <v>14</v>
      </c>
      <c r="B35" s="0" t="n">
        <v>2</v>
      </c>
      <c r="C35" s="3" t="n">
        <v>0</v>
      </c>
      <c r="D35" s="3" t="n">
        <v>0</v>
      </c>
      <c r="E35" s="3" t="n">
        <v>0</v>
      </c>
      <c r="F35" s="7" t="n">
        <f aca="false">IF(Inputs_Global!$D$5="Base",C35,IF(Inputs_Global!$D$5="High",D35,E35))</f>
        <v>0</v>
      </c>
    </row>
    <row r="36" customFormat="false" ht="15" hidden="false" customHeight="false" outlineLevel="0" collapsed="false">
      <c r="A36" s="0" t="s">
        <v>14</v>
      </c>
      <c r="B36" s="0" t="n">
        <v>3</v>
      </c>
      <c r="C36" s="3" t="n">
        <v>0</v>
      </c>
      <c r="D36" s="3" t="n">
        <v>0</v>
      </c>
      <c r="E36" s="3" t="n">
        <v>0</v>
      </c>
      <c r="F36" s="7" t="n">
        <f aca="false">IF(Inputs_Global!$D$5="Base",C36,IF(Inputs_Global!$D$5="High",D36,E36))</f>
        <v>0</v>
      </c>
    </row>
    <row r="37" customFormat="false" ht="15" hidden="false" customHeight="false" outlineLevel="0" collapsed="false">
      <c r="A37" s="0" t="s">
        <v>14</v>
      </c>
      <c r="B37" s="0" t="n">
        <v>4</v>
      </c>
      <c r="C37" s="3" t="n">
        <v>0</v>
      </c>
      <c r="D37" s="3" t="n">
        <v>0</v>
      </c>
      <c r="E37" s="3" t="n">
        <v>0</v>
      </c>
      <c r="F37" s="7" t="n">
        <f aca="false">IF(Inputs_Global!$D$5="Base",C37,IF(Inputs_Global!$D$5="High",D37,E37))</f>
        <v>0</v>
      </c>
    </row>
    <row r="38" customFormat="false" ht="15" hidden="false" customHeight="false" outlineLevel="0" collapsed="false">
      <c r="A38" s="0" t="s">
        <v>14</v>
      </c>
      <c r="B38" s="0" t="n">
        <v>5</v>
      </c>
      <c r="C38" s="3" t="n">
        <v>0</v>
      </c>
      <c r="D38" s="3" t="n">
        <v>0</v>
      </c>
      <c r="E38" s="3" t="n">
        <v>0</v>
      </c>
      <c r="F38" s="7" t="n">
        <f aca="false">IF(Inputs_Global!$D$5="Base",C38,IF(Inputs_Global!$D$5="High",D38,E38))</f>
        <v>0</v>
      </c>
    </row>
    <row r="39" customFormat="false" ht="15" hidden="false" customHeight="false" outlineLevel="0" collapsed="false">
      <c r="A39" s="0" t="s">
        <v>14</v>
      </c>
      <c r="B39" s="0" t="n">
        <v>6</v>
      </c>
      <c r="C39" s="3" t="n">
        <v>0</v>
      </c>
      <c r="D39" s="3" t="n">
        <v>0</v>
      </c>
      <c r="E39" s="3" t="n">
        <v>0</v>
      </c>
      <c r="F39" s="7" t="n">
        <f aca="false">IF(Inputs_Global!$D$5="Base",C39,IF(Inputs_Global!$D$5="High",D39,E39))</f>
        <v>0</v>
      </c>
    </row>
    <row r="40" customFormat="false" ht="15" hidden="false" customHeight="false" outlineLevel="0" collapsed="false">
      <c r="A40" s="0" t="s">
        <v>14</v>
      </c>
      <c r="B40" s="0" t="n">
        <v>7</v>
      </c>
      <c r="C40" s="3" t="n">
        <v>0</v>
      </c>
      <c r="D40" s="3" t="n">
        <v>0</v>
      </c>
      <c r="E40" s="3" t="n">
        <v>0</v>
      </c>
      <c r="F40" s="7" t="n">
        <f aca="false">IF(Inputs_Global!$D$5="Base",C40,IF(Inputs_Global!$D$5="High",D40,E40))</f>
        <v>0</v>
      </c>
    </row>
    <row r="41" customFormat="false" ht="15" hidden="false" customHeight="false" outlineLevel="0" collapsed="false">
      <c r="A41" s="0" t="s">
        <v>14</v>
      </c>
      <c r="B41" s="0" t="n">
        <v>8</v>
      </c>
      <c r="C41" s="3" t="n">
        <v>0</v>
      </c>
      <c r="D41" s="3" t="n">
        <v>0</v>
      </c>
      <c r="E41" s="3" t="n">
        <v>0</v>
      </c>
      <c r="F41" s="7" t="n">
        <f aca="false">IF(Inputs_Global!$D$5="Base",C41,IF(Inputs_Global!$D$5="High",D41,E41))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5"/>
  </cols>
  <sheetData>
    <row r="1" customFormat="false" ht="15" hidden="false" customHeight="false" outlineLevel="0" collapsed="false">
      <c r="A1" s="6" t="s">
        <v>5</v>
      </c>
      <c r="B1" s="6" t="s">
        <v>19</v>
      </c>
      <c r="C1" s="6" t="s">
        <v>24</v>
      </c>
    </row>
    <row r="2" customFormat="false" ht="15" hidden="false" customHeight="false" outlineLevel="0" collapsed="false">
      <c r="A2" s="0" t="s">
        <v>3</v>
      </c>
      <c r="B2" s="0" t="n">
        <v>1</v>
      </c>
      <c r="C2" s="3" t="n">
        <v>1500</v>
      </c>
    </row>
    <row r="3" customFormat="false" ht="15" hidden="false" customHeight="false" outlineLevel="0" collapsed="false">
      <c r="A3" s="0" t="s">
        <v>3</v>
      </c>
      <c r="B3" s="0" t="n">
        <v>2</v>
      </c>
      <c r="C3" s="3" t="n">
        <v>1500</v>
      </c>
    </row>
    <row r="4" customFormat="false" ht="15" hidden="false" customHeight="false" outlineLevel="0" collapsed="false">
      <c r="A4" s="0" t="s">
        <v>3</v>
      </c>
      <c r="B4" s="0" t="n">
        <v>3</v>
      </c>
      <c r="C4" s="3" t="n">
        <v>1500</v>
      </c>
    </row>
    <row r="5" customFormat="false" ht="15" hidden="false" customHeight="false" outlineLevel="0" collapsed="false">
      <c r="A5" s="0" t="s">
        <v>3</v>
      </c>
      <c r="B5" s="0" t="n">
        <v>4</v>
      </c>
      <c r="C5" s="3" t="n">
        <v>1500</v>
      </c>
    </row>
    <row r="6" customFormat="false" ht="15" hidden="false" customHeight="false" outlineLevel="0" collapsed="false">
      <c r="A6" s="0" t="s">
        <v>3</v>
      </c>
      <c r="B6" s="0" t="n">
        <v>5</v>
      </c>
      <c r="C6" s="3" t="n">
        <v>1500</v>
      </c>
    </row>
    <row r="7" customFormat="false" ht="15" hidden="false" customHeight="false" outlineLevel="0" collapsed="false">
      <c r="A7" s="0" t="s">
        <v>3</v>
      </c>
      <c r="B7" s="0" t="n">
        <v>6</v>
      </c>
      <c r="C7" s="3" t="n">
        <v>1500</v>
      </c>
    </row>
    <row r="8" customFormat="false" ht="15" hidden="false" customHeight="false" outlineLevel="0" collapsed="false">
      <c r="A8" s="0" t="s">
        <v>3</v>
      </c>
      <c r="B8" s="0" t="n">
        <v>7</v>
      </c>
      <c r="C8" s="3" t="n">
        <v>1500</v>
      </c>
    </row>
    <row r="9" customFormat="false" ht="15" hidden="false" customHeight="false" outlineLevel="0" collapsed="false">
      <c r="A9" s="0" t="s">
        <v>3</v>
      </c>
      <c r="B9" s="0" t="n">
        <v>8</v>
      </c>
      <c r="C9" s="3" t="n">
        <v>1500</v>
      </c>
    </row>
    <row r="10" customFormat="false" ht="15" hidden="false" customHeight="false" outlineLevel="0" collapsed="false">
      <c r="A10" s="0" t="s">
        <v>7</v>
      </c>
      <c r="B10" s="0" t="n">
        <v>1</v>
      </c>
      <c r="C10" s="3" t="n">
        <v>350</v>
      </c>
    </row>
    <row r="11" customFormat="false" ht="15" hidden="false" customHeight="false" outlineLevel="0" collapsed="false">
      <c r="A11" s="0" t="s">
        <v>7</v>
      </c>
      <c r="B11" s="0" t="n">
        <v>2</v>
      </c>
      <c r="C11" s="3" t="n">
        <v>350</v>
      </c>
    </row>
    <row r="12" customFormat="false" ht="15" hidden="false" customHeight="false" outlineLevel="0" collapsed="false">
      <c r="A12" s="0" t="s">
        <v>7</v>
      </c>
      <c r="B12" s="0" t="n">
        <v>3</v>
      </c>
      <c r="C12" s="3" t="n">
        <v>350</v>
      </c>
    </row>
    <row r="13" customFormat="false" ht="15" hidden="false" customHeight="false" outlineLevel="0" collapsed="false">
      <c r="A13" s="0" t="s">
        <v>7</v>
      </c>
      <c r="B13" s="0" t="n">
        <v>4</v>
      </c>
      <c r="C13" s="3" t="n">
        <v>350</v>
      </c>
    </row>
    <row r="14" customFormat="false" ht="15" hidden="false" customHeight="false" outlineLevel="0" collapsed="false">
      <c r="A14" s="0" t="s">
        <v>7</v>
      </c>
      <c r="B14" s="0" t="n">
        <v>5</v>
      </c>
      <c r="C14" s="3" t="n">
        <v>350</v>
      </c>
    </row>
    <row r="15" customFormat="false" ht="15" hidden="false" customHeight="false" outlineLevel="0" collapsed="false">
      <c r="A15" s="0" t="s">
        <v>7</v>
      </c>
      <c r="B15" s="0" t="n">
        <v>6</v>
      </c>
      <c r="C15" s="3" t="n">
        <v>350</v>
      </c>
    </row>
    <row r="16" customFormat="false" ht="15" hidden="false" customHeight="false" outlineLevel="0" collapsed="false">
      <c r="A16" s="0" t="s">
        <v>7</v>
      </c>
      <c r="B16" s="0" t="n">
        <v>7</v>
      </c>
      <c r="C16" s="3" t="n">
        <v>350</v>
      </c>
    </row>
    <row r="17" customFormat="false" ht="15" hidden="false" customHeight="false" outlineLevel="0" collapsed="false">
      <c r="A17" s="0" t="s">
        <v>7</v>
      </c>
      <c r="B17" s="0" t="n">
        <v>8</v>
      </c>
      <c r="C17" s="3" t="n">
        <v>350</v>
      </c>
    </row>
    <row r="18" customFormat="false" ht="15" hidden="false" customHeight="false" outlineLevel="0" collapsed="false">
      <c r="A18" s="0" t="s">
        <v>9</v>
      </c>
      <c r="B18" s="0" t="n">
        <v>1</v>
      </c>
      <c r="C18" s="3" t="n">
        <v>0</v>
      </c>
    </row>
    <row r="19" customFormat="false" ht="15" hidden="false" customHeight="false" outlineLevel="0" collapsed="false">
      <c r="A19" s="0" t="s">
        <v>9</v>
      </c>
      <c r="B19" s="0" t="n">
        <v>2</v>
      </c>
      <c r="C19" s="3" t="n">
        <v>0</v>
      </c>
    </row>
    <row r="20" customFormat="false" ht="15" hidden="false" customHeight="false" outlineLevel="0" collapsed="false">
      <c r="A20" s="0" t="s">
        <v>9</v>
      </c>
      <c r="B20" s="0" t="n">
        <v>3</v>
      </c>
      <c r="C20" s="3" t="n">
        <v>0</v>
      </c>
    </row>
    <row r="21" customFormat="false" ht="15" hidden="false" customHeight="false" outlineLevel="0" collapsed="false">
      <c r="A21" s="0" t="s">
        <v>9</v>
      </c>
      <c r="B21" s="0" t="n">
        <v>4</v>
      </c>
      <c r="C21" s="3" t="n">
        <v>0</v>
      </c>
    </row>
    <row r="22" customFormat="false" ht="15" hidden="false" customHeight="false" outlineLevel="0" collapsed="false">
      <c r="A22" s="0" t="s">
        <v>9</v>
      </c>
      <c r="B22" s="0" t="n">
        <v>5</v>
      </c>
      <c r="C22" s="3" t="n">
        <v>0</v>
      </c>
    </row>
    <row r="23" customFormat="false" ht="15" hidden="false" customHeight="false" outlineLevel="0" collapsed="false">
      <c r="A23" s="0" t="s">
        <v>9</v>
      </c>
      <c r="B23" s="0" t="n">
        <v>6</v>
      </c>
      <c r="C23" s="3" t="n">
        <v>0</v>
      </c>
    </row>
    <row r="24" customFormat="false" ht="15" hidden="false" customHeight="false" outlineLevel="0" collapsed="false">
      <c r="A24" s="0" t="s">
        <v>9</v>
      </c>
      <c r="B24" s="0" t="n">
        <v>7</v>
      </c>
      <c r="C24" s="3" t="n">
        <v>0</v>
      </c>
    </row>
    <row r="25" customFormat="false" ht="15" hidden="false" customHeight="false" outlineLevel="0" collapsed="false">
      <c r="A25" s="0" t="s">
        <v>9</v>
      </c>
      <c r="B25" s="0" t="n">
        <v>8</v>
      </c>
      <c r="C25" s="3" t="n">
        <v>0</v>
      </c>
    </row>
    <row r="26" customFormat="false" ht="15" hidden="false" customHeight="false" outlineLevel="0" collapsed="false">
      <c r="A26" s="0" t="s">
        <v>11</v>
      </c>
      <c r="B26" s="0" t="n">
        <v>1</v>
      </c>
      <c r="C26" s="3" t="n">
        <v>0</v>
      </c>
    </row>
    <row r="27" customFormat="false" ht="15" hidden="false" customHeight="false" outlineLevel="0" collapsed="false">
      <c r="A27" s="0" t="s">
        <v>11</v>
      </c>
      <c r="B27" s="0" t="n">
        <v>2</v>
      </c>
      <c r="C27" s="3" t="n">
        <v>0</v>
      </c>
    </row>
    <row r="28" customFormat="false" ht="15" hidden="false" customHeight="false" outlineLevel="0" collapsed="false">
      <c r="A28" s="0" t="s">
        <v>11</v>
      </c>
      <c r="B28" s="0" t="n">
        <v>3</v>
      </c>
      <c r="C28" s="3" t="n">
        <v>0</v>
      </c>
    </row>
    <row r="29" customFormat="false" ht="15" hidden="false" customHeight="false" outlineLevel="0" collapsed="false">
      <c r="A29" s="0" t="s">
        <v>11</v>
      </c>
      <c r="B29" s="0" t="n">
        <v>4</v>
      </c>
      <c r="C29" s="3" t="n">
        <v>0</v>
      </c>
    </row>
    <row r="30" customFormat="false" ht="15" hidden="false" customHeight="false" outlineLevel="0" collapsed="false">
      <c r="A30" s="0" t="s">
        <v>11</v>
      </c>
      <c r="B30" s="0" t="n">
        <v>5</v>
      </c>
      <c r="C30" s="3" t="n">
        <v>0</v>
      </c>
    </row>
    <row r="31" customFormat="false" ht="15" hidden="false" customHeight="false" outlineLevel="0" collapsed="false">
      <c r="A31" s="0" t="s">
        <v>11</v>
      </c>
      <c r="B31" s="0" t="n">
        <v>6</v>
      </c>
      <c r="C31" s="3" t="n">
        <v>0</v>
      </c>
    </row>
    <row r="32" customFormat="false" ht="15" hidden="false" customHeight="false" outlineLevel="0" collapsed="false">
      <c r="A32" s="0" t="s">
        <v>11</v>
      </c>
      <c r="B32" s="0" t="n">
        <v>7</v>
      </c>
      <c r="C32" s="3" t="n">
        <v>0</v>
      </c>
    </row>
    <row r="33" customFormat="false" ht="15" hidden="false" customHeight="false" outlineLevel="0" collapsed="false">
      <c r="A33" s="0" t="s">
        <v>11</v>
      </c>
      <c r="B33" s="0" t="n">
        <v>8</v>
      </c>
      <c r="C33" s="3" t="n">
        <v>0</v>
      </c>
    </row>
    <row r="34" customFormat="false" ht="15" hidden="false" customHeight="false" outlineLevel="0" collapsed="false">
      <c r="A34" s="0" t="s">
        <v>14</v>
      </c>
      <c r="B34" s="0" t="n">
        <v>1</v>
      </c>
      <c r="C34" s="3" t="n">
        <v>0</v>
      </c>
    </row>
    <row r="35" customFormat="false" ht="15" hidden="false" customHeight="false" outlineLevel="0" collapsed="false">
      <c r="A35" s="0" t="s">
        <v>14</v>
      </c>
      <c r="B35" s="0" t="n">
        <v>2</v>
      </c>
      <c r="C35" s="3" t="n">
        <v>0</v>
      </c>
    </row>
    <row r="36" customFormat="false" ht="15" hidden="false" customHeight="false" outlineLevel="0" collapsed="false">
      <c r="A36" s="0" t="s">
        <v>14</v>
      </c>
      <c r="B36" s="0" t="n">
        <v>3</v>
      </c>
      <c r="C36" s="3" t="n">
        <v>0</v>
      </c>
    </row>
    <row r="37" customFormat="false" ht="15" hidden="false" customHeight="false" outlineLevel="0" collapsed="false">
      <c r="A37" s="0" t="s">
        <v>14</v>
      </c>
      <c r="B37" s="0" t="n">
        <v>4</v>
      </c>
      <c r="C37" s="3" t="n">
        <v>0</v>
      </c>
    </row>
    <row r="38" customFormat="false" ht="15" hidden="false" customHeight="false" outlineLevel="0" collapsed="false">
      <c r="A38" s="0" t="s">
        <v>14</v>
      </c>
      <c r="B38" s="0" t="n">
        <v>5</v>
      </c>
      <c r="C38" s="3" t="n">
        <v>0</v>
      </c>
    </row>
    <row r="39" customFormat="false" ht="15" hidden="false" customHeight="false" outlineLevel="0" collapsed="false">
      <c r="A39" s="0" t="s">
        <v>14</v>
      </c>
      <c r="B39" s="0" t="n">
        <v>6</v>
      </c>
      <c r="C39" s="3" t="n">
        <v>0</v>
      </c>
    </row>
    <row r="40" customFormat="false" ht="15" hidden="false" customHeight="false" outlineLevel="0" collapsed="false">
      <c r="A40" s="0" t="s">
        <v>14</v>
      </c>
      <c r="B40" s="0" t="n">
        <v>7</v>
      </c>
      <c r="C40" s="3" t="n">
        <v>0</v>
      </c>
    </row>
    <row r="41" customFormat="false" ht="15" hidden="false" customHeight="false" outlineLevel="0" collapsed="false">
      <c r="A41" s="0" t="s">
        <v>14</v>
      </c>
      <c r="B41" s="0" t="n">
        <v>8</v>
      </c>
      <c r="C41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</cols>
  <sheetData>
    <row r="1" customFormat="false" ht="28.35" hidden="false" customHeight="false" outlineLevel="0" collapsed="false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G1" s="4" t="s">
        <v>30</v>
      </c>
    </row>
    <row r="2" customFormat="false" ht="15" hidden="false" customHeight="false" outlineLevel="0" collapsed="false">
      <c r="A2" s="3" t="s">
        <v>3</v>
      </c>
      <c r="B2" s="3" t="s">
        <v>7</v>
      </c>
      <c r="C2" s="3" t="s">
        <v>31</v>
      </c>
      <c r="D2" s="3" t="s">
        <v>32</v>
      </c>
      <c r="E2" s="3" t="n">
        <v>19.2</v>
      </c>
      <c r="G2" s="5" t="s">
        <v>33</v>
      </c>
    </row>
    <row r="3" customFormat="false" ht="15" hidden="false" customHeight="false" outlineLevel="0" collapsed="false">
      <c r="A3" s="3" t="s">
        <v>3</v>
      </c>
      <c r="B3" s="3" t="s">
        <v>7</v>
      </c>
      <c r="C3" s="3" t="s">
        <v>31</v>
      </c>
      <c r="D3" s="3" t="s">
        <v>34</v>
      </c>
      <c r="E3" s="3" t="n">
        <v>19.2</v>
      </c>
      <c r="G3" s="5" t="s">
        <v>35</v>
      </c>
    </row>
    <row r="4" customFormat="false" ht="15" hidden="false" customHeight="false" outlineLevel="0" collapsed="false">
      <c r="A4" s="3" t="s">
        <v>3</v>
      </c>
      <c r="B4" s="3" t="s">
        <v>7</v>
      </c>
      <c r="C4" s="3" t="s">
        <v>31</v>
      </c>
      <c r="D4" s="3" t="s">
        <v>36</v>
      </c>
      <c r="E4" s="3" t="n">
        <v>19.2</v>
      </c>
      <c r="G4" s="5" t="s">
        <v>37</v>
      </c>
    </row>
    <row r="5" customFormat="false" ht="15" hidden="false" customHeight="false" outlineLevel="0" collapsed="false">
      <c r="A5" s="3" t="s">
        <v>3</v>
      </c>
      <c r="B5" s="3" t="s">
        <v>7</v>
      </c>
      <c r="C5" s="3" t="s">
        <v>38</v>
      </c>
      <c r="D5" s="3" t="s">
        <v>32</v>
      </c>
      <c r="E5" s="3" t="n">
        <v>18</v>
      </c>
    </row>
    <row r="6" customFormat="false" ht="15" hidden="false" customHeight="false" outlineLevel="0" collapsed="false">
      <c r="A6" s="3" t="s">
        <v>3</v>
      </c>
      <c r="B6" s="3" t="s">
        <v>7</v>
      </c>
      <c r="C6" s="3" t="s">
        <v>38</v>
      </c>
      <c r="D6" s="3" t="s">
        <v>34</v>
      </c>
      <c r="E6" s="3" t="n">
        <v>16.8</v>
      </c>
    </row>
    <row r="7" customFormat="false" ht="15" hidden="false" customHeight="false" outlineLevel="0" collapsed="false">
      <c r="A7" s="3" t="s">
        <v>3</v>
      </c>
      <c r="B7" s="3" t="s">
        <v>7</v>
      </c>
      <c r="C7" s="3" t="s">
        <v>38</v>
      </c>
      <c r="D7" s="3" t="s">
        <v>36</v>
      </c>
      <c r="E7" s="3" t="n">
        <v>15.6</v>
      </c>
    </row>
    <row r="8" customFormat="false" ht="15" hidden="false" customHeight="false" outlineLevel="0" collapsed="false">
      <c r="A8" s="3" t="s">
        <v>3</v>
      </c>
      <c r="B8" s="3" t="s">
        <v>7</v>
      </c>
      <c r="C8" s="3" t="s">
        <v>39</v>
      </c>
      <c r="D8" s="3" t="s">
        <v>32</v>
      </c>
      <c r="E8" s="3" t="n">
        <v>13.2</v>
      </c>
    </row>
    <row r="9" customFormat="false" ht="15" hidden="false" customHeight="false" outlineLevel="0" collapsed="false">
      <c r="A9" s="3" t="s">
        <v>3</v>
      </c>
      <c r="B9" s="3" t="s">
        <v>7</v>
      </c>
      <c r="C9" s="3" t="s">
        <v>39</v>
      </c>
      <c r="D9" s="3" t="s">
        <v>34</v>
      </c>
      <c r="E9" s="3" t="n">
        <v>12</v>
      </c>
    </row>
    <row r="10" customFormat="false" ht="15" hidden="false" customHeight="false" outlineLevel="0" collapsed="false">
      <c r="A10" s="3" t="s">
        <v>3</v>
      </c>
      <c r="B10" s="3" t="s">
        <v>7</v>
      </c>
      <c r="C10" s="3" t="s">
        <v>39</v>
      </c>
      <c r="D10" s="3" t="s">
        <v>36</v>
      </c>
      <c r="E10" s="3" t="n">
        <v>10.8</v>
      </c>
    </row>
    <row r="11" customFormat="false" ht="15" hidden="false" customHeight="false" outlineLevel="0" collapsed="false">
      <c r="A11" s="3" t="s">
        <v>3</v>
      </c>
      <c r="B11" s="3" t="s">
        <v>9</v>
      </c>
      <c r="C11" s="3" t="s">
        <v>31</v>
      </c>
      <c r="D11" s="3" t="s">
        <v>32</v>
      </c>
      <c r="E11" s="3" t="n">
        <v>26.4</v>
      </c>
    </row>
    <row r="12" customFormat="false" ht="15" hidden="false" customHeight="false" outlineLevel="0" collapsed="false">
      <c r="A12" s="3" t="s">
        <v>3</v>
      </c>
      <c r="B12" s="3" t="s">
        <v>9</v>
      </c>
      <c r="C12" s="3" t="s">
        <v>31</v>
      </c>
      <c r="D12" s="3" t="s">
        <v>34</v>
      </c>
      <c r="E12" s="3" t="n">
        <v>26.4</v>
      </c>
    </row>
    <row r="13" customFormat="false" ht="15" hidden="false" customHeight="false" outlineLevel="0" collapsed="false">
      <c r="A13" s="3" t="s">
        <v>3</v>
      </c>
      <c r="B13" s="3" t="s">
        <v>9</v>
      </c>
      <c r="C13" s="3" t="s">
        <v>31</v>
      </c>
      <c r="D13" s="3" t="s">
        <v>36</v>
      </c>
      <c r="E13" s="3" t="n">
        <v>26.4</v>
      </c>
    </row>
    <row r="14" customFormat="false" ht="15" hidden="false" customHeight="false" outlineLevel="0" collapsed="false">
      <c r="A14" s="3" t="s">
        <v>3</v>
      </c>
      <c r="B14" s="3" t="s">
        <v>9</v>
      </c>
      <c r="C14" s="3" t="s">
        <v>38</v>
      </c>
      <c r="D14" s="3" t="s">
        <v>32</v>
      </c>
      <c r="E14" s="3" t="n">
        <v>20.16</v>
      </c>
    </row>
    <row r="15" customFormat="false" ht="15" hidden="false" customHeight="false" outlineLevel="0" collapsed="false">
      <c r="A15" s="3" t="s">
        <v>3</v>
      </c>
      <c r="B15" s="3" t="s">
        <v>9</v>
      </c>
      <c r="C15" s="3" t="s">
        <v>38</v>
      </c>
      <c r="D15" s="3" t="s">
        <v>34</v>
      </c>
      <c r="E15" s="3" t="n">
        <v>18.96</v>
      </c>
    </row>
    <row r="16" customFormat="false" ht="15" hidden="false" customHeight="false" outlineLevel="0" collapsed="false">
      <c r="A16" s="3" t="s">
        <v>3</v>
      </c>
      <c r="B16" s="3" t="s">
        <v>9</v>
      </c>
      <c r="C16" s="3" t="s">
        <v>38</v>
      </c>
      <c r="D16" s="3" t="s">
        <v>36</v>
      </c>
      <c r="E16" s="3" t="n">
        <v>18.48</v>
      </c>
    </row>
    <row r="17" customFormat="false" ht="15" hidden="false" customHeight="false" outlineLevel="0" collapsed="false">
      <c r="A17" s="3" t="s">
        <v>3</v>
      </c>
      <c r="B17" s="3" t="s">
        <v>9</v>
      </c>
      <c r="C17" s="3" t="s">
        <v>39</v>
      </c>
      <c r="D17" s="3" t="s">
        <v>32</v>
      </c>
      <c r="E17" s="3" t="n">
        <v>19.69</v>
      </c>
    </row>
    <row r="18" customFormat="false" ht="15" hidden="false" customHeight="false" outlineLevel="0" collapsed="false">
      <c r="A18" s="3" t="s">
        <v>3</v>
      </c>
      <c r="B18" s="3" t="s">
        <v>9</v>
      </c>
      <c r="C18" s="3" t="s">
        <v>39</v>
      </c>
      <c r="D18" s="3" t="s">
        <v>34</v>
      </c>
      <c r="E18" s="3" t="n">
        <v>18.24</v>
      </c>
    </row>
    <row r="19" customFormat="false" ht="15" hidden="false" customHeight="false" outlineLevel="0" collapsed="false">
      <c r="A19" s="3" t="s">
        <v>3</v>
      </c>
      <c r="B19" s="3" t="s">
        <v>9</v>
      </c>
      <c r="C19" s="3" t="s">
        <v>39</v>
      </c>
      <c r="D19" s="3" t="s">
        <v>36</v>
      </c>
      <c r="E19" s="3" t="n">
        <v>14.4</v>
      </c>
    </row>
    <row r="20" customFormat="false" ht="15" hidden="false" customHeight="false" outlineLevel="0" collapsed="false">
      <c r="A20" s="3" t="s">
        <v>3</v>
      </c>
      <c r="B20" s="3" t="s">
        <v>11</v>
      </c>
      <c r="C20" s="3" t="s">
        <v>31</v>
      </c>
      <c r="D20" s="3" t="s">
        <v>32</v>
      </c>
      <c r="E20" s="3" t="n">
        <v>49.2</v>
      </c>
    </row>
    <row r="21" customFormat="false" ht="15" hidden="false" customHeight="false" outlineLevel="0" collapsed="false">
      <c r="A21" s="3" t="s">
        <v>3</v>
      </c>
      <c r="B21" s="3" t="s">
        <v>11</v>
      </c>
      <c r="C21" s="3" t="s">
        <v>31</v>
      </c>
      <c r="D21" s="3" t="s">
        <v>34</v>
      </c>
      <c r="E21" s="3" t="n">
        <v>49.2</v>
      </c>
    </row>
    <row r="22" customFormat="false" ht="15" hidden="false" customHeight="false" outlineLevel="0" collapsed="false">
      <c r="A22" s="3" t="s">
        <v>3</v>
      </c>
      <c r="B22" s="3" t="s">
        <v>11</v>
      </c>
      <c r="C22" s="3" t="s">
        <v>31</v>
      </c>
      <c r="D22" s="3" t="s">
        <v>36</v>
      </c>
      <c r="E22" s="3" t="n">
        <v>49.2</v>
      </c>
    </row>
    <row r="23" customFormat="false" ht="15" hidden="false" customHeight="false" outlineLevel="0" collapsed="false">
      <c r="A23" s="3" t="s">
        <v>3</v>
      </c>
      <c r="B23" s="3" t="s">
        <v>11</v>
      </c>
      <c r="C23" s="3" t="s">
        <v>38</v>
      </c>
      <c r="D23" s="3" t="s">
        <v>32</v>
      </c>
      <c r="E23" s="3" t="n">
        <v>47.52</v>
      </c>
    </row>
    <row r="24" customFormat="false" ht="15" hidden="false" customHeight="false" outlineLevel="0" collapsed="false">
      <c r="A24" s="3" t="s">
        <v>3</v>
      </c>
      <c r="B24" s="3" t="s">
        <v>11</v>
      </c>
      <c r="C24" s="3" t="s">
        <v>38</v>
      </c>
      <c r="D24" s="3" t="s">
        <v>34</v>
      </c>
      <c r="E24" s="3" t="n">
        <v>43.52</v>
      </c>
    </row>
    <row r="25" customFormat="false" ht="15" hidden="false" customHeight="false" outlineLevel="0" collapsed="false">
      <c r="A25" s="3" t="s">
        <v>3</v>
      </c>
      <c r="B25" s="3" t="s">
        <v>11</v>
      </c>
      <c r="C25" s="3" t="s">
        <v>38</v>
      </c>
      <c r="D25" s="3" t="s">
        <v>36</v>
      </c>
      <c r="E25" s="3" t="n">
        <v>40.8</v>
      </c>
    </row>
    <row r="26" customFormat="false" ht="15" hidden="false" customHeight="false" outlineLevel="0" collapsed="false">
      <c r="A26" s="3" t="s">
        <v>3</v>
      </c>
      <c r="B26" s="3" t="s">
        <v>11</v>
      </c>
      <c r="C26" s="3" t="s">
        <v>39</v>
      </c>
      <c r="D26" s="3" t="s">
        <v>32</v>
      </c>
      <c r="E26" s="3" t="n">
        <v>46.32</v>
      </c>
    </row>
    <row r="27" customFormat="false" ht="15" hidden="false" customHeight="false" outlineLevel="0" collapsed="false">
      <c r="A27" s="3" t="s">
        <v>3</v>
      </c>
      <c r="B27" s="3" t="s">
        <v>11</v>
      </c>
      <c r="C27" s="3" t="s">
        <v>39</v>
      </c>
      <c r="D27" s="3" t="s">
        <v>34</v>
      </c>
      <c r="E27" s="3" t="n">
        <v>42</v>
      </c>
    </row>
    <row r="28" customFormat="false" ht="15" hidden="false" customHeight="false" outlineLevel="0" collapsed="false">
      <c r="A28" s="3" t="s">
        <v>3</v>
      </c>
      <c r="B28" s="3" t="s">
        <v>11</v>
      </c>
      <c r="C28" s="3" t="s">
        <v>39</v>
      </c>
      <c r="D28" s="3" t="s">
        <v>36</v>
      </c>
      <c r="E28" s="3" t="n">
        <v>39.6</v>
      </c>
    </row>
    <row r="29" customFormat="false" ht="15" hidden="false" customHeight="false" outlineLevel="0" collapsed="false">
      <c r="A29" s="3" t="s">
        <v>3</v>
      </c>
      <c r="B29" s="3" t="s">
        <v>14</v>
      </c>
      <c r="C29" s="3" t="s">
        <v>31</v>
      </c>
      <c r="D29" s="3" t="s">
        <v>32</v>
      </c>
      <c r="E29" s="3" t="n">
        <v>24</v>
      </c>
    </row>
    <row r="30" customFormat="false" ht="15" hidden="false" customHeight="false" outlineLevel="0" collapsed="false">
      <c r="A30" s="3" t="s">
        <v>3</v>
      </c>
      <c r="B30" s="3" t="s">
        <v>14</v>
      </c>
      <c r="C30" s="3" t="s">
        <v>31</v>
      </c>
      <c r="D30" s="3" t="s">
        <v>34</v>
      </c>
      <c r="E30" s="3" t="n">
        <v>24</v>
      </c>
    </row>
    <row r="31" customFormat="false" ht="15" hidden="false" customHeight="false" outlineLevel="0" collapsed="false">
      <c r="A31" s="3" t="s">
        <v>3</v>
      </c>
      <c r="B31" s="3" t="s">
        <v>14</v>
      </c>
      <c r="C31" s="3" t="s">
        <v>31</v>
      </c>
      <c r="D31" s="3" t="s">
        <v>36</v>
      </c>
      <c r="E31" s="3" t="n">
        <v>24</v>
      </c>
    </row>
    <row r="32" customFormat="false" ht="15" hidden="false" customHeight="false" outlineLevel="0" collapsed="false">
      <c r="A32" s="3" t="s">
        <v>3</v>
      </c>
      <c r="B32" s="3" t="s">
        <v>14</v>
      </c>
      <c r="C32" s="3" t="s">
        <v>38</v>
      </c>
      <c r="D32" s="3" t="s">
        <v>32</v>
      </c>
      <c r="E32" s="3" t="n">
        <v>18</v>
      </c>
    </row>
    <row r="33" customFormat="false" ht="15" hidden="false" customHeight="false" outlineLevel="0" collapsed="false">
      <c r="A33" s="3" t="s">
        <v>3</v>
      </c>
      <c r="B33" s="3" t="s">
        <v>14</v>
      </c>
      <c r="C33" s="3" t="s">
        <v>38</v>
      </c>
      <c r="D33" s="3" t="s">
        <v>34</v>
      </c>
      <c r="E33" s="3" t="n">
        <v>16.8</v>
      </c>
    </row>
    <row r="34" customFormat="false" ht="15" hidden="false" customHeight="false" outlineLevel="0" collapsed="false">
      <c r="A34" s="3" t="s">
        <v>3</v>
      </c>
      <c r="B34" s="3" t="s">
        <v>14</v>
      </c>
      <c r="C34" s="3" t="s">
        <v>38</v>
      </c>
      <c r="D34" s="3" t="s">
        <v>36</v>
      </c>
      <c r="E34" s="3" t="n">
        <v>16.32</v>
      </c>
    </row>
    <row r="35" customFormat="false" ht="15" hidden="false" customHeight="false" outlineLevel="0" collapsed="false">
      <c r="A35" s="3" t="s">
        <v>3</v>
      </c>
      <c r="B35" s="3" t="s">
        <v>14</v>
      </c>
      <c r="C35" s="3" t="s">
        <v>39</v>
      </c>
      <c r="D35" s="3" t="s">
        <v>32</v>
      </c>
      <c r="E35" s="3" t="n">
        <v>16.8</v>
      </c>
    </row>
    <row r="36" customFormat="false" ht="15" hidden="false" customHeight="false" outlineLevel="0" collapsed="false">
      <c r="A36" s="3" t="s">
        <v>3</v>
      </c>
      <c r="B36" s="3" t="s">
        <v>14</v>
      </c>
      <c r="C36" s="3" t="s">
        <v>39</v>
      </c>
      <c r="D36" s="3" t="s">
        <v>34</v>
      </c>
      <c r="E36" s="3" t="n">
        <v>15.6</v>
      </c>
    </row>
    <row r="37" customFormat="false" ht="15" hidden="false" customHeight="false" outlineLevel="0" collapsed="false">
      <c r="A37" s="3" t="s">
        <v>3</v>
      </c>
      <c r="B37" s="3" t="s">
        <v>14</v>
      </c>
      <c r="C37" s="3" t="s">
        <v>39</v>
      </c>
      <c r="D37" s="3" t="s">
        <v>36</v>
      </c>
      <c r="E37" s="3" t="n">
        <v>12.72</v>
      </c>
    </row>
    <row r="38" customFormat="false" ht="15" hidden="false" customHeight="false" outlineLevel="0" collapsed="false">
      <c r="A38" s="3" t="s">
        <v>7</v>
      </c>
      <c r="B38" s="3" t="s">
        <v>9</v>
      </c>
      <c r="C38" s="3" t="s">
        <v>31</v>
      </c>
      <c r="D38" s="3" t="s">
        <v>32</v>
      </c>
      <c r="E38" s="3" t="n">
        <v>25.2</v>
      </c>
    </row>
    <row r="39" customFormat="false" ht="15" hidden="false" customHeight="false" outlineLevel="0" collapsed="false">
      <c r="A39" s="3" t="s">
        <v>7</v>
      </c>
      <c r="B39" s="3" t="s">
        <v>9</v>
      </c>
      <c r="C39" s="3" t="s">
        <v>31</v>
      </c>
      <c r="D39" s="3" t="s">
        <v>34</v>
      </c>
      <c r="E39" s="3" t="n">
        <v>25.2</v>
      </c>
    </row>
    <row r="40" customFormat="false" ht="15" hidden="false" customHeight="false" outlineLevel="0" collapsed="false">
      <c r="A40" s="3" t="s">
        <v>7</v>
      </c>
      <c r="B40" s="3" t="s">
        <v>9</v>
      </c>
      <c r="C40" s="3" t="s">
        <v>31</v>
      </c>
      <c r="D40" s="3" t="s">
        <v>36</v>
      </c>
      <c r="E40" s="3" t="n">
        <v>25.2</v>
      </c>
    </row>
    <row r="41" customFormat="false" ht="15" hidden="false" customHeight="false" outlineLevel="0" collapsed="false">
      <c r="A41" s="3" t="s">
        <v>7</v>
      </c>
      <c r="B41" s="3" t="s">
        <v>9</v>
      </c>
      <c r="C41" s="3" t="s">
        <v>38</v>
      </c>
      <c r="D41" s="3" t="s">
        <v>32</v>
      </c>
      <c r="E41" s="3" t="n">
        <v>22.08</v>
      </c>
    </row>
    <row r="42" customFormat="false" ht="15" hidden="false" customHeight="false" outlineLevel="0" collapsed="false">
      <c r="A42" s="3" t="s">
        <v>7</v>
      </c>
      <c r="B42" s="3" t="s">
        <v>9</v>
      </c>
      <c r="C42" s="3" t="s">
        <v>38</v>
      </c>
      <c r="D42" s="3" t="s">
        <v>34</v>
      </c>
      <c r="E42" s="3" t="n">
        <v>21.6</v>
      </c>
    </row>
    <row r="43" customFormat="false" ht="15" hidden="false" customHeight="false" outlineLevel="0" collapsed="false">
      <c r="A43" s="3" t="s">
        <v>7</v>
      </c>
      <c r="B43" s="3" t="s">
        <v>9</v>
      </c>
      <c r="C43" s="3" t="s">
        <v>38</v>
      </c>
      <c r="D43" s="3" t="s">
        <v>36</v>
      </c>
      <c r="E43" s="3" t="n">
        <v>18</v>
      </c>
    </row>
    <row r="44" customFormat="false" ht="15" hidden="false" customHeight="false" outlineLevel="0" collapsed="false">
      <c r="A44" s="3" t="s">
        <v>7</v>
      </c>
      <c r="B44" s="3" t="s">
        <v>9</v>
      </c>
      <c r="C44" s="3" t="s">
        <v>39</v>
      </c>
      <c r="D44" s="3" t="s">
        <v>32</v>
      </c>
      <c r="E44" s="3" t="n">
        <v>20.4</v>
      </c>
    </row>
    <row r="45" customFormat="false" ht="15" hidden="false" customHeight="false" outlineLevel="0" collapsed="false">
      <c r="A45" s="3" t="s">
        <v>7</v>
      </c>
      <c r="B45" s="3" t="s">
        <v>9</v>
      </c>
      <c r="C45" s="3" t="s">
        <v>39</v>
      </c>
      <c r="D45" s="3" t="s">
        <v>34</v>
      </c>
      <c r="E45" s="3" t="n">
        <v>18</v>
      </c>
    </row>
    <row r="46" customFormat="false" ht="15" hidden="false" customHeight="false" outlineLevel="0" collapsed="false">
      <c r="A46" s="3" t="s">
        <v>7</v>
      </c>
      <c r="B46" s="3" t="s">
        <v>9</v>
      </c>
      <c r="C46" s="3" t="s">
        <v>39</v>
      </c>
      <c r="D46" s="3" t="s">
        <v>36</v>
      </c>
      <c r="E46" s="3" t="n">
        <v>16.8</v>
      </c>
    </row>
    <row r="47" customFormat="false" ht="15" hidden="false" customHeight="false" outlineLevel="0" collapsed="false">
      <c r="A47" s="3" t="s">
        <v>7</v>
      </c>
      <c r="B47" s="3" t="s">
        <v>11</v>
      </c>
      <c r="C47" s="3" t="s">
        <v>31</v>
      </c>
      <c r="D47" s="3" t="s">
        <v>32</v>
      </c>
      <c r="E47" s="3" t="n">
        <v>28.8</v>
      </c>
    </row>
    <row r="48" customFormat="false" ht="15" hidden="false" customHeight="false" outlineLevel="0" collapsed="false">
      <c r="A48" s="3" t="s">
        <v>7</v>
      </c>
      <c r="B48" s="3" t="s">
        <v>11</v>
      </c>
      <c r="C48" s="3" t="s">
        <v>31</v>
      </c>
      <c r="D48" s="3" t="s">
        <v>34</v>
      </c>
      <c r="E48" s="3" t="n">
        <v>28.8</v>
      </c>
    </row>
    <row r="49" customFormat="false" ht="15" hidden="false" customHeight="false" outlineLevel="0" collapsed="false">
      <c r="A49" s="3" t="s">
        <v>7</v>
      </c>
      <c r="B49" s="3" t="s">
        <v>11</v>
      </c>
      <c r="C49" s="3" t="s">
        <v>31</v>
      </c>
      <c r="D49" s="3" t="s">
        <v>36</v>
      </c>
      <c r="E49" s="3" t="n">
        <v>28.8</v>
      </c>
    </row>
    <row r="50" customFormat="false" ht="15" hidden="false" customHeight="false" outlineLevel="0" collapsed="false">
      <c r="A50" s="3" t="s">
        <v>7</v>
      </c>
      <c r="B50" s="3" t="s">
        <v>11</v>
      </c>
      <c r="C50" s="3" t="s">
        <v>38</v>
      </c>
      <c r="D50" s="3" t="s">
        <v>32</v>
      </c>
      <c r="E50" s="3" t="n">
        <v>28.32</v>
      </c>
    </row>
    <row r="51" customFormat="false" ht="15" hidden="false" customHeight="false" outlineLevel="0" collapsed="false">
      <c r="A51" s="3" t="s">
        <v>7</v>
      </c>
      <c r="B51" s="3" t="s">
        <v>11</v>
      </c>
      <c r="C51" s="3" t="s">
        <v>38</v>
      </c>
      <c r="D51" s="3" t="s">
        <v>34</v>
      </c>
      <c r="E51" s="3" t="n">
        <v>27.6</v>
      </c>
    </row>
    <row r="52" customFormat="false" ht="15" hidden="false" customHeight="false" outlineLevel="0" collapsed="false">
      <c r="A52" s="3" t="s">
        <v>7</v>
      </c>
      <c r="B52" s="3" t="s">
        <v>11</v>
      </c>
      <c r="C52" s="3" t="s">
        <v>38</v>
      </c>
      <c r="D52" s="3" t="s">
        <v>36</v>
      </c>
      <c r="E52" s="3" t="n">
        <v>26.64</v>
      </c>
    </row>
    <row r="53" customFormat="false" ht="15" hidden="false" customHeight="false" outlineLevel="0" collapsed="false">
      <c r="A53" s="3" t="s">
        <v>7</v>
      </c>
      <c r="B53" s="3" t="s">
        <v>11</v>
      </c>
      <c r="C53" s="3" t="s">
        <v>39</v>
      </c>
      <c r="D53" s="3" t="s">
        <v>32</v>
      </c>
      <c r="E53" s="3" t="n">
        <v>27.6</v>
      </c>
    </row>
    <row r="54" customFormat="false" ht="15" hidden="false" customHeight="false" outlineLevel="0" collapsed="false">
      <c r="A54" s="3" t="s">
        <v>7</v>
      </c>
      <c r="B54" s="3" t="s">
        <v>11</v>
      </c>
      <c r="C54" s="3" t="s">
        <v>39</v>
      </c>
      <c r="D54" s="3" t="s">
        <v>34</v>
      </c>
      <c r="E54" s="3" t="n">
        <v>26.4</v>
      </c>
    </row>
    <row r="55" customFormat="false" ht="15" hidden="false" customHeight="false" outlineLevel="0" collapsed="false">
      <c r="A55" s="3" t="s">
        <v>7</v>
      </c>
      <c r="B55" s="3" t="s">
        <v>11</v>
      </c>
      <c r="C55" s="3" t="s">
        <v>39</v>
      </c>
      <c r="D55" s="3" t="s">
        <v>36</v>
      </c>
      <c r="E55" s="3" t="n">
        <v>24.48</v>
      </c>
    </row>
    <row r="56" customFormat="false" ht="15" hidden="false" customHeight="false" outlineLevel="0" collapsed="false">
      <c r="A56" s="3" t="s">
        <v>7</v>
      </c>
      <c r="B56" s="3" t="s">
        <v>14</v>
      </c>
      <c r="C56" s="3" t="s">
        <v>31</v>
      </c>
      <c r="D56" s="3" t="s">
        <v>32</v>
      </c>
      <c r="E56" s="3" t="n">
        <v>34.8</v>
      </c>
    </row>
    <row r="57" customFormat="false" ht="15" hidden="false" customHeight="false" outlineLevel="0" collapsed="false">
      <c r="A57" s="3" t="s">
        <v>7</v>
      </c>
      <c r="B57" s="3" t="s">
        <v>14</v>
      </c>
      <c r="C57" s="3" t="s">
        <v>31</v>
      </c>
      <c r="D57" s="3" t="s">
        <v>34</v>
      </c>
      <c r="E57" s="3" t="n">
        <v>34.8</v>
      </c>
    </row>
    <row r="58" customFormat="false" ht="15" hidden="false" customHeight="false" outlineLevel="0" collapsed="false">
      <c r="A58" s="3" t="s">
        <v>7</v>
      </c>
      <c r="B58" s="3" t="s">
        <v>14</v>
      </c>
      <c r="C58" s="3" t="s">
        <v>31</v>
      </c>
      <c r="D58" s="3" t="s">
        <v>36</v>
      </c>
      <c r="E58" s="3" t="n">
        <v>34.8</v>
      </c>
    </row>
    <row r="59" customFormat="false" ht="15" hidden="false" customHeight="false" outlineLevel="0" collapsed="false">
      <c r="A59" s="3" t="s">
        <v>7</v>
      </c>
      <c r="B59" s="3" t="s">
        <v>14</v>
      </c>
      <c r="C59" s="3" t="s">
        <v>38</v>
      </c>
      <c r="D59" s="3" t="s">
        <v>32</v>
      </c>
      <c r="E59" s="3" t="n">
        <v>33.6</v>
      </c>
    </row>
    <row r="60" customFormat="false" ht="15" hidden="false" customHeight="false" outlineLevel="0" collapsed="false">
      <c r="A60" s="3" t="s">
        <v>7</v>
      </c>
      <c r="B60" s="3" t="s">
        <v>14</v>
      </c>
      <c r="C60" s="3" t="s">
        <v>38</v>
      </c>
      <c r="D60" s="3" t="s">
        <v>34</v>
      </c>
      <c r="E60" s="3" t="n">
        <v>32.4</v>
      </c>
    </row>
    <row r="61" customFormat="false" ht="15" hidden="false" customHeight="false" outlineLevel="0" collapsed="false">
      <c r="A61" s="3" t="s">
        <v>7</v>
      </c>
      <c r="B61" s="3" t="s">
        <v>14</v>
      </c>
      <c r="C61" s="3" t="s">
        <v>38</v>
      </c>
      <c r="D61" s="3" t="s">
        <v>36</v>
      </c>
      <c r="E61" s="3" t="n">
        <v>31.2</v>
      </c>
    </row>
    <row r="62" customFormat="false" ht="15" hidden="false" customHeight="false" outlineLevel="0" collapsed="false">
      <c r="A62" s="3" t="s">
        <v>7</v>
      </c>
      <c r="B62" s="3" t="s">
        <v>14</v>
      </c>
      <c r="C62" s="3" t="s">
        <v>39</v>
      </c>
      <c r="D62" s="3" t="s">
        <v>32</v>
      </c>
      <c r="E62" s="3" t="n">
        <v>32.4</v>
      </c>
    </row>
    <row r="63" customFormat="false" ht="15" hidden="false" customHeight="false" outlineLevel="0" collapsed="false">
      <c r="A63" s="3" t="s">
        <v>7</v>
      </c>
      <c r="B63" s="3" t="s">
        <v>14</v>
      </c>
      <c r="C63" s="3" t="s">
        <v>39</v>
      </c>
      <c r="D63" s="3" t="s">
        <v>34</v>
      </c>
      <c r="E63" s="3" t="n">
        <v>28.8</v>
      </c>
    </row>
    <row r="64" customFormat="false" ht="15" hidden="false" customHeight="false" outlineLevel="0" collapsed="false">
      <c r="A64" s="3" t="s">
        <v>7</v>
      </c>
      <c r="B64" s="3" t="s">
        <v>14</v>
      </c>
      <c r="C64" s="3" t="s">
        <v>39</v>
      </c>
      <c r="D64" s="3" t="s">
        <v>36</v>
      </c>
      <c r="E64" s="3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</cols>
  <sheetData>
    <row r="1" customFormat="false" ht="15" hidden="false" customHeight="false" outlineLevel="0" collapsed="false">
      <c r="A1" s="6" t="s">
        <v>25</v>
      </c>
      <c r="B1" s="6" t="s">
        <v>26</v>
      </c>
      <c r="C1" s="6" t="s">
        <v>27</v>
      </c>
      <c r="D1" s="6" t="s">
        <v>40</v>
      </c>
      <c r="E1" s="6" t="s">
        <v>41</v>
      </c>
      <c r="F1" s="6" t="s">
        <v>42</v>
      </c>
    </row>
    <row r="2" customFormat="false" ht="15" hidden="false" customHeight="false" outlineLevel="0" collapsed="false">
      <c r="A2" s="3" t="s">
        <v>3</v>
      </c>
      <c r="B2" s="3" t="s">
        <v>7</v>
      </c>
      <c r="C2" s="3" t="s">
        <v>31</v>
      </c>
      <c r="D2" s="3" t="n">
        <v>1</v>
      </c>
      <c r="E2" s="3" t="n">
        <v>1</v>
      </c>
      <c r="F2" s="7" t="n">
        <f aca="false">SUMIFS(E:E,A:A,A2,B:B,B2,C:C,C2,D:D,"&lt;="&amp;D2)</f>
        <v>1</v>
      </c>
    </row>
    <row r="3" customFormat="false" ht="15" hidden="false" customHeight="false" outlineLevel="0" collapsed="false">
      <c r="A3" s="3" t="s">
        <v>3</v>
      </c>
      <c r="B3" s="3" t="s">
        <v>9</v>
      </c>
      <c r="C3" s="3" t="s">
        <v>31</v>
      </c>
      <c r="D3" s="3" t="n">
        <v>1</v>
      </c>
      <c r="E3" s="3" t="n">
        <v>1</v>
      </c>
      <c r="F3" s="7" t="n">
        <f aca="false">SUMIFS(E:E,A:A,A3,B:B,B3,C:C,C3,D:D,"&lt;="&amp;D3)</f>
        <v>1</v>
      </c>
    </row>
    <row r="4" customFormat="false" ht="15" hidden="false" customHeight="false" outlineLevel="0" collapsed="false">
      <c r="A4" s="3" t="s">
        <v>3</v>
      </c>
      <c r="B4" s="3" t="s">
        <v>11</v>
      </c>
      <c r="C4" s="3" t="s">
        <v>31</v>
      </c>
      <c r="D4" s="3" t="n">
        <v>1</v>
      </c>
      <c r="E4" s="3" t="n">
        <v>1</v>
      </c>
      <c r="F4" s="7" t="n">
        <f aca="false">SUMIFS(E:E,A:A,A4,B:B,B4,C:C,C4,D:D,"&lt;="&amp;D4)</f>
        <v>1</v>
      </c>
    </row>
    <row r="5" customFormat="false" ht="15" hidden="false" customHeight="false" outlineLevel="0" collapsed="false">
      <c r="A5" s="3" t="s">
        <v>3</v>
      </c>
      <c r="B5" s="3" t="s">
        <v>14</v>
      </c>
      <c r="C5" s="3" t="s">
        <v>31</v>
      </c>
      <c r="D5" s="3" t="n">
        <v>1</v>
      </c>
      <c r="E5" s="3" t="n">
        <v>1</v>
      </c>
      <c r="F5" s="7" t="n">
        <f aca="false">SUMIFS(E:E,A:A,A5,B:B,B5,C:C,C5,D:D,"&lt;="&amp;D5)</f>
        <v>1</v>
      </c>
    </row>
    <row r="6" customFormat="false" ht="15" hidden="false" customHeight="false" outlineLevel="0" collapsed="false">
      <c r="A6" s="3" t="s">
        <v>7</v>
      </c>
      <c r="B6" s="3" t="s">
        <v>9</v>
      </c>
      <c r="C6" s="3" t="s">
        <v>31</v>
      </c>
      <c r="D6" s="3" t="n">
        <v>1</v>
      </c>
      <c r="E6" s="3" t="n">
        <v>1</v>
      </c>
      <c r="F6" s="7" t="n">
        <f aca="false">SUMIFS(E:E,A:A,A6,B:B,B6,C:C,C6,D:D,"&lt;="&amp;D6)</f>
        <v>1</v>
      </c>
    </row>
    <row r="7" customFormat="false" ht="15" hidden="false" customHeight="false" outlineLevel="0" collapsed="false">
      <c r="A7" s="3" t="s">
        <v>7</v>
      </c>
      <c r="B7" s="3" t="s">
        <v>11</v>
      </c>
      <c r="C7" s="3" t="s">
        <v>31</v>
      </c>
      <c r="D7" s="3" t="n">
        <v>1</v>
      </c>
      <c r="E7" s="3" t="n">
        <v>1</v>
      </c>
      <c r="F7" s="7" t="n">
        <f aca="false">SUMIFS(E:E,A:A,A7,B:B,B7,C:C,C7,D:D,"&lt;="&amp;D7)</f>
        <v>1</v>
      </c>
    </row>
    <row r="8" customFormat="false" ht="15" hidden="false" customHeight="false" outlineLevel="0" collapsed="false">
      <c r="A8" s="3" t="s">
        <v>7</v>
      </c>
      <c r="B8" s="3" t="s">
        <v>14</v>
      </c>
      <c r="C8" s="3" t="s">
        <v>31</v>
      </c>
      <c r="D8" s="3" t="n">
        <v>1</v>
      </c>
      <c r="E8" s="3" t="n">
        <v>1</v>
      </c>
      <c r="F8" s="7" t="n">
        <f aca="false">SUMIFS(E:E,A:A,A8,B:B,B8,C:C,C8,D:D,"&lt;="&amp;D8)</f>
        <v>1</v>
      </c>
    </row>
    <row r="9" customFormat="false" ht="15" hidden="false" customHeight="false" outlineLevel="0" collapsed="false">
      <c r="A9" s="3" t="s">
        <v>3</v>
      </c>
      <c r="B9" s="3" t="s">
        <v>7</v>
      </c>
      <c r="C9" s="3" t="s">
        <v>38</v>
      </c>
      <c r="D9" s="3" t="n">
        <v>1</v>
      </c>
      <c r="E9" s="3" t="n">
        <v>0.5</v>
      </c>
      <c r="F9" s="7" t="n">
        <f aca="false">SUMIFS(E:E,A:A,A9,B:B,B9,C:C,C9,D:D,"&lt;="&amp;D9)</f>
        <v>0.5</v>
      </c>
    </row>
    <row r="10" customFormat="false" ht="15" hidden="false" customHeight="false" outlineLevel="0" collapsed="false">
      <c r="A10" s="3" t="s">
        <v>3</v>
      </c>
      <c r="B10" s="3" t="s">
        <v>7</v>
      </c>
      <c r="C10" s="3" t="s">
        <v>38</v>
      </c>
      <c r="D10" s="3" t="n">
        <v>2</v>
      </c>
      <c r="E10" s="3" t="n">
        <v>0.5</v>
      </c>
      <c r="F10" s="7" t="n">
        <f aca="false">SUMIFS(E:E,A:A,A10,B:B,B10,C:C,C10,D:D,"&lt;="&amp;D10)</f>
        <v>1</v>
      </c>
    </row>
    <row r="11" customFormat="false" ht="15" hidden="false" customHeight="false" outlineLevel="0" collapsed="false">
      <c r="A11" s="3" t="s">
        <v>3</v>
      </c>
      <c r="B11" s="3" t="s">
        <v>7</v>
      </c>
      <c r="C11" s="3" t="s">
        <v>39</v>
      </c>
      <c r="D11" s="3" t="n">
        <v>2</v>
      </c>
      <c r="E11" s="3" t="n">
        <v>0.2</v>
      </c>
      <c r="F11" s="7" t="n">
        <f aca="false">SUMIFS(E:E,A:A,A11,B:B,B11,C:C,C11,D:D,"&lt;="&amp;D11)</f>
        <v>0.2</v>
      </c>
    </row>
    <row r="12" customFormat="false" ht="15" hidden="false" customHeight="false" outlineLevel="0" collapsed="false">
      <c r="A12" s="3" t="s">
        <v>3</v>
      </c>
      <c r="B12" s="3" t="s">
        <v>7</v>
      </c>
      <c r="C12" s="3" t="s">
        <v>39</v>
      </c>
      <c r="D12" s="3" t="n">
        <v>3</v>
      </c>
      <c r="E12" s="3" t="n">
        <v>0.3</v>
      </c>
      <c r="F12" s="7" t="n">
        <f aca="false">SUMIFS(E:E,A:A,A12,B:B,B12,C:C,C12,D:D,"&lt;="&amp;D12)</f>
        <v>0.5</v>
      </c>
    </row>
    <row r="13" customFormat="false" ht="15" hidden="false" customHeight="false" outlineLevel="0" collapsed="false">
      <c r="A13" s="3" t="s">
        <v>3</v>
      </c>
      <c r="B13" s="3" t="s">
        <v>7</v>
      </c>
      <c r="C13" s="3" t="s">
        <v>39</v>
      </c>
      <c r="D13" s="3" t="n">
        <v>4</v>
      </c>
      <c r="E13" s="3" t="n">
        <v>0.5</v>
      </c>
      <c r="F13" s="7" t="n">
        <f aca="false">SUMIFS(E:E,A:A,A13,B:B,B13,C:C,C13,D:D,"&lt;="&amp;D13)</f>
        <v>1</v>
      </c>
    </row>
    <row r="14" customFormat="false" ht="15" hidden="false" customHeight="false" outlineLevel="0" collapsed="false">
      <c r="A14" s="3" t="s">
        <v>3</v>
      </c>
      <c r="B14" s="3" t="s">
        <v>9</v>
      </c>
      <c r="C14" s="3" t="s">
        <v>38</v>
      </c>
      <c r="D14" s="3" t="n">
        <v>2</v>
      </c>
      <c r="E14" s="3" t="n">
        <v>1</v>
      </c>
      <c r="F14" s="7" t="n">
        <f aca="false">SUMIFS(E:E,A:A,A14,B:B,B14,C:C,C14,D:D,"&lt;="&amp;D14)</f>
        <v>1</v>
      </c>
    </row>
    <row r="15" customFormat="false" ht="15" hidden="false" customHeight="false" outlineLevel="0" collapsed="false">
      <c r="A15" s="3" t="s">
        <v>3</v>
      </c>
      <c r="B15" s="3" t="s">
        <v>9</v>
      </c>
      <c r="C15" s="3" t="s">
        <v>39</v>
      </c>
      <c r="D15" s="3" t="n">
        <v>3</v>
      </c>
      <c r="E15" s="3" t="n">
        <v>0.5</v>
      </c>
      <c r="F15" s="7" t="n">
        <f aca="false">SUMIFS(E:E,A:A,A15,B:B,B15,C:C,C15,D:D,"&lt;="&amp;D15)</f>
        <v>0.5</v>
      </c>
    </row>
    <row r="16" customFormat="false" ht="15" hidden="false" customHeight="false" outlineLevel="0" collapsed="false">
      <c r="A16" s="3" t="s">
        <v>3</v>
      </c>
      <c r="B16" s="3" t="s">
        <v>9</v>
      </c>
      <c r="C16" s="3" t="s">
        <v>39</v>
      </c>
      <c r="D16" s="3" t="n">
        <v>4</v>
      </c>
      <c r="E16" s="3" t="n">
        <v>0.5</v>
      </c>
      <c r="F16" s="7" t="n">
        <f aca="false">SUMIFS(E:E,A:A,A16,B:B,B16,C:C,C16,D:D,"&lt;="&amp;D16)</f>
        <v>1</v>
      </c>
    </row>
    <row r="17" customFormat="false" ht="15" hidden="false" customHeight="false" outlineLevel="0" collapsed="false">
      <c r="A17" s="3" t="s">
        <v>3</v>
      </c>
      <c r="B17" s="3" t="s">
        <v>11</v>
      </c>
      <c r="C17" s="3" t="s">
        <v>38</v>
      </c>
      <c r="D17" s="3" t="n">
        <v>3</v>
      </c>
      <c r="E17" s="3" t="n">
        <v>0.5</v>
      </c>
      <c r="F17" s="7" t="n">
        <f aca="false">SUMIFS(E:E,A:A,A17,B:B,B17,C:C,C17,D:D,"&lt;="&amp;D17)</f>
        <v>0.5</v>
      </c>
    </row>
    <row r="18" customFormat="false" ht="15" hidden="false" customHeight="false" outlineLevel="0" collapsed="false">
      <c r="A18" s="3" t="s">
        <v>3</v>
      </c>
      <c r="B18" s="3" t="s">
        <v>11</v>
      </c>
      <c r="C18" s="3" t="s">
        <v>38</v>
      </c>
      <c r="D18" s="3" t="n">
        <v>4</v>
      </c>
      <c r="E18" s="3" t="n">
        <v>0.5</v>
      </c>
      <c r="F18" s="7" t="n">
        <f aca="false">SUMIFS(E:E,A:A,A18,B:B,B18,C:C,C18,D:D,"&lt;="&amp;D18)</f>
        <v>1</v>
      </c>
    </row>
    <row r="19" customFormat="false" ht="15" hidden="false" customHeight="false" outlineLevel="0" collapsed="false">
      <c r="A19" s="3" t="s">
        <v>3</v>
      </c>
      <c r="B19" s="3" t="s">
        <v>11</v>
      </c>
      <c r="C19" s="3" t="s">
        <v>39</v>
      </c>
      <c r="D19" s="3" t="n">
        <v>4</v>
      </c>
      <c r="E19" s="3" t="n">
        <v>0.25</v>
      </c>
      <c r="F19" s="7" t="n">
        <f aca="false">SUMIFS(E:E,A:A,A19,B:B,B19,C:C,C19,D:D,"&lt;="&amp;D19)</f>
        <v>0.25</v>
      </c>
    </row>
    <row r="20" customFormat="false" ht="15" hidden="false" customHeight="false" outlineLevel="0" collapsed="false">
      <c r="A20" s="3" t="s">
        <v>3</v>
      </c>
      <c r="B20" s="3" t="s">
        <v>11</v>
      </c>
      <c r="C20" s="3" t="s">
        <v>39</v>
      </c>
      <c r="D20" s="3" t="n">
        <v>5</v>
      </c>
      <c r="E20" s="3" t="n">
        <v>0.5</v>
      </c>
      <c r="F20" s="7" t="n">
        <f aca="false">SUMIFS(E:E,A:A,A20,B:B,B20,C:C,C20,D:D,"&lt;="&amp;D20)</f>
        <v>0.75</v>
      </c>
    </row>
    <row r="21" customFormat="false" ht="15" hidden="false" customHeight="false" outlineLevel="0" collapsed="false">
      <c r="A21" s="3" t="s">
        <v>3</v>
      </c>
      <c r="B21" s="3" t="s">
        <v>11</v>
      </c>
      <c r="C21" s="3" t="s">
        <v>39</v>
      </c>
      <c r="D21" s="3" t="n">
        <v>6</v>
      </c>
      <c r="E21" s="3" t="n">
        <v>0.25</v>
      </c>
      <c r="F21" s="7" t="n">
        <f aca="false">SUMIFS(E:E,A:A,A21,B:B,B21,C:C,C21,D:D,"&lt;="&amp;D21)</f>
        <v>1</v>
      </c>
    </row>
    <row r="22" customFormat="false" ht="15" hidden="false" customHeight="false" outlineLevel="0" collapsed="false">
      <c r="A22" s="3" t="s">
        <v>3</v>
      </c>
      <c r="B22" s="3" t="s">
        <v>14</v>
      </c>
      <c r="C22" s="3" t="s">
        <v>38</v>
      </c>
      <c r="D22" s="3" t="n">
        <v>2</v>
      </c>
      <c r="E22" s="3" t="n">
        <v>1</v>
      </c>
      <c r="F22" s="7" t="n">
        <f aca="false">SUMIFS(E:E,A:A,A22,B:B,B22,C:C,C22,D:D,"&lt;="&amp;D22)</f>
        <v>1</v>
      </c>
    </row>
    <row r="23" customFormat="false" ht="15" hidden="false" customHeight="false" outlineLevel="0" collapsed="false">
      <c r="A23" s="3" t="s">
        <v>3</v>
      </c>
      <c r="B23" s="3" t="s">
        <v>14</v>
      </c>
      <c r="C23" s="3" t="s">
        <v>39</v>
      </c>
      <c r="D23" s="3" t="n">
        <v>3</v>
      </c>
      <c r="E23" s="3" t="n">
        <v>0.5</v>
      </c>
      <c r="F23" s="7" t="n">
        <f aca="false">SUMIFS(E:E,A:A,A23,B:B,B23,C:C,C23,D:D,"&lt;="&amp;D23)</f>
        <v>0.5</v>
      </c>
    </row>
    <row r="24" customFormat="false" ht="15" hidden="false" customHeight="false" outlineLevel="0" collapsed="false">
      <c r="A24" s="3" t="s">
        <v>3</v>
      </c>
      <c r="B24" s="3" t="s">
        <v>14</v>
      </c>
      <c r="C24" s="3" t="s">
        <v>39</v>
      </c>
      <c r="D24" s="3" t="n">
        <v>4</v>
      </c>
      <c r="E24" s="3" t="n">
        <v>0.5</v>
      </c>
      <c r="F24" s="7" t="n">
        <f aca="false">SUMIFS(E:E,A:A,A24,B:B,B24,C:C,C24,D:D,"&lt;="&amp;D24)</f>
        <v>1</v>
      </c>
    </row>
    <row r="25" customFormat="false" ht="15" hidden="false" customHeight="false" outlineLevel="0" collapsed="false">
      <c r="A25" s="3" t="s">
        <v>7</v>
      </c>
      <c r="B25" s="3" t="s">
        <v>9</v>
      </c>
      <c r="C25" s="3" t="s">
        <v>38</v>
      </c>
      <c r="D25" s="3" t="n">
        <v>2</v>
      </c>
      <c r="E25" s="3" t="n">
        <v>1</v>
      </c>
      <c r="F25" s="7" t="n">
        <f aca="false">SUMIFS(E:E,A:A,A25,B:B,B25,C:C,C25,D:D,"&lt;="&amp;D25)</f>
        <v>1</v>
      </c>
    </row>
    <row r="26" customFormat="false" ht="15" hidden="false" customHeight="false" outlineLevel="0" collapsed="false">
      <c r="A26" s="3" t="s">
        <v>7</v>
      </c>
      <c r="B26" s="3" t="s">
        <v>9</v>
      </c>
      <c r="C26" s="3" t="s">
        <v>39</v>
      </c>
      <c r="D26" s="3" t="n">
        <v>3</v>
      </c>
      <c r="E26" s="3" t="n">
        <v>0.5</v>
      </c>
      <c r="F26" s="7" t="n">
        <f aca="false">SUMIFS(E:E,A:A,A26,B:B,B26,C:C,C26,D:D,"&lt;="&amp;D26)</f>
        <v>0.5</v>
      </c>
    </row>
    <row r="27" customFormat="false" ht="15" hidden="false" customHeight="false" outlineLevel="0" collapsed="false">
      <c r="A27" s="3" t="s">
        <v>7</v>
      </c>
      <c r="B27" s="3" t="s">
        <v>9</v>
      </c>
      <c r="C27" s="3" t="s">
        <v>39</v>
      </c>
      <c r="D27" s="3" t="n">
        <v>4</v>
      </c>
      <c r="E27" s="3" t="n">
        <v>0.5</v>
      </c>
      <c r="F27" s="7" t="n">
        <f aca="false">SUMIFS(E:E,A:A,A27,B:B,B27,C:C,C27,D:D,"&lt;="&amp;D27)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>
  </sheetFormatPr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5" min="3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4" min="14" style="0" width="16"/>
    <col collapsed="false" customWidth="true" hidden="false" outlineLevel="0" max="16" min="15" style="0" width="14"/>
    <col collapsed="false" customWidth="true" hidden="false" outlineLevel="0" max="17" min="17" style="0" width="16"/>
  </cols>
  <sheetData>
    <row r="1" customFormat="false" ht="28.35" hidden="false" customHeight="false" outlineLevel="0" collapsed="false">
      <c r="A1" s="6" t="s">
        <v>43</v>
      </c>
      <c r="B1" s="6" t="s">
        <v>44</v>
      </c>
      <c r="C1" s="6" t="s">
        <v>45</v>
      </c>
      <c r="D1" s="6" t="s">
        <v>25</v>
      </c>
      <c r="E1" s="6" t="s">
        <v>26</v>
      </c>
      <c r="F1" s="6" t="s">
        <v>27</v>
      </c>
      <c r="G1" s="6" t="s">
        <v>46</v>
      </c>
      <c r="H1" s="6" t="s">
        <v>28</v>
      </c>
      <c r="I1" s="6" t="s">
        <v>29</v>
      </c>
      <c r="J1" s="6" t="s">
        <v>47</v>
      </c>
      <c r="K1" s="6" t="s">
        <v>48</v>
      </c>
      <c r="L1" s="6" t="s">
        <v>49</v>
      </c>
      <c r="M1" s="6" t="s">
        <v>50</v>
      </c>
      <c r="N1" s="6" t="s">
        <v>51</v>
      </c>
      <c r="O1" s="6" t="s">
        <v>52</v>
      </c>
      <c r="P1" s="6" t="s">
        <v>53</v>
      </c>
      <c r="Q1" s="6" t="s">
        <v>54</v>
      </c>
    </row>
    <row r="2" customFormat="false" ht="15" hidden="false" customHeight="false" outlineLevel="0" collapsed="false">
      <c r="A2" s="3" t="s">
        <v>55</v>
      </c>
      <c r="B2" s="3" t="n">
        <v>1</v>
      </c>
      <c r="C2" s="3" t="n">
        <v>1</v>
      </c>
      <c r="D2" s="3" t="s">
        <v>3</v>
      </c>
      <c r="E2" s="3" t="s">
        <v>7</v>
      </c>
      <c r="F2" s="3" t="s">
        <v>39</v>
      </c>
      <c r="G2" s="3" t="n">
        <v>571</v>
      </c>
      <c r="H2" s="7" t="str">
        <f aca="false">IF(G2&lt;1000,"S",IF(G2&lt;2000,"M","L"))</f>
        <v>S</v>
      </c>
      <c r="I2" s="7" t="n">
        <f aca="false">IFERROR(INDEX(Transport_Costs!E:E,MATCH(1,(Transport_Costs!A:A=D2)*(Transport_Costs!B:B=E2)*(Transport_Costs!C:C=F2)*(Transport_Costs!D:D=H2),0)),0)</f>
        <v>13.2</v>
      </c>
      <c r="J2" s="7" t="n">
        <f aca="false">G2*I2</f>
        <v>7537.2</v>
      </c>
      <c r="K2" s="7" t="n">
        <f aca="false">IFERROR(SUMPRODUCT((LeadTime_Probs!A$2:A$100=D2)*(LeadTime_Probs!B$2:B$100=E2)*(LeadTime_Probs!C$2:C$100=F2)*LeadTime_Probs!D$2:D$100*LeadTime_Probs!E$2:E$100)/SUMPRODUCT((LeadTime_Probs!A$2:A$100=D2)*(LeadTime_Probs!B$2:B$100=E2)*(LeadTime_Probs!C$2:C$100=F2)*LeadTime_Probs!E$2:E$100),1)</f>
        <v>3.3</v>
      </c>
      <c r="L2" s="7" t="n">
        <f aca="false">C2+ROUND(K2,0)</f>
        <v>4</v>
      </c>
      <c r="M2" s="3"/>
      <c r="N2" s="7" t="str">
        <f aca="false">IF(M2="","",IFERROR(SUMPRODUCT((LeadTime_Probs!A$2:A$100=D2)*(LeadTime_Probs!B$2:B$100=E2)*(LeadTime_Probs!C$2:C$100=F2)*(LeadTime_Probs!D$2:D$100&lt;=(M2-C2))*LeadTime_Probs!E$2:E$100),0))</f>
        <v>
        </v>
      </c>
      <c r="O2" s="8" t="n">
        <f aca="false">MAX(0,MIN(G2,IFERROR(SUMIFS(Inventory_Flow!G:G,Inventory_Flow!A:A,D2,Inventory_Flow!B:B,C2),0)-SUMIFS(ShipPlan!G:G,ShipPlan!D:D,D2,ShipPlan!C:C,C2,ShipPlan!B:B,"&lt;"&amp;B2)))</f>
        <v>571</v>
      </c>
      <c r="P2" s="7" t="n">
        <f aca="false">G2-O2</f>
        <v>0</v>
      </c>
      <c r="Q2" s="7" t="n">
        <f aca="false">O2*I2</f>
        <v>7537.2</v>
      </c>
    </row>
    <row r="3" customFormat="false" ht="15" hidden="false" customHeight="false" outlineLevel="0" collapsed="false">
      <c r="A3" s="3" t="s">
        <v>56</v>
      </c>
      <c r="B3" s="3" t="n">
        <v>2</v>
      </c>
      <c r="C3" s="3" t="n">
        <v>2</v>
      </c>
      <c r="D3" s="3" t="s">
        <v>3</v>
      </c>
      <c r="E3" s="3" t="s">
        <v>9</v>
      </c>
      <c r="F3" s="3" t="s">
        <v>39</v>
      </c>
      <c r="G3" s="3" t="n">
        <v>1025</v>
      </c>
      <c r="H3" s="7" t="str">
        <f aca="false">IF(G3&lt;1000,"S",IF(G3&lt;2000,"M","L"))</f>
        <v>M</v>
      </c>
      <c r="I3" s="7" t="n">
        <f aca="false">IFERROR(INDEX(Transport_Costs!E:E,MATCH(1,(Transport_Costs!A:A=D3)*(Transport_Costs!B:B=E3)*(Transport_Costs!C:C=F3)*(Transport_Costs!D:D=H3),0)),0)</f>
        <v>18.24</v>
      </c>
      <c r="J3" s="7" t="n">
        <f aca="false">G3*I3</f>
        <v>18696</v>
      </c>
      <c r="K3" s="7" t="n">
        <f aca="false">IFERROR(SUMPRODUCT((LeadTime_Probs!A$2:A$100=D3)*(LeadTime_Probs!B$2:B$100=E3)*(LeadTime_Probs!C$2:C$100=F3)*LeadTime_Probs!D$2:D$100*LeadTime_Probs!E$2:E$100)/SUMPRODUCT((LeadTime_Probs!A$2:A$100=D3)*(LeadTime_Probs!B$2:B$100=E3)*(LeadTime_Probs!C$2:C$100=F3)*LeadTime_Probs!E$2:E$100),1)</f>
        <v>3.5</v>
      </c>
      <c r="L3" s="7" t="n">
        <f aca="false">C3+ROUND(K3,0)</f>
        <v>6</v>
      </c>
      <c r="M3" s="3"/>
      <c r="N3" s="7" t="str">
        <f aca="false">IF(M3="","",IFERROR(SUMPRODUCT((LeadTime_Probs!A$2:A$100=D3)*(LeadTime_Probs!B$2:B$100=E3)*(LeadTime_Probs!C$2:C$100=F3)*(LeadTime_Probs!D$2:D$100&lt;=(M3-C3))*LeadTime_Probs!E$2:E$100),0))</f>
        <v>
        </v>
      </c>
      <c r="O3" s="8" t="n">
        <f aca="false">MAX(0,MIN(G3,IFERROR(SUMIFS(Inventory_Flow!G:G,Inventory_Flow!A:A,D3,Inventory_Flow!B:B,C3),0)-SUMIFS(ShipPlan!G:G,ShipPlan!D:D,D3,ShipPlan!C:C,C3,ShipPlan!B:B,"&lt;"&amp;B3)))</f>
        <v>1025</v>
      </c>
      <c r="P3" s="7" t="n">
        <f aca="false">G3-O3</f>
        <v>0</v>
      </c>
      <c r="Q3" s="7" t="n">
        <f aca="false">O3*I3</f>
        <v>18696</v>
      </c>
    </row>
    <row r="4" customFormat="false" ht="15" hidden="false" customHeight="false" outlineLevel="0" collapsed="false">
      <c r="A4" s="3" t="s">
        <v>57</v>
      </c>
      <c r="B4" s="3" t="n">
        <v>3</v>
      </c>
      <c r="C4" s="3" t="n">
        <v>4</v>
      </c>
      <c r="D4" s="3" t="s">
        <v>3</v>
      </c>
      <c r="E4" s="3" t="s">
        <v>9</v>
      </c>
      <c r="F4" s="3" t="s">
        <v>39</v>
      </c>
      <c r="G4" s="3" t="n">
        <v>2681</v>
      </c>
      <c r="H4" s="7" t="str">
        <f aca="false">IF(G4&lt;1000,"S",IF(G4&lt;2000,"M","L"))</f>
        <v>L</v>
      </c>
      <c r="I4" s="7" t="n">
        <f aca="false">IFERROR(INDEX(Transport_Costs!E:E,MATCH(1,(Transport_Costs!A:A=D4)*(Transport_Costs!B:B=E4)*(Transport_Costs!C:C=F4)*(Transport_Costs!D:D=H4),0)),0)</f>
        <v>14.4</v>
      </c>
      <c r="J4" s="7" t="n">
        <f aca="false">G4*I4</f>
        <v>38606.4</v>
      </c>
      <c r="K4" s="7" t="n">
        <f aca="false">IFERROR(SUMPRODUCT((LeadTime_Probs!A$2:A$100=D4)*(LeadTime_Probs!B$2:B$100=E4)*(LeadTime_Probs!C$2:C$100=F4)*LeadTime_Probs!D$2:D$100*LeadTime_Probs!E$2:E$100)/SUMPRODUCT((LeadTime_Probs!A$2:A$100=D4)*(LeadTime_Probs!B$2:B$100=E4)*(LeadTime_Probs!C$2:C$100=F4)*LeadTime_Probs!E$2:E$100),1)</f>
        <v>3.5</v>
      </c>
      <c r="L4" s="7" t="n">
        <f aca="false">C4+ROUND(K4,0)</f>
        <v>8</v>
      </c>
      <c r="M4" s="3"/>
      <c r="N4" s="7" t="str">
        <f aca="false">IF(M4="","",IFERROR(SUMPRODUCT((LeadTime_Probs!A$2:A$100=D4)*(LeadTime_Probs!B$2:B$100=E4)*(LeadTime_Probs!C$2:C$100=F4)*(LeadTime_Probs!D$2:D$100&lt;=(M4-C4))*LeadTime_Probs!E$2:E$100),0))</f>
        <v>
        </v>
      </c>
      <c r="O4" s="8" t="n">
        <f aca="false">MAX(0,MIN(G4,IFERROR(SUMIFS(Inventory_Flow!G:G,Inventory_Flow!A:A,D4,Inventory_Flow!B:B,C4),0)-SUMIFS(ShipPlan!G:G,ShipPlan!D:D,D4,ShipPlan!C:C,C4,ShipPlan!B:B,"&lt;"&amp;B4)))</f>
        <v>2681</v>
      </c>
      <c r="P4" s="7" t="n">
        <f aca="false">G4-O4</f>
        <v>0</v>
      </c>
      <c r="Q4" s="7" t="n">
        <f aca="false">O4*I4</f>
        <v>38606.4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
    </oddHeader>
    <oddFooter>
   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>
  </sheetFormatPr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4" t="s">
        <v>58</v>
      </c>
      <c r="B1" s="8" t="str">
        <f aca="false">Inputs_Global!D6</f>
        <v>EV</v>
      </c>
    </row>
    <row r="2" customFormat="false" ht="15" hidden="false" customHeight="false" outlineLevel="0" collapsed="false">
      <c r="A2" s="9" t="s">
        <v>59</v>
      </c>
    </row>
    <row r="4" customFormat="false" ht="15" hidden="false" customHeight="false" outlineLevel="0" collapsed="false">
      <c r="A4" s="10" t="s">
        <v>60</v>
      </c>
    </row>
    <row r="5" customFormat="false" ht="15" hidden="false" customHeight="false" outlineLevel="0" collapsed="false">
      <c r="A5" s="6" t="s">
        <v>5</v>
      </c>
      <c r="B5" s="6" t="s">
        <v>61</v>
      </c>
      <c r="C5" s="6" t="s">
        <v>62</v>
      </c>
      <c r="D5" s="6" t="s">
        <v>63</v>
      </c>
      <c r="E5" s="6" t="s">
        <v>64</v>
      </c>
      <c r="F5" s="6" t="s">
        <v>65</v>
      </c>
      <c r="G5" s="6" t="s">
        <v>66</v>
      </c>
      <c r="H5" s="6" t="s">
        <v>67</v>
      </c>
      <c r="I5" s="6" t="s">
        <v>68</v>
      </c>
      <c r="J5" s="6" t="s">
        <v>157</v>
      </c>
    </row>
    <row r="6" customFormat="false" ht="15" hidden="false" customHeight="false" outlineLevel="0" collapsed="false">
      <c r="A6" s="0" t="s">
        <v>3</v>
      </c>
      <c r="B6" s="7" t="n">
        <f aca="false">SUMIFS(ShipPlan!O:O,ShipPlan!E:E,A6,ShipPlan!L:L,1)</f>
        <v>0</v>
      </c>
      <c r="C6" s="7" t="n">
        <f aca="false">SUMIFS(ShipPlan!O:O,ShipPlan!E:E,A6,ShipPlan!L:L,2)</f>
        <v>0</v>
      </c>
      <c r="D6" s="7" t="n">
        <f aca="false">SUMIFS(ShipPlan!O:O,ShipPlan!E:E,A6,ShipPlan!L:L,3)</f>
        <v>0</v>
      </c>
      <c r="E6" s="7" t="n">
        <f aca="false">SUMIFS(ShipPlan!O:O,ShipPlan!E:E,A6,ShipPlan!L:L,4)</f>
        <v>0</v>
      </c>
      <c r="F6" s="7" t="n">
        <f aca="false">SUMIFS(ShipPlan!O:O,ShipPlan!E:E,A6,ShipPlan!L:L,5)</f>
        <v>0</v>
      </c>
      <c r="G6" s="7" t="n">
        <f aca="false">SUMIFS(ShipPlan!O:O,ShipPlan!E:E,A6,ShipPlan!L:L,6)</f>
        <v>0</v>
      </c>
      <c r="H6" s="7" t="n">
        <f aca="false">SUMIFS(ShipPlan!O:O,ShipPlan!E:E,A6,ShipPlan!L:L,7)</f>
        <v>0</v>
      </c>
      <c r="I6" s="7" t="n">
        <f aca="false">SUMIFS(ShipPlan!O:O,ShipPlan!E:E,A6,ShipPlan!L:L,8)</f>
        <v>0</v>
      </c>
      <c r="J6" s="7" t="n">
        <f>MAX(0,SUMIFS(ShipPlan!O:O,ShipPlan!E:E,A6)-SUM(B6:I6))</f>
      </c>
    </row>
    <row r="7" customFormat="false" ht="15" hidden="false" customHeight="false" outlineLevel="0" collapsed="false">
      <c r="A7" s="0" t="s">
        <v>7</v>
      </c>
      <c r="B7" s="7" t="n">
        <f aca="false">SUMIFS(ShipPlan!O:O,ShipPlan!E:E,A7,ShipPlan!L:L,1)</f>
        <v>0</v>
      </c>
      <c r="C7" s="7" t="n">
        <f aca="false">SUMIFS(ShipPlan!O:O,ShipPlan!E:E,A7,ShipPlan!L:L,2)</f>
        <v>0</v>
      </c>
      <c r="D7" s="7" t="n">
        <f aca="false">SUMIFS(ShipPlan!O:O,ShipPlan!E:E,A7,ShipPlan!L:L,3)</f>
        <v>0</v>
      </c>
      <c r="E7" s="7" t="n">
        <f aca="false">SUMIFS(ShipPlan!O:O,ShipPlan!E:E,A7,ShipPlan!L:L,4)</f>
        <v>571</v>
      </c>
      <c r="F7" s="7" t="n">
        <f aca="false">SUMIFS(ShipPlan!O:O,ShipPlan!E:E,A7,ShipPlan!L:L,5)</f>
        <v>0</v>
      </c>
      <c r="G7" s="7" t="n">
        <f aca="false">SUMIFS(ShipPlan!O:O,ShipPlan!E:E,A7,ShipPlan!L:L,6)</f>
        <v>0</v>
      </c>
      <c r="H7" s="7" t="n">
        <f aca="false">SUMIFS(ShipPlan!O:O,ShipPlan!E:E,A7,ShipPlan!L:L,7)</f>
        <v>0</v>
      </c>
      <c r="I7" s="7" t="n">
        <f aca="false">SUMIFS(ShipPlan!O:O,ShipPlan!E:E,A7,ShipPlan!L:L,8)</f>
        <v>0</v>
      </c>
      <c r="J7" s="7" t="n">
        <f>MAX(0,SUMIFS(ShipPlan!O:O,ShipPlan!E:E,A7)-SUM(B7:I7))</f>
      </c>
    </row>
    <row r="8" customFormat="false" ht="15" hidden="false" customHeight="false" outlineLevel="0" collapsed="false">
      <c r="A8" s="0" t="s">
        <v>9</v>
      </c>
      <c r="B8" s="7" t="n">
        <f aca="false">SUMIFS(ShipPlan!O:O,ShipPlan!E:E,A8,ShipPlan!L:L,1)</f>
        <v>0</v>
      </c>
      <c r="C8" s="7" t="n">
        <f aca="false">SUMIFS(ShipPlan!O:O,ShipPlan!E:E,A8,ShipPlan!L:L,2)</f>
        <v>0</v>
      </c>
      <c r="D8" s="7" t="n">
        <f aca="false">SUMIFS(ShipPlan!O:O,ShipPlan!E:E,A8,ShipPlan!L:L,3)</f>
        <v>0</v>
      </c>
      <c r="E8" s="7" t="n">
        <f aca="false">SUMIFS(ShipPlan!O:O,ShipPlan!E:E,A8,ShipPlan!L:L,4)</f>
        <v>0</v>
      </c>
      <c r="F8" s="7" t="n">
        <f aca="false">SUMIFS(ShipPlan!O:O,ShipPlan!E:E,A8,ShipPlan!L:L,5)</f>
        <v>0</v>
      </c>
      <c r="G8" s="7" t="n">
        <f aca="false">SUMIFS(ShipPlan!O:O,ShipPlan!E:E,A8,ShipPlan!L:L,6)</f>
        <v>1025</v>
      </c>
      <c r="H8" s="7" t="n">
        <f aca="false">SUMIFS(ShipPlan!O:O,ShipPlan!E:E,A8,ShipPlan!L:L,7)</f>
        <v>0</v>
      </c>
      <c r="I8" s="7" t="n">
        <f aca="false">SUMIFS(ShipPlan!O:O,ShipPlan!E:E,A8,ShipPlan!L:L,8)</f>
        <v>2681</v>
      </c>
      <c r="J8" s="7" t="n">
        <f>MAX(0,SUMIFS(ShipPlan!O:O,ShipPlan!E:E,A8)-SUM(B8:I8))</f>
      </c>
    </row>
    <row r="9" customFormat="false" ht="15" hidden="false" customHeight="false" outlineLevel="0" collapsed="false">
      <c r="A9" s="0" t="s">
        <v>11</v>
      </c>
      <c r="B9" s="7" t="n">
        <f aca="false">SUMIFS(ShipPlan!O:O,ShipPlan!E:E,A9,ShipPlan!L:L,1)</f>
        <v>0</v>
      </c>
      <c r="C9" s="7" t="n">
        <f aca="false">SUMIFS(ShipPlan!O:O,ShipPlan!E:E,A9,ShipPlan!L:L,2)</f>
        <v>0</v>
      </c>
      <c r="D9" s="7" t="n">
        <f aca="false">SUMIFS(ShipPlan!O:O,ShipPlan!E:E,A9,ShipPlan!L:L,3)</f>
        <v>0</v>
      </c>
      <c r="E9" s="7" t="n">
        <f aca="false">SUMIFS(ShipPlan!O:O,ShipPlan!E:E,A9,ShipPlan!L:L,4)</f>
        <v>0</v>
      </c>
      <c r="F9" s="7" t="n">
        <f aca="false">SUMIFS(ShipPlan!O:O,ShipPlan!E:E,A9,ShipPlan!L:L,5)</f>
        <v>0</v>
      </c>
      <c r="G9" s="7" t="n">
        <f aca="false">SUMIFS(ShipPlan!O:O,ShipPlan!E:E,A9,ShipPlan!L:L,6)</f>
        <v>0</v>
      </c>
      <c r="H9" s="7" t="n">
        <f aca="false">SUMIFS(ShipPlan!O:O,ShipPlan!E:E,A9,ShipPlan!L:L,7)</f>
        <v>0</v>
      </c>
      <c r="I9" s="7" t="n">
        <f aca="false">SUMIFS(ShipPlan!O:O,ShipPlan!E:E,A9,ShipPlan!L:L,8)</f>
        <v>0</v>
      </c>
      <c r="J9" s="7" t="n">
        <f>MAX(0,SUMIFS(ShipPlan!O:O,ShipPlan!E:E,A9)-SUM(B9:I9))</f>
      </c>
    </row>
    <row r="10" customFormat="false" ht="15" hidden="false" customHeight="false" outlineLevel="0" collapsed="false">
      <c r="A10" s="0" t="s">
        <v>14</v>
      </c>
      <c r="B10" s="7" t="n">
        <f aca="false">SUMIFS(ShipPlan!O:O,ShipPlan!E:E,A10,ShipPlan!L:L,1)</f>
        <v>0</v>
      </c>
      <c r="C10" s="7" t="n">
        <f aca="false">SUMIFS(ShipPlan!O:O,ShipPlan!E:E,A10,ShipPlan!L:L,2)</f>
        <v>0</v>
      </c>
      <c r="D10" s="7" t="n">
        <f aca="false">SUMIFS(ShipPlan!O:O,ShipPlan!E:E,A10,ShipPlan!L:L,3)</f>
        <v>0</v>
      </c>
      <c r="E10" s="7" t="n">
        <f aca="false">SUMIFS(ShipPlan!O:O,ShipPlan!E:E,A10,ShipPlan!L:L,4)</f>
        <v>0</v>
      </c>
      <c r="F10" s="7" t="n">
        <f aca="false">SUMIFS(ShipPlan!O:O,ShipPlan!E:E,A10,ShipPlan!L:L,5)</f>
        <v>0</v>
      </c>
      <c r="G10" s="7" t="n">
        <f aca="false">SUMIFS(ShipPlan!O:O,ShipPlan!E:E,A10,ShipPlan!L:L,6)</f>
        <v>0</v>
      </c>
      <c r="H10" s="7" t="n">
        <f aca="false">SUMIFS(ShipPlan!O:O,ShipPlan!E:E,A10,ShipPlan!L:L,7)</f>
        <v>0</v>
      </c>
      <c r="I10" s="7" t="n">
        <f aca="false">SUMIFS(ShipPlan!O:O,ShipPlan!E:E,A10,ShipPlan!L:L,8)</f>
        <v>0</v>
      </c>
      <c r="J10" s="7" t="n">
        <f>MAX(0,SUMIFS(ShipPlan!O:O,ShipPlan!E:E,A10)-SUM(B10:I10))</f>
      </c>
    </row>
    <row r="13" customFormat="false" ht="15" hidden="false" customHeight="false" outlineLevel="0" collapsed="false">
      <c r="A13" s="10" t="s">
        <v>69</v>
      </c>
    </row>
    <row r="14" customFormat="false" ht="15" hidden="false" customHeight="false" outlineLevel="0" collapsed="false">
      <c r="A14" s="6" t="s">
        <v>5</v>
      </c>
      <c r="B14" s="6" t="s">
        <v>61</v>
      </c>
      <c r="C14" s="6" t="s">
        <v>62</v>
      </c>
      <c r="D14" s="6" t="s">
        <v>63</v>
      </c>
      <c r="E14" s="6" t="s">
        <v>64</v>
      </c>
      <c r="F14" s="6" t="s">
        <v>65</v>
      </c>
      <c r="G14" s="6" t="s">
        <v>66</v>
      </c>
      <c r="H14" s="6" t="s">
        <v>67</v>
      </c>
      <c r="I14" s="6" t="s">
        <v>68</v>
      </c>
      <c r="J14" s="6" t="s">
        <v>157</v>
      </c>
    </row>
    <row r="15" customFormat="false" ht="15" hidden="false" customHeight="false" outlineLevel="0" collapsed="false">
      <c r="A15" s="0" t="s">
        <v>3</v>
      </c>
      <c r="B15" s="7" t="n">
        <f aca="false">SUMPRODUCT((LeadTime_Probs!B$2:B$100=$A15)*LeadTime_Probs!E$2:E$100*SUMIFS(ShipPlan!O:O,ShipPlan!D:D,LeadTime_Probs!A$2:A$100,ShipPlan!E:E,LeadTime_Probs!B$2:B$100,ShipPlan!F:F,LeadTime_Probs!C$2:C$100,ShipPlan!C:C,1-LeadTime_Probs!D$2:D$100))</f>
        <v>0</v>
      </c>
      <c r="C15" s="7" t="n">
        <f aca="false">SUMPRODUCT((LeadTime_Probs!B$2:B$100=$A15)*LeadTime_Probs!E$2:E$100*SUMIFS(ShipPlan!O:O,ShipPlan!D:D,LeadTime_Probs!A$2:A$100,ShipPlan!E:E,LeadTime_Probs!B$2:B$100,ShipPlan!F:F,LeadTime_Probs!C$2:C$100,ShipPlan!C:C,2-LeadTime_Probs!D$2:D$100))</f>
        <v>0</v>
      </c>
      <c r="D15" s="7" t="n">
        <f aca="false">SUMPRODUCT((LeadTime_Probs!B$2:B$100=$A15)*LeadTime_Probs!E$2:E$100*SUMIFS(ShipPlan!O:O,ShipPlan!D:D,LeadTime_Probs!A$2:A$100,ShipPlan!E:E,LeadTime_Probs!B$2:B$100,ShipPlan!F:F,LeadTime_Probs!C$2:C$100,ShipPlan!C:C,3-LeadTime_Probs!D$2:D$100))</f>
        <v>0</v>
      </c>
      <c r="E15" s="7" t="n">
        <f aca="false">SUMPRODUCT((LeadTime_Probs!B$2:B$100=$A15)*LeadTime_Probs!E$2:E$100*SUMIFS(ShipPlan!O:O,ShipPlan!D:D,LeadTime_Probs!A$2:A$100,ShipPlan!E:E,LeadTime_Probs!B$2:B$100,ShipPlan!F:F,LeadTime_Probs!C$2:C$100,ShipPlan!C:C,4-LeadTime_Probs!D$2:D$100))</f>
        <v>0</v>
      </c>
      <c r="F15" s="7" t="n">
        <f aca="false">SUMPRODUCT((LeadTime_Probs!B$2:B$100=$A15)*LeadTime_Probs!E$2:E$100*SUMIFS(ShipPlan!O:O,ShipPlan!D:D,LeadTime_Probs!A$2:A$100,ShipPlan!E:E,LeadTime_Probs!B$2:B$100,ShipPlan!F:F,LeadTime_Probs!C$2:C$100,ShipPlan!C:C,5-LeadTime_Probs!D$2:D$100))</f>
        <v>0</v>
      </c>
      <c r="G15" s="7" t="n">
        <f aca="false">SUMPRODUCT((LeadTime_Probs!B$2:B$100=$A15)*LeadTime_Probs!E$2:E$100*SUMIFS(ShipPlan!O:O,ShipPlan!D:D,LeadTime_Probs!A$2:A$100,ShipPlan!E:E,LeadTime_Probs!B$2:B$100,ShipPlan!F:F,LeadTime_Probs!C$2:C$100,ShipPlan!C:C,6-LeadTime_Probs!D$2:D$100))</f>
        <v>0</v>
      </c>
      <c r="H15" s="7" t="n">
        <f aca="false">SUMPRODUCT((LeadTime_Probs!B$2:B$100=$A15)*LeadTime_Probs!E$2:E$100*SUMIFS(ShipPlan!O:O,ShipPlan!D:D,LeadTime_Probs!A$2:A$100,ShipPlan!E:E,LeadTime_Probs!B$2:B$100,ShipPlan!F:F,LeadTime_Probs!C$2:C$100,ShipPlan!C:C,7-LeadTime_Probs!D$2:D$100))</f>
        <v>0</v>
      </c>
      <c r="I15" s="7" t="n">
        <f aca="false">SUMPRODUCT((LeadTime_Probs!B$2:B$100=$A15)*LeadTime_Probs!E$2:E$100*SUMIFS(ShipPlan!O:O,ShipPlan!D:D,LeadTime_Probs!A$2:A$100,ShipPlan!E:E,LeadTime_Probs!B$2:B$100,ShipPlan!F:F,LeadTime_Probs!C$2:C$100,ShipPlan!C:C,8-LeadTime_Probs!D$2:D$100))</f>
        <v>0</v>
      </c>
      <c r="J15" s="7" t="n">
        <f>MAX(0,SUMIFS(ShipPlan!O:O,ShipPlan!E:E,A15)-SUM(B15:I15))</f>
      </c>
    </row>
    <row r="16" customFormat="false" ht="15" hidden="false" customHeight="false" outlineLevel="0" collapsed="false">
      <c r="A16" s="0" t="s">
        <v>7</v>
      </c>
      <c r="B16" s="7" t="n">
        <f aca="false">SUMPRODUCT((LeadTime_Probs!B$2:B$100=$A16)*LeadTime_Probs!E$2:E$100*SUMIFS(ShipPlan!O:O,ShipPlan!D:D,LeadTime_Probs!A$2:A$100,ShipPlan!E:E,LeadTime_Probs!B$2:B$100,ShipPlan!F:F,LeadTime_Probs!C$2:C$100,ShipPlan!C:C,1-LeadTime_Probs!D$2:D$100))</f>
        <v>0</v>
      </c>
      <c r="C16" s="7" t="n">
        <f aca="false">SUMPRODUCT((LeadTime_Probs!B$2:B$100=$A16)*LeadTime_Probs!E$2:E$100*SUMIFS(ShipPlan!O:O,ShipPlan!D:D,LeadTime_Probs!A$2:A$100,ShipPlan!E:E,LeadTime_Probs!B$2:B$100,ShipPlan!F:F,LeadTime_Probs!C$2:C$100,ShipPlan!C:C,2-LeadTime_Probs!D$2:D$100))</f>
        <v>0</v>
      </c>
      <c r="D16" s="7" t="n">
        <f aca="false">SUMPRODUCT((LeadTime_Probs!B$2:B$100=$A16)*LeadTime_Probs!E$2:E$100*SUMIFS(ShipPlan!O:O,ShipPlan!D:D,LeadTime_Probs!A$2:A$100,ShipPlan!E:E,LeadTime_Probs!B$2:B$100,ShipPlan!F:F,LeadTime_Probs!C$2:C$100,ShipPlan!C:C,3-LeadTime_Probs!D$2:D$100))</f>
        <v>0</v>
      </c>
      <c r="E16" s="7" t="n">
        <f aca="false">SUMPRODUCT((LeadTime_Probs!B$2:B$100=$A16)*LeadTime_Probs!E$2:E$100*SUMIFS(ShipPlan!O:O,ShipPlan!D:D,LeadTime_Probs!A$2:A$100,ShipPlan!E:E,LeadTime_Probs!B$2:B$100,ShipPlan!F:F,LeadTime_Probs!C$2:C$100,ShipPlan!C:C,4-LeadTime_Probs!D$2:D$100))</f>
        <v>571</v>
      </c>
      <c r="F16" s="7" t="n">
        <f aca="false">SUMPRODUCT((LeadTime_Probs!B$2:B$100=$A16)*LeadTime_Probs!E$2:E$100*SUMIFS(ShipPlan!O:O,ShipPlan!D:D,LeadTime_Probs!A$2:A$100,ShipPlan!E:E,LeadTime_Probs!B$2:B$100,ShipPlan!F:F,LeadTime_Probs!C$2:C$100,ShipPlan!C:C,5-LeadTime_Probs!D$2:D$100))</f>
        <v>0</v>
      </c>
      <c r="G16" s="7" t="n">
        <f aca="false">SUMPRODUCT((LeadTime_Probs!B$2:B$100=$A16)*LeadTime_Probs!E$2:E$100*SUMIFS(ShipPlan!O:O,ShipPlan!D:D,LeadTime_Probs!A$2:A$100,ShipPlan!E:E,LeadTime_Probs!B$2:B$100,ShipPlan!F:F,LeadTime_Probs!C$2:C$100,ShipPlan!C:C,6-LeadTime_Probs!D$2:D$100))</f>
        <v>0</v>
      </c>
      <c r="H16" s="7" t="n">
        <f aca="false">SUMPRODUCT((LeadTime_Probs!B$2:B$100=$A16)*LeadTime_Probs!E$2:E$100*SUMIFS(ShipPlan!O:O,ShipPlan!D:D,LeadTime_Probs!A$2:A$100,ShipPlan!E:E,LeadTime_Probs!B$2:B$100,ShipPlan!F:F,LeadTime_Probs!C$2:C$100,ShipPlan!C:C,7-LeadTime_Probs!D$2:D$100))</f>
        <v>0</v>
      </c>
      <c r="I16" s="7" t="n">
        <f aca="false">SUMPRODUCT((LeadTime_Probs!B$2:B$100=$A16)*LeadTime_Probs!E$2:E$100*SUMIFS(ShipPlan!O:O,ShipPlan!D:D,LeadTime_Probs!A$2:A$100,ShipPlan!E:E,LeadTime_Probs!B$2:B$100,ShipPlan!F:F,LeadTime_Probs!C$2:C$100,ShipPlan!C:C,8-LeadTime_Probs!D$2:D$100))</f>
        <v>0</v>
      </c>
      <c r="J16" s="7" t="n">
        <f>MAX(0,SUMIFS(ShipPlan!O:O,ShipPlan!E:E,A16)-SUM(B16:I16))</f>
      </c>
    </row>
    <row r="17" customFormat="false" ht="15" hidden="false" customHeight="false" outlineLevel="0" collapsed="false">
      <c r="A17" s="0" t="s">
        <v>9</v>
      </c>
      <c r="B17" s="7" t="n">
        <f aca="false">SUMPRODUCT((LeadTime_Probs!B$2:B$100=$A17)*LeadTime_Probs!E$2:E$100*SUMIFS(ShipPlan!O:O,ShipPlan!D:D,LeadTime_Probs!A$2:A$100,ShipPlan!E:E,LeadTime_Probs!B$2:B$100,ShipPlan!F:F,LeadTime_Probs!C$2:C$100,ShipPlan!C:C,1-LeadTime_Probs!D$2:D$100))</f>
        <v>0</v>
      </c>
      <c r="C17" s="7" t="n">
        <f aca="false">SUMPRODUCT((LeadTime_Probs!B$2:B$100=$A17)*LeadTime_Probs!E$2:E$100*SUMIFS(ShipPlan!O:O,ShipPlan!D:D,LeadTime_Probs!A$2:A$100,ShipPlan!E:E,LeadTime_Probs!B$2:B$100,ShipPlan!F:F,LeadTime_Probs!C$2:C$100,ShipPlan!C:C,2-LeadTime_Probs!D$2:D$100))</f>
        <v>0</v>
      </c>
      <c r="D17" s="7" t="n">
        <f aca="false">SUMPRODUCT((LeadTime_Probs!B$2:B$100=$A17)*LeadTime_Probs!E$2:E$100*SUMIFS(ShipPlan!O:O,ShipPlan!D:D,LeadTime_Probs!A$2:A$100,ShipPlan!E:E,LeadTime_Probs!B$2:B$100,ShipPlan!F:F,LeadTime_Probs!C$2:C$100,ShipPlan!C:C,3-LeadTime_Probs!D$2:D$100))</f>
        <v>0</v>
      </c>
      <c r="E17" s="7" t="n">
        <f aca="false">SUMPRODUCT((LeadTime_Probs!B$2:B$100=$A17)*LeadTime_Probs!E$2:E$100*SUMIFS(ShipPlan!O:O,ShipPlan!D:D,LeadTime_Probs!A$2:A$100,ShipPlan!E:E,LeadTime_Probs!B$2:B$100,ShipPlan!F:F,LeadTime_Probs!C$2:C$100,ShipPlan!C:C,4-LeadTime_Probs!D$2:D$100))</f>
        <v>0</v>
      </c>
      <c r="F17" s="7" t="n">
        <f aca="false">SUMPRODUCT((LeadTime_Probs!B$2:B$100=$A17)*LeadTime_Probs!E$2:E$100*SUMIFS(ShipPlan!O:O,ShipPlan!D:D,LeadTime_Probs!A$2:A$100,ShipPlan!E:E,LeadTime_Probs!B$2:B$100,ShipPlan!F:F,LeadTime_Probs!C$2:C$100,ShipPlan!C:C,5-LeadTime_Probs!D$2:D$100))</f>
        <v>0</v>
      </c>
      <c r="G17" s="7" t="n">
        <f aca="false">SUMPRODUCT((LeadTime_Probs!B$2:B$100=$A17)*LeadTime_Probs!E$2:E$100*SUMIFS(ShipPlan!O:O,ShipPlan!D:D,LeadTime_Probs!A$2:A$100,ShipPlan!E:E,LeadTime_Probs!B$2:B$100,ShipPlan!F:F,LeadTime_Probs!C$2:C$100,ShipPlan!C:C,6-LeadTime_Probs!D$2:D$100))</f>
        <v>1025</v>
      </c>
      <c r="H17" s="7" t="n">
        <f aca="false">SUMPRODUCT((LeadTime_Probs!B$2:B$100=$A17)*LeadTime_Probs!E$2:E$100*SUMIFS(ShipPlan!O:O,ShipPlan!D:D,LeadTime_Probs!A$2:A$100,ShipPlan!E:E,LeadTime_Probs!B$2:B$100,ShipPlan!F:F,LeadTime_Probs!C$2:C$100,ShipPlan!C:C,7-LeadTime_Probs!D$2:D$100))</f>
        <v>0</v>
      </c>
      <c r="I17" s="7" t="n">
        <f aca="false">SUMPRODUCT((LeadTime_Probs!B$2:B$100=$A17)*LeadTime_Probs!E$2:E$100*SUMIFS(ShipPlan!O:O,ShipPlan!D:D,LeadTime_Probs!A$2:A$100,ShipPlan!E:E,LeadTime_Probs!B$2:B$100,ShipPlan!F:F,LeadTime_Probs!C$2:C$100,ShipPlan!C:C,8-LeadTime_Probs!D$2:D$100))</f>
        <v>2681</v>
      </c>
      <c r="J17" s="7" t="n">
        <f>MAX(0,SUMIFS(ShipPlan!O:O,ShipPlan!E:E,A17)-SUM(B17:I17))</f>
      </c>
    </row>
    <row r="18" customFormat="false" ht="15" hidden="false" customHeight="false" outlineLevel="0" collapsed="false">
      <c r="A18" s="0" t="s">
        <v>11</v>
      </c>
      <c r="B18" s="7" t="n">
        <f aca="false">SUMPRODUCT((LeadTime_Probs!B$2:B$100=$A18)*LeadTime_Probs!E$2:E$100*SUMIFS(ShipPlan!O:O,ShipPlan!D:D,LeadTime_Probs!A$2:A$100,ShipPlan!E:E,LeadTime_Probs!B$2:B$100,ShipPlan!F:F,LeadTime_Probs!C$2:C$100,ShipPlan!C:C,1-LeadTime_Probs!D$2:D$100))</f>
        <v>0</v>
      </c>
      <c r="C18" s="7" t="n">
        <f aca="false">SUMPRODUCT((LeadTime_Probs!B$2:B$100=$A18)*LeadTime_Probs!E$2:E$100*SUMIFS(ShipPlan!O:O,ShipPlan!D:D,LeadTime_Probs!A$2:A$100,ShipPlan!E:E,LeadTime_Probs!B$2:B$100,ShipPlan!F:F,LeadTime_Probs!C$2:C$100,ShipPlan!C:C,2-LeadTime_Probs!D$2:D$100))</f>
        <v>0</v>
      </c>
      <c r="D18" s="7" t="n">
        <f aca="false">SUMPRODUCT((LeadTime_Probs!B$2:B$100=$A18)*LeadTime_Probs!E$2:E$100*SUMIFS(ShipPlan!O:O,ShipPlan!D:D,LeadTime_Probs!A$2:A$100,ShipPlan!E:E,LeadTime_Probs!B$2:B$100,ShipPlan!F:F,LeadTime_Probs!C$2:C$100,ShipPlan!C:C,3-LeadTime_Probs!D$2:D$100))</f>
        <v>0</v>
      </c>
      <c r="E18" s="7" t="n">
        <f aca="false">SUMPRODUCT((LeadTime_Probs!B$2:B$100=$A18)*LeadTime_Probs!E$2:E$100*SUMIFS(ShipPlan!O:O,ShipPlan!D:D,LeadTime_Probs!A$2:A$100,ShipPlan!E:E,LeadTime_Probs!B$2:B$100,ShipPlan!F:F,LeadTime_Probs!C$2:C$100,ShipPlan!C:C,4-LeadTime_Probs!D$2:D$100))</f>
        <v>0</v>
      </c>
      <c r="F18" s="7" t="n">
        <f aca="false">SUMPRODUCT((LeadTime_Probs!B$2:B$100=$A18)*LeadTime_Probs!E$2:E$100*SUMIFS(ShipPlan!O:O,ShipPlan!D:D,LeadTime_Probs!A$2:A$100,ShipPlan!E:E,LeadTime_Probs!B$2:B$100,ShipPlan!F:F,LeadTime_Probs!C$2:C$100,ShipPlan!C:C,5-LeadTime_Probs!D$2:D$100))</f>
        <v>0</v>
      </c>
      <c r="G18" s="7" t="n">
        <f aca="false">SUMPRODUCT((LeadTime_Probs!B$2:B$100=$A18)*LeadTime_Probs!E$2:E$100*SUMIFS(ShipPlan!O:O,ShipPlan!D:D,LeadTime_Probs!A$2:A$100,ShipPlan!E:E,LeadTime_Probs!B$2:B$100,ShipPlan!F:F,LeadTime_Probs!C$2:C$100,ShipPlan!C:C,6-LeadTime_Probs!D$2:D$100))</f>
        <v>0</v>
      </c>
      <c r="H18" s="7" t="n">
        <f aca="false">SUMPRODUCT((LeadTime_Probs!B$2:B$100=$A18)*LeadTime_Probs!E$2:E$100*SUMIFS(ShipPlan!O:O,ShipPlan!D:D,LeadTime_Probs!A$2:A$100,ShipPlan!E:E,LeadTime_Probs!B$2:B$100,ShipPlan!F:F,LeadTime_Probs!C$2:C$100,ShipPlan!C:C,7-LeadTime_Probs!D$2:D$100))</f>
        <v>0</v>
      </c>
      <c r="I18" s="7" t="n">
        <f aca="false">SUMPRODUCT((LeadTime_Probs!B$2:B$100=$A18)*LeadTime_Probs!E$2:E$100*SUMIFS(ShipPlan!O:O,ShipPlan!D:D,LeadTime_Probs!A$2:A$100,ShipPlan!E:E,LeadTime_Probs!B$2:B$100,ShipPlan!F:F,LeadTime_Probs!C$2:C$100,ShipPlan!C:C,8-LeadTime_Probs!D$2:D$100))</f>
        <v>0</v>
      </c>
      <c r="J18" s="7" t="n">
        <f>MAX(0,SUMIFS(ShipPlan!O:O,ShipPlan!E:E,A18)-SUM(B18:I18))</f>
      </c>
    </row>
    <row r="19" customFormat="false" ht="15" hidden="false" customHeight="false" outlineLevel="0" collapsed="false">
      <c r="A19" s="0" t="s">
        <v>14</v>
      </c>
      <c r="B19" s="7" t="n">
        <f aca="false">SUMPRODUCT((LeadTime_Probs!B$2:B$100=$A19)*LeadTime_Probs!E$2:E$100*SUMIFS(ShipPlan!O:O,ShipPlan!D:D,LeadTime_Probs!A$2:A$100,ShipPlan!E:E,LeadTime_Probs!B$2:B$100,ShipPlan!F:F,LeadTime_Probs!C$2:C$100,ShipPlan!C:C,1-LeadTime_Probs!D$2:D$100))</f>
        <v>0</v>
      </c>
      <c r="C19" s="7" t="n">
        <f aca="false">SUMPRODUCT((LeadTime_Probs!B$2:B$100=$A19)*LeadTime_Probs!E$2:E$100*SUMIFS(ShipPlan!O:O,ShipPlan!D:D,LeadTime_Probs!A$2:A$100,ShipPlan!E:E,LeadTime_Probs!B$2:B$100,ShipPlan!F:F,LeadTime_Probs!C$2:C$100,ShipPlan!C:C,2-LeadTime_Probs!D$2:D$100))</f>
        <v>0</v>
      </c>
      <c r="D19" s="7" t="n">
        <f aca="false">SUMPRODUCT((LeadTime_Probs!B$2:B$100=$A19)*LeadTime_Probs!E$2:E$100*SUMIFS(ShipPlan!O:O,ShipPlan!D:D,LeadTime_Probs!A$2:A$100,ShipPlan!E:E,LeadTime_Probs!B$2:B$100,ShipPlan!F:F,LeadTime_Probs!C$2:C$100,ShipPlan!C:C,3-LeadTime_Probs!D$2:D$100))</f>
        <v>0</v>
      </c>
      <c r="E19" s="7" t="n">
        <f aca="false">SUMPRODUCT((LeadTime_Probs!B$2:B$100=$A19)*LeadTime_Probs!E$2:E$100*SUMIFS(ShipPlan!O:O,ShipPlan!D:D,LeadTime_Probs!A$2:A$100,ShipPlan!E:E,LeadTime_Probs!B$2:B$100,ShipPlan!F:F,LeadTime_Probs!C$2:C$100,ShipPlan!C:C,4-LeadTime_Probs!D$2:D$100))</f>
        <v>0</v>
      </c>
      <c r="F19" s="7" t="n">
        <f aca="false">SUMPRODUCT((LeadTime_Probs!B$2:B$100=$A19)*LeadTime_Probs!E$2:E$100*SUMIFS(ShipPlan!O:O,ShipPlan!D:D,LeadTime_Probs!A$2:A$100,ShipPlan!E:E,LeadTime_Probs!B$2:B$100,ShipPlan!F:F,LeadTime_Probs!C$2:C$100,ShipPlan!C:C,5-LeadTime_Probs!D$2:D$100))</f>
        <v>0</v>
      </c>
      <c r="G19" s="7" t="n">
        <f aca="false">SUMPRODUCT((LeadTime_Probs!B$2:B$100=$A19)*LeadTime_Probs!E$2:E$100*SUMIFS(ShipPlan!O:O,ShipPlan!D:D,LeadTime_Probs!A$2:A$100,ShipPlan!E:E,LeadTime_Probs!B$2:B$100,ShipPlan!F:F,LeadTime_Probs!C$2:C$100,ShipPlan!C:C,6-LeadTime_Probs!D$2:D$100))</f>
        <v>0</v>
      </c>
      <c r="H19" s="7" t="n">
        <f aca="false">SUMPRODUCT((LeadTime_Probs!B$2:B$100=$A19)*LeadTime_Probs!E$2:E$100*SUMIFS(ShipPlan!O:O,ShipPlan!D:D,LeadTime_Probs!A$2:A$100,ShipPlan!E:E,LeadTime_Probs!B$2:B$100,ShipPlan!F:F,LeadTime_Probs!C$2:C$100,ShipPlan!C:C,7-LeadTime_Probs!D$2:D$100))</f>
        <v>0</v>
      </c>
      <c r="I19" s="7" t="n">
        <f aca="false">SUMPRODUCT((LeadTime_Probs!B$2:B$100=$A19)*LeadTime_Probs!E$2:E$100*SUMIFS(ShipPlan!O:O,ShipPlan!D:D,LeadTime_Probs!A$2:A$100,ShipPlan!E:E,LeadTime_Probs!B$2:B$100,ShipPlan!F:F,LeadTime_Probs!C$2:C$100,ShipPlan!C:C,8-LeadTime_Probs!D$2:D$100))</f>
        <v>0</v>
      </c>
      <c r="J19" s="7" t="n">
        <f>MAX(0,SUMIFS(ShipPlan!O:O,ShipPlan!E:E,A19)-SUM(B19:I19))</f>
      </c>
    </row>
    <row r="22" customFormat="false" ht="15" hidden="false" customHeight="false" outlineLevel="0" collapsed="false">
      <c r="A22" s="11" t="s">
        <v>70</v>
      </c>
    </row>
    <row r="23" customFormat="false" ht="15" hidden="false" customHeight="false" outlineLevel="0" collapsed="false">
      <c r="A23" s="6" t="s">
        <v>5</v>
      </c>
      <c r="B23" s="6" t="s">
        <v>61</v>
      </c>
      <c r="C23" s="6" t="s">
        <v>62</v>
      </c>
      <c r="D23" s="6" t="s">
        <v>63</v>
      </c>
      <c r="E23" s="6" t="s">
        <v>64</v>
      </c>
      <c r="F23" s="6" t="s">
        <v>65</v>
      </c>
      <c r="G23" s="6" t="s">
        <v>66</v>
      </c>
      <c r="H23" s="6" t="s">
        <v>67</v>
      </c>
      <c r="I23" s="6" t="s">
        <v>68</v>
      </c>
      <c r="J23" s="6" t="s">
        <v>157</v>
      </c>
    </row>
    <row r="24" customFormat="false" ht="15" hidden="false" customHeight="false" outlineLevel="0" collapsed="false">
      <c r="A24" s="0" t="s">
        <v>3</v>
      </c>
      <c r="B24" s="7" t="n">
        <f aca="false">IF($B$1="EV",B6,B15)</f>
        <v>0</v>
      </c>
      <c r="C24" s="7" t="n">
        <f aca="false">IF($B$1="EV",C6,C15)</f>
        <v>0</v>
      </c>
      <c r="D24" s="7" t="n">
        <f aca="false">IF($B$1="EV",D6,D15)</f>
        <v>0</v>
      </c>
      <c r="E24" s="7" t="n">
        <f aca="false">IF($B$1="EV",E6,E15)</f>
        <v>0</v>
      </c>
      <c r="F24" s="7" t="n">
        <f aca="false">IF($B$1="EV",F6,F15)</f>
        <v>0</v>
      </c>
      <c r="G24" s="7" t="n">
        <f aca="false">IF($B$1="EV",G6,G15)</f>
        <v>0</v>
      </c>
      <c r="H24" s="7" t="n">
        <f aca="false">IF($B$1="EV",H6,H15)</f>
        <v>0</v>
      </c>
      <c r="I24" s="7" t="n">
        <f aca="false">IF($B$1="EV",I6,I15)</f>
        <v>0</v>
      </c>
      <c r="J24" s="7" t="n">
        <f>IF($B$1="EV",J6,J15)</f>
      </c>
    </row>
    <row r="25" customFormat="false" ht="15" hidden="false" customHeight="false" outlineLevel="0" collapsed="false">
      <c r="A25" s="0" t="s">
        <v>7</v>
      </c>
      <c r="B25" s="7" t="n">
        <f aca="false">IF($B$1="EV",B7,B16)</f>
        <v>0</v>
      </c>
      <c r="C25" s="7" t="n">
        <f aca="false">IF($B$1="EV",C7,C16)</f>
        <v>0</v>
      </c>
      <c r="D25" s="7" t="n">
        <f aca="false">IF($B$1="EV",D7,D16)</f>
        <v>0</v>
      </c>
      <c r="E25" s="7" t="n">
        <f aca="false">IF($B$1="EV",E7,E16)</f>
        <v>571</v>
      </c>
      <c r="F25" s="7" t="n">
        <f aca="false">IF($B$1="EV",F7,F16)</f>
        <v>0</v>
      </c>
      <c r="G25" s="7" t="n">
        <f aca="false">IF($B$1="EV",G7,G16)</f>
        <v>0</v>
      </c>
      <c r="H25" s="7" t="n">
        <f aca="false">IF($B$1="EV",H7,H16)</f>
        <v>0</v>
      </c>
      <c r="I25" s="7" t="n">
        <f aca="false">IF($B$1="EV",I7,I16)</f>
        <v>0</v>
      </c>
      <c r="J25" s="7" t="n">
        <f>IF($B$1="EV",J7,J16)</f>
      </c>
    </row>
    <row r="26" customFormat="false" ht="15" hidden="false" customHeight="false" outlineLevel="0" collapsed="false">
      <c r="A26" s="0" t="s">
        <v>9</v>
      </c>
      <c r="B26" s="7" t="n">
        <f aca="false">IF($B$1="EV",B8,B17)</f>
        <v>0</v>
      </c>
      <c r="C26" s="7" t="n">
        <f aca="false">IF($B$1="EV",C8,C17)</f>
        <v>0</v>
      </c>
      <c r="D26" s="7" t="n">
        <f aca="false">IF($B$1="EV",D8,D17)</f>
        <v>0</v>
      </c>
      <c r="E26" s="7" t="n">
        <f aca="false">IF($B$1="EV",E8,E17)</f>
        <v>0</v>
      </c>
      <c r="F26" s="7" t="n">
        <f aca="false">IF($B$1="EV",F8,F17)</f>
        <v>0</v>
      </c>
      <c r="G26" s="7" t="n">
        <f aca="false">IF($B$1="EV",G8,G17)</f>
        <v>1025</v>
      </c>
      <c r="H26" s="7" t="n">
        <f aca="false">IF($B$1="EV",H8,H17)</f>
        <v>0</v>
      </c>
      <c r="I26" s="7" t="n">
        <f aca="false">IF($B$1="EV",I8,I17)</f>
        <v>2681</v>
      </c>
      <c r="J26" s="7" t="n">
        <f>IF($B$1="EV",J8,J17)</f>
      </c>
    </row>
    <row r="27" customFormat="false" ht="15" hidden="false" customHeight="false" outlineLevel="0" collapsed="false">
      <c r="A27" s="0" t="s">
        <v>11</v>
      </c>
      <c r="B27" s="7" t="n">
        <f aca="false">IF($B$1="EV",B9,B18)</f>
        <v>0</v>
      </c>
      <c r="C27" s="7" t="n">
        <f aca="false">IF($B$1="EV",C9,C18)</f>
        <v>0</v>
      </c>
      <c r="D27" s="7" t="n">
        <f aca="false">IF($B$1="EV",D9,D18)</f>
        <v>0</v>
      </c>
      <c r="E27" s="7" t="n">
        <f aca="false">IF($B$1="EV",E9,E18)</f>
        <v>0</v>
      </c>
      <c r="F27" s="7" t="n">
        <f aca="false">IF($B$1="EV",F9,F18)</f>
        <v>0</v>
      </c>
      <c r="G27" s="7" t="n">
        <f aca="false">IF($B$1="EV",G9,G18)</f>
        <v>0</v>
      </c>
      <c r="H27" s="7" t="n">
        <f aca="false">IF($B$1="EV",H9,H18)</f>
        <v>0</v>
      </c>
      <c r="I27" s="7" t="n">
        <f aca="false">IF($B$1="EV",I9,I18)</f>
        <v>0</v>
      </c>
      <c r="J27" s="7" t="n">
        <f>IF($B$1="EV",J9,J18)</f>
      </c>
    </row>
    <row r="28" customFormat="false" ht="15" hidden="false" customHeight="false" outlineLevel="0" collapsed="false">
      <c r="A28" s="0" t="s">
        <v>14</v>
      </c>
      <c r="B28" s="7" t="n">
        <f aca="false">IF($B$1="EV",B10,B19)</f>
        <v>0</v>
      </c>
      <c r="C28" s="7" t="n">
        <f aca="false">IF($B$1="EV",C10,C19)</f>
        <v>0</v>
      </c>
      <c r="D28" s="7" t="n">
        <f aca="false">IF($B$1="EV",D10,D19)</f>
        <v>0</v>
      </c>
      <c r="E28" s="7" t="n">
        <f aca="false">IF($B$1="EV",E10,E19)</f>
        <v>0</v>
      </c>
      <c r="F28" s="7" t="n">
        <f aca="false">IF($B$1="EV",F10,F19)</f>
        <v>0</v>
      </c>
      <c r="G28" s="7" t="n">
        <f aca="false">IF($B$1="EV",G10,G19)</f>
        <v>0</v>
      </c>
      <c r="H28" s="7" t="n">
        <f aca="false">IF($B$1="EV",H10,H19)</f>
        <v>0</v>
      </c>
      <c r="I28" s="7" t="n">
        <f aca="false">IF($B$1="EV",I10,I19)</f>
        <v>0</v>
      </c>
      <c r="J28" s="7" t="n">
        <f>IF($B$1="EV",J10,J19)</f>
      </c>
    </row>
    <row r="30">
      <c r="A30" s="11" t="s">
        <v>158</v>
      </c>
    </row>
    <row r="31">
      <c r="A31" s="6" t="s">
        <v>5</v>
      </c>
      <c r="B31" s="6" t="s">
        <v>61</v>
      </c>
      <c r="C31" s="6" t="s">
        <v>62</v>
      </c>
      <c r="D31" s="6" t="s">
        <v>63</v>
      </c>
      <c r="E31" s="6" t="s">
        <v>64</v>
      </c>
      <c r="F31" s="6" t="s">
        <v>65</v>
      </c>
      <c r="G31" s="6" t="s">
        <v>66</v>
      </c>
      <c r="H31" s="6" t="s">
        <v>67</v>
      </c>
      <c r="I31" s="6" t="s">
        <v>68</v>
      </c>
    </row>
    <row r="32">
      <c r="A32" s="0" t="s">
        <v>3</v>
      </c>
      <c r="C32" s="7" t="n">
        <f>IF($B$1="EV",SUMIFS(ShipPlan!O:O,ShipPlan!E:E,$A32,ShipPlan!L:L,10),SUMPRODUCT((LeadTime_Probs!B$2:B$100=$A32)*LeadTime_Probs!E$2:E$100*SUMIFS(ShipPlan!O:O,ShipPlan!D:D,LeadTime_Probs!A$2:A$100,ShipPlan!E:E,LeadTime_Probs!B$2:B$100,ShipPlan!F:F,LeadTime_Probs!C$2:C$100,ShipPlan!C:C,10-LeadTime_Probs!D$2:D$100)))</f>
      </c>
      <c r="E32" s="7" t="n">
        <f>IF($B$1="EV",SUMIFS(ShipPlan!O:O,ShipPlan!E:E,$A32,ShipPlan!L:L,12),SUMPRODUCT((LeadTime_Probs!B$2:B$100=$A32)*LeadTime_Probs!E$2:E$100*SUMIFS(ShipPlan!O:O,ShipPlan!D:D,LeadTime_Probs!A$2:A$100,ShipPlan!E:E,LeadTime_Probs!B$2:B$100,ShipPlan!F:F,LeadTime_Probs!C$2:C$100,ShipPlan!C:C,12-LeadTime_Probs!D$2:D$100)))</f>
      </c>
      <c r="I32" s="7" t="n">
        <f>IF($B$1="EV",SUMIFS(ShipPlan!O:O,ShipPlan!E:E,$A32,ShipPlan!L:L,16),SUMPRODUCT((LeadTime_Probs!B$2:B$100=$A32)*LeadTime_Probs!E$2:E$100*SUMIFS(ShipPlan!O:O,ShipPlan!D:D,LeadTime_Probs!A$2:A$100,ShipPlan!E:E,LeadTime_Probs!B$2:B$100,ShipPlan!F:F,LeadTime_Probs!C$2:C$100,ShipPlan!C:C,16-LeadTime_Probs!D$2:D$100)))</f>
      </c>
      <c r="F32" s="7" t="n">
        <f>IF($B$1="EV",SUMIFS(ShipPlan!O:O,ShipPlan!E:E,$A32,ShipPlan!L:L,13),SUMPRODUCT((LeadTime_Probs!B$2:B$100=$A32)*LeadTime_Probs!E$2:E$100*SUMIFS(ShipPlan!O:O,ShipPlan!D:D,LeadTime_Probs!A$2:A$100,ShipPlan!E:E,LeadTime_Probs!B$2:B$100,ShipPlan!F:F,LeadTime_Probs!C$2:C$100,ShipPlan!C:C,13-LeadTime_Probs!D$2:D$100)))</f>
      </c>
      <c r="B32" s="7" t="n">
        <f>IF($B$1="EV",SUMIFS(ShipPlan!O:O,ShipPlan!E:E,$A32,ShipPlan!L:L,9),SUMPRODUCT((LeadTime_Probs!B$2:B$100=$A32)*LeadTime_Probs!E$2:E$100*SUMIFS(ShipPlan!O:O,ShipPlan!D:D,LeadTime_Probs!A$2:A$100,ShipPlan!E:E,LeadTime_Probs!B$2:B$100,ShipPlan!F:F,LeadTime_Probs!C$2:C$100,ShipPlan!C:C,9-LeadTime_Probs!D$2:D$100)))</f>
      </c>
      <c r="G32" s="7" t="n">
        <f>IF($B$1="EV",SUMIFS(ShipPlan!O:O,ShipPlan!E:E,$A32,ShipPlan!L:L,14),SUMPRODUCT((LeadTime_Probs!B$2:B$100=$A32)*LeadTime_Probs!E$2:E$100*SUMIFS(ShipPlan!O:O,ShipPlan!D:D,LeadTime_Probs!A$2:A$100,ShipPlan!E:E,LeadTime_Probs!B$2:B$100,ShipPlan!F:F,LeadTime_Probs!C$2:C$100,ShipPlan!C:C,14-LeadTime_Probs!D$2:D$100)))</f>
      </c>
      <c r="H32" s="7" t="n">
        <f>IF($B$1="EV",SUMIFS(ShipPlan!O:O,ShipPlan!E:E,$A32,ShipPlan!L:L,15),SUMPRODUCT((LeadTime_Probs!B$2:B$100=$A32)*LeadTime_Probs!E$2:E$100*SUMIFS(ShipPlan!O:O,ShipPlan!D:D,LeadTime_Probs!A$2:A$100,ShipPlan!E:E,LeadTime_Probs!B$2:B$100,ShipPlan!F:F,LeadTime_Probs!C$2:C$100,ShipPlan!C:C,15-LeadTime_Probs!D$2:D$100)))</f>
      </c>
      <c r="D32" s="7" t="n">
        <f>IF($B$1="EV",SUMIFS(ShipPlan!O:O,ShipPlan!E:E,$A32,ShipPlan!L:L,11),SUMPRODUCT((LeadTime_Probs!B$2:B$100=$A32)*LeadTime_Probs!E$2:E$100*SUMIFS(ShipPlan!O:O,ShipPlan!D:D,LeadTime_Probs!A$2:A$100,ShipPlan!E:E,LeadTime_Probs!B$2:B$100,ShipPlan!F:F,LeadTime_Probs!C$2:C$100,ShipPlan!C:C,11-LeadTime_Probs!D$2:D$100)))</f>
      </c>
    </row>
    <row r="33">
      <c r="A33" s="0" t="s">
        <v>7</v>
      </c>
      <c r="C33" s="7" t="n">
        <f>IF($B$1="EV",SUMIFS(ShipPlan!O:O,ShipPlan!E:E,$A33,ShipPlan!L:L,10),SUMPRODUCT((LeadTime_Probs!B$2:B$100=$A33)*LeadTime_Probs!E$2:E$100*SUMIFS(ShipPlan!O:O,ShipPlan!D:D,LeadTime_Probs!A$2:A$100,ShipPlan!E:E,LeadTime_Probs!B$2:B$100,ShipPlan!F:F,LeadTime_Probs!C$2:C$100,ShipPlan!C:C,10-LeadTime_Probs!D$2:D$100)))</f>
      </c>
      <c r="E33" s="7" t="n">
        <f>IF($B$1="EV",SUMIFS(ShipPlan!O:O,ShipPlan!E:E,$A33,ShipPlan!L:L,12),SUMPRODUCT((LeadTime_Probs!B$2:B$100=$A33)*LeadTime_Probs!E$2:E$100*SUMIFS(ShipPlan!O:O,ShipPlan!D:D,LeadTime_Probs!A$2:A$100,ShipPlan!E:E,LeadTime_Probs!B$2:B$100,ShipPlan!F:F,LeadTime_Probs!C$2:C$100,ShipPlan!C:C,12-LeadTime_Probs!D$2:D$100)))</f>
      </c>
      <c r="I33" s="7" t="n">
        <f>IF($B$1="EV",SUMIFS(ShipPlan!O:O,ShipPlan!E:E,$A33,ShipPlan!L:L,16),SUMPRODUCT((LeadTime_Probs!B$2:B$100=$A33)*LeadTime_Probs!E$2:E$100*SUMIFS(ShipPlan!O:O,ShipPlan!D:D,LeadTime_Probs!A$2:A$100,ShipPlan!E:E,LeadTime_Probs!B$2:B$100,ShipPlan!F:F,LeadTime_Probs!C$2:C$100,ShipPlan!C:C,16-LeadTime_Probs!D$2:D$100)))</f>
      </c>
      <c r="F33" s="7" t="n">
        <f>IF($B$1="EV",SUMIFS(ShipPlan!O:O,ShipPlan!E:E,$A33,ShipPlan!L:L,13),SUMPRODUCT((LeadTime_Probs!B$2:B$100=$A33)*LeadTime_Probs!E$2:E$100*SUMIFS(ShipPlan!O:O,ShipPlan!D:D,LeadTime_Probs!A$2:A$100,ShipPlan!E:E,LeadTime_Probs!B$2:B$100,ShipPlan!F:F,LeadTime_Probs!C$2:C$100,ShipPlan!C:C,13-LeadTime_Probs!D$2:D$100)))</f>
      </c>
      <c r="B33" s="7" t="n">
        <f>IF($B$1="EV",SUMIFS(ShipPlan!O:O,ShipPlan!E:E,$A33,ShipPlan!L:L,9),SUMPRODUCT((LeadTime_Probs!B$2:B$100=$A33)*LeadTime_Probs!E$2:E$100*SUMIFS(ShipPlan!O:O,ShipPlan!D:D,LeadTime_Probs!A$2:A$100,ShipPlan!E:E,LeadTime_Probs!B$2:B$100,ShipPlan!F:F,LeadTime_Probs!C$2:C$100,ShipPlan!C:C,9-LeadTime_Probs!D$2:D$100)))</f>
      </c>
      <c r="G33" s="7" t="n">
        <f>IF($B$1="EV",SUMIFS(ShipPlan!O:O,ShipPlan!E:E,$A33,ShipPlan!L:L,14),SUMPRODUCT((LeadTime_Probs!B$2:B$100=$A33)*LeadTime_Probs!E$2:E$100*SUMIFS(ShipPlan!O:O,ShipPlan!D:D,LeadTime_Probs!A$2:A$100,ShipPlan!E:E,LeadTime_Probs!B$2:B$100,ShipPlan!F:F,LeadTime_Probs!C$2:C$100,ShipPlan!C:C,14-LeadTime_Probs!D$2:D$100)))</f>
      </c>
      <c r="H33" s="7" t="n">
        <f>IF($B$1="EV",SUMIFS(ShipPlan!O:O,ShipPlan!E:E,$A33,ShipPlan!L:L,15),SUMPRODUCT((LeadTime_Probs!B$2:B$100=$A33)*LeadTime_Probs!E$2:E$100*SUMIFS(ShipPlan!O:O,ShipPlan!D:D,LeadTime_Probs!A$2:A$100,ShipPlan!E:E,LeadTime_Probs!B$2:B$100,ShipPlan!F:F,LeadTime_Probs!C$2:C$100,ShipPlan!C:C,15-LeadTime_Probs!D$2:D$100)))</f>
      </c>
      <c r="D33" s="7" t="n">
        <f>IF($B$1="EV",SUMIFS(ShipPlan!O:O,ShipPlan!E:E,$A33,ShipPlan!L:L,11),SUMPRODUCT((LeadTime_Probs!B$2:B$100=$A33)*LeadTime_Probs!E$2:E$100*SUMIFS(ShipPlan!O:O,ShipPlan!D:D,LeadTime_Probs!A$2:A$100,ShipPlan!E:E,LeadTime_Probs!B$2:B$100,ShipPlan!F:F,LeadTime_Probs!C$2:C$100,ShipPlan!C:C,11-LeadTime_Probs!D$2:D$100)))</f>
      </c>
    </row>
    <row r="34">
      <c r="A34" s="0" t="s">
        <v>9</v>
      </c>
      <c r="C34" s="7" t="n">
        <f>IF($B$1="EV",SUMIFS(ShipPlan!O:O,ShipPlan!E:E,$A34,ShipPlan!L:L,10),SUMPRODUCT((LeadTime_Probs!B$2:B$100=$A34)*LeadTime_Probs!E$2:E$100*SUMIFS(ShipPlan!O:O,ShipPlan!D:D,LeadTime_Probs!A$2:A$100,ShipPlan!E:E,LeadTime_Probs!B$2:B$100,ShipPlan!F:F,LeadTime_Probs!C$2:C$100,ShipPlan!C:C,10-LeadTime_Probs!D$2:D$100)))</f>
      </c>
      <c r="E34" s="7" t="n">
        <f>IF($B$1="EV",SUMIFS(ShipPlan!O:O,ShipPlan!E:E,$A34,ShipPlan!L:L,12),SUMPRODUCT((LeadTime_Probs!B$2:B$100=$A34)*LeadTime_Probs!E$2:E$100*SUMIFS(ShipPlan!O:O,ShipPlan!D:D,LeadTime_Probs!A$2:A$100,ShipPlan!E:E,LeadTime_Probs!B$2:B$100,ShipPlan!F:F,LeadTime_Probs!C$2:C$100,ShipPlan!C:C,12-LeadTime_Probs!D$2:D$100)))</f>
      </c>
      <c r="I34" s="7" t="n">
        <f>IF($B$1="EV",SUMIFS(ShipPlan!O:O,ShipPlan!E:E,$A34,ShipPlan!L:L,16),SUMPRODUCT((LeadTime_Probs!B$2:B$100=$A34)*LeadTime_Probs!E$2:E$100*SUMIFS(ShipPlan!O:O,ShipPlan!D:D,LeadTime_Probs!A$2:A$100,ShipPlan!E:E,LeadTime_Probs!B$2:B$100,ShipPlan!F:F,LeadTime_Probs!C$2:C$100,ShipPlan!C:C,16-LeadTime_Probs!D$2:D$100)))</f>
      </c>
      <c r="F34" s="7" t="n">
        <f>IF($B$1="EV",SUMIFS(ShipPlan!O:O,ShipPlan!E:E,$A34,ShipPlan!L:L,13),SUMPRODUCT((LeadTime_Probs!B$2:B$100=$A34)*LeadTime_Probs!E$2:E$100*SUMIFS(ShipPlan!O:O,ShipPlan!D:D,LeadTime_Probs!A$2:A$100,ShipPlan!E:E,LeadTime_Probs!B$2:B$100,ShipPlan!F:F,LeadTime_Probs!C$2:C$100,ShipPlan!C:C,13-LeadTime_Probs!D$2:D$100)))</f>
      </c>
      <c r="B34" s="7" t="n">
        <f>IF($B$1="EV",SUMIFS(ShipPlan!O:O,ShipPlan!E:E,$A34,ShipPlan!L:L,9),SUMPRODUCT((LeadTime_Probs!B$2:B$100=$A34)*LeadTime_Probs!E$2:E$100*SUMIFS(ShipPlan!O:O,ShipPlan!D:D,LeadTime_Probs!A$2:A$100,ShipPlan!E:E,LeadTime_Probs!B$2:B$100,ShipPlan!F:F,LeadTime_Probs!C$2:C$100,ShipPlan!C:C,9-LeadTime_Probs!D$2:D$100)))</f>
      </c>
      <c r="G34" s="7" t="n">
        <f>IF($B$1="EV",SUMIFS(ShipPlan!O:O,ShipPlan!E:E,$A34,ShipPlan!L:L,14),SUMPRODUCT((LeadTime_Probs!B$2:B$100=$A34)*LeadTime_Probs!E$2:E$100*SUMIFS(ShipPlan!O:O,ShipPlan!D:D,LeadTime_Probs!A$2:A$100,ShipPlan!E:E,LeadTime_Probs!B$2:B$100,ShipPlan!F:F,LeadTime_Probs!C$2:C$100,ShipPlan!C:C,14-LeadTime_Probs!D$2:D$100)))</f>
      </c>
      <c r="H34" s="7" t="n">
        <f>IF($B$1="EV",SUMIFS(ShipPlan!O:O,ShipPlan!E:E,$A34,ShipPlan!L:L,15),SUMPRODUCT((LeadTime_Probs!B$2:B$100=$A34)*LeadTime_Probs!E$2:E$100*SUMIFS(ShipPlan!O:O,ShipPlan!D:D,LeadTime_Probs!A$2:A$100,ShipPlan!E:E,LeadTime_Probs!B$2:B$100,ShipPlan!F:F,LeadTime_Probs!C$2:C$100,ShipPlan!C:C,15-LeadTime_Probs!D$2:D$100)))</f>
      </c>
      <c r="D34" s="7" t="n">
        <f>IF($B$1="EV",SUMIFS(ShipPlan!O:O,ShipPlan!E:E,$A34,ShipPlan!L:L,11),SUMPRODUCT((LeadTime_Probs!B$2:B$100=$A34)*LeadTime_Probs!E$2:E$100*SUMIFS(ShipPlan!O:O,ShipPlan!D:D,LeadTime_Probs!A$2:A$100,ShipPlan!E:E,LeadTime_Probs!B$2:B$100,ShipPlan!F:F,LeadTime_Probs!C$2:C$100,ShipPlan!C:C,11-LeadTime_Probs!D$2:D$100)))</f>
      </c>
    </row>
    <row r="35">
      <c r="A35" s="0" t="s">
        <v>11</v>
      </c>
      <c r="C35" s="7" t="n">
        <f>IF($B$1="EV",SUMIFS(ShipPlan!O:O,ShipPlan!E:E,$A35,ShipPlan!L:L,10),SUMPRODUCT((LeadTime_Probs!B$2:B$100=$A35)*LeadTime_Probs!E$2:E$100*SUMIFS(ShipPlan!O:O,ShipPlan!D:D,LeadTime_Probs!A$2:A$100,ShipPlan!E:E,LeadTime_Probs!B$2:B$100,ShipPlan!F:F,LeadTime_Probs!C$2:C$100,ShipPlan!C:C,10-LeadTime_Probs!D$2:D$100)))</f>
      </c>
      <c r="E35" s="7" t="n">
        <f>IF($B$1="EV",SUMIFS(ShipPlan!O:O,ShipPlan!E:E,$A35,ShipPlan!L:L,12),SUMPRODUCT((LeadTime_Probs!B$2:B$100=$A35)*LeadTime_Probs!E$2:E$100*SUMIFS(ShipPlan!O:O,ShipPlan!D:D,LeadTime_Probs!A$2:A$100,ShipPlan!E:E,LeadTime_Probs!B$2:B$100,ShipPlan!F:F,LeadTime_Probs!C$2:C$100,ShipPlan!C:C,12-LeadTime_Probs!D$2:D$100)))</f>
      </c>
      <c r="I35" s="7" t="n">
        <f>IF($B$1="EV",SUMIFS(ShipPlan!O:O,ShipPlan!E:E,$A35,ShipPlan!L:L,16),SUMPRODUCT((LeadTime_Probs!B$2:B$100=$A35)*LeadTime_Probs!E$2:E$100*SUMIFS(ShipPlan!O:O,ShipPlan!D:D,LeadTime_Probs!A$2:A$100,ShipPlan!E:E,LeadTime_Probs!B$2:B$100,ShipPlan!F:F,LeadTime_Probs!C$2:C$100,ShipPlan!C:C,16-LeadTime_Probs!D$2:D$100)))</f>
      </c>
      <c r="F35" s="7" t="n">
        <f>IF($B$1="EV",SUMIFS(ShipPlan!O:O,ShipPlan!E:E,$A35,ShipPlan!L:L,13),SUMPRODUCT((LeadTime_Probs!B$2:B$100=$A35)*LeadTime_Probs!E$2:E$100*SUMIFS(ShipPlan!O:O,ShipPlan!D:D,LeadTime_Probs!A$2:A$100,ShipPlan!E:E,LeadTime_Probs!B$2:B$100,ShipPlan!F:F,LeadTime_Probs!C$2:C$100,ShipPlan!C:C,13-LeadTime_Probs!D$2:D$100)))</f>
      </c>
      <c r="B35" s="7" t="n">
        <f>IF($B$1="EV",SUMIFS(ShipPlan!O:O,ShipPlan!E:E,$A35,ShipPlan!L:L,9),SUMPRODUCT((LeadTime_Probs!B$2:B$100=$A35)*LeadTime_Probs!E$2:E$100*SUMIFS(ShipPlan!O:O,ShipPlan!D:D,LeadTime_Probs!A$2:A$100,ShipPlan!E:E,LeadTime_Probs!B$2:B$100,ShipPlan!F:F,LeadTime_Probs!C$2:C$100,ShipPlan!C:C,9-LeadTime_Probs!D$2:D$100)))</f>
      </c>
      <c r="G35" s="7" t="n">
        <f>IF($B$1="EV",SUMIFS(ShipPlan!O:O,ShipPlan!E:E,$A35,ShipPlan!L:L,14),SUMPRODUCT((LeadTime_Probs!B$2:B$100=$A35)*LeadTime_Probs!E$2:E$100*SUMIFS(ShipPlan!O:O,ShipPlan!D:D,LeadTime_Probs!A$2:A$100,ShipPlan!E:E,LeadTime_Probs!B$2:B$100,ShipPlan!F:F,LeadTime_Probs!C$2:C$100,ShipPlan!C:C,14-LeadTime_Probs!D$2:D$100)))</f>
      </c>
      <c r="H35" s="7" t="n">
        <f>IF($B$1="EV",SUMIFS(ShipPlan!O:O,ShipPlan!E:E,$A35,ShipPlan!L:L,15),SUMPRODUCT((LeadTime_Probs!B$2:B$100=$A35)*LeadTime_Probs!E$2:E$100*SUMIFS(ShipPlan!O:O,ShipPlan!D:D,LeadTime_Probs!A$2:A$100,ShipPlan!E:E,LeadTime_Probs!B$2:B$100,ShipPlan!F:F,LeadTime_Probs!C$2:C$100,ShipPlan!C:C,15-LeadTime_Probs!D$2:D$100)))</f>
      </c>
      <c r="D35" s="7" t="n">
        <f>IF($B$1="EV",SUMIFS(ShipPlan!O:O,ShipPlan!E:E,$A35,ShipPlan!L:L,11),SUMPRODUCT((LeadTime_Probs!B$2:B$100=$A35)*LeadTime_Probs!E$2:E$100*SUMIFS(ShipPlan!O:O,ShipPlan!D:D,LeadTime_Probs!A$2:A$100,ShipPlan!E:E,LeadTime_Probs!B$2:B$100,ShipPlan!F:F,LeadTime_Probs!C$2:C$100,ShipPlan!C:C,11-LeadTime_Probs!D$2:D$100)))</f>
      </c>
    </row>
    <row r="36">
      <c r="A36" s="0" t="s">
        <v>14</v>
      </c>
      <c r="C36" s="7" t="n">
        <f>IF($B$1="EV",SUMIFS(ShipPlan!O:O,ShipPlan!E:E,$A36,ShipPlan!L:L,10),SUMPRODUCT((LeadTime_Probs!B$2:B$100=$A36)*LeadTime_Probs!E$2:E$100*SUMIFS(ShipPlan!O:O,ShipPlan!D:D,LeadTime_Probs!A$2:A$100,ShipPlan!E:E,LeadTime_Probs!B$2:B$100,ShipPlan!F:F,LeadTime_Probs!C$2:C$100,ShipPlan!C:C,10-LeadTime_Probs!D$2:D$100)))</f>
      </c>
      <c r="E36" s="7" t="n">
        <f>IF($B$1="EV",SUMIFS(ShipPlan!O:O,ShipPlan!E:E,$A36,ShipPlan!L:L,12),SUMPRODUCT((LeadTime_Probs!B$2:B$100=$A36)*LeadTime_Probs!E$2:E$100*SUMIFS(ShipPlan!O:O,ShipPlan!D:D,LeadTime_Probs!A$2:A$100,ShipPlan!E:E,LeadTime_Probs!B$2:B$100,ShipPlan!F:F,LeadTime_Probs!C$2:C$100,ShipPlan!C:C,12-LeadTime_Probs!D$2:D$100)))</f>
      </c>
      <c r="I36" s="7" t="n">
        <f>IF($B$1="EV",SUMIFS(ShipPlan!O:O,ShipPlan!E:E,$A36,ShipPlan!L:L,16),SUMPRODUCT((LeadTime_Probs!B$2:B$100=$A36)*LeadTime_Probs!E$2:E$100*SUMIFS(ShipPlan!O:O,ShipPlan!D:D,LeadTime_Probs!A$2:A$100,ShipPlan!E:E,LeadTime_Probs!B$2:B$100,ShipPlan!F:F,LeadTime_Probs!C$2:C$100,ShipPlan!C:C,16-LeadTime_Probs!D$2:D$100)))</f>
      </c>
      <c r="F36" s="7" t="n">
        <f>IF($B$1="EV",SUMIFS(ShipPlan!O:O,ShipPlan!E:E,$A36,ShipPlan!L:L,13),SUMPRODUCT((LeadTime_Probs!B$2:B$100=$A36)*LeadTime_Probs!E$2:E$100*SUMIFS(ShipPlan!O:O,ShipPlan!D:D,LeadTime_Probs!A$2:A$100,ShipPlan!E:E,LeadTime_Probs!B$2:B$100,ShipPlan!F:F,LeadTime_Probs!C$2:C$100,ShipPlan!C:C,13-LeadTime_Probs!D$2:D$100)))</f>
      </c>
      <c r="B36" s="7" t="n">
        <f>IF($B$1="EV",SUMIFS(ShipPlan!O:O,ShipPlan!E:E,$A36,ShipPlan!L:L,9),SUMPRODUCT((LeadTime_Probs!B$2:B$100=$A36)*LeadTime_Probs!E$2:E$100*SUMIFS(ShipPlan!O:O,ShipPlan!D:D,LeadTime_Probs!A$2:A$100,ShipPlan!E:E,LeadTime_Probs!B$2:B$100,ShipPlan!F:F,LeadTime_Probs!C$2:C$100,ShipPlan!C:C,9-LeadTime_Probs!D$2:D$100)))</f>
      </c>
      <c r="G36" s="7" t="n">
        <f>IF($B$1="EV",SUMIFS(ShipPlan!O:O,ShipPlan!E:E,$A36,ShipPlan!L:L,14),SUMPRODUCT((LeadTime_Probs!B$2:B$100=$A36)*LeadTime_Probs!E$2:E$100*SUMIFS(ShipPlan!O:O,ShipPlan!D:D,LeadTime_Probs!A$2:A$100,ShipPlan!E:E,LeadTime_Probs!B$2:B$100,ShipPlan!F:F,LeadTime_Probs!C$2:C$100,ShipPlan!C:C,14-LeadTime_Probs!D$2:D$100)))</f>
      </c>
      <c r="H36" s="7" t="n">
        <f>IF($B$1="EV",SUMIFS(ShipPlan!O:O,ShipPlan!E:E,$A36,ShipPlan!L:L,15),SUMPRODUCT((LeadTime_Probs!B$2:B$100=$A36)*LeadTime_Probs!E$2:E$100*SUMIFS(ShipPlan!O:O,ShipPlan!D:D,LeadTime_Probs!A$2:A$100,ShipPlan!E:E,LeadTime_Probs!B$2:B$100,ShipPlan!F:F,LeadTime_Probs!C$2:C$100,ShipPlan!C:C,15-LeadTime_Probs!D$2:D$100)))</f>
      </c>
      <c r="D36" s="7" t="n">
        <f>IF($B$1="EV",SUMIFS(ShipPlan!O:O,ShipPlan!E:E,$A36,ShipPlan!L:L,11),SUMPRODUCT((LeadTime_Probs!B$2:B$100=$A36)*LeadTime_Probs!E$2:E$100*SUMIFS(ShipPlan!O:O,ShipPlan!D:D,LeadTime_Probs!A$2:A$100,ShipPlan!E:E,LeadTime_Probs!B$2:B$100,ShipPlan!F:F,LeadTime_Probs!C$2:C$100,ShipPlan!C:C,11-LeadTime_Probs!D$2:D$100)))</f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
    </oddHeader>
    <oddFooter>
   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</cols>
  <sheetData>
    <row r="1" customFormat="false" ht="15" hidden="false" customHeight="false" outlineLevel="0" collapsed="false">
      <c r="A1" s="6" t="s">
        <v>5</v>
      </c>
      <c r="B1" s="6" t="s">
        <v>71</v>
      </c>
      <c r="C1" s="6" t="s">
        <v>72</v>
      </c>
    </row>
    <row r="2" customFormat="false" ht="15" hidden="false" customHeight="false" outlineLevel="0" collapsed="false">
      <c r="A2" s="0" t="s">
        <v>3</v>
      </c>
      <c r="B2" s="3" t="n">
        <v>48</v>
      </c>
      <c r="C2" s="8" t="n">
        <f aca="false">B2*Inputs_Global!$D$3</f>
        <v>4800</v>
      </c>
    </row>
    <row r="3" customFormat="false" ht="15" hidden="false" customHeight="false" outlineLevel="0" collapsed="false">
      <c r="A3" s="0" t="s">
        <v>7</v>
      </c>
      <c r="B3" s="3" t="n">
        <v>25</v>
      </c>
      <c r="C3" s="8" t="n">
        <f aca="false">B3*Inputs_Global!$D$3</f>
        <v>2500</v>
      </c>
    </row>
    <row r="4" customFormat="false" ht="15" hidden="false" customHeight="false" outlineLevel="0" collapsed="false">
      <c r="A4" s="0" t="s">
        <v>9</v>
      </c>
      <c r="B4" s="3" t="n">
        <v>20</v>
      </c>
      <c r="C4" s="8" t="n">
        <f aca="false">B4*Inputs_Global!$D$3</f>
        <v>2000</v>
      </c>
    </row>
    <row r="5" customFormat="false" ht="15" hidden="false" customHeight="false" outlineLevel="0" collapsed="false">
      <c r="A5" s="0" t="s">
        <v>11</v>
      </c>
      <c r="B5" s="3" t="n">
        <v>0</v>
      </c>
      <c r="C5" s="8" t="n">
        <f aca="false">B5*Inputs_Global!$D$3</f>
        <v>0</v>
      </c>
    </row>
    <row r="6" customFormat="false" ht="15" hidden="false" customHeight="false" outlineLevel="0" collapsed="false">
      <c r="A6" s="0" t="s">
        <v>14</v>
      </c>
      <c r="B6" s="3" t="n">
        <v>0</v>
      </c>
      <c r="C6" s="8" t="n">
        <f aca="false">B6*Inputs_Global!$D$3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>
  </sheetFormatPr>
  <cols>
    <col collapsed="false" customWidth="true" hidden="false" outlineLevel="0" max="17" min="1" style="0" width="14"/>
  </cols>
  <sheetData>
    <row r="1" customFormat="false" ht="28.35" hidden="false" customHeight="false" outlineLevel="0" collapsed="false">
      <c r="A1" s="6" t="s">
        <v>5</v>
      </c>
      <c r="B1" s="6" t="s">
        <v>19</v>
      </c>
      <c r="C1" s="6" t="s">
        <v>73</v>
      </c>
      <c r="D1" s="6" t="s">
        <v>24</v>
      </c>
      <c r="E1" s="6" t="s">
        <v>74</v>
      </c>
      <c r="F1" s="6" t="s">
        <v>75</v>
      </c>
      <c r="G1" s="6" t="s">
        <v>76</v>
      </c>
      <c r="H1" s="6" t="s">
        <v>77</v>
      </c>
      <c r="I1" s="6" t="s">
        <v>78</v>
      </c>
      <c r="J1" s="6" t="s">
        <v>79</v>
      </c>
      <c r="K1" s="6" t="s">
        <v>80</v>
      </c>
      <c r="L1" s="6" t="s">
        <v>81</v>
      </c>
      <c r="M1" s="6" t="s">
        <v>82</v>
      </c>
      <c r="N1" s="6" t="s">
        <v>83</v>
      </c>
      <c r="O1" s="6" t="s">
        <v>84</v>
      </c>
      <c r="P1" s="6" t="s">
        <v>85</v>
      </c>
      <c r="Q1" s="6" t="s">
        <v>86</v>
      </c>
    </row>
    <row r="2" customFormat="false" ht="15" hidden="false" customHeight="false" outlineLevel="0" collapsed="false">
      <c r="A2" s="0" t="s">
        <v>3</v>
      </c>
      <c r="B2" s="0" t="n">
        <v>1</v>
      </c>
      <c r="C2" s="8" t="n">
        <f aca="false">Inputs_Global!G3</f>
        <v>2685</v>
      </c>
      <c r="D2" s="8" t="n">
        <f aca="false">SUMIFS(Production_Supply!C:C,Production_Supply!A:A,A2,Production_Supply!B:B,B2)</f>
        <v>1500</v>
      </c>
      <c r="E2" s="8" t="n">
        <f aca="false">Arrivals!B24</f>
        <v>0</v>
      </c>
      <c r="F2" s="7" t="n">
        <f aca="false">D2+E2</f>
        <v>1500</v>
      </c>
      <c r="G2" s="7" t="n">
        <f aca="false">C2+F2</f>
        <v>4185</v>
      </c>
      <c r="H2" s="7" t="n">
        <f aca="false">SUMIFS(ShipPlan!G:G,ShipPlan!D:D,A2,ShipPlan!C:C,B2)</f>
        <v>571</v>
      </c>
      <c r="I2" s="7" t="n">
        <f aca="false">SUMIFS(ShipPlan!O:O,ShipPlan!D:D,A2,ShipPlan!C:C,B2)</f>
        <v>571</v>
      </c>
      <c r="J2" s="7" t="n">
        <f aca="false">G2-I2</f>
        <v>3614</v>
      </c>
      <c r="K2" s="8" t="n">
        <f aca="false">SUMIFS(Demand_Forecast!F:F,Demand_Forecast!A:A,A2,Demand_Forecast!B:B,B2)</f>
        <v>0</v>
      </c>
      <c r="L2" s="7" t="n">
        <f aca="false">MIN(K2,J2)</f>
        <v>0</v>
      </c>
      <c r="M2" s="7" t="n">
        <f aca="false">MAX(0,K2-J2)</f>
        <v>0</v>
      </c>
      <c r="N2" s="7" t="n">
        <f aca="false">J2-L2</f>
        <v>3614</v>
      </c>
      <c r="O2" s="8" t="n">
        <f aca="false">Warehouse_Capacity!C2</f>
        <v>4800</v>
      </c>
      <c r="P2" s="7" t="n">
        <f aca="false">MAX(0,N2-O2)</f>
        <v>0</v>
      </c>
      <c r="Q2" s="7" t="n">
        <f aca="false">N2-P2</f>
        <v>3614</v>
      </c>
    </row>
    <row r="3" customFormat="false" ht="15" hidden="false" customHeight="false" outlineLevel="0" collapsed="false">
      <c r="A3" s="0" t="s">
        <v>3</v>
      </c>
      <c r="B3" s="0" t="n">
        <v>2</v>
      </c>
      <c r="C3" s="8" t="n">
        <f aca="false">Q2</f>
        <v>3614</v>
      </c>
      <c r="D3" s="8" t="n">
        <f aca="false">SUMIFS(Production_Supply!C:C,Production_Supply!A:A,A3,Production_Supply!B:B,B3)</f>
        <v>1500</v>
      </c>
      <c r="E3" s="8" t="n">
        <f aca="false">Arrivals!C24</f>
        <v>0</v>
      </c>
      <c r="F3" s="7" t="n">
        <f aca="false">D3+E3</f>
        <v>1500</v>
      </c>
      <c r="G3" s="7" t="n">
        <f aca="false">C3+F3</f>
        <v>5114</v>
      </c>
      <c r="H3" s="7" t="n">
        <f aca="false">SUMIFS(ShipPlan!G:G,ShipPlan!D:D,A3,ShipPlan!C:C,B3)</f>
        <v>1025</v>
      </c>
      <c r="I3" s="7" t="n">
        <f aca="false">SUMIFS(ShipPlan!O:O,ShipPlan!D:D,A3,ShipPlan!C:C,B3)</f>
        <v>1025</v>
      </c>
      <c r="J3" s="7" t="n">
        <f aca="false">G3-I3</f>
        <v>4089</v>
      </c>
      <c r="K3" s="8" t="n">
        <f aca="false">SUMIFS(Demand_Forecast!F:F,Demand_Forecast!A:A,A3,Demand_Forecast!B:B,B3)</f>
        <v>2225</v>
      </c>
      <c r="L3" s="7" t="n">
        <f aca="false">MIN(K3,J3)</f>
        <v>2225</v>
      </c>
      <c r="M3" s="7" t="n">
        <f aca="false">MAX(0,K3-J3)</f>
        <v>0</v>
      </c>
      <c r="N3" s="7" t="n">
        <f aca="false">J3-L3</f>
        <v>1864</v>
      </c>
      <c r="O3" s="8" t="n">
        <f aca="false">Warehouse_Capacity!C2</f>
        <v>4800</v>
      </c>
      <c r="P3" s="7" t="n">
        <f aca="false">MAX(0,N3-O3)</f>
        <v>0</v>
      </c>
      <c r="Q3" s="7" t="n">
        <f aca="false">N3-P3</f>
        <v>1864</v>
      </c>
    </row>
    <row r="4" customFormat="false" ht="15" hidden="false" customHeight="false" outlineLevel="0" collapsed="false">
      <c r="A4" s="0" t="s">
        <v>3</v>
      </c>
      <c r="B4" s="0" t="n">
        <v>3</v>
      </c>
      <c r="C4" s="8" t="n">
        <f aca="false">Q3</f>
        <v>1864</v>
      </c>
      <c r="D4" s="8" t="n">
        <f aca="false">SUMIFS(Production_Supply!C:C,Production_Supply!A:A,A4,Production_Supply!B:B,B4)</f>
        <v>1500</v>
      </c>
      <c r="E4" s="8" t="n">
        <f aca="false">Arrivals!D24</f>
        <v>0</v>
      </c>
      <c r="F4" s="7" t="n">
        <f aca="false">D4+E4</f>
        <v>1500</v>
      </c>
      <c r="G4" s="7" t="n">
        <f aca="false">C4+F4</f>
        <v>3364</v>
      </c>
      <c r="H4" s="7" t="n">
        <f aca="false">SUMIFS(ShipPlan!G:G,ShipPlan!D:D,A4,ShipPlan!C:C,B4)</f>
        <v>0</v>
      </c>
      <c r="I4" s="7" t="n">
        <f aca="false">SUMIFS(ShipPlan!O:O,ShipPlan!D:D,A4,ShipPlan!C:C,B4)</f>
        <v>0</v>
      </c>
      <c r="J4" s="7" t="n">
        <f aca="false">G4-I4</f>
        <v>3364</v>
      </c>
      <c r="K4" s="8" t="n">
        <f aca="false">SUMIFS(Demand_Forecast!F:F,Demand_Forecast!A:A,A4,Demand_Forecast!B:B,B4)</f>
        <v>0</v>
      </c>
      <c r="L4" s="7" t="n">
        <f aca="false">MIN(K4,J4)</f>
        <v>0</v>
      </c>
      <c r="M4" s="7" t="n">
        <f aca="false">MAX(0,K4-J4)</f>
        <v>0</v>
      </c>
      <c r="N4" s="7" t="n">
        <f aca="false">J4-L4</f>
        <v>3364</v>
      </c>
      <c r="O4" s="8" t="n">
        <f aca="false">Warehouse_Capacity!C2</f>
        <v>4800</v>
      </c>
      <c r="P4" s="7" t="n">
        <f aca="false">MAX(0,N4-O4)</f>
        <v>0</v>
      </c>
      <c r="Q4" s="7" t="n">
        <f aca="false">N4-P4</f>
        <v>3364</v>
      </c>
    </row>
    <row r="5" customFormat="false" ht="15" hidden="false" customHeight="false" outlineLevel="0" collapsed="false">
      <c r="A5" s="0" t="s">
        <v>3</v>
      </c>
      <c r="B5" s="0" t="n">
        <v>4</v>
      </c>
      <c r="C5" s="8" t="n">
        <f aca="false">Q4</f>
        <v>3364</v>
      </c>
      <c r="D5" s="8" t="n">
        <f aca="false">SUMIFS(Production_Supply!C:C,Production_Supply!A:A,A5,Production_Supply!B:B,B5)</f>
        <v>1500</v>
      </c>
      <c r="E5" s="8" t="n">
        <f aca="false">Arrivals!E24</f>
        <v>0</v>
      </c>
      <c r="F5" s="7" t="n">
        <f aca="false">D5+E5</f>
        <v>1500</v>
      </c>
      <c r="G5" s="7" t="n">
        <f aca="false">C5+F5</f>
        <v>4864</v>
      </c>
      <c r="H5" s="7" t="n">
        <f aca="false">SUMIFS(ShipPlan!G:G,ShipPlan!D:D,A5,ShipPlan!C:C,B5)</f>
        <v>2681</v>
      </c>
      <c r="I5" s="7" t="n">
        <f aca="false">SUMIFS(ShipPlan!O:O,ShipPlan!D:D,A5,ShipPlan!C:C,B5)</f>
        <v>2681</v>
      </c>
      <c r="J5" s="7" t="n">
        <f aca="false">G5-I5</f>
        <v>2183</v>
      </c>
      <c r="K5" s="8" t="n">
        <f aca="false">SUMIFS(Demand_Forecast!F:F,Demand_Forecast!A:A,A5,Demand_Forecast!B:B,B5)</f>
        <v>2225</v>
      </c>
      <c r="L5" s="7" t="n">
        <f aca="false">MIN(K5,J5)</f>
        <v>2183</v>
      </c>
      <c r="M5" s="7" t="n">
        <f aca="false">MAX(0,K5-J5)</f>
        <v>42</v>
      </c>
      <c r="N5" s="7" t="n">
        <f aca="false">J5-L5</f>
        <v>0</v>
      </c>
      <c r="O5" s="8" t="n">
        <f aca="false">Warehouse_Capacity!C2</f>
        <v>4800</v>
      </c>
      <c r="P5" s="7" t="n">
        <f aca="false">MAX(0,N5-O5)</f>
        <v>0</v>
      </c>
      <c r="Q5" s="7" t="n">
        <f aca="false">N5-P5</f>
        <v>0</v>
      </c>
    </row>
    <row r="6" customFormat="false" ht="15" hidden="false" customHeight="false" outlineLevel="0" collapsed="false">
      <c r="A6" s="0" t="s">
        <v>3</v>
      </c>
      <c r="B6" s="0" t="n">
        <v>5</v>
      </c>
      <c r="C6" s="8" t="n">
        <f aca="false">Q5</f>
        <v>0</v>
      </c>
      <c r="D6" s="8" t="n">
        <f aca="false">SUMIFS(Production_Supply!C:C,Production_Supply!A:A,A6,Production_Supply!B:B,B6)</f>
        <v>1500</v>
      </c>
      <c r="E6" s="8" t="n">
        <f aca="false">Arrivals!F24</f>
        <v>0</v>
      </c>
      <c r="F6" s="7" t="n">
        <f aca="false">D6+E6</f>
        <v>1500</v>
      </c>
      <c r="G6" s="7" t="n">
        <f aca="false">C6+F6</f>
        <v>1500</v>
      </c>
      <c r="H6" s="7" t="n">
        <f aca="false">SUMIFS(ShipPlan!G:G,ShipPlan!D:D,A6,ShipPlan!C:C,B6)</f>
        <v>0</v>
      </c>
      <c r="I6" s="7" t="n">
        <f aca="false">SUMIFS(ShipPlan!O:O,ShipPlan!D:D,A6,ShipPlan!C:C,B6)</f>
        <v>0</v>
      </c>
      <c r="J6" s="7" t="n">
        <f aca="false">G6-I6</f>
        <v>1500</v>
      </c>
      <c r="K6" s="8" t="n">
        <f aca="false">SUMIFS(Demand_Forecast!F:F,Demand_Forecast!A:A,A6,Demand_Forecast!B:B,B6)</f>
        <v>0</v>
      </c>
      <c r="L6" s="7" t="n">
        <f aca="false">MIN(K6,J6)</f>
        <v>0</v>
      </c>
      <c r="M6" s="7" t="n">
        <f aca="false">MAX(0,K6-J6)</f>
        <v>0</v>
      </c>
      <c r="N6" s="7" t="n">
        <f aca="false">J6-L6</f>
        <v>1500</v>
      </c>
      <c r="O6" s="8" t="n">
        <f aca="false">Warehouse_Capacity!C2</f>
        <v>4800</v>
      </c>
      <c r="P6" s="7" t="n">
        <f aca="false">MAX(0,N6-O6)</f>
        <v>0</v>
      </c>
      <c r="Q6" s="7" t="n">
        <f aca="false">N6-P6</f>
        <v>1500</v>
      </c>
    </row>
    <row r="7" customFormat="false" ht="15" hidden="false" customHeight="false" outlineLevel="0" collapsed="false">
      <c r="A7" s="0" t="s">
        <v>3</v>
      </c>
      <c r="B7" s="0" t="n">
        <v>6</v>
      </c>
      <c r="C7" s="8" t="n">
        <f aca="false">Q6</f>
        <v>1500</v>
      </c>
      <c r="D7" s="8" t="n">
        <f aca="false">SUMIFS(Production_Supply!C:C,Production_Supply!A:A,A7,Production_Supply!B:B,B7)</f>
        <v>1500</v>
      </c>
      <c r="E7" s="8" t="n">
        <f aca="false">Arrivals!G24</f>
        <v>0</v>
      </c>
      <c r="F7" s="7" t="n">
        <f aca="false">D7+E7</f>
        <v>1500</v>
      </c>
      <c r="G7" s="7" t="n">
        <f aca="false">C7+F7</f>
        <v>3000</v>
      </c>
      <c r="H7" s="7" t="n">
        <f aca="false">SUMIFS(ShipPlan!G:G,ShipPlan!D:D,A7,ShipPlan!C:C,B7)</f>
        <v>0</v>
      </c>
      <c r="I7" s="7" t="n">
        <f aca="false">SUMIFS(ShipPlan!O:O,ShipPlan!D:D,A7,ShipPlan!C:C,B7)</f>
        <v>0</v>
      </c>
      <c r="J7" s="7" t="n">
        <f aca="false">G7-I7</f>
        <v>3000</v>
      </c>
      <c r="K7" s="8" t="n">
        <f aca="false">SUMIFS(Demand_Forecast!F:F,Demand_Forecast!A:A,A7,Demand_Forecast!B:B,B7)</f>
        <v>2225</v>
      </c>
      <c r="L7" s="7" t="n">
        <f aca="false">MIN(K7,J7)</f>
        <v>2225</v>
      </c>
      <c r="M7" s="7" t="n">
        <f aca="false">MAX(0,K7-J7)</f>
        <v>0</v>
      </c>
      <c r="N7" s="7" t="n">
        <f aca="false">J7-L7</f>
        <v>775</v>
      </c>
      <c r="O7" s="8" t="n">
        <f aca="false">Warehouse_Capacity!C2</f>
        <v>4800</v>
      </c>
      <c r="P7" s="7" t="n">
        <f aca="false">MAX(0,N7-O7)</f>
        <v>0</v>
      </c>
      <c r="Q7" s="7" t="n">
        <f aca="false">N7-P7</f>
        <v>775</v>
      </c>
    </row>
    <row r="8" customFormat="false" ht="15" hidden="false" customHeight="false" outlineLevel="0" collapsed="false">
      <c r="A8" s="0" t="s">
        <v>3</v>
      </c>
      <c r="B8" s="0" t="n">
        <v>7</v>
      </c>
      <c r="C8" s="8" t="n">
        <f aca="false">Q7</f>
        <v>775</v>
      </c>
      <c r="D8" s="8" t="n">
        <f aca="false">SUMIFS(Production_Supply!C:C,Production_Supply!A:A,A8,Production_Supply!B:B,B8)</f>
        <v>1500</v>
      </c>
      <c r="E8" s="8" t="n">
        <f aca="false">Arrivals!H24</f>
        <v>0</v>
      </c>
      <c r="F8" s="7" t="n">
        <f aca="false">D8+E8</f>
        <v>1500</v>
      </c>
      <c r="G8" s="7" t="n">
        <f aca="false">C8+F8</f>
        <v>2275</v>
      </c>
      <c r="H8" s="7" t="n">
        <f aca="false">SUMIFS(ShipPlan!G:G,ShipPlan!D:D,A8,ShipPlan!C:C,B8)</f>
        <v>0</v>
      </c>
      <c r="I8" s="7" t="n">
        <f aca="false">SUMIFS(ShipPlan!O:O,ShipPlan!D:D,A8,ShipPlan!C:C,B8)</f>
        <v>0</v>
      </c>
      <c r="J8" s="7" t="n">
        <f aca="false">G8-I8</f>
        <v>2275</v>
      </c>
      <c r="K8" s="8" t="n">
        <f aca="false">SUMIFS(Demand_Forecast!F:F,Demand_Forecast!A:A,A8,Demand_Forecast!B:B,B8)</f>
        <v>0</v>
      </c>
      <c r="L8" s="7" t="n">
        <f aca="false">MIN(K8,J8)</f>
        <v>0</v>
      </c>
      <c r="M8" s="7" t="n">
        <f aca="false">MAX(0,K8-J8)</f>
        <v>0</v>
      </c>
      <c r="N8" s="7" t="n">
        <f aca="false">J8-L8</f>
        <v>2275</v>
      </c>
      <c r="O8" s="8" t="n">
        <f aca="false">Warehouse_Capacity!C2</f>
        <v>4800</v>
      </c>
      <c r="P8" s="7" t="n">
        <f aca="false">MAX(0,N8-O8)</f>
        <v>0</v>
      </c>
      <c r="Q8" s="7" t="n">
        <f aca="false">N8-P8</f>
        <v>2275</v>
      </c>
    </row>
    <row r="9" customFormat="false" ht="15" hidden="false" customHeight="false" outlineLevel="0" collapsed="false">
      <c r="A9" s="0" t="s">
        <v>3</v>
      </c>
      <c r="B9" s="0" t="n">
        <v>8</v>
      </c>
      <c r="C9" s="8" t="n">
        <f aca="false">Q8</f>
        <v>2275</v>
      </c>
      <c r="D9" s="8" t="n">
        <f aca="false">SUMIFS(Production_Supply!C:C,Production_Supply!A:A,A9,Production_Supply!B:B,B9)</f>
        <v>1500</v>
      </c>
      <c r="E9" s="8" t="n">
        <f aca="false">Arrivals!I24</f>
        <v>0</v>
      </c>
      <c r="F9" s="7" t="n">
        <f aca="false">D9+E9</f>
        <v>1500</v>
      </c>
      <c r="G9" s="7" t="n">
        <f aca="false">C9+F9</f>
        <v>3775</v>
      </c>
      <c r="H9" s="7" t="n">
        <f aca="false">SUMIFS(ShipPlan!G:G,ShipPlan!D:D,A9,ShipPlan!C:C,B9)</f>
        <v>0</v>
      </c>
      <c r="I9" s="7" t="n">
        <f aca="false">SUMIFS(ShipPlan!O:O,ShipPlan!D:D,A9,ShipPlan!C:C,B9)</f>
        <v>0</v>
      </c>
      <c r="J9" s="7" t="n">
        <f aca="false">G9-I9</f>
        <v>3775</v>
      </c>
      <c r="K9" s="8" t="n">
        <f aca="false">SUMIFS(Demand_Forecast!F:F,Demand_Forecast!A:A,A9,Demand_Forecast!B:B,B9)</f>
        <v>2225</v>
      </c>
      <c r="L9" s="7" t="n">
        <f aca="false">MIN(K9,J9)</f>
        <v>2225</v>
      </c>
      <c r="M9" s="7" t="n">
        <f aca="false">MAX(0,K9-J9)</f>
        <v>0</v>
      </c>
      <c r="N9" s="7" t="n">
        <f aca="false">J9-L9</f>
        <v>1550</v>
      </c>
      <c r="O9" s="8" t="n">
        <f aca="false">Warehouse_Capacity!C2</f>
        <v>4800</v>
      </c>
      <c r="P9" s="7" t="n">
        <f aca="false">MAX(0,N9-O9)</f>
        <v>0</v>
      </c>
      <c r="Q9" s="7" t="n">
        <f aca="false">N9-P9</f>
        <v>1550</v>
      </c>
    </row>
    <row r="10" customFormat="false" ht="15" hidden="false" customHeight="false" outlineLevel="0" collapsed="false">
      <c r="A10" s="0" t="s">
        <v>7</v>
      </c>
      <c r="B10" s="0" t="n">
        <v>1</v>
      </c>
      <c r="C10" s="8" t="n">
        <f aca="false">Inputs_Global!G4</f>
        <v>1299</v>
      </c>
      <c r="D10" s="8" t="n">
        <f aca="false">SUMIFS(Production_Supply!C:C,Production_Supply!A:A,A10,Production_Supply!B:B,B10)</f>
        <v>350</v>
      </c>
      <c r="E10" s="8" t="n">
        <f aca="false">Arrivals!B25</f>
        <v>0</v>
      </c>
      <c r="F10" s="7" t="n">
        <f aca="false">D10+E10</f>
        <v>350</v>
      </c>
      <c r="G10" s="7" t="n">
        <f aca="false">C10+F10</f>
        <v>1649</v>
      </c>
      <c r="H10" s="7" t="n">
        <f aca="false">SUMIFS(ShipPlan!G:G,ShipPlan!D:D,A10,ShipPlan!C:C,B10)</f>
        <v>0</v>
      </c>
      <c r="I10" s="7" t="n">
        <f aca="false">SUMIFS(ShipPlan!O:O,ShipPlan!D:D,A10,ShipPlan!C:C,B10)</f>
        <v>0</v>
      </c>
      <c r="J10" s="7" t="n">
        <f aca="false">G10-I10</f>
        <v>1649</v>
      </c>
      <c r="K10" s="8" t="n">
        <f aca="false">SUMIFS(Demand_Forecast!F:F,Demand_Forecast!A:A,A10,Demand_Forecast!B:B,B10)</f>
        <v>0</v>
      </c>
      <c r="L10" s="7" t="n">
        <f aca="false">MIN(K10,J10)</f>
        <v>0</v>
      </c>
      <c r="M10" s="7" t="n">
        <f aca="false">MAX(0,K10-J10)</f>
        <v>0</v>
      </c>
      <c r="N10" s="7" t="n">
        <f aca="false">J10-L10</f>
        <v>1649</v>
      </c>
      <c r="O10" s="8" t="n">
        <f aca="false">Warehouse_Capacity!C3</f>
        <v>2500</v>
      </c>
      <c r="P10" s="7" t="n">
        <f aca="false">MAX(0,N10-O10)</f>
        <v>0</v>
      </c>
      <c r="Q10" s="7" t="n">
        <f aca="false">N10-P10</f>
        <v>1649</v>
      </c>
    </row>
    <row r="11" customFormat="false" ht="15" hidden="false" customHeight="false" outlineLevel="0" collapsed="false">
      <c r="A11" s="0" t="s">
        <v>7</v>
      </c>
      <c r="B11" s="0" t="n">
        <v>2</v>
      </c>
      <c r="C11" s="8" t="n">
        <f aca="false">Q10</f>
        <v>1649</v>
      </c>
      <c r="D11" s="8" t="n">
        <f aca="false">SUMIFS(Production_Supply!C:C,Production_Supply!A:A,A11,Production_Supply!B:B,B11)</f>
        <v>350</v>
      </c>
      <c r="E11" s="8" t="n">
        <f aca="false">Arrivals!C25</f>
        <v>0</v>
      </c>
      <c r="F11" s="7" t="n">
        <f aca="false">D11+E11</f>
        <v>350</v>
      </c>
      <c r="G11" s="7" t="n">
        <f aca="false">C11+F11</f>
        <v>1999</v>
      </c>
      <c r="H11" s="7" t="n">
        <f aca="false">SUMIFS(ShipPlan!G:G,ShipPlan!D:D,A11,ShipPlan!C:C,B11)</f>
        <v>0</v>
      </c>
      <c r="I11" s="7" t="n">
        <f aca="false">SUMIFS(ShipPlan!O:O,ShipPlan!D:D,A11,ShipPlan!C:C,B11)</f>
        <v>0</v>
      </c>
      <c r="J11" s="7" t="n">
        <f aca="false">G11-I11</f>
        <v>1999</v>
      </c>
      <c r="K11" s="8" t="n">
        <f aca="false">SUMIFS(Demand_Forecast!F:F,Demand_Forecast!A:A,A11,Demand_Forecast!B:B,B11)</f>
        <v>1007</v>
      </c>
      <c r="L11" s="7" t="n">
        <f aca="false">MIN(K11,J11)</f>
        <v>1007</v>
      </c>
      <c r="M11" s="7" t="n">
        <f aca="false">MAX(0,K11-J11)</f>
        <v>0</v>
      </c>
      <c r="N11" s="7" t="n">
        <f aca="false">J11-L11</f>
        <v>992</v>
      </c>
      <c r="O11" s="8" t="n">
        <f aca="false">Warehouse_Capacity!C3</f>
        <v>2500</v>
      </c>
      <c r="P11" s="7" t="n">
        <f aca="false">MAX(0,N11-O11)</f>
        <v>0</v>
      </c>
      <c r="Q11" s="7" t="n">
        <f aca="false">N11-P11</f>
        <v>992</v>
      </c>
    </row>
    <row r="12" customFormat="false" ht="15" hidden="false" customHeight="false" outlineLevel="0" collapsed="false">
      <c r="A12" s="0" t="s">
        <v>7</v>
      </c>
      <c r="B12" s="0" t="n">
        <v>3</v>
      </c>
      <c r="C12" s="8" t="n">
        <f aca="false">Q11</f>
        <v>992</v>
      </c>
      <c r="D12" s="8" t="n">
        <f aca="false">SUMIFS(Production_Supply!C:C,Production_Supply!A:A,A12,Production_Supply!B:B,B12)</f>
        <v>350</v>
      </c>
      <c r="E12" s="8" t="n">
        <f aca="false">Arrivals!D25</f>
        <v>0</v>
      </c>
      <c r="F12" s="7" t="n">
        <f aca="false">D12+E12</f>
        <v>350</v>
      </c>
      <c r="G12" s="7" t="n">
        <f aca="false">C12+F12</f>
        <v>1342</v>
      </c>
      <c r="H12" s="7" t="n">
        <f aca="false">SUMIFS(ShipPlan!G:G,ShipPlan!D:D,A12,ShipPlan!C:C,B12)</f>
        <v>0</v>
      </c>
      <c r="I12" s="7" t="n">
        <f aca="false">SUMIFS(ShipPlan!O:O,ShipPlan!D:D,A12,ShipPlan!C:C,B12)</f>
        <v>0</v>
      </c>
      <c r="J12" s="7" t="n">
        <f aca="false">G12-I12</f>
        <v>1342</v>
      </c>
      <c r="K12" s="8" t="n">
        <f aca="false">SUMIFS(Demand_Forecast!F:F,Demand_Forecast!A:A,A12,Demand_Forecast!B:B,B12)</f>
        <v>0</v>
      </c>
      <c r="L12" s="7" t="n">
        <f aca="false">MIN(K12,J12)</f>
        <v>0</v>
      </c>
      <c r="M12" s="7" t="n">
        <f aca="false">MAX(0,K12-J12)</f>
        <v>0</v>
      </c>
      <c r="N12" s="7" t="n">
        <f aca="false">J12-L12</f>
        <v>1342</v>
      </c>
      <c r="O12" s="8" t="n">
        <f aca="false">Warehouse_Capacity!C3</f>
        <v>2500</v>
      </c>
      <c r="P12" s="7" t="n">
        <f aca="false">MAX(0,N12-O12)</f>
        <v>0</v>
      </c>
      <c r="Q12" s="7" t="n">
        <f aca="false">N12-P12</f>
        <v>1342</v>
      </c>
    </row>
    <row r="13" customFormat="false" ht="15" hidden="false" customHeight="false" outlineLevel="0" collapsed="false">
      <c r="A13" s="0" t="s">
        <v>7</v>
      </c>
      <c r="B13" s="0" t="n">
        <v>4</v>
      </c>
      <c r="C13" s="8" t="n">
        <f aca="false">Q12</f>
        <v>1342</v>
      </c>
      <c r="D13" s="8" t="n">
        <f aca="false">SUMIFS(Production_Supply!C:C,Production_Supply!A:A,A13,Production_Supply!B:B,B13)</f>
        <v>350</v>
      </c>
      <c r="E13" s="8" t="n">
        <f aca="false">Arrivals!E25</f>
        <v>571</v>
      </c>
      <c r="F13" s="7" t="n">
        <f aca="false">D13+E13</f>
        <v>921</v>
      </c>
      <c r="G13" s="7" t="n">
        <f aca="false">C13+F13</f>
        <v>2263</v>
      </c>
      <c r="H13" s="7" t="n">
        <f aca="false">SUMIFS(ShipPlan!G:G,ShipPlan!D:D,A13,ShipPlan!C:C,B13)</f>
        <v>0</v>
      </c>
      <c r="I13" s="7" t="n">
        <f aca="false">SUMIFS(ShipPlan!O:O,ShipPlan!D:D,A13,ShipPlan!C:C,B13)</f>
        <v>0</v>
      </c>
      <c r="J13" s="7" t="n">
        <f aca="false">G13-I13</f>
        <v>2263</v>
      </c>
      <c r="K13" s="8" t="n">
        <f aca="false">SUMIFS(Demand_Forecast!F:F,Demand_Forecast!A:A,A13,Demand_Forecast!B:B,B13)</f>
        <v>1007</v>
      </c>
      <c r="L13" s="7" t="n">
        <f aca="false">MIN(K13,J13)</f>
        <v>1007</v>
      </c>
      <c r="M13" s="7" t="n">
        <f aca="false">MAX(0,K13-J13)</f>
        <v>0</v>
      </c>
      <c r="N13" s="7" t="n">
        <f aca="false">J13-L13</f>
        <v>1256</v>
      </c>
      <c r="O13" s="8" t="n">
        <f aca="false">Warehouse_Capacity!C3</f>
        <v>2500</v>
      </c>
      <c r="P13" s="7" t="n">
        <f aca="false">MAX(0,N13-O13)</f>
        <v>0</v>
      </c>
      <c r="Q13" s="7" t="n">
        <f aca="false">N13-P13</f>
        <v>1256</v>
      </c>
    </row>
    <row r="14" customFormat="false" ht="15" hidden="false" customHeight="false" outlineLevel="0" collapsed="false">
      <c r="A14" s="0" t="s">
        <v>7</v>
      </c>
      <c r="B14" s="0" t="n">
        <v>5</v>
      </c>
      <c r="C14" s="8" t="n">
        <f aca="false">Q13</f>
        <v>1256</v>
      </c>
      <c r="D14" s="8" t="n">
        <f aca="false">SUMIFS(Production_Supply!C:C,Production_Supply!A:A,A14,Production_Supply!B:B,B14)</f>
        <v>350</v>
      </c>
      <c r="E14" s="8" t="n">
        <f aca="false">Arrivals!F25</f>
        <v>0</v>
      </c>
      <c r="F14" s="7" t="n">
        <f aca="false">D14+E14</f>
        <v>350</v>
      </c>
      <c r="G14" s="7" t="n">
        <f aca="false">C14+F14</f>
        <v>1606</v>
      </c>
      <c r="H14" s="7" t="n">
        <f aca="false">SUMIFS(ShipPlan!G:G,ShipPlan!D:D,A14,ShipPlan!C:C,B14)</f>
        <v>0</v>
      </c>
      <c r="I14" s="7" t="n">
        <f aca="false">SUMIFS(ShipPlan!O:O,ShipPlan!D:D,A14,ShipPlan!C:C,B14)</f>
        <v>0</v>
      </c>
      <c r="J14" s="7" t="n">
        <f aca="false">G14-I14</f>
        <v>1606</v>
      </c>
      <c r="K14" s="8" t="n">
        <f aca="false">SUMIFS(Demand_Forecast!F:F,Demand_Forecast!A:A,A14,Demand_Forecast!B:B,B14)</f>
        <v>0</v>
      </c>
      <c r="L14" s="7" t="n">
        <f aca="false">MIN(K14,J14)</f>
        <v>0</v>
      </c>
      <c r="M14" s="7" t="n">
        <f aca="false">MAX(0,K14-J14)</f>
        <v>0</v>
      </c>
      <c r="N14" s="7" t="n">
        <f aca="false">J14-L14</f>
        <v>1606</v>
      </c>
      <c r="O14" s="8" t="n">
        <f aca="false">Warehouse_Capacity!C3</f>
        <v>2500</v>
      </c>
      <c r="P14" s="7" t="n">
        <f aca="false">MAX(0,N14-O14)</f>
        <v>0</v>
      </c>
      <c r="Q14" s="7" t="n">
        <f aca="false">N14-P14</f>
        <v>1606</v>
      </c>
    </row>
    <row r="15" customFormat="false" ht="15" hidden="false" customHeight="false" outlineLevel="0" collapsed="false">
      <c r="A15" s="0" t="s">
        <v>7</v>
      </c>
      <c r="B15" s="0" t="n">
        <v>6</v>
      </c>
      <c r="C15" s="8" t="n">
        <f aca="false">Q14</f>
        <v>1606</v>
      </c>
      <c r="D15" s="8" t="n">
        <f aca="false">SUMIFS(Production_Supply!C:C,Production_Supply!A:A,A15,Production_Supply!B:B,B15)</f>
        <v>350</v>
      </c>
      <c r="E15" s="8" t="n">
        <f aca="false">Arrivals!G25</f>
        <v>0</v>
      </c>
      <c r="F15" s="7" t="n">
        <f aca="false">D15+E15</f>
        <v>350</v>
      </c>
      <c r="G15" s="7" t="n">
        <f aca="false">C15+F15</f>
        <v>1956</v>
      </c>
      <c r="H15" s="7" t="n">
        <f aca="false">SUMIFS(ShipPlan!G:G,ShipPlan!D:D,A15,ShipPlan!C:C,B15)</f>
        <v>0</v>
      </c>
      <c r="I15" s="7" t="n">
        <f aca="false">SUMIFS(ShipPlan!O:O,ShipPlan!D:D,A15,ShipPlan!C:C,B15)</f>
        <v>0</v>
      </c>
      <c r="J15" s="7" t="n">
        <f aca="false">G15-I15</f>
        <v>1956</v>
      </c>
      <c r="K15" s="8" t="n">
        <f aca="false">SUMIFS(Demand_Forecast!F:F,Demand_Forecast!A:A,A15,Demand_Forecast!B:B,B15)</f>
        <v>1007</v>
      </c>
      <c r="L15" s="7" t="n">
        <f aca="false">MIN(K15,J15)</f>
        <v>1007</v>
      </c>
      <c r="M15" s="7" t="n">
        <f aca="false">MAX(0,K15-J15)</f>
        <v>0</v>
      </c>
      <c r="N15" s="7" t="n">
        <f aca="false">J15-L15</f>
        <v>949</v>
      </c>
      <c r="O15" s="8" t="n">
        <f aca="false">Warehouse_Capacity!C3</f>
        <v>2500</v>
      </c>
      <c r="P15" s="7" t="n">
        <f aca="false">MAX(0,N15-O15)</f>
        <v>0</v>
      </c>
      <c r="Q15" s="7" t="n">
        <f aca="false">N15-P15</f>
        <v>949</v>
      </c>
    </row>
    <row r="16" customFormat="false" ht="15" hidden="false" customHeight="false" outlineLevel="0" collapsed="false">
      <c r="A16" s="0" t="s">
        <v>7</v>
      </c>
      <c r="B16" s="0" t="n">
        <v>7</v>
      </c>
      <c r="C16" s="8" t="n">
        <f aca="false">Q15</f>
        <v>949</v>
      </c>
      <c r="D16" s="8" t="n">
        <f aca="false">SUMIFS(Production_Supply!C:C,Production_Supply!A:A,A16,Production_Supply!B:B,B16)</f>
        <v>350</v>
      </c>
      <c r="E16" s="8" t="n">
        <f aca="false">Arrivals!H25</f>
        <v>0</v>
      </c>
      <c r="F16" s="7" t="n">
        <f aca="false">D16+E16</f>
        <v>350</v>
      </c>
      <c r="G16" s="7" t="n">
        <f aca="false">C16+F16</f>
        <v>1299</v>
      </c>
      <c r="H16" s="7" t="n">
        <f aca="false">SUMIFS(ShipPlan!G:G,ShipPlan!D:D,A16,ShipPlan!C:C,B16)</f>
        <v>0</v>
      </c>
      <c r="I16" s="7" t="n">
        <f aca="false">SUMIFS(ShipPlan!O:O,ShipPlan!D:D,A16,ShipPlan!C:C,B16)</f>
        <v>0</v>
      </c>
      <c r="J16" s="7" t="n">
        <f aca="false">G16-I16</f>
        <v>1299</v>
      </c>
      <c r="K16" s="8" t="n">
        <f aca="false">SUMIFS(Demand_Forecast!F:F,Demand_Forecast!A:A,A16,Demand_Forecast!B:B,B16)</f>
        <v>0</v>
      </c>
      <c r="L16" s="7" t="n">
        <f aca="false">MIN(K16,J16)</f>
        <v>0</v>
      </c>
      <c r="M16" s="7" t="n">
        <f aca="false">MAX(0,K16-J16)</f>
        <v>0</v>
      </c>
      <c r="N16" s="7" t="n">
        <f aca="false">J16-L16</f>
        <v>1299</v>
      </c>
      <c r="O16" s="8" t="n">
        <f aca="false">Warehouse_Capacity!C3</f>
        <v>2500</v>
      </c>
      <c r="P16" s="7" t="n">
        <f aca="false">MAX(0,N16-O16)</f>
        <v>0</v>
      </c>
      <c r="Q16" s="7" t="n">
        <f aca="false">N16-P16</f>
        <v>1299</v>
      </c>
    </row>
    <row r="17" customFormat="false" ht="15" hidden="false" customHeight="false" outlineLevel="0" collapsed="false">
      <c r="A17" s="0" t="s">
        <v>7</v>
      </c>
      <c r="B17" s="0" t="n">
        <v>8</v>
      </c>
      <c r="C17" s="8" t="n">
        <f aca="false">Q16</f>
        <v>1299</v>
      </c>
      <c r="D17" s="8" t="n">
        <f aca="false">SUMIFS(Production_Supply!C:C,Production_Supply!A:A,A17,Production_Supply!B:B,B17)</f>
        <v>350</v>
      </c>
      <c r="E17" s="8" t="n">
        <f aca="false">Arrivals!I25</f>
        <v>0</v>
      </c>
      <c r="F17" s="7" t="n">
        <f aca="false">D17+E17</f>
        <v>350</v>
      </c>
      <c r="G17" s="7" t="n">
        <f aca="false">C17+F17</f>
        <v>1649</v>
      </c>
      <c r="H17" s="7" t="n">
        <f aca="false">SUMIFS(ShipPlan!G:G,ShipPlan!D:D,A17,ShipPlan!C:C,B17)</f>
        <v>0</v>
      </c>
      <c r="I17" s="7" t="n">
        <f aca="false">SUMIFS(ShipPlan!O:O,ShipPlan!D:D,A17,ShipPlan!C:C,B17)</f>
        <v>0</v>
      </c>
      <c r="J17" s="7" t="n">
        <f aca="false">G17-I17</f>
        <v>1649</v>
      </c>
      <c r="K17" s="8" t="n">
        <f aca="false">SUMIFS(Demand_Forecast!F:F,Demand_Forecast!A:A,A17,Demand_Forecast!B:B,B17)</f>
        <v>1007</v>
      </c>
      <c r="L17" s="7" t="n">
        <f aca="false">MIN(K17,J17)</f>
        <v>1007</v>
      </c>
      <c r="M17" s="7" t="n">
        <f aca="false">MAX(0,K17-J17)</f>
        <v>0</v>
      </c>
      <c r="N17" s="7" t="n">
        <f aca="false">J17-L17</f>
        <v>642</v>
      </c>
      <c r="O17" s="8" t="n">
        <f aca="false">Warehouse_Capacity!C3</f>
        <v>2500</v>
      </c>
      <c r="P17" s="7" t="n">
        <f aca="false">MAX(0,N17-O17)</f>
        <v>0</v>
      </c>
      <c r="Q17" s="7" t="n">
        <f aca="false">N17-P17</f>
        <v>642</v>
      </c>
    </row>
    <row r="18" customFormat="false" ht="15" hidden="false" customHeight="false" outlineLevel="0" collapsed="false">
      <c r="A18" s="0" t="s">
        <v>9</v>
      </c>
      <c r="B18" s="0" t="n">
        <v>1</v>
      </c>
      <c r="C18" s="8" t="n">
        <f aca="false">Inputs_Global!G5</f>
        <v>620</v>
      </c>
      <c r="D18" s="8" t="n">
        <f aca="false">SUMIFS(Production_Supply!C:C,Production_Supply!A:A,A18,Production_Supply!B:B,B18)</f>
        <v>0</v>
      </c>
      <c r="E18" s="8" t="n">
        <f aca="false">Arrivals!B26</f>
        <v>0</v>
      </c>
      <c r="F18" s="7" t="n">
        <f aca="false">D18+E18</f>
        <v>0</v>
      </c>
      <c r="G18" s="7" t="n">
        <f aca="false">C18+F18</f>
        <v>620</v>
      </c>
      <c r="H18" s="7" t="n">
        <f aca="false">SUMIFS(ShipPlan!G:G,ShipPlan!D:D,A18,ShipPlan!C:C,B18)</f>
        <v>0</v>
      </c>
      <c r="I18" s="7" t="n">
        <f aca="false">SUMIFS(ShipPlan!O:O,ShipPlan!D:D,A18,ShipPlan!C:C,B18)</f>
        <v>0</v>
      </c>
      <c r="J18" s="7" t="n">
        <f aca="false">G18-I18</f>
        <v>620</v>
      </c>
      <c r="K18" s="8" t="n">
        <f aca="false">SUMIFS(Demand_Forecast!F:F,Demand_Forecast!A:A,A18,Demand_Forecast!B:B,B18)</f>
        <v>0</v>
      </c>
      <c r="L18" s="7" t="n">
        <f aca="false">MIN(K18,J18)</f>
        <v>0</v>
      </c>
      <c r="M18" s="7" t="n">
        <f aca="false">MAX(0,K18-J18)</f>
        <v>0</v>
      </c>
      <c r="N18" s="7" t="n">
        <f aca="false">J18-L18</f>
        <v>620</v>
      </c>
      <c r="O18" s="8" t="n">
        <f aca="false">Warehouse_Capacity!C4</f>
        <v>2000</v>
      </c>
      <c r="P18" s="7" t="n">
        <f aca="false">MAX(0,N18-O18)</f>
        <v>0</v>
      </c>
      <c r="Q18" s="7" t="n">
        <f aca="false">N18-P18</f>
        <v>620</v>
      </c>
    </row>
    <row r="19" customFormat="false" ht="15" hidden="false" customHeight="false" outlineLevel="0" collapsed="false">
      <c r="A19" s="0" t="s">
        <v>9</v>
      </c>
      <c r="B19" s="0" t="n">
        <v>2</v>
      </c>
      <c r="C19" s="8" t="n">
        <f aca="false">Q18</f>
        <v>620</v>
      </c>
      <c r="D19" s="8" t="n">
        <f aca="false">SUMIFS(Production_Supply!C:C,Production_Supply!A:A,A19,Production_Supply!B:B,B19)</f>
        <v>0</v>
      </c>
      <c r="E19" s="8" t="n">
        <f aca="false">Arrivals!C26</f>
        <v>0</v>
      </c>
      <c r="F19" s="7" t="n">
        <f aca="false">D19+E19</f>
        <v>0</v>
      </c>
      <c r="G19" s="7" t="n">
        <f aca="false">C19+F19</f>
        <v>620</v>
      </c>
      <c r="H19" s="7" t="n">
        <f aca="false">SUMIFS(ShipPlan!G:G,ShipPlan!D:D,A19,ShipPlan!C:C,B19)</f>
        <v>0</v>
      </c>
      <c r="I19" s="7" t="n">
        <f aca="false">SUMIFS(ShipPlan!O:O,ShipPlan!D:D,A19,ShipPlan!C:C,B19)</f>
        <v>0</v>
      </c>
      <c r="J19" s="7" t="n">
        <f aca="false">G19-I19</f>
        <v>620</v>
      </c>
      <c r="K19" s="8" t="n">
        <f aca="false">SUMIFS(Demand_Forecast!F:F,Demand_Forecast!A:A,A19,Demand_Forecast!B:B,B19)</f>
        <v>1100</v>
      </c>
      <c r="L19" s="7" t="n">
        <f aca="false">MIN(K19,J19)</f>
        <v>620</v>
      </c>
      <c r="M19" s="7" t="n">
        <f aca="false">MAX(0,K19-J19)</f>
        <v>480</v>
      </c>
      <c r="N19" s="7" t="n">
        <f aca="false">J19-L19</f>
        <v>0</v>
      </c>
      <c r="O19" s="8" t="n">
        <f aca="false">Warehouse_Capacity!C4</f>
        <v>2000</v>
      </c>
      <c r="P19" s="7" t="n">
        <f aca="false">MAX(0,N19-O19)</f>
        <v>0</v>
      </c>
      <c r="Q19" s="7" t="n">
        <f aca="false">N19-P19</f>
        <v>0</v>
      </c>
    </row>
    <row r="20" customFormat="false" ht="15" hidden="false" customHeight="false" outlineLevel="0" collapsed="false">
      <c r="A20" s="0" t="s">
        <v>9</v>
      </c>
      <c r="B20" s="0" t="n">
        <v>3</v>
      </c>
      <c r="C20" s="8" t="n">
        <f aca="false">Q19</f>
        <v>0</v>
      </c>
      <c r="D20" s="8" t="n">
        <f aca="false">SUMIFS(Production_Supply!C:C,Production_Supply!A:A,A20,Production_Supply!B:B,B20)</f>
        <v>0</v>
      </c>
      <c r="E20" s="8" t="n">
        <f aca="false">Arrivals!D26</f>
        <v>0</v>
      </c>
      <c r="F20" s="7" t="n">
        <f aca="false">D20+E20</f>
        <v>0</v>
      </c>
      <c r="G20" s="7" t="n">
        <f aca="false">C20+F20</f>
        <v>0</v>
      </c>
      <c r="H20" s="7" t="n">
        <f aca="false">SUMIFS(ShipPlan!G:G,ShipPlan!D:D,A20,ShipPlan!C:C,B20)</f>
        <v>0</v>
      </c>
      <c r="I20" s="7" t="n">
        <f aca="false">SUMIFS(ShipPlan!O:O,ShipPlan!D:D,A20,ShipPlan!C:C,B20)</f>
        <v>0</v>
      </c>
      <c r="J20" s="7" t="n">
        <f aca="false">G20-I20</f>
        <v>0</v>
      </c>
      <c r="K20" s="8" t="n">
        <f aca="false">SUMIFS(Demand_Forecast!F:F,Demand_Forecast!A:A,A20,Demand_Forecast!B:B,B20)</f>
        <v>0</v>
      </c>
      <c r="L20" s="7" t="n">
        <f aca="false">MIN(K20,J20)</f>
        <v>0</v>
      </c>
      <c r="M20" s="7" t="n">
        <f aca="false">MAX(0,K20-J20)</f>
        <v>0</v>
      </c>
      <c r="N20" s="7" t="n">
        <f aca="false">J20-L20</f>
        <v>0</v>
      </c>
      <c r="O20" s="8" t="n">
        <f aca="false">Warehouse_Capacity!C4</f>
        <v>2000</v>
      </c>
      <c r="P20" s="7" t="n">
        <f aca="false">MAX(0,N20-O20)</f>
        <v>0</v>
      </c>
      <c r="Q20" s="7" t="n">
        <f aca="false">N20-P20</f>
        <v>0</v>
      </c>
    </row>
    <row r="21" customFormat="false" ht="15" hidden="false" customHeight="false" outlineLevel="0" collapsed="false">
      <c r="A21" s="0" t="s">
        <v>9</v>
      </c>
      <c r="B21" s="0" t="n">
        <v>4</v>
      </c>
      <c r="C21" s="8" t="n">
        <f aca="false">Q20</f>
        <v>0</v>
      </c>
      <c r="D21" s="8" t="n">
        <f aca="false">SUMIFS(Production_Supply!C:C,Production_Supply!A:A,A21,Production_Supply!B:B,B21)</f>
        <v>0</v>
      </c>
      <c r="E21" s="8" t="n">
        <f aca="false">Arrivals!E26</f>
        <v>0</v>
      </c>
      <c r="F21" s="7" t="n">
        <f aca="false">D21+E21</f>
        <v>0</v>
      </c>
      <c r="G21" s="7" t="n">
        <f aca="false">C21+F21</f>
        <v>0</v>
      </c>
      <c r="H21" s="7" t="n">
        <f aca="false">SUMIFS(ShipPlan!G:G,ShipPlan!D:D,A21,ShipPlan!C:C,B21)</f>
        <v>0</v>
      </c>
      <c r="I21" s="7" t="n">
        <f aca="false">SUMIFS(ShipPlan!O:O,ShipPlan!D:D,A21,ShipPlan!C:C,B21)</f>
        <v>0</v>
      </c>
      <c r="J21" s="7" t="n">
        <f aca="false">G21-I21</f>
        <v>0</v>
      </c>
      <c r="K21" s="8" t="n">
        <f aca="false">SUMIFS(Demand_Forecast!F:F,Demand_Forecast!A:A,A21,Demand_Forecast!B:B,B21)</f>
        <v>1100</v>
      </c>
      <c r="L21" s="7" t="n">
        <f aca="false">MIN(K21,J21)</f>
        <v>0</v>
      </c>
      <c r="M21" s="7" t="n">
        <f aca="false">MAX(0,K21-J21)</f>
        <v>1100</v>
      </c>
      <c r="N21" s="7" t="n">
        <f aca="false">J21-L21</f>
        <v>0</v>
      </c>
      <c r="O21" s="8" t="n">
        <f aca="false">Warehouse_Capacity!C4</f>
        <v>2000</v>
      </c>
      <c r="P21" s="7" t="n">
        <f aca="false">MAX(0,N21-O21)</f>
        <v>0</v>
      </c>
      <c r="Q21" s="7" t="n">
        <f aca="false">N21-P21</f>
        <v>0</v>
      </c>
    </row>
    <row r="22" customFormat="false" ht="15" hidden="false" customHeight="false" outlineLevel="0" collapsed="false">
      <c r="A22" s="0" t="s">
        <v>9</v>
      </c>
      <c r="B22" s="0" t="n">
        <v>5</v>
      </c>
      <c r="C22" s="8" t="n">
        <f aca="false">Q21</f>
        <v>0</v>
      </c>
      <c r="D22" s="8" t="n">
        <f aca="false">SUMIFS(Production_Supply!C:C,Production_Supply!A:A,A22,Production_Supply!B:B,B22)</f>
        <v>0</v>
      </c>
      <c r="E22" s="8" t="n">
        <f aca="false">Arrivals!F26</f>
        <v>0</v>
      </c>
      <c r="F22" s="7" t="n">
        <f aca="false">D22+E22</f>
        <v>0</v>
      </c>
      <c r="G22" s="7" t="n">
        <f aca="false">C22+F22</f>
        <v>0</v>
      </c>
      <c r="H22" s="7" t="n">
        <f aca="false">SUMIFS(ShipPlan!G:G,ShipPlan!D:D,A22,ShipPlan!C:C,B22)</f>
        <v>0</v>
      </c>
      <c r="I22" s="7" t="n">
        <f aca="false">SUMIFS(ShipPlan!O:O,ShipPlan!D:D,A22,ShipPlan!C:C,B22)</f>
        <v>0</v>
      </c>
      <c r="J22" s="7" t="n">
        <f aca="false">G22-I22</f>
        <v>0</v>
      </c>
      <c r="K22" s="8" t="n">
        <f aca="false">SUMIFS(Demand_Forecast!F:F,Demand_Forecast!A:A,A22,Demand_Forecast!B:B,B22)</f>
        <v>0</v>
      </c>
      <c r="L22" s="7" t="n">
        <f aca="false">MIN(K22,J22)</f>
        <v>0</v>
      </c>
      <c r="M22" s="7" t="n">
        <f aca="false">MAX(0,K22-J22)</f>
        <v>0</v>
      </c>
      <c r="N22" s="7" t="n">
        <f aca="false">J22-L22</f>
        <v>0</v>
      </c>
      <c r="O22" s="8" t="n">
        <f aca="false">Warehouse_Capacity!C4</f>
        <v>2000</v>
      </c>
      <c r="P22" s="7" t="n">
        <f aca="false">MAX(0,N22-O22)</f>
        <v>0</v>
      </c>
      <c r="Q22" s="7" t="n">
        <f aca="false">N22-P22</f>
        <v>0</v>
      </c>
    </row>
    <row r="23" customFormat="false" ht="15" hidden="false" customHeight="false" outlineLevel="0" collapsed="false">
      <c r="A23" s="0" t="s">
        <v>9</v>
      </c>
      <c r="B23" s="0" t="n">
        <v>6</v>
      </c>
      <c r="C23" s="8" t="n">
        <f aca="false">Q22</f>
        <v>0</v>
      </c>
      <c r="D23" s="8" t="n">
        <f aca="false">SUMIFS(Production_Supply!C:C,Production_Supply!A:A,A23,Production_Supply!B:B,B23)</f>
        <v>0</v>
      </c>
      <c r="E23" s="8" t="n">
        <f aca="false">Arrivals!G26</f>
        <v>1025</v>
      </c>
      <c r="F23" s="7" t="n">
        <f aca="false">D23+E23</f>
        <v>1025</v>
      </c>
      <c r="G23" s="7" t="n">
        <f aca="false">C23+F23</f>
        <v>1025</v>
      </c>
      <c r="H23" s="7" t="n">
        <f aca="false">SUMIFS(ShipPlan!G:G,ShipPlan!D:D,A23,ShipPlan!C:C,B23)</f>
        <v>0</v>
      </c>
      <c r="I23" s="7" t="n">
        <f aca="false">SUMIFS(ShipPlan!O:O,ShipPlan!D:D,A23,ShipPlan!C:C,B23)</f>
        <v>0</v>
      </c>
      <c r="J23" s="7" t="n">
        <f aca="false">G23-I23</f>
        <v>1025</v>
      </c>
      <c r="K23" s="8" t="n">
        <f aca="false">SUMIFS(Demand_Forecast!F:F,Demand_Forecast!A:A,A23,Demand_Forecast!B:B,B23)</f>
        <v>1100</v>
      </c>
      <c r="L23" s="7" t="n">
        <f aca="false">MIN(K23,J23)</f>
        <v>1025</v>
      </c>
      <c r="M23" s="7" t="n">
        <f aca="false">MAX(0,K23-J23)</f>
        <v>75</v>
      </c>
      <c r="N23" s="7" t="n">
        <f aca="false">J23-L23</f>
        <v>0</v>
      </c>
      <c r="O23" s="8" t="n">
        <f aca="false">Warehouse_Capacity!C4</f>
        <v>2000</v>
      </c>
      <c r="P23" s="7" t="n">
        <f aca="false">MAX(0,N23-O23)</f>
        <v>0</v>
      </c>
      <c r="Q23" s="7" t="n">
        <f aca="false">N23-P23</f>
        <v>0</v>
      </c>
    </row>
    <row r="24" customFormat="false" ht="15" hidden="false" customHeight="false" outlineLevel="0" collapsed="false">
      <c r="A24" s="0" t="s">
        <v>9</v>
      </c>
      <c r="B24" s="0" t="n">
        <v>7</v>
      </c>
      <c r="C24" s="8" t="n">
        <f aca="false">Q23</f>
        <v>0</v>
      </c>
      <c r="D24" s="8" t="n">
        <f aca="false">SUMIFS(Production_Supply!C:C,Production_Supply!A:A,A24,Production_Supply!B:B,B24)</f>
        <v>0</v>
      </c>
      <c r="E24" s="8" t="n">
        <f aca="false">Arrivals!H26</f>
        <v>0</v>
      </c>
      <c r="F24" s="7" t="n">
        <f aca="false">D24+E24</f>
        <v>0</v>
      </c>
      <c r="G24" s="7" t="n">
        <f aca="false">C24+F24</f>
        <v>0</v>
      </c>
      <c r="H24" s="7" t="n">
        <f aca="false">SUMIFS(ShipPlan!G:G,ShipPlan!D:D,A24,ShipPlan!C:C,B24)</f>
        <v>0</v>
      </c>
      <c r="I24" s="7" t="n">
        <f aca="false">SUMIFS(ShipPlan!O:O,ShipPlan!D:D,A24,ShipPlan!C:C,B24)</f>
        <v>0</v>
      </c>
      <c r="J24" s="7" t="n">
        <f aca="false">G24-I24</f>
        <v>0</v>
      </c>
      <c r="K24" s="8" t="n">
        <f aca="false">SUMIFS(Demand_Forecast!F:F,Demand_Forecast!A:A,A24,Demand_Forecast!B:B,B24)</f>
        <v>0</v>
      </c>
      <c r="L24" s="7" t="n">
        <f aca="false">MIN(K24,J24)</f>
        <v>0</v>
      </c>
      <c r="M24" s="7" t="n">
        <f aca="false">MAX(0,K24-J24)</f>
        <v>0</v>
      </c>
      <c r="N24" s="7" t="n">
        <f aca="false">J24-L24</f>
        <v>0</v>
      </c>
      <c r="O24" s="8" t="n">
        <f aca="false">Warehouse_Capacity!C4</f>
        <v>2000</v>
      </c>
      <c r="P24" s="7" t="n">
        <f aca="false">MAX(0,N24-O24)</f>
        <v>0</v>
      </c>
      <c r="Q24" s="7" t="n">
        <f aca="false">N24-P24</f>
        <v>0</v>
      </c>
    </row>
    <row r="25" customFormat="false" ht="15" hidden="false" customHeight="false" outlineLevel="0" collapsed="false">
      <c r="A25" s="0" t="s">
        <v>9</v>
      </c>
      <c r="B25" s="0" t="n">
        <v>8</v>
      </c>
      <c r="C25" s="8" t="n">
        <f aca="false">Q24</f>
        <v>0</v>
      </c>
      <c r="D25" s="8" t="n">
        <f aca="false">SUMIFS(Production_Supply!C:C,Production_Supply!A:A,A25,Production_Supply!B:B,B25)</f>
        <v>0</v>
      </c>
      <c r="E25" s="8" t="n">
        <f aca="false">Arrivals!I26</f>
        <v>2681</v>
      </c>
      <c r="F25" s="7" t="n">
        <f aca="false">D25+E25</f>
        <v>2681</v>
      </c>
      <c r="G25" s="7" t="n">
        <f aca="false">C25+F25</f>
        <v>2681</v>
      </c>
      <c r="H25" s="7" t="n">
        <f aca="false">SUMIFS(ShipPlan!G:G,ShipPlan!D:D,A25,ShipPlan!C:C,B25)</f>
        <v>0</v>
      </c>
      <c r="I25" s="7" t="n">
        <f aca="false">SUMIFS(ShipPlan!O:O,ShipPlan!D:D,A25,ShipPlan!C:C,B25)</f>
        <v>0</v>
      </c>
      <c r="J25" s="7" t="n">
        <f aca="false">G25-I25</f>
        <v>2681</v>
      </c>
      <c r="K25" s="8" t="n">
        <f aca="false">SUMIFS(Demand_Forecast!F:F,Demand_Forecast!A:A,A25,Demand_Forecast!B:B,B25)</f>
        <v>1100</v>
      </c>
      <c r="L25" s="7" t="n">
        <f aca="false">MIN(K25,J25)</f>
        <v>1100</v>
      </c>
      <c r="M25" s="7" t="n">
        <f aca="false">MAX(0,K25-J25)</f>
        <v>0</v>
      </c>
      <c r="N25" s="7" t="n">
        <f aca="false">J25-L25</f>
        <v>1581</v>
      </c>
      <c r="O25" s="8" t="n">
        <f aca="false">Warehouse_Capacity!C4</f>
        <v>2000</v>
      </c>
      <c r="P25" s="7" t="n">
        <f aca="false">MAX(0,N25-O25)</f>
        <v>0</v>
      </c>
      <c r="Q25" s="7" t="n">
        <f aca="false">N25-P25</f>
        <v>1581</v>
      </c>
    </row>
    <row r="26" customFormat="false" ht="15" hidden="false" customHeight="false" outlineLevel="0" collapsed="false">
      <c r="A26" s="0" t="s">
        <v>11</v>
      </c>
      <c r="B26" s="0" t="n">
        <v>1</v>
      </c>
      <c r="C26" s="8" t="n">
        <f aca="false">Inputs_Global!G6</f>
        <v>0</v>
      </c>
      <c r="D26" s="8" t="n">
        <f aca="false">SUMIFS(Production_Supply!C:C,Production_Supply!A:A,A26,Production_Supply!B:B,B26)</f>
        <v>0</v>
      </c>
      <c r="E26" s="8" t="n">
        <f aca="false">Arrivals!B27</f>
        <v>0</v>
      </c>
      <c r="F26" s="7" t="n">
        <f aca="false">D26+E26</f>
        <v>0</v>
      </c>
      <c r="G26" s="7" t="n">
        <f aca="false">C26+F26</f>
        <v>0</v>
      </c>
      <c r="H26" s="7" t="n">
        <f aca="false">SUMIFS(ShipPlan!G:G,ShipPlan!D:D,A26,ShipPlan!C:C,B26)</f>
        <v>0</v>
      </c>
      <c r="I26" s="7" t="n">
        <f aca="false">SUMIFS(ShipPlan!O:O,ShipPlan!D:D,A26,ShipPlan!C:C,B26)</f>
        <v>0</v>
      </c>
      <c r="J26" s="7" t="n">
        <f aca="false">G26-I26</f>
        <v>0</v>
      </c>
      <c r="K26" s="8" t="n">
        <f aca="false">SUMIFS(Demand_Forecast!F:F,Demand_Forecast!A:A,A26,Demand_Forecast!B:B,B26)</f>
        <v>0</v>
      </c>
      <c r="L26" s="7" t="n">
        <f aca="false">MIN(K26,J26)</f>
        <v>0</v>
      </c>
      <c r="M26" s="7" t="n">
        <f aca="false">MAX(0,K26-J26)</f>
        <v>0</v>
      </c>
      <c r="N26" s="7" t="n">
        <f aca="false">J26-L26</f>
        <v>0</v>
      </c>
      <c r="O26" s="8" t="n">
        <f aca="false">Warehouse_Capacity!C5</f>
        <v>0</v>
      </c>
      <c r="P26" s="7" t="n">
        <f aca="false">MAX(0,N26-O26)</f>
        <v>0</v>
      </c>
      <c r="Q26" s="7" t="n">
        <f aca="false">N26-P26</f>
        <v>0</v>
      </c>
    </row>
    <row r="27" customFormat="false" ht="15" hidden="false" customHeight="false" outlineLevel="0" collapsed="false">
      <c r="A27" s="0" t="s">
        <v>11</v>
      </c>
      <c r="B27" s="0" t="n">
        <v>2</v>
      </c>
      <c r="C27" s="8" t="n">
        <f aca="false">Q26</f>
        <v>0</v>
      </c>
      <c r="D27" s="8" t="n">
        <f aca="false">SUMIFS(Production_Supply!C:C,Production_Supply!A:A,A27,Production_Supply!B:B,B27)</f>
        <v>0</v>
      </c>
      <c r="E27" s="8" t="n">
        <f aca="false">Arrivals!C27</f>
        <v>0</v>
      </c>
      <c r="F27" s="7" t="n">
        <f aca="false">D27+E27</f>
        <v>0</v>
      </c>
      <c r="G27" s="7" t="n">
        <f aca="false">C27+F27</f>
        <v>0</v>
      </c>
      <c r="H27" s="7" t="n">
        <f aca="false">SUMIFS(ShipPlan!G:G,ShipPlan!D:D,A27,ShipPlan!C:C,B27)</f>
        <v>0</v>
      </c>
      <c r="I27" s="7" t="n">
        <f aca="false">SUMIFS(ShipPlan!O:O,ShipPlan!D:D,A27,ShipPlan!C:C,B27)</f>
        <v>0</v>
      </c>
      <c r="J27" s="7" t="n">
        <f aca="false">G27-I27</f>
        <v>0</v>
      </c>
      <c r="K27" s="8" t="n">
        <f aca="false">SUMIFS(Demand_Forecast!F:F,Demand_Forecast!A:A,A27,Demand_Forecast!B:B,B27)</f>
        <v>0</v>
      </c>
      <c r="L27" s="7" t="n">
        <f aca="false">MIN(K27,J27)</f>
        <v>0</v>
      </c>
      <c r="M27" s="7" t="n">
        <f aca="false">MAX(0,K27-J27)</f>
        <v>0</v>
      </c>
      <c r="N27" s="7" t="n">
        <f aca="false">J27-L27</f>
        <v>0</v>
      </c>
      <c r="O27" s="8" t="n">
        <f aca="false">Warehouse_Capacity!C5</f>
        <v>0</v>
      </c>
      <c r="P27" s="7" t="n">
        <f aca="false">MAX(0,N27-O27)</f>
        <v>0</v>
      </c>
      <c r="Q27" s="7" t="n">
        <f aca="false">N27-P27</f>
        <v>0</v>
      </c>
    </row>
    <row r="28" customFormat="false" ht="15" hidden="false" customHeight="false" outlineLevel="0" collapsed="false">
      <c r="A28" s="0" t="s">
        <v>11</v>
      </c>
      <c r="B28" s="0" t="n">
        <v>3</v>
      </c>
      <c r="C28" s="8" t="n">
        <f aca="false">Q27</f>
        <v>0</v>
      </c>
      <c r="D28" s="8" t="n">
        <f aca="false">SUMIFS(Production_Supply!C:C,Production_Supply!A:A,A28,Production_Supply!B:B,B28)</f>
        <v>0</v>
      </c>
      <c r="E28" s="8" t="n">
        <f aca="false">Arrivals!D27</f>
        <v>0</v>
      </c>
      <c r="F28" s="7" t="n">
        <f aca="false">D28+E28</f>
        <v>0</v>
      </c>
      <c r="G28" s="7" t="n">
        <f aca="false">C28+F28</f>
        <v>0</v>
      </c>
      <c r="H28" s="7" t="n">
        <f aca="false">SUMIFS(ShipPlan!G:G,ShipPlan!D:D,A28,ShipPlan!C:C,B28)</f>
        <v>0</v>
      </c>
      <c r="I28" s="7" t="n">
        <f aca="false">SUMIFS(ShipPlan!O:O,ShipPlan!D:D,A28,ShipPlan!C:C,B28)</f>
        <v>0</v>
      </c>
      <c r="J28" s="7" t="n">
        <f aca="false">G28-I28</f>
        <v>0</v>
      </c>
      <c r="K28" s="8" t="n">
        <f aca="false">SUMIFS(Demand_Forecast!F:F,Demand_Forecast!A:A,A28,Demand_Forecast!B:B,B28)</f>
        <v>0</v>
      </c>
      <c r="L28" s="7" t="n">
        <f aca="false">MIN(K28,J28)</f>
        <v>0</v>
      </c>
      <c r="M28" s="7" t="n">
        <f aca="false">MAX(0,K28-J28)</f>
        <v>0</v>
      </c>
      <c r="N28" s="7" t="n">
        <f aca="false">J28-L28</f>
        <v>0</v>
      </c>
      <c r="O28" s="8" t="n">
        <f aca="false">Warehouse_Capacity!C5</f>
        <v>0</v>
      </c>
      <c r="P28" s="7" t="n">
        <f aca="false">MAX(0,N28-O28)</f>
        <v>0</v>
      </c>
      <c r="Q28" s="7" t="n">
        <f aca="false">N28-P28</f>
        <v>0</v>
      </c>
    </row>
    <row r="29" customFormat="false" ht="15" hidden="false" customHeight="false" outlineLevel="0" collapsed="false">
      <c r="A29" s="0" t="s">
        <v>11</v>
      </c>
      <c r="B29" s="0" t="n">
        <v>4</v>
      </c>
      <c r="C29" s="8" t="n">
        <f aca="false">Q28</f>
        <v>0</v>
      </c>
      <c r="D29" s="8" t="n">
        <f aca="false">SUMIFS(Production_Supply!C:C,Production_Supply!A:A,A29,Production_Supply!B:B,B29)</f>
        <v>0</v>
      </c>
      <c r="E29" s="8" t="n">
        <f aca="false">Arrivals!E27</f>
        <v>0</v>
      </c>
      <c r="F29" s="7" t="n">
        <f aca="false">D29+E29</f>
        <v>0</v>
      </c>
      <c r="G29" s="7" t="n">
        <f aca="false">C29+F29</f>
        <v>0</v>
      </c>
      <c r="H29" s="7" t="n">
        <f aca="false">SUMIFS(ShipPlan!G:G,ShipPlan!D:D,A29,ShipPlan!C:C,B29)</f>
        <v>0</v>
      </c>
      <c r="I29" s="7" t="n">
        <f aca="false">SUMIFS(ShipPlan!O:O,ShipPlan!D:D,A29,ShipPlan!C:C,B29)</f>
        <v>0</v>
      </c>
      <c r="J29" s="7" t="n">
        <f aca="false">G29-I29</f>
        <v>0</v>
      </c>
      <c r="K29" s="8" t="n">
        <f aca="false">SUMIFS(Demand_Forecast!F:F,Demand_Forecast!A:A,A29,Demand_Forecast!B:B,B29)</f>
        <v>0</v>
      </c>
      <c r="L29" s="7" t="n">
        <f aca="false">MIN(K29,J29)</f>
        <v>0</v>
      </c>
      <c r="M29" s="7" t="n">
        <f aca="false">MAX(0,K29-J29)</f>
        <v>0</v>
      </c>
      <c r="N29" s="7" t="n">
        <f aca="false">J29-L29</f>
        <v>0</v>
      </c>
      <c r="O29" s="8" t="n">
        <f aca="false">Warehouse_Capacity!C5</f>
        <v>0</v>
      </c>
      <c r="P29" s="7" t="n">
        <f aca="false">MAX(0,N29-O29)</f>
        <v>0</v>
      </c>
      <c r="Q29" s="7" t="n">
        <f aca="false">N29-P29</f>
        <v>0</v>
      </c>
    </row>
    <row r="30" customFormat="false" ht="15" hidden="false" customHeight="false" outlineLevel="0" collapsed="false">
      <c r="A30" s="0" t="s">
        <v>11</v>
      </c>
      <c r="B30" s="0" t="n">
        <v>5</v>
      </c>
      <c r="C30" s="8" t="n">
        <f aca="false">Q29</f>
        <v>0</v>
      </c>
      <c r="D30" s="8" t="n">
        <f aca="false">SUMIFS(Production_Supply!C:C,Production_Supply!A:A,A30,Production_Supply!B:B,B30)</f>
        <v>0</v>
      </c>
      <c r="E30" s="8" t="n">
        <f aca="false">Arrivals!F27</f>
        <v>0</v>
      </c>
      <c r="F30" s="7" t="n">
        <f aca="false">D30+E30</f>
        <v>0</v>
      </c>
      <c r="G30" s="7" t="n">
        <f aca="false">C30+F30</f>
        <v>0</v>
      </c>
      <c r="H30" s="7" t="n">
        <f aca="false">SUMIFS(ShipPlan!G:G,ShipPlan!D:D,A30,ShipPlan!C:C,B30)</f>
        <v>0</v>
      </c>
      <c r="I30" s="7" t="n">
        <f aca="false">SUMIFS(ShipPlan!O:O,ShipPlan!D:D,A30,ShipPlan!C:C,B30)</f>
        <v>0</v>
      </c>
      <c r="J30" s="7" t="n">
        <f aca="false">G30-I30</f>
        <v>0</v>
      </c>
      <c r="K30" s="8" t="n">
        <f aca="false">SUMIFS(Demand_Forecast!F:F,Demand_Forecast!A:A,A30,Demand_Forecast!B:B,B30)</f>
        <v>0</v>
      </c>
      <c r="L30" s="7" t="n">
        <f aca="false">MIN(K30,J30)</f>
        <v>0</v>
      </c>
      <c r="M30" s="7" t="n">
        <f aca="false">MAX(0,K30-J30)</f>
        <v>0</v>
      </c>
      <c r="N30" s="7" t="n">
        <f aca="false">J30-L30</f>
        <v>0</v>
      </c>
      <c r="O30" s="8" t="n">
        <f aca="false">Warehouse_Capacity!C5</f>
        <v>0</v>
      </c>
      <c r="P30" s="7" t="n">
        <f aca="false">MAX(0,N30-O30)</f>
        <v>0</v>
      </c>
      <c r="Q30" s="7" t="n">
        <f aca="false">N30-P30</f>
        <v>0</v>
      </c>
    </row>
    <row r="31" customFormat="false" ht="15" hidden="false" customHeight="false" outlineLevel="0" collapsed="false">
      <c r="A31" s="0" t="s">
        <v>11</v>
      </c>
      <c r="B31" s="0" t="n">
        <v>6</v>
      </c>
      <c r="C31" s="8" t="n">
        <f aca="false">Q30</f>
        <v>0</v>
      </c>
      <c r="D31" s="8" t="n">
        <f aca="false">SUMIFS(Production_Supply!C:C,Production_Supply!A:A,A31,Production_Supply!B:B,B31)</f>
        <v>0</v>
      </c>
      <c r="E31" s="8" t="n">
        <f aca="false">Arrivals!G27</f>
        <v>0</v>
      </c>
      <c r="F31" s="7" t="n">
        <f aca="false">D31+E31</f>
        <v>0</v>
      </c>
      <c r="G31" s="7" t="n">
        <f aca="false">C31+F31</f>
        <v>0</v>
      </c>
      <c r="H31" s="7" t="n">
        <f aca="false">SUMIFS(ShipPlan!G:G,ShipPlan!D:D,A31,ShipPlan!C:C,B31)</f>
        <v>0</v>
      </c>
      <c r="I31" s="7" t="n">
        <f aca="false">SUMIFS(ShipPlan!O:O,ShipPlan!D:D,A31,ShipPlan!C:C,B31)</f>
        <v>0</v>
      </c>
      <c r="J31" s="7" t="n">
        <f aca="false">G31-I31</f>
        <v>0</v>
      </c>
      <c r="K31" s="8" t="n">
        <f aca="false">SUMIFS(Demand_Forecast!F:F,Demand_Forecast!A:A,A31,Demand_Forecast!B:B,B31)</f>
        <v>0</v>
      </c>
      <c r="L31" s="7" t="n">
        <f aca="false">MIN(K31,J31)</f>
        <v>0</v>
      </c>
      <c r="M31" s="7" t="n">
        <f aca="false">MAX(0,K31-J31)</f>
        <v>0</v>
      </c>
      <c r="N31" s="7" t="n">
        <f aca="false">J31-L31</f>
        <v>0</v>
      </c>
      <c r="O31" s="8" t="n">
        <f aca="false">Warehouse_Capacity!C5</f>
        <v>0</v>
      </c>
      <c r="P31" s="7" t="n">
        <f aca="false">MAX(0,N31-O31)</f>
        <v>0</v>
      </c>
      <c r="Q31" s="7" t="n">
        <f aca="false">N31-P31</f>
        <v>0</v>
      </c>
    </row>
    <row r="32" customFormat="false" ht="15" hidden="false" customHeight="false" outlineLevel="0" collapsed="false">
      <c r="A32" s="0" t="s">
        <v>11</v>
      </c>
      <c r="B32" s="0" t="n">
        <v>7</v>
      </c>
      <c r="C32" s="8" t="n">
        <f aca="false">Q31</f>
        <v>0</v>
      </c>
      <c r="D32" s="8" t="n">
        <f aca="false">SUMIFS(Production_Supply!C:C,Production_Supply!A:A,A32,Production_Supply!B:B,B32)</f>
        <v>0</v>
      </c>
      <c r="E32" s="8" t="n">
        <f aca="false">Arrivals!H27</f>
        <v>0</v>
      </c>
      <c r="F32" s="7" t="n">
        <f aca="false">D32+E32</f>
        <v>0</v>
      </c>
      <c r="G32" s="7" t="n">
        <f aca="false">C32+F32</f>
        <v>0</v>
      </c>
      <c r="H32" s="7" t="n">
        <f aca="false">SUMIFS(ShipPlan!G:G,ShipPlan!D:D,A32,ShipPlan!C:C,B32)</f>
        <v>0</v>
      </c>
      <c r="I32" s="7" t="n">
        <f aca="false">SUMIFS(ShipPlan!O:O,ShipPlan!D:D,A32,ShipPlan!C:C,B32)</f>
        <v>0</v>
      </c>
      <c r="J32" s="7" t="n">
        <f aca="false">G32-I32</f>
        <v>0</v>
      </c>
      <c r="K32" s="8" t="n">
        <f aca="false">SUMIFS(Demand_Forecast!F:F,Demand_Forecast!A:A,A32,Demand_Forecast!B:B,B32)</f>
        <v>0</v>
      </c>
      <c r="L32" s="7" t="n">
        <f aca="false">MIN(K32,J32)</f>
        <v>0</v>
      </c>
      <c r="M32" s="7" t="n">
        <f aca="false">MAX(0,K32-J32)</f>
        <v>0</v>
      </c>
      <c r="N32" s="7" t="n">
        <f aca="false">J32-L32</f>
        <v>0</v>
      </c>
      <c r="O32" s="8" t="n">
        <f aca="false">Warehouse_Capacity!C5</f>
        <v>0</v>
      </c>
      <c r="P32" s="7" t="n">
        <f aca="false">MAX(0,N32-O32)</f>
        <v>0</v>
      </c>
      <c r="Q32" s="7" t="n">
        <f aca="false">N32-P32</f>
        <v>0</v>
      </c>
    </row>
    <row r="33" customFormat="false" ht="15" hidden="false" customHeight="false" outlineLevel="0" collapsed="false">
      <c r="A33" s="0" t="s">
        <v>11</v>
      </c>
      <c r="B33" s="0" t="n">
        <v>8</v>
      </c>
      <c r="C33" s="8" t="n">
        <f aca="false">Q32</f>
        <v>0</v>
      </c>
      <c r="D33" s="8" t="n">
        <f aca="false">SUMIFS(Production_Supply!C:C,Production_Supply!A:A,A33,Production_Supply!B:B,B33)</f>
        <v>0</v>
      </c>
      <c r="E33" s="8" t="n">
        <f aca="false">Arrivals!I27</f>
        <v>0</v>
      </c>
      <c r="F33" s="7" t="n">
        <f aca="false">D33+E33</f>
        <v>0</v>
      </c>
      <c r="G33" s="7" t="n">
        <f aca="false">C33+F33</f>
        <v>0</v>
      </c>
      <c r="H33" s="7" t="n">
        <f aca="false">SUMIFS(ShipPlan!G:G,ShipPlan!D:D,A33,ShipPlan!C:C,B33)</f>
        <v>0</v>
      </c>
      <c r="I33" s="7" t="n">
        <f aca="false">SUMIFS(ShipPlan!O:O,ShipPlan!D:D,A33,ShipPlan!C:C,B33)</f>
        <v>0</v>
      </c>
      <c r="J33" s="7" t="n">
        <f aca="false">G33-I33</f>
        <v>0</v>
      </c>
      <c r="K33" s="8" t="n">
        <f aca="false">SUMIFS(Demand_Forecast!F:F,Demand_Forecast!A:A,A33,Demand_Forecast!B:B,B33)</f>
        <v>0</v>
      </c>
      <c r="L33" s="7" t="n">
        <f aca="false">MIN(K33,J33)</f>
        <v>0</v>
      </c>
      <c r="M33" s="7" t="n">
        <f aca="false">MAX(0,K33-J33)</f>
        <v>0</v>
      </c>
      <c r="N33" s="7" t="n">
        <f aca="false">J33-L33</f>
        <v>0</v>
      </c>
      <c r="O33" s="8" t="n">
        <f aca="false">Warehouse_Capacity!C5</f>
        <v>0</v>
      </c>
      <c r="P33" s="7" t="n">
        <f aca="false">MAX(0,N33-O33)</f>
        <v>0</v>
      </c>
      <c r="Q33" s="7" t="n">
        <f aca="false">N33-P33</f>
        <v>0</v>
      </c>
    </row>
    <row r="34" customFormat="false" ht="15" hidden="false" customHeight="false" outlineLevel="0" collapsed="false">
      <c r="A34" s="0" t="s">
        <v>14</v>
      </c>
      <c r="B34" s="0" t="n">
        <v>1</v>
      </c>
      <c r="C34" s="8" t="n">
        <f aca="false">Inputs_Global!G7</f>
        <v>0</v>
      </c>
      <c r="D34" s="8" t="n">
        <f aca="false">SUMIFS(Production_Supply!C:C,Production_Supply!A:A,A34,Production_Supply!B:B,B34)</f>
        <v>0</v>
      </c>
      <c r="E34" s="8" t="n">
        <f aca="false">Arrivals!B28</f>
        <v>0</v>
      </c>
      <c r="F34" s="7" t="n">
        <f aca="false">D34+E34</f>
        <v>0</v>
      </c>
      <c r="G34" s="7" t="n">
        <f aca="false">C34+F34</f>
        <v>0</v>
      </c>
      <c r="H34" s="7" t="n">
        <f aca="false">SUMIFS(ShipPlan!G:G,ShipPlan!D:D,A34,ShipPlan!C:C,B34)</f>
        <v>0</v>
      </c>
      <c r="I34" s="7" t="n">
        <f aca="false">SUMIFS(ShipPlan!O:O,ShipPlan!D:D,A34,ShipPlan!C:C,B34)</f>
        <v>0</v>
      </c>
      <c r="J34" s="7" t="n">
        <f aca="false">G34-I34</f>
        <v>0</v>
      </c>
      <c r="K34" s="8" t="n">
        <f aca="false">SUMIFS(Demand_Forecast!F:F,Demand_Forecast!A:A,A34,Demand_Forecast!B:B,B34)</f>
        <v>0</v>
      </c>
      <c r="L34" s="7" t="n">
        <f aca="false">MIN(K34,J34)</f>
        <v>0</v>
      </c>
      <c r="M34" s="7" t="n">
        <f aca="false">MAX(0,K34-J34)</f>
        <v>0</v>
      </c>
      <c r="N34" s="7" t="n">
        <f aca="false">J34-L34</f>
        <v>0</v>
      </c>
      <c r="O34" s="8" t="n">
        <f aca="false">Warehouse_Capacity!C6</f>
        <v>0</v>
      </c>
      <c r="P34" s="7" t="n">
        <f aca="false">MAX(0,N34-O34)</f>
        <v>0</v>
      </c>
      <c r="Q34" s="7" t="n">
        <f aca="false">N34-P34</f>
        <v>0</v>
      </c>
    </row>
    <row r="35" customFormat="false" ht="15" hidden="false" customHeight="false" outlineLevel="0" collapsed="false">
      <c r="A35" s="0" t="s">
        <v>14</v>
      </c>
      <c r="B35" s="0" t="n">
        <v>2</v>
      </c>
      <c r="C35" s="8" t="n">
        <f aca="false">Q34</f>
        <v>0</v>
      </c>
      <c r="D35" s="8" t="n">
        <f aca="false">SUMIFS(Production_Supply!C:C,Production_Supply!A:A,A35,Production_Supply!B:B,B35)</f>
        <v>0</v>
      </c>
      <c r="E35" s="8" t="n">
        <f aca="false">Arrivals!C28</f>
        <v>0</v>
      </c>
      <c r="F35" s="7" t="n">
        <f aca="false">D35+E35</f>
        <v>0</v>
      </c>
      <c r="G35" s="7" t="n">
        <f aca="false">C35+F35</f>
        <v>0</v>
      </c>
      <c r="H35" s="7" t="n">
        <f aca="false">SUMIFS(ShipPlan!G:G,ShipPlan!D:D,A35,ShipPlan!C:C,B35)</f>
        <v>0</v>
      </c>
      <c r="I35" s="7" t="n">
        <f aca="false">SUMIFS(ShipPlan!O:O,ShipPlan!D:D,A35,ShipPlan!C:C,B35)</f>
        <v>0</v>
      </c>
      <c r="J35" s="7" t="n">
        <f aca="false">G35-I35</f>
        <v>0</v>
      </c>
      <c r="K35" s="8" t="n">
        <f aca="false">SUMIFS(Demand_Forecast!F:F,Demand_Forecast!A:A,A35,Demand_Forecast!B:B,B35)</f>
        <v>0</v>
      </c>
      <c r="L35" s="7" t="n">
        <f aca="false">MIN(K35,J35)</f>
        <v>0</v>
      </c>
      <c r="M35" s="7" t="n">
        <f aca="false">MAX(0,K35-J35)</f>
        <v>0</v>
      </c>
      <c r="N35" s="7" t="n">
        <f aca="false">J35-L35</f>
        <v>0</v>
      </c>
      <c r="O35" s="8" t="n">
        <f aca="false">Warehouse_Capacity!C6</f>
        <v>0</v>
      </c>
      <c r="P35" s="7" t="n">
        <f aca="false">MAX(0,N35-O35)</f>
        <v>0</v>
      </c>
      <c r="Q35" s="7" t="n">
        <f aca="false">N35-P35</f>
        <v>0</v>
      </c>
    </row>
    <row r="36" customFormat="false" ht="15" hidden="false" customHeight="false" outlineLevel="0" collapsed="false">
      <c r="A36" s="0" t="s">
        <v>14</v>
      </c>
      <c r="B36" s="0" t="n">
        <v>3</v>
      </c>
      <c r="C36" s="8" t="n">
        <f aca="false">Q35</f>
        <v>0</v>
      </c>
      <c r="D36" s="8" t="n">
        <f aca="false">SUMIFS(Production_Supply!C:C,Production_Supply!A:A,A36,Production_Supply!B:B,B36)</f>
        <v>0</v>
      </c>
      <c r="E36" s="8" t="n">
        <f aca="false">Arrivals!D28</f>
        <v>0</v>
      </c>
      <c r="F36" s="7" t="n">
        <f aca="false">D36+E36</f>
        <v>0</v>
      </c>
      <c r="G36" s="7" t="n">
        <f aca="false">C36+F36</f>
        <v>0</v>
      </c>
      <c r="H36" s="7" t="n">
        <f aca="false">SUMIFS(ShipPlan!G:G,ShipPlan!D:D,A36,ShipPlan!C:C,B36)</f>
        <v>0</v>
      </c>
      <c r="I36" s="7" t="n">
        <f aca="false">SUMIFS(ShipPlan!O:O,ShipPlan!D:D,A36,ShipPlan!C:C,B36)</f>
        <v>0</v>
      </c>
      <c r="J36" s="7" t="n">
        <f aca="false">G36-I36</f>
        <v>0</v>
      </c>
      <c r="K36" s="8" t="n">
        <f aca="false">SUMIFS(Demand_Forecast!F:F,Demand_Forecast!A:A,A36,Demand_Forecast!B:B,B36)</f>
        <v>0</v>
      </c>
      <c r="L36" s="7" t="n">
        <f aca="false">MIN(K36,J36)</f>
        <v>0</v>
      </c>
      <c r="M36" s="7" t="n">
        <f aca="false">MAX(0,K36-J36)</f>
        <v>0</v>
      </c>
      <c r="N36" s="7" t="n">
        <f aca="false">J36-L36</f>
        <v>0</v>
      </c>
      <c r="O36" s="8" t="n">
        <f aca="false">Warehouse_Capacity!C6</f>
        <v>0</v>
      </c>
      <c r="P36" s="7" t="n">
        <f aca="false">MAX(0,N36-O36)</f>
        <v>0</v>
      </c>
      <c r="Q36" s="7" t="n">
        <f aca="false">N36-P36</f>
        <v>0</v>
      </c>
    </row>
    <row r="37" customFormat="false" ht="15" hidden="false" customHeight="false" outlineLevel="0" collapsed="false">
      <c r="A37" s="0" t="s">
        <v>14</v>
      </c>
      <c r="B37" s="0" t="n">
        <v>4</v>
      </c>
      <c r="C37" s="8" t="n">
        <f aca="false">Q36</f>
        <v>0</v>
      </c>
      <c r="D37" s="8" t="n">
        <f aca="false">SUMIFS(Production_Supply!C:C,Production_Supply!A:A,A37,Production_Supply!B:B,B37)</f>
        <v>0</v>
      </c>
      <c r="E37" s="8" t="n">
        <f aca="false">Arrivals!E28</f>
        <v>0</v>
      </c>
      <c r="F37" s="7" t="n">
        <f aca="false">D37+E37</f>
        <v>0</v>
      </c>
      <c r="G37" s="7" t="n">
        <f aca="false">C37+F37</f>
        <v>0</v>
      </c>
      <c r="H37" s="7" t="n">
        <f aca="false">SUMIFS(ShipPlan!G:G,ShipPlan!D:D,A37,ShipPlan!C:C,B37)</f>
        <v>0</v>
      </c>
      <c r="I37" s="7" t="n">
        <f aca="false">SUMIFS(ShipPlan!O:O,ShipPlan!D:D,A37,ShipPlan!C:C,B37)</f>
        <v>0</v>
      </c>
      <c r="J37" s="7" t="n">
        <f aca="false">G37-I37</f>
        <v>0</v>
      </c>
      <c r="K37" s="8" t="n">
        <f aca="false">SUMIFS(Demand_Forecast!F:F,Demand_Forecast!A:A,A37,Demand_Forecast!B:B,B37)</f>
        <v>0</v>
      </c>
      <c r="L37" s="7" t="n">
        <f aca="false">MIN(K37,J37)</f>
        <v>0</v>
      </c>
      <c r="M37" s="7" t="n">
        <f aca="false">MAX(0,K37-J37)</f>
        <v>0</v>
      </c>
      <c r="N37" s="7" t="n">
        <f aca="false">J37-L37</f>
        <v>0</v>
      </c>
      <c r="O37" s="8" t="n">
        <f aca="false">Warehouse_Capacity!C6</f>
        <v>0</v>
      </c>
      <c r="P37" s="7" t="n">
        <f aca="false">MAX(0,N37-O37)</f>
        <v>0</v>
      </c>
      <c r="Q37" s="7" t="n">
        <f aca="false">N37-P37</f>
        <v>0</v>
      </c>
    </row>
    <row r="38" customFormat="false" ht="15" hidden="false" customHeight="false" outlineLevel="0" collapsed="false">
      <c r="A38" s="0" t="s">
        <v>14</v>
      </c>
      <c r="B38" s="0" t="n">
        <v>5</v>
      </c>
      <c r="C38" s="8" t="n">
        <f aca="false">Q37</f>
        <v>0</v>
      </c>
      <c r="D38" s="8" t="n">
        <f aca="false">SUMIFS(Production_Supply!C:C,Production_Supply!A:A,A38,Production_Supply!B:B,B38)</f>
        <v>0</v>
      </c>
      <c r="E38" s="8" t="n">
        <f aca="false">Arrivals!F28</f>
        <v>0</v>
      </c>
      <c r="F38" s="7" t="n">
        <f aca="false">D38+E38</f>
        <v>0</v>
      </c>
      <c r="G38" s="7" t="n">
        <f aca="false">C38+F38</f>
        <v>0</v>
      </c>
      <c r="H38" s="7" t="n">
        <f aca="false">SUMIFS(ShipPlan!G:G,ShipPlan!D:D,A38,ShipPlan!C:C,B38)</f>
        <v>0</v>
      </c>
      <c r="I38" s="7" t="n">
        <f aca="false">SUMIFS(ShipPlan!O:O,ShipPlan!D:D,A38,ShipPlan!C:C,B38)</f>
        <v>0</v>
      </c>
      <c r="J38" s="7" t="n">
        <f aca="false">G38-I38</f>
        <v>0</v>
      </c>
      <c r="K38" s="8" t="n">
        <f aca="false">SUMIFS(Demand_Forecast!F:F,Demand_Forecast!A:A,A38,Demand_Forecast!B:B,B38)</f>
        <v>0</v>
      </c>
      <c r="L38" s="7" t="n">
        <f aca="false">MIN(K38,J38)</f>
        <v>0</v>
      </c>
      <c r="M38" s="7" t="n">
        <f aca="false">MAX(0,K38-J38)</f>
        <v>0</v>
      </c>
      <c r="N38" s="7" t="n">
        <f aca="false">J38-L38</f>
        <v>0</v>
      </c>
      <c r="O38" s="8" t="n">
        <f aca="false">Warehouse_Capacity!C6</f>
        <v>0</v>
      </c>
      <c r="P38" s="7" t="n">
        <f aca="false">MAX(0,N38-O38)</f>
        <v>0</v>
      </c>
      <c r="Q38" s="7" t="n">
        <f aca="false">N38-P38</f>
        <v>0</v>
      </c>
    </row>
    <row r="39" customFormat="false" ht="15" hidden="false" customHeight="false" outlineLevel="0" collapsed="false">
      <c r="A39" s="0" t="s">
        <v>14</v>
      </c>
      <c r="B39" s="0" t="n">
        <v>6</v>
      </c>
      <c r="C39" s="8" t="n">
        <f aca="false">Q38</f>
        <v>0</v>
      </c>
      <c r="D39" s="8" t="n">
        <f aca="false">SUMIFS(Production_Supply!C:C,Production_Supply!A:A,A39,Production_Supply!B:B,B39)</f>
        <v>0</v>
      </c>
      <c r="E39" s="8" t="n">
        <f aca="false">Arrivals!G28</f>
        <v>0</v>
      </c>
      <c r="F39" s="7" t="n">
        <f aca="false">D39+E39</f>
        <v>0</v>
      </c>
      <c r="G39" s="7" t="n">
        <f aca="false">C39+F39</f>
        <v>0</v>
      </c>
      <c r="H39" s="7" t="n">
        <f aca="false">SUMIFS(ShipPlan!G:G,ShipPlan!D:D,A39,ShipPlan!C:C,B39)</f>
        <v>0</v>
      </c>
      <c r="I39" s="7" t="n">
        <f aca="false">SUMIFS(ShipPlan!O:O,ShipPlan!D:D,A39,ShipPlan!C:C,B39)</f>
        <v>0</v>
      </c>
      <c r="J39" s="7" t="n">
        <f aca="false">G39-I39</f>
        <v>0</v>
      </c>
      <c r="K39" s="8" t="n">
        <f aca="false">SUMIFS(Demand_Forecast!F:F,Demand_Forecast!A:A,A39,Demand_Forecast!B:B,B39)</f>
        <v>0</v>
      </c>
      <c r="L39" s="7" t="n">
        <f aca="false">MIN(K39,J39)</f>
        <v>0</v>
      </c>
      <c r="M39" s="7" t="n">
        <f aca="false">MAX(0,K39-J39)</f>
        <v>0</v>
      </c>
      <c r="N39" s="7" t="n">
        <f aca="false">J39-L39</f>
        <v>0</v>
      </c>
      <c r="O39" s="8" t="n">
        <f aca="false">Warehouse_Capacity!C6</f>
        <v>0</v>
      </c>
      <c r="P39" s="7" t="n">
        <f aca="false">MAX(0,N39-O39)</f>
        <v>0</v>
      </c>
      <c r="Q39" s="7" t="n">
        <f aca="false">N39-P39</f>
        <v>0</v>
      </c>
    </row>
    <row r="40" customFormat="false" ht="15" hidden="false" customHeight="false" outlineLevel="0" collapsed="false">
      <c r="A40" s="0" t="s">
        <v>14</v>
      </c>
      <c r="B40" s="0" t="n">
        <v>7</v>
      </c>
      <c r="C40" s="8" t="n">
        <f aca="false">Q39</f>
        <v>0</v>
      </c>
      <c r="D40" s="8" t="n">
        <f aca="false">SUMIFS(Production_Supply!C:C,Production_Supply!A:A,A40,Production_Supply!B:B,B40)</f>
        <v>0</v>
      </c>
      <c r="E40" s="8" t="n">
        <f aca="false">Arrivals!H28</f>
        <v>0</v>
      </c>
      <c r="F40" s="7" t="n">
        <f aca="false">D40+E40</f>
        <v>0</v>
      </c>
      <c r="G40" s="7" t="n">
        <f aca="false">C40+F40</f>
        <v>0</v>
      </c>
      <c r="H40" s="7" t="n">
        <f aca="false">SUMIFS(ShipPlan!G:G,ShipPlan!D:D,A40,ShipPlan!C:C,B40)</f>
        <v>0</v>
      </c>
      <c r="I40" s="7" t="n">
        <f aca="false">SUMIFS(ShipPlan!O:O,ShipPlan!D:D,A40,ShipPlan!C:C,B40)</f>
        <v>0</v>
      </c>
      <c r="J40" s="7" t="n">
        <f aca="false">G40-I40</f>
        <v>0</v>
      </c>
      <c r="K40" s="8" t="n">
        <f aca="false">SUMIFS(Demand_Forecast!F:F,Demand_Forecast!A:A,A40,Demand_Forecast!B:B,B40)</f>
        <v>0</v>
      </c>
      <c r="L40" s="7" t="n">
        <f aca="false">MIN(K40,J40)</f>
        <v>0</v>
      </c>
      <c r="M40" s="7" t="n">
        <f aca="false">MAX(0,K40-J40)</f>
        <v>0</v>
      </c>
      <c r="N40" s="7" t="n">
        <f aca="false">J40-L40</f>
        <v>0</v>
      </c>
      <c r="O40" s="8" t="n">
        <f aca="false">Warehouse_Capacity!C6</f>
        <v>0</v>
      </c>
      <c r="P40" s="7" t="n">
        <f aca="false">MAX(0,N40-O40)</f>
        <v>0</v>
      </c>
      <c r="Q40" s="7" t="n">
        <f aca="false">N40-P40</f>
        <v>0</v>
      </c>
    </row>
    <row r="41" customFormat="false" ht="15" hidden="false" customHeight="false" outlineLevel="0" collapsed="false">
      <c r="A41" s="0" t="s">
        <v>14</v>
      </c>
      <c r="B41" s="0" t="n">
        <v>8</v>
      </c>
      <c r="C41" s="8" t="n">
        <f aca="false">Q40</f>
        <v>0</v>
      </c>
      <c r="D41" s="8" t="n">
        <f aca="false">SUMIFS(Production_Supply!C:C,Production_Supply!A:A,A41,Production_Supply!B:B,B41)</f>
        <v>0</v>
      </c>
      <c r="E41" s="8" t="n">
        <f aca="false">Arrivals!I28</f>
        <v>0</v>
      </c>
      <c r="F41" s="7" t="n">
        <f aca="false">D41+E41</f>
        <v>0</v>
      </c>
      <c r="G41" s="7" t="n">
        <f aca="false">C41+F41</f>
        <v>0</v>
      </c>
      <c r="H41" s="7" t="n">
        <f aca="false">SUMIFS(ShipPlan!G:G,ShipPlan!D:D,A41,ShipPlan!C:C,B41)</f>
        <v>0</v>
      </c>
      <c r="I41" s="7" t="n">
        <f aca="false">SUMIFS(ShipPlan!O:O,ShipPlan!D:D,A41,ShipPlan!C:C,B41)</f>
        <v>0</v>
      </c>
      <c r="J41" s="7" t="n">
        <f aca="false">G41-I41</f>
        <v>0</v>
      </c>
      <c r="K41" s="8" t="n">
        <f aca="false">SUMIFS(Demand_Forecast!F:F,Demand_Forecast!A:A,A41,Demand_Forecast!B:B,B41)</f>
        <v>0</v>
      </c>
      <c r="L41" s="7" t="n">
        <f aca="false">MIN(K41,J41)</f>
        <v>0</v>
      </c>
      <c r="M41" s="7" t="n">
        <f aca="false">MAX(0,K41-J41)</f>
        <v>0</v>
      </c>
      <c r="N41" s="7" t="n">
        <f aca="false">J41-L41</f>
        <v>0</v>
      </c>
      <c r="O41" s="8" t="n">
        <f aca="false">Warehouse_Capacity!C6</f>
        <v>0</v>
      </c>
      <c r="P41" s="7" t="n">
        <f aca="false">MAX(0,N41-O41)</f>
        <v>0</v>
      </c>
      <c r="Q41" s="7" t="n">
        <f aca="false">N41-P41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
    </oddHeader>
    <oddFooter>
   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17.35" hidden="false" customHeight="false" outlineLevel="0" collapsed="false">
      <c r="A1" s="12" t="s">
        <v>87</v>
      </c>
    </row>
    <row r="2" customFormat="false" ht="28.35" hidden="false" customHeight="false" outlineLevel="0" collapsed="false">
      <c r="A2" s="6" t="s">
        <v>5</v>
      </c>
      <c r="B2" s="6" t="s">
        <v>88</v>
      </c>
      <c r="C2" s="6" t="s">
        <v>89</v>
      </c>
      <c r="D2" s="6" t="s">
        <v>90</v>
      </c>
      <c r="E2" s="6" t="s">
        <v>91</v>
      </c>
      <c r="F2" s="6" t="s">
        <v>82</v>
      </c>
      <c r="G2" s="6" t="s">
        <v>85</v>
      </c>
      <c r="H2" s="6" t="s">
        <v>92</v>
      </c>
      <c r="I2" s="6" t="s">
        <v>93</v>
      </c>
      <c r="J2" s="6" t="s">
        <v>94</v>
      </c>
    </row>
    <row r="3" customFormat="false" ht="15" hidden="false" customHeight="false" outlineLevel="0" collapsed="false">
      <c r="A3" s="0" t="s">
        <v>3</v>
      </c>
      <c r="B3" s="7" t="n">
        <f aca="false">SUMIF(ShipPlan!D:D,A3,ShipPlan!Q:Q)</f>
        <v>64839.6</v>
      </c>
      <c r="C3" s="8" t="n">
        <f aca="false">Warehouse_Capacity!B2*Inputs_Global!$D$4</f>
        <v>38400</v>
      </c>
      <c r="D3" s="7" t="n">
        <f aca="false">B3+C3</f>
        <v>103239.6</v>
      </c>
      <c r="E3" s="7" t="n">
        <f aca="false">SUMIF(Inventory_Flow!A:A,A3,Inventory_Flow!L:L)</f>
        <v>8858</v>
      </c>
      <c r="F3" s="7" t="n">
        <f aca="false">SUMIF(Inventory_Flow!A:A,A3,Inventory_Flow!M:M)</f>
        <v>42</v>
      </c>
      <c r="G3" s="7" t="n">
        <f aca="false">SUMIF(Inventory_Flow!A:A,A3,Inventory_Flow!P:P)</f>
        <v>0</v>
      </c>
      <c r="H3" s="13" t="n">
        <f aca="false">IF((E3+F3)=0,1,1-F3/(E3+F3))</f>
        <v>0.995280898876405</v>
      </c>
      <c r="I3" s="13" t="n">
        <f aca="false">IF((E3+G3)=0,0,G3/(E3+G3))</f>
        <v>0</v>
      </c>
      <c r="J3" s="14" t="n">
        <f aca="false">IF(E3=0,0,D3/E3)</f>
        <v>11.6549559720027</v>
      </c>
    </row>
    <row r="4" customFormat="false" ht="15" hidden="false" customHeight="false" outlineLevel="0" collapsed="false">
      <c r="A4" s="0" t="s">
        <v>7</v>
      </c>
      <c r="B4" s="7" t="n">
        <f aca="false">SUMIF(ShipPlan!D:D,A4,ShipPlan!Q:Q)</f>
        <v>0</v>
      </c>
      <c r="C4" s="8" t="n">
        <f aca="false">Warehouse_Capacity!B3*Inputs_Global!$D$4</f>
        <v>20000</v>
      </c>
      <c r="D4" s="7" t="n">
        <f aca="false">B4+C4</f>
        <v>20000</v>
      </c>
      <c r="E4" s="7" t="n">
        <f aca="false">SUMIF(Inventory_Flow!A:A,A4,Inventory_Flow!L:L)</f>
        <v>4028</v>
      </c>
      <c r="F4" s="7" t="n">
        <f aca="false">SUMIF(Inventory_Flow!A:A,A4,Inventory_Flow!M:M)</f>
        <v>0</v>
      </c>
      <c r="G4" s="7" t="n">
        <f aca="false">SUMIF(Inventory_Flow!A:A,A4,Inventory_Flow!P:P)</f>
        <v>0</v>
      </c>
      <c r="H4" s="13" t="n">
        <f aca="false">IF((E4+F4)=0,1,1-F4/(E4+F4))</f>
        <v>1</v>
      </c>
      <c r="I4" s="13" t="n">
        <f aca="false">IF((E4+G4)=0,0,G4/(E4+G4))</f>
        <v>0</v>
      </c>
      <c r="J4" s="14" t="n">
        <f aca="false">IF(E4=0,0,D4/E4)</f>
        <v>4.96524329692155</v>
      </c>
    </row>
    <row r="5" customFormat="false" ht="15" hidden="false" customHeight="false" outlineLevel="0" collapsed="false">
      <c r="A5" s="0" t="s">
        <v>9</v>
      </c>
      <c r="B5" s="7" t="n">
        <f aca="false">SUMIF(ShipPlan!D:D,A5,ShipPlan!Q:Q)</f>
        <v>0</v>
      </c>
      <c r="C5" s="8" t="n">
        <f aca="false">Warehouse_Capacity!B4*Inputs_Global!$D$4</f>
        <v>16000</v>
      </c>
      <c r="D5" s="7" t="n">
        <f aca="false">B5+C5</f>
        <v>16000</v>
      </c>
      <c r="E5" s="7" t="n">
        <f aca="false">SUMIF(Inventory_Flow!A:A,A5,Inventory_Flow!L:L)</f>
        <v>2745</v>
      </c>
      <c r="F5" s="7" t="n">
        <f aca="false">SUMIF(Inventory_Flow!A:A,A5,Inventory_Flow!M:M)</f>
        <v>1655</v>
      </c>
      <c r="G5" s="7" t="n">
        <f aca="false">SUMIF(Inventory_Flow!A:A,A5,Inventory_Flow!P:P)</f>
        <v>0</v>
      </c>
      <c r="H5" s="13" t="n">
        <f aca="false">IF((E5+F5)=0,1,1-F5/(E5+F5))</f>
        <v>0.623863636363636</v>
      </c>
      <c r="I5" s="13" t="n">
        <f aca="false">IF((E5+G5)=0,0,G5/(E5+G5))</f>
        <v>0</v>
      </c>
      <c r="J5" s="14" t="n">
        <f aca="false">IF(E5=0,0,D5/E5)</f>
        <v>5.8287795992714</v>
      </c>
    </row>
    <row r="6" customFormat="false" ht="15" hidden="false" customHeight="false" outlineLevel="0" collapsed="false">
      <c r="A6" s="0" t="s">
        <v>11</v>
      </c>
      <c r="B6" s="7" t="n">
        <f aca="false">SUMIF(ShipPlan!D:D,A6,ShipPlan!Q:Q)</f>
        <v>0</v>
      </c>
      <c r="C6" s="8" t="n">
        <f aca="false">Warehouse_Capacity!B5*Inputs_Global!$D$4</f>
        <v>0</v>
      </c>
      <c r="D6" s="7" t="n">
        <f aca="false">B6+C6</f>
        <v>0</v>
      </c>
      <c r="E6" s="7" t="n">
        <f aca="false">SUMIF(Inventory_Flow!A:A,A6,Inventory_Flow!L:L)</f>
        <v>0</v>
      </c>
      <c r="F6" s="7" t="n">
        <f aca="false">SUMIF(Inventory_Flow!A:A,A6,Inventory_Flow!M:M)</f>
        <v>0</v>
      </c>
      <c r="G6" s="7" t="n">
        <f aca="false">SUMIF(Inventory_Flow!A:A,A6,Inventory_Flow!P:P)</f>
        <v>0</v>
      </c>
      <c r="H6" s="13" t="n">
        <f aca="false">IF((E6+F6)=0,1,1-F6/(E6+F6))</f>
        <v>1</v>
      </c>
      <c r="I6" s="13" t="n">
        <f aca="false">IF((E6+G6)=0,0,G6/(E6+G6))</f>
        <v>0</v>
      </c>
      <c r="J6" s="14" t="n">
        <f aca="false">IF(E6=0,0,D6/E6)</f>
        <v>0</v>
      </c>
    </row>
    <row r="7" customFormat="false" ht="15" hidden="false" customHeight="false" outlineLevel="0" collapsed="false">
      <c r="A7" s="0" t="s">
        <v>14</v>
      </c>
      <c r="B7" s="7" t="n">
        <f aca="false">SUMIF(ShipPlan!D:D,A7,ShipPlan!Q:Q)</f>
        <v>0</v>
      </c>
      <c r="C7" s="8" t="n">
        <f aca="false">Warehouse_Capacity!B6*Inputs_Global!$D$4</f>
        <v>0</v>
      </c>
      <c r="D7" s="7" t="n">
        <f aca="false">B7+C7</f>
        <v>0</v>
      </c>
      <c r="E7" s="7" t="n">
        <f aca="false">SUMIF(Inventory_Flow!A:A,A7,Inventory_Flow!L:L)</f>
        <v>0</v>
      </c>
      <c r="F7" s="7" t="n">
        <f aca="false">SUMIF(Inventory_Flow!A:A,A7,Inventory_Flow!M:M)</f>
        <v>0</v>
      </c>
      <c r="G7" s="7" t="n">
        <f aca="false">SUMIF(Inventory_Flow!A:A,A7,Inventory_Flow!P:P)</f>
        <v>0</v>
      </c>
      <c r="H7" s="13" t="n">
        <f aca="false">IF((E7+F7)=0,1,1-F7/(E7+F7))</f>
        <v>1</v>
      </c>
      <c r="I7" s="13" t="n">
        <f aca="false">IF((E7+G7)=0,0,G7/(E7+G7))</f>
        <v>0</v>
      </c>
      <c r="J7" s="14" t="n">
        <f aca="false">IF(E7=0,0,D7/E7)</f>
        <v>0</v>
      </c>
    </row>
    <row r="8" customFormat="false" ht="15" hidden="false" customHeight="false" outlineLevel="0" collapsed="false">
      <c r="A8" s="4" t="s">
        <v>95</v>
      </c>
      <c r="B8" s="7" t="n">
        <f aca="false">SUM(B3:B7)</f>
        <v>64839.6</v>
      </c>
      <c r="C8" s="7" t="n">
        <f aca="false">SUM(C3:C7)</f>
        <v>74400</v>
      </c>
      <c r="D8" s="7" t="n">
        <f aca="false">SUM(D3:D7)</f>
        <v>139239.6</v>
      </c>
      <c r="E8" s="7" t="n">
        <f aca="false">SUM(E3:E7)</f>
        <v>15631</v>
      </c>
      <c r="F8" s="7" t="n">
        <f aca="false">SUM(F3:F7)</f>
        <v>1697</v>
      </c>
      <c r="G8" s="7" t="n">
        <f aca="false">SUM(G3:G7)</f>
        <v>0</v>
      </c>
      <c r="H8" s="15" t="n">
        <f aca="false">IF((E8+F8)=0,1,1-F8/(E8+F8))</f>
        <v>0.902066020313943</v>
      </c>
      <c r="I8" s="15" t="n">
        <f aca="false">IF((E8+G8)=0,0,G8/(E8+G8))</f>
        <v>0</v>
      </c>
      <c r="J8" s="16" t="n">
        <f aca="false">IF(E8=0,0,D8/E8)</f>
        <v>8.90791376111573</v>
      </c>
    </row>
    <row r="11" customFormat="false" ht="15" hidden="false" customHeight="false" outlineLevel="0" collapsed="false">
      <c r="A11" s="4" t="s">
        <v>96</v>
      </c>
    </row>
    <row r="12" customFormat="false" ht="15" hidden="false" customHeight="false" outlineLevel="0" collapsed="false">
      <c r="A12" s="0" t="s">
        <v>5</v>
      </c>
      <c r="B12" s="0" t="s">
        <v>97</v>
      </c>
    </row>
    <row r="13" customFormat="false" ht="15" hidden="false" customHeight="false" outlineLevel="0" collapsed="false">
      <c r="A13" s="0" t="s">
        <v>3</v>
      </c>
      <c r="B13" s="3" t="n">
        <v>68</v>
      </c>
    </row>
    <row r="14" customFormat="false" ht="15" hidden="false" customHeight="false" outlineLevel="0" collapsed="false">
      <c r="A14" s="0" t="s">
        <v>7</v>
      </c>
      <c r="B14" s="3" t="n">
        <v>68</v>
      </c>
    </row>
    <row r="15" customFormat="false" ht="15" hidden="false" customHeight="false" outlineLevel="0" collapsed="false">
      <c r="A15" s="0" t="s">
        <v>9</v>
      </c>
      <c r="B15" s="3" t="n">
        <v>91</v>
      </c>
    </row>
    <row r="16" customFormat="false" ht="15" hidden="false" customHeight="false" outlineLevel="0" collapsed="false">
      <c r="A16" s="0" t="s">
        <v>11</v>
      </c>
      <c r="B16" s="3" t="n">
        <v>68</v>
      </c>
    </row>
    <row r="17" customFormat="false" ht="15" hidden="false" customHeight="false" outlineLevel="0" collapsed="false">
      <c r="A17" s="0" t="s">
        <v>14</v>
      </c>
      <c r="B17" s="3" t="n">
        <v>68</v>
      </c>
    </row>
    <row r="19" customFormat="false" ht="15" hidden="false" customHeight="false" outlineLevel="0" collapsed="false">
      <c r="A19" s="4" t="s">
        <v>98</v>
      </c>
    </row>
    <row r="20" customFormat="false" ht="15" hidden="false" customHeight="false" outlineLevel="0" collapsed="false">
      <c r="A20" s="0" t="s">
        <v>3</v>
      </c>
      <c r="B20" s="17" t="n">
        <f aca="false">E3*B13</f>
        <v>602344</v>
      </c>
    </row>
    <row r="21" customFormat="false" ht="15" hidden="false" customHeight="false" outlineLevel="0" collapsed="false">
      <c r="A21" s="0" t="s">
        <v>7</v>
      </c>
      <c r="B21" s="17" t="n">
        <f aca="false">E4*B14</f>
        <v>273904</v>
      </c>
    </row>
    <row r="22" customFormat="false" ht="15" hidden="false" customHeight="false" outlineLevel="0" collapsed="false">
      <c r="A22" s="0" t="s">
        <v>9</v>
      </c>
      <c r="B22" s="17" t="n">
        <f aca="false">E5*B15</f>
        <v>249795</v>
      </c>
    </row>
    <row r="23" customFormat="false" ht="15" hidden="false" customHeight="false" outlineLevel="0" collapsed="false">
      <c r="A23" s="0" t="s">
        <v>11</v>
      </c>
      <c r="B23" s="17" t="n">
        <f aca="false">E6*B16</f>
        <v>0</v>
      </c>
    </row>
    <row r="24" customFormat="false" ht="15" hidden="false" customHeight="false" outlineLevel="0" collapsed="false">
      <c r="A24" s="0" t="s">
        <v>14</v>
      </c>
      <c r="B24" s="17" t="n">
        <f aca="false">E7*B17</f>
        <v>0</v>
      </c>
    </row>
    <row r="26" customFormat="false" ht="15" hidden="false" customHeight="false" outlineLevel="0" collapsed="false">
      <c r="A26" s="0" t="s">
        <v>99</v>
      </c>
      <c r="B26" s="18" t="n">
        <f aca="false">SUM(B20:B24)</f>
        <v>1126043</v>
      </c>
    </row>
    <row r="27" customFormat="false" ht="15" hidden="false" customHeight="false" outlineLevel="0" collapsed="false">
      <c r="A27" s="0" t="s">
        <v>100</v>
      </c>
      <c r="B27" s="18" t="n">
        <f aca="false">D8</f>
        <v>139239.6</v>
      </c>
    </row>
    <row r="28" customFormat="false" ht="17.35" hidden="false" customHeight="false" outlineLevel="0" collapsed="false">
      <c r="A28" s="9" t="s">
        <v>101</v>
      </c>
      <c r="B28" s="19" t="n">
        <f aca="false">IF(B26=0,0,B27/B26)</f>
        <v>0.123653892435724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>
  </sheetFormatPr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9.7" hidden="false" customHeight="false" outlineLevel="0" collapsed="false">
      <c r="A1" s="20" t="s">
        <v>102</v>
      </c>
      <c r="B1" s="20"/>
      <c r="C1" s="20"/>
      <c r="D1" s="20"/>
      <c r="E1" s="20"/>
      <c r="F1" s="20"/>
    </row>
    <row r="3" customFormat="false" ht="15" hidden="false" customHeight="false" outlineLevel="0" collapsed="false">
      <c r="A3" s="21" t="s">
        <v>103</v>
      </c>
    </row>
    <row r="4" customFormat="false" ht="15" hidden="false" customHeight="false" outlineLevel="0" collapsed="false">
      <c r="A4" s="0" t="s">
        <v>104</v>
      </c>
      <c r="B4" s="22" t="n">
        <f aca="false">KPIs!B28</f>
        <v>0.123653892435724</v>
      </c>
    </row>
    <row r="5" customFormat="false" ht="15" hidden="false" customHeight="false" outlineLevel="0" collapsed="false">
      <c r="A5" s="0" t="s">
        <v>100</v>
      </c>
      <c r="B5" s="23" t="n">
        <f aca="false">KPIs!B27</f>
        <v>139239.6</v>
      </c>
    </row>
    <row r="6" customFormat="false" ht="15" hidden="false" customHeight="false" outlineLevel="0" collapsed="false">
      <c r="A6" s="0" t="s">
        <v>99</v>
      </c>
      <c r="B6" s="23" t="n">
        <f aca="false">KPIs!B26</f>
        <v>1126043</v>
      </c>
    </row>
    <row r="7" customFormat="false" ht="15" hidden="false" customHeight="false" outlineLevel="0" collapsed="false">
      <c r="A7" s="0" t="s">
        <v>105</v>
      </c>
      <c r="B7" s="8" t="n">
        <f aca="false">KPIs!F8</f>
        <v>1697</v>
      </c>
    </row>
    <row r="8" customFormat="false" ht="15" hidden="false" customHeight="false" outlineLevel="0" collapsed="false">
      <c r="A8" s="0" t="s">
        <v>106</v>
      </c>
      <c r="B8" s="8" t="n">
        <f aca="false">KPIs!G8</f>
        <v>0</v>
      </c>
    </row>
    <row r="9" customFormat="false" ht="15" hidden="false" customHeight="false" outlineLevel="0" collapsed="false">
      <c r="A9" s="0" t="s">
        <v>107</v>
      </c>
      <c r="B9" s="22" t="n">
        <f aca="false">KPIs!H8</f>
        <v>0.902066020313943</v>
      </c>
    </row>
    <row r="12" customFormat="false" ht="15" hidden="false" customHeight="false" outlineLevel="0" collapsed="false">
      <c r="A12" s="21" t="s">
        <v>108</v>
      </c>
    </row>
    <row r="13" customFormat="false" ht="28.35" hidden="false" customHeight="false" outlineLevel="0" collapsed="false">
      <c r="A13" s="6" t="s">
        <v>5</v>
      </c>
      <c r="B13" s="6" t="s">
        <v>109</v>
      </c>
      <c r="C13" s="6" t="s">
        <v>110</v>
      </c>
      <c r="D13" s="6" t="s">
        <v>111</v>
      </c>
      <c r="E13" s="6" t="s">
        <v>112</v>
      </c>
    </row>
    <row r="14" customFormat="false" ht="15" hidden="false" customHeight="false" outlineLevel="0" collapsed="false">
      <c r="A14" s="8" t="str">
        <f aca="false">KPIs!A3</f>
        <v>Center</v>
      </c>
      <c r="B14" s="23" t="n">
        <f aca="false">KPIs!D3</f>
        <v>103239.6</v>
      </c>
      <c r="C14" s="8" t="n">
        <f aca="false">KPIs!E3</f>
        <v>8858</v>
      </c>
      <c r="D14" s="8" t="n">
        <f aca="false">KPIs!F3</f>
        <v>42</v>
      </c>
      <c r="E14" s="24" t="n">
        <f aca="false">KPIs!H3</f>
        <v>0.995280898876405</v>
      </c>
    </row>
    <row r="15" customFormat="false" ht="15" hidden="false" customHeight="false" outlineLevel="0" collapsed="false">
      <c r="A15" s="8" t="str">
        <f aca="false">KPIs!A4</f>
        <v>West</v>
      </c>
      <c r="B15" s="23" t="n">
        <f aca="false">KPIs!D4</f>
        <v>20000</v>
      </c>
      <c r="C15" s="8" t="n">
        <f aca="false">KPIs!E4</f>
        <v>4028</v>
      </c>
      <c r="D15" s="8" t="n">
        <f aca="false">KPIs!F4</f>
        <v>0</v>
      </c>
      <c r="E15" s="24" t="n">
        <f aca="false">KPIs!H4</f>
        <v>1</v>
      </c>
    </row>
    <row r="16" customFormat="false" ht="15" hidden="false" customHeight="false" outlineLevel="0" collapsed="false">
      <c r="A16" s="8" t="str">
        <f aca="false">KPIs!A5</f>
        <v>North</v>
      </c>
      <c r="B16" s="23" t="n">
        <f aca="false">KPIs!D5</f>
        <v>16000</v>
      </c>
      <c r="C16" s="8" t="n">
        <f aca="false">KPIs!E5</f>
        <v>2745</v>
      </c>
      <c r="D16" s="8" t="n">
        <f aca="false">KPIs!F5</f>
        <v>1655</v>
      </c>
      <c r="E16" s="24" t="n">
        <f aca="false">KPIs!H5</f>
        <v>0.623863636363636</v>
      </c>
    </row>
    <row r="17" customFormat="false" ht="15" hidden="false" customHeight="false" outlineLevel="0" collapsed="false">
      <c r="A17" s="8" t="str">
        <f aca="false">KPIs!A6</f>
        <v>East</v>
      </c>
      <c r="B17" s="23" t="n">
        <f aca="false">KPIs!D6</f>
        <v>0</v>
      </c>
      <c r="C17" s="8" t="n">
        <f aca="false">KPIs!E6</f>
        <v>0</v>
      </c>
      <c r="D17" s="8" t="n">
        <f aca="false">KPIs!F6</f>
        <v>0</v>
      </c>
      <c r="E17" s="24" t="n">
        <f aca="false">KPIs!H6</f>
        <v>1</v>
      </c>
    </row>
    <row r="18" customFormat="false" ht="15" hidden="false" customHeight="false" outlineLevel="0" collapsed="false">
      <c r="A18" s="8" t="str">
        <f aca="false">KPIs!A7</f>
        <v>South</v>
      </c>
      <c r="B18" s="23" t="n">
        <f aca="false">KPIs!D7</f>
        <v>0</v>
      </c>
      <c r="C18" s="8" t="n">
        <f aca="false">KPIs!E7</f>
        <v>0</v>
      </c>
      <c r="D18" s="8" t="n">
        <f aca="false">KPIs!F7</f>
        <v>0</v>
      </c>
      <c r="E18" s="24" t="n">
        <f aca="false">KPIs!H7</f>
        <v>1</v>
      </c>
    </row>
    <row r="21" customFormat="false" ht="15" hidden="false" customHeight="false" outlineLevel="0" collapsed="false">
      <c r="A21" s="25" t="s">
        <v>113</v>
      </c>
    </row>
    <row r="23" customFormat="false" ht="15" hidden="false" customHeight="false" outlineLevel="0" collapsed="false">
      <c r="A23" s="0" t="s">
        <v>114</v>
      </c>
      <c r="B23" s="7" t="n">
        <f aca="false">COUNTIF(Inventory_Flow!P:P,"&gt;0")</f>
        <v>0</v>
      </c>
    </row>
    <row r="24" customFormat="false" ht="15" hidden="false" customHeight="false" outlineLevel="0" collapsed="false">
      <c r="A24" s="0" t="s">
        <v>115</v>
      </c>
      <c r="B24" s="7" t="n">
        <f aca="false">COUNTIF(ShipPlan!P:P,"&gt;0")</f>
        <v>0</v>
      </c>
    </row>
    <row r="25" customFormat="false" ht="15" hidden="false" customHeight="false" outlineLevel="0" collapsed="false">
      <c r="A25" s="0" t="s">
        <v>116</v>
      </c>
      <c r="B25" s="7" t="n">
        <f aca="false">SUMPRODUCT((Inventory_Flow!M2:M100&gt;0)*(Inventory_Flow!I2:I100&gt;0))</f>
        <v>1</v>
      </c>
    </row>
    <row r="27">
      <c r="A27" s="21" t="s">
        <v>159</v>
      </c>
    </row>
    <row r="28">
      <c r="A28" s="6" t="s">
        <v>160</v>
      </c>
      <c r="B28" s="6" t="s">
        <v>61</v>
      </c>
      <c r="C28" s="6" t="s">
        <v>62</v>
      </c>
      <c r="D28" s="6" t="s">
        <v>63</v>
      </c>
      <c r="E28" s="6" t="s">
        <v>64</v>
      </c>
      <c r="F28" s="6" t="s">
        <v>65</v>
      </c>
      <c r="G28" s="6" t="s">
        <v>66</v>
      </c>
      <c r="H28" s="6" t="s">
        <v>67</v>
      </c>
      <c r="I28" s="6" t="s">
        <v>68</v>
      </c>
      <c r="J28" s="6" t="s">
        <v>95</v>
      </c>
    </row>
    <row r="29">
      <c r="A29" s="0" t="s">
        <v>161</v>
      </c>
      <c r="B29" s="23" t="n">
        <f>SUMIFS(ShipPlan!Q:Q,ShipPlan!C:C,1)</f>
      </c>
      <c r="C29" s="23" t="n">
        <f>SUMIFS(ShipPlan!Q:Q,ShipPlan!C:C,2)</f>
      </c>
      <c r="D29" s="23" t="n">
        <f>SUMIFS(ShipPlan!Q:Q,ShipPlan!C:C,3)</f>
      </c>
      <c r="E29" s="23" t="n">
        <f>SUMIFS(ShipPlan!Q:Q,ShipPlan!C:C,4)</f>
      </c>
      <c r="F29" s="23" t="n">
        <f>SUMIFS(ShipPlan!Q:Q,ShipPlan!C:C,5)</f>
      </c>
      <c r="G29" s="23" t="n">
        <f>SUMIFS(ShipPlan!Q:Q,ShipPlan!C:C,6)</f>
      </c>
      <c r="H29" s="23" t="n">
        <f>SUMIFS(ShipPlan!Q:Q,ShipPlan!C:C,7)</f>
      </c>
      <c r="I29" s="23" t="n">
        <f>SUMIFS(ShipPlan!Q:Q,ShipPlan!C:C,8)</f>
      </c>
      <c r="J29" s="23" t="n">
        <f>SUM(B29:I29)</f>
      </c>
    </row>
    <row r="30">
      <c r="A30" s="0" t="s">
        <v>162</v>
      </c>
      <c r="B30" s="23" t="n">
        <f>SUM(Warehouse_Capacity!B2:B6)*Inputs_Global!$D$4</f>
      </c>
      <c r="C30" s="23" t="n">
        <f>0</f>
      </c>
      <c r="D30" s="23" t="n">
        <f>0</f>
      </c>
      <c r="E30" s="23" t="n">
        <f>0</f>
      </c>
      <c r="F30" s="23" t="n">
        <f>0</f>
      </c>
      <c r="G30" s="23" t="n">
        <f>0</f>
      </c>
      <c r="H30" s="23" t="n">
        <f>0</f>
      </c>
      <c r="I30" s="23" t="n">
        <f>0</f>
      </c>
      <c r="J30" s="23" t="n">
        <f>B30</f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
    </oddHeader>
    <oddFooter>
   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15" hidden="false" customHeight="false" outlineLevel="0" collapsed="false">
      <c r="A1" s="0" t="s">
        <v>117</v>
      </c>
    </row>
    <row r="2" customFormat="false" ht="15" hidden="false" customHeight="false" outlineLevel="0" collapsed="false">
      <c r="A2" s="0" t="e">
        <f aca="false">================================================</f>
        <v>#VALUE!</v>
      </c>
    </row>
    <row r="4" customFormat="false" ht="15" hidden="false" customHeight="false" outlineLevel="0" collapsed="false">
      <c r="A4" s="4" t="s">
        <v>118</v>
      </c>
    </row>
    <row r="6" customFormat="false" ht="15" hidden="false" customHeight="false" outlineLevel="0" collapsed="false">
      <c r="A6" s="4" t="s">
        <v>119</v>
      </c>
    </row>
    <row r="8" customFormat="false" ht="15" hidden="false" customHeight="false" outlineLevel="0" collapsed="false">
      <c r="A8" s="4" t="s">
        <v>120</v>
      </c>
    </row>
    <row r="9" customFormat="false" ht="15" hidden="false" customHeight="false" outlineLevel="0" collapsed="false">
      <c r="A9" s="0" t="s">
        <v>121</v>
      </c>
    </row>
    <row r="10" customFormat="false" ht="15" hidden="false" customHeight="false" outlineLevel="0" collapsed="false">
      <c r="A10" s="0" t="s">
        <v>122</v>
      </c>
    </row>
    <row r="12" customFormat="false" ht="15" hidden="false" customHeight="false" outlineLevel="0" collapsed="false">
      <c r="A12" s="4" t="s">
        <v>123</v>
      </c>
    </row>
    <row r="13" customFormat="false" ht="15" hidden="false" customHeight="false" outlineLevel="0" collapsed="false">
      <c r="A13" s="0" t="s">
        <v>124</v>
      </c>
    </row>
    <row r="14" customFormat="false" ht="15" hidden="false" customHeight="false" outlineLevel="0" collapsed="false">
      <c r="A14" s="0" t="s">
        <v>125</v>
      </c>
    </row>
    <row r="15" customFormat="false" ht="15" hidden="false" customHeight="false" outlineLevel="0" collapsed="false">
      <c r="A15" s="0" t="s">
        <v>126</v>
      </c>
    </row>
    <row r="16" customFormat="false" ht="15" hidden="false" customHeight="false" outlineLevel="0" collapsed="false">
      <c r="A16" s="0" t="s">
        <v>127</v>
      </c>
    </row>
    <row r="18" customFormat="false" ht="15" hidden="false" customHeight="false" outlineLevel="0" collapsed="false">
      <c r="A18" s="4" t="s">
        <v>128</v>
      </c>
    </row>
    <row r="19" customFormat="false" ht="15" hidden="false" customHeight="false" outlineLevel="0" collapsed="false">
      <c r="A19" s="0" t="s">
        <v>129</v>
      </c>
    </row>
    <row r="20" customFormat="false" ht="15" hidden="false" customHeight="false" outlineLevel="0" collapsed="false">
      <c r="A20" s="0" t="s">
        <v>130</v>
      </c>
    </row>
    <row r="22" customFormat="false" ht="15" hidden="false" customHeight="false" outlineLevel="0" collapsed="false">
      <c r="A22" s="4" t="s">
        <v>131</v>
      </c>
    </row>
    <row r="23" customFormat="false" ht="15" hidden="false" customHeight="false" outlineLevel="0" collapsed="false">
      <c r="A23" s="0" t="s">
        <v>132</v>
      </c>
    </row>
    <row r="24" customFormat="false" ht="15" hidden="false" customHeight="false" outlineLevel="0" collapsed="false">
      <c r="A24" s="0" t="s">
        <v>133</v>
      </c>
    </row>
    <row r="26" customFormat="false" ht="15" hidden="false" customHeight="false" outlineLevel="0" collapsed="false">
      <c r="A26" s="4" t="s">
        <v>134</v>
      </c>
    </row>
    <row r="27" customFormat="false" ht="15" hidden="false" customHeight="false" outlineLevel="0" collapsed="false">
      <c r="A27" s="0" t="s">
        <v>135</v>
      </c>
    </row>
    <row r="28" customFormat="false" ht="15" hidden="false" customHeight="false" outlineLevel="0" collapsed="false">
      <c r="A28" s="0" t="s">
        <v>136</v>
      </c>
    </row>
    <row r="29" customFormat="false" ht="15" hidden="false" customHeight="false" outlineLevel="0" collapsed="false">
      <c r="A29" s="0" t="s">
        <v>137</v>
      </c>
    </row>
    <row r="31" customFormat="false" ht="15" hidden="false" customHeight="false" outlineLevel="0" collapsed="false">
      <c r="A31" s="4" t="s">
        <v>138</v>
      </c>
    </row>
    <row r="32" customFormat="false" ht="15" hidden="false" customHeight="false" outlineLevel="0" collapsed="false">
      <c r="A32" s="0" t="s">
        <v>139</v>
      </c>
    </row>
    <row r="33" customFormat="false" ht="15" hidden="false" customHeight="false" outlineLevel="0" collapsed="false">
      <c r="A33" s="0" t="s">
        <v>140</v>
      </c>
    </row>
    <row r="34" customFormat="false" ht="15" hidden="false" customHeight="false" outlineLevel="0" collapsed="false">
      <c r="A34" s="0" t="s">
        <v>141</v>
      </c>
    </row>
    <row r="36" customFormat="false" ht="15" hidden="false" customHeight="false" outlineLevel="0" collapsed="false">
      <c r="A36" s="4" t="s">
        <v>142</v>
      </c>
    </row>
    <row r="37" customFormat="false" ht="15" hidden="false" customHeight="false" outlineLevel="0" collapsed="false">
      <c r="A37" s="0" t="s">
        <v>143</v>
      </c>
    </row>
    <row r="38" customFormat="false" ht="15" hidden="false" customHeight="false" outlineLevel="0" collapsed="false">
      <c r="A38" s="0" t="s">
        <v>144</v>
      </c>
    </row>
    <row r="40" customFormat="false" ht="15" hidden="false" customHeight="false" outlineLevel="0" collapsed="false">
      <c r="A40" s="4" t="s">
        <v>145</v>
      </c>
    </row>
    <row r="42" customFormat="false" ht="15" hidden="false" customHeight="false" outlineLevel="0" collapsed="false">
      <c r="A42" s="4" t="s">
        <v>146</v>
      </c>
    </row>
    <row r="43" customFormat="false" ht="15" hidden="false" customHeight="false" outlineLevel="0" collapsed="false">
      <c r="A43" s="4" t="s">
        <v>147</v>
      </c>
    </row>
    <row r="44" customFormat="false" ht="15" hidden="false" customHeight="false" outlineLevel="0" collapsed="false">
      <c r="A44" s="4" t="s">
        <v>148</v>
      </c>
    </row>
    <row r="45" customFormat="false" ht="15" hidden="false" customHeight="false" outlineLevel="0" collapsed="false">
      <c r="A45" s="4" t="s">
        <v>149</v>
      </c>
    </row>
    <row r="46" customFormat="false" ht="15" hidden="false" customHeight="false" outlineLevel="0" collapsed="false">
      <c r="A46" s="4" t="s">
        <v>150</v>
      </c>
    </row>
    <row r="47" customFormat="false" ht="15" hidden="false" customHeight="false" outlineLevel="0" collapsed="false">
      <c r="A47" s="4" t="s">
        <v>151</v>
      </c>
    </row>
    <row r="49" customFormat="false" ht="15" hidden="false" customHeight="false" outlineLevel="0" collapsed="false">
      <c r="A49" s="4" t="s">
        <v>152</v>
      </c>
    </row>
    <row r="50" customFormat="false" ht="15" hidden="false" customHeight="false" outlineLevel="0" collapsed="false">
      <c r="A50" s="0" t="s">
        <v>153</v>
      </c>
    </row>
    <row r="51" customFormat="false" ht="15" hidden="false" customHeight="false" outlineLevel="0" collapsed="false">
      <c r="A51" s="0" t="s">
        <v>154</v>
      </c>
    </row>
    <row r="52" customFormat="false" ht="15" hidden="false" customHeight="false" outlineLevel="0" collapsed="false">
      <c r="A52" s="0" t="s">
        <v>155</v>
      </c>
    </row>
    <row r="53" customFormat="false" ht="15" hidden="false" customHeight="false" outlineLevel="0" collapsed="false">
      <c r="A53" s="0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2026-01-13T00:51:22Z</dcterms:created>
  <dc:creator>openpyxl</dc:creator>
  <dc:description/>
  <dc:language>en-US</dc:language>
  <cp:lastModifiedBy/>
  <dcterms:modified xsi:type="dcterms:W3CDTF">2026-01-13T00:51:22Z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