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esquivel/Downloads/"/>
    </mc:Choice>
  </mc:AlternateContent>
  <xr:revisionPtr revIDLastSave="0" documentId="13_ncr:1_{AD81A100-3F94-D242-8C71-4FA2EFCB126B}" xr6:coauthVersionLast="47" xr6:coauthVersionMax="47" xr10:uidLastSave="{00000000-0000-0000-0000-000000000000}"/>
  <bookViews>
    <workbookView xWindow="4840" yWindow="800" windowWidth="33560" windowHeight="20500" activeTab="6" xr2:uid="{ECEA5770-576C-6F48-8045-BE279BC6E1F6}"/>
  </bookViews>
  <sheets>
    <sheet name="EXHIBITS" sheetId="2" r:id="rId1"/>
    <sheet name="FEATURES" sheetId="4" r:id="rId2"/>
    <sheet name="REPORT" sheetId="1" r:id="rId3"/>
    <sheet name="DF Q7" sheetId="3" r:id="rId4"/>
    <sheet name="REPORT 8" sheetId="6" r:id="rId5"/>
    <sheet name="DF Q8" sheetId="5" r:id="rId6"/>
    <sheet name="Sheet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7" l="1"/>
  <c r="I65" i="7"/>
  <c r="I64" i="7"/>
  <c r="I57" i="7"/>
  <c r="I50" i="7"/>
  <c r="I63" i="7"/>
  <c r="I62" i="7"/>
  <c r="I61" i="7"/>
  <c r="I60" i="7"/>
  <c r="I59" i="7"/>
  <c r="I58" i="7"/>
  <c r="I56" i="7"/>
  <c r="I55" i="7"/>
  <c r="I54" i="7"/>
  <c r="I53" i="7"/>
  <c r="I52" i="7"/>
  <c r="I51" i="7"/>
  <c r="I49" i="7"/>
  <c r="I48" i="7"/>
  <c r="I47" i="7"/>
  <c r="I46" i="7"/>
  <c r="I45" i="7"/>
  <c r="I44" i="7"/>
  <c r="F16" i="7"/>
  <c r="G16" i="7"/>
  <c r="H16" i="7"/>
  <c r="I16" i="7"/>
  <c r="J16" i="7"/>
  <c r="E16" i="7"/>
  <c r="K15" i="7"/>
  <c r="S5" i="5"/>
  <c r="S4" i="5"/>
  <c r="S7" i="5"/>
  <c r="AD2" i="5"/>
  <c r="S9" i="5"/>
  <c r="S8" i="5"/>
  <c r="Y17" i="6"/>
  <c r="Y18" i="6"/>
  <c r="Y19" i="6"/>
  <c r="Y20" i="6"/>
  <c r="X20" i="6"/>
  <c r="X19" i="6"/>
  <c r="X18" i="6"/>
  <c r="X17" i="6"/>
  <c r="X10" i="6"/>
  <c r="X9" i="6"/>
  <c r="X8" i="6"/>
  <c r="X7" i="6"/>
  <c r="W20" i="6"/>
  <c r="W19" i="6"/>
  <c r="W18" i="6"/>
  <c r="W17" i="6"/>
  <c r="W10" i="6"/>
  <c r="W9" i="6"/>
  <c r="W8" i="6"/>
  <c r="W7" i="6"/>
  <c r="W6" i="6"/>
  <c r="V10" i="6"/>
  <c r="V20" i="6"/>
  <c r="V17" i="6"/>
  <c r="V18" i="6"/>
  <c r="V19" i="6"/>
  <c r="U10" i="6"/>
  <c r="U20" i="6"/>
  <c r="U17" i="6"/>
  <c r="U18" i="6"/>
  <c r="U19" i="6"/>
  <c r="U16" i="6"/>
  <c r="Y16" i="6"/>
  <c r="X16" i="6"/>
  <c r="W16" i="6"/>
  <c r="V16" i="6"/>
  <c r="U7" i="6"/>
  <c r="V7" i="6"/>
  <c r="Y7" i="6"/>
  <c r="U8" i="6"/>
  <c r="V8" i="6"/>
  <c r="Y8" i="6"/>
  <c r="U9" i="6"/>
  <c r="V9" i="6"/>
  <c r="Y9" i="6"/>
  <c r="Y10" i="6"/>
  <c r="Y6" i="6"/>
  <c r="X6" i="6"/>
  <c r="V6" i="6"/>
  <c r="U6" i="6"/>
  <c r="O25" i="3"/>
  <c r="O26" i="3"/>
  <c r="O24" i="3"/>
  <c r="O23" i="3"/>
  <c r="O22" i="3"/>
  <c r="N25" i="3"/>
  <c r="N26" i="3"/>
  <c r="N24" i="3"/>
  <c r="M23" i="3"/>
  <c r="M24" i="3"/>
  <c r="M25" i="3"/>
  <c r="M26" i="3"/>
  <c r="M22" i="3"/>
  <c r="L26" i="3"/>
  <c r="L25" i="3"/>
  <c r="L24" i="3"/>
  <c r="L22" i="3"/>
  <c r="L23" i="3"/>
  <c r="O25" i="5"/>
  <c r="O22" i="5"/>
  <c r="O26" i="5"/>
  <c r="O24" i="5"/>
  <c r="O23" i="5"/>
  <c r="L23" i="5"/>
  <c r="L24" i="5"/>
  <c r="L25" i="5"/>
  <c r="L26" i="5"/>
  <c r="L22" i="5"/>
  <c r="AK61" i="3"/>
  <c r="AK60" i="3"/>
  <c r="AL44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N14" i="3"/>
  <c r="N15" i="3"/>
  <c r="N16" i="3"/>
  <c r="N17" i="3"/>
  <c r="N13" i="3"/>
  <c r="H9" i="5"/>
  <c r="B31" i="5" s="1"/>
  <c r="I5" i="5"/>
  <c r="I6" i="5"/>
  <c r="I7" i="5"/>
  <c r="I8" i="5"/>
  <c r="Q4" i="5"/>
  <c r="K18" i="5"/>
  <c r="I4" i="5"/>
  <c r="AO46" i="5"/>
  <c r="AV94" i="5"/>
  <c r="BD86" i="5"/>
  <c r="BC79" i="5"/>
  <c r="BC81" i="5" s="1"/>
  <c r="BB79" i="5"/>
  <c r="BA79" i="5"/>
  <c r="AZ79" i="5"/>
  <c r="AY79" i="5"/>
  <c r="AX79" i="5"/>
  <c r="AW79" i="5"/>
  <c r="AV79" i="5"/>
  <c r="BB78" i="5"/>
  <c r="BB81" i="5" s="1"/>
  <c r="BA78" i="5"/>
  <c r="BA81" i="5" s="1"/>
  <c r="AZ78" i="5"/>
  <c r="AZ81" i="5" s="1"/>
  <c r="AY78" i="5"/>
  <c r="AY81" i="5" s="1"/>
  <c r="AX78" i="5"/>
  <c r="AW78" i="5"/>
  <c r="AV78" i="5"/>
  <c r="AY74" i="5"/>
  <c r="AX74" i="5"/>
  <c r="AW74" i="5"/>
  <c r="AV74" i="5"/>
  <c r="BC73" i="5"/>
  <c r="BC76" i="5" s="1"/>
  <c r="BB73" i="5"/>
  <c r="BB76" i="5" s="1"/>
  <c r="BA73" i="5"/>
  <c r="BA76" i="5" s="1"/>
  <c r="AZ73" i="5"/>
  <c r="AZ76" i="5" s="1"/>
  <c r="AY73" i="5"/>
  <c r="AX73" i="5"/>
  <c r="AW73" i="5"/>
  <c r="AV73" i="5"/>
  <c r="BC69" i="5"/>
  <c r="BB69" i="5"/>
  <c r="BA69" i="5"/>
  <c r="AZ69" i="5"/>
  <c r="AY69" i="5"/>
  <c r="AX69" i="5"/>
  <c r="AW69" i="5"/>
  <c r="AV69" i="5"/>
  <c r="BC68" i="5"/>
  <c r="BB68" i="5"/>
  <c r="BA68" i="5"/>
  <c r="AZ68" i="5"/>
  <c r="AY68" i="5"/>
  <c r="AX68" i="5"/>
  <c r="AW68" i="5"/>
  <c r="AV68" i="5"/>
  <c r="G65" i="5"/>
  <c r="E65" i="5"/>
  <c r="BC64" i="5"/>
  <c r="BB64" i="5"/>
  <c r="BA64" i="5"/>
  <c r="AZ64" i="5"/>
  <c r="AY64" i="5"/>
  <c r="AX64" i="5"/>
  <c r="AW64" i="5"/>
  <c r="AV64" i="5"/>
  <c r="G64" i="5"/>
  <c r="E64" i="5"/>
  <c r="BC63" i="5"/>
  <c r="BC66" i="5" s="1"/>
  <c r="BB63" i="5"/>
  <c r="BB66" i="5" s="1"/>
  <c r="BA63" i="5"/>
  <c r="BA66" i="5" s="1"/>
  <c r="AZ63" i="5"/>
  <c r="AZ66" i="5" s="1"/>
  <c r="AY63" i="5"/>
  <c r="AY66" i="5" s="1"/>
  <c r="AX63" i="5"/>
  <c r="AX66" i="5" s="1"/>
  <c r="AW63" i="5"/>
  <c r="AW66" i="5" s="1"/>
  <c r="AV63" i="5"/>
  <c r="AV66" i="5" s="1"/>
  <c r="BD66" i="5" s="1"/>
  <c r="AN55" i="5" s="1"/>
  <c r="AO55" i="5" s="1"/>
  <c r="G63" i="5"/>
  <c r="E63" i="5"/>
  <c r="G62" i="5"/>
  <c r="E62" i="5"/>
  <c r="AP61" i="5"/>
  <c r="G61" i="5"/>
  <c r="E61" i="5"/>
  <c r="BC60" i="5"/>
  <c r="BB60" i="5"/>
  <c r="BA60" i="5"/>
  <c r="AZ60" i="5"/>
  <c r="AY60" i="5"/>
  <c r="AX60" i="5"/>
  <c r="AW60" i="5"/>
  <c r="AV60" i="5"/>
  <c r="AM59" i="5"/>
  <c r="AL59" i="5"/>
  <c r="BC55" i="5"/>
  <c r="BB55" i="5"/>
  <c r="BA55" i="5"/>
  <c r="AZ55" i="5"/>
  <c r="AY55" i="5"/>
  <c r="AX55" i="5"/>
  <c r="AW55" i="5"/>
  <c r="AV55" i="5"/>
  <c r="B53" i="5"/>
  <c r="AN52" i="5"/>
  <c r="AO52" i="5" s="1"/>
  <c r="B52" i="5"/>
  <c r="AN51" i="5"/>
  <c r="AO51" i="5" s="1"/>
  <c r="B51" i="5"/>
  <c r="AL50" i="5"/>
  <c r="AN50" i="5" s="1"/>
  <c r="AO50" i="5" s="1"/>
  <c r="AL49" i="5"/>
  <c r="AN49" i="5" s="1"/>
  <c r="AO49" i="5" s="1"/>
  <c r="AN48" i="5"/>
  <c r="AO48" i="5" s="1"/>
  <c r="AN47" i="5"/>
  <c r="AO47" i="5" s="1"/>
  <c r="E46" i="5"/>
  <c r="D46" i="5"/>
  <c r="E45" i="5"/>
  <c r="D45" i="5"/>
  <c r="AK44" i="5"/>
  <c r="AN44" i="5" s="1"/>
  <c r="AO44" i="5" s="1"/>
  <c r="E44" i="5"/>
  <c r="D44" i="5"/>
  <c r="AK43" i="5"/>
  <c r="AN43" i="5" s="1"/>
  <c r="AO43" i="5" s="1"/>
  <c r="E43" i="5"/>
  <c r="D43" i="5"/>
  <c r="C42" i="5"/>
  <c r="C41" i="5"/>
  <c r="G34" i="5"/>
  <c r="I34" i="5" s="1"/>
  <c r="B34" i="5"/>
  <c r="G33" i="5"/>
  <c r="I33" i="5" s="1"/>
  <c r="B33" i="5"/>
  <c r="G32" i="5"/>
  <c r="I32" i="5" s="1"/>
  <c r="B32" i="5"/>
  <c r="G31" i="5"/>
  <c r="I31" i="5" s="1"/>
  <c r="P10" i="5"/>
  <c r="G10" i="5"/>
  <c r="F10" i="5"/>
  <c r="E11" i="5" s="1"/>
  <c r="E10" i="5"/>
  <c r="D10" i="5"/>
  <c r="D11" i="5" s="1"/>
  <c r="C10" i="5"/>
  <c r="C11" i="5" s="1"/>
  <c r="P9" i="5"/>
  <c r="G9" i="5"/>
  <c r="F9" i="5"/>
  <c r="E9" i="5"/>
  <c r="D9" i="5"/>
  <c r="C9" i="5"/>
  <c r="P8" i="5"/>
  <c r="X6" i="5"/>
  <c r="W6" i="5"/>
  <c r="V6" i="5"/>
  <c r="Y6" i="5" s="1"/>
  <c r="Q6" i="5"/>
  <c r="P6" i="5"/>
  <c r="O6" i="5"/>
  <c r="N6" i="5"/>
  <c r="M6" i="5"/>
  <c r="X5" i="5"/>
  <c r="W5" i="5"/>
  <c r="V5" i="5"/>
  <c r="Y5" i="5" s="1"/>
  <c r="Q5" i="5"/>
  <c r="P5" i="5"/>
  <c r="O5" i="5"/>
  <c r="N5" i="5"/>
  <c r="M5" i="5"/>
  <c r="X4" i="5"/>
  <c r="W4" i="5"/>
  <c r="V4" i="5"/>
  <c r="Y4" i="5" s="1"/>
  <c r="P4" i="5"/>
  <c r="O4" i="5"/>
  <c r="N4" i="5"/>
  <c r="M4" i="5"/>
  <c r="J24" i="3"/>
  <c r="J25" i="3"/>
  <c r="J26" i="3"/>
  <c r="J23" i="3"/>
  <c r="K26" i="3"/>
  <c r="K25" i="3"/>
  <c r="K24" i="3"/>
  <c r="J22" i="3"/>
  <c r="AK59" i="3"/>
  <c r="AI59" i="3"/>
  <c r="AJ59" i="3"/>
  <c r="AM61" i="3"/>
  <c r="AK49" i="3"/>
  <c r="AK47" i="3"/>
  <c r="AH43" i="3"/>
  <c r="AK43" i="3" s="1"/>
  <c r="AY78" i="3"/>
  <c r="AY81" i="3" s="1"/>
  <c r="AX78" i="3"/>
  <c r="AW78" i="3"/>
  <c r="AW81" i="3" s="1"/>
  <c r="AV78" i="3"/>
  <c r="AV81" i="3" s="1"/>
  <c r="AU78" i="3"/>
  <c r="AT78" i="3"/>
  <c r="AS78" i="3"/>
  <c r="AS81" i="3" s="1"/>
  <c r="AZ79" i="3"/>
  <c r="AZ81" i="3" s="1"/>
  <c r="AY79" i="3"/>
  <c r="AX79" i="3"/>
  <c r="AX81" i="3" s="1"/>
  <c r="AW79" i="3"/>
  <c r="AV79" i="3"/>
  <c r="AU79" i="3"/>
  <c r="AT79" i="3"/>
  <c r="AT81" i="3" s="1"/>
  <c r="AS79" i="3"/>
  <c r="AZ69" i="3"/>
  <c r="AY69" i="3"/>
  <c r="AX69" i="3"/>
  <c r="AX71" i="3" s="1"/>
  <c r="AW69" i="3"/>
  <c r="AW71" i="3" s="1"/>
  <c r="AV69" i="3"/>
  <c r="AU69" i="3"/>
  <c r="AT69" i="3"/>
  <c r="AS69" i="3"/>
  <c r="AS71" i="3" s="1"/>
  <c r="AZ68" i="3"/>
  <c r="AY68" i="3"/>
  <c r="AX68" i="3"/>
  <c r="AW68" i="3"/>
  <c r="AV68" i="3"/>
  <c r="AU68" i="3"/>
  <c r="AT68" i="3"/>
  <c r="AT71" i="3" s="1"/>
  <c r="AS68" i="3"/>
  <c r="AX63" i="3"/>
  <c r="AZ63" i="3"/>
  <c r="AY63" i="3"/>
  <c r="AY66" i="3" s="1"/>
  <c r="AW63" i="3"/>
  <c r="AV63" i="3"/>
  <c r="AV66" i="3" s="1"/>
  <c r="AU63" i="3"/>
  <c r="AT63" i="3"/>
  <c r="AS63" i="3"/>
  <c r="AZ64" i="3"/>
  <c r="AY64" i="3"/>
  <c r="AX64" i="3"/>
  <c r="AW64" i="3"/>
  <c r="AV64" i="3"/>
  <c r="AU64" i="3"/>
  <c r="AT64" i="3"/>
  <c r="AS64" i="3"/>
  <c r="AS66" i="3" s="1"/>
  <c r="AV74" i="3"/>
  <c r="AU74" i="3"/>
  <c r="AT74" i="3"/>
  <c r="AT76" i="3" s="1"/>
  <c r="AS74" i="3"/>
  <c r="AZ73" i="3"/>
  <c r="AY73" i="3"/>
  <c r="AX73" i="3"/>
  <c r="AW73" i="3"/>
  <c r="AV73" i="3"/>
  <c r="AU73" i="3"/>
  <c r="AT73" i="3"/>
  <c r="AS73" i="3"/>
  <c r="BA55" i="3"/>
  <c r="AK54" i="3"/>
  <c r="BA60" i="3"/>
  <c r="AS60" i="3"/>
  <c r="AS94" i="3"/>
  <c r="BA86" i="3"/>
  <c r="AU76" i="3"/>
  <c r="AU71" i="3"/>
  <c r="AU66" i="3"/>
  <c r="AS55" i="3"/>
  <c r="AZ76" i="3"/>
  <c r="AY76" i="3"/>
  <c r="AX76" i="3"/>
  <c r="AW76" i="3"/>
  <c r="AV76" i="3"/>
  <c r="AS76" i="3"/>
  <c r="AW66" i="3"/>
  <c r="AT66" i="3"/>
  <c r="AZ60" i="3"/>
  <c r="AY60" i="3"/>
  <c r="AX60" i="3"/>
  <c r="AW60" i="3"/>
  <c r="AV60" i="3"/>
  <c r="AU60" i="3"/>
  <c r="AT60" i="3"/>
  <c r="AT55" i="3"/>
  <c r="AU55" i="3"/>
  <c r="AV55" i="3"/>
  <c r="AW55" i="3"/>
  <c r="AX55" i="3"/>
  <c r="AY55" i="3"/>
  <c r="AZ55" i="3"/>
  <c r="I3" i="2"/>
  <c r="I4" i="2"/>
  <c r="I5" i="2"/>
  <c r="I6" i="2"/>
  <c r="I2" i="2"/>
  <c r="AI50" i="3"/>
  <c r="AI49" i="3"/>
  <c r="AK52" i="3"/>
  <c r="AK51" i="3"/>
  <c r="AK50" i="3"/>
  <c r="AK48" i="3"/>
  <c r="AH44" i="3"/>
  <c r="AK44" i="3" s="1"/>
  <c r="K18" i="3"/>
  <c r="C29" i="2"/>
  <c r="G31" i="3"/>
  <c r="I31" i="3" s="1"/>
  <c r="C42" i="3"/>
  <c r="Q6" i="3"/>
  <c r="Q5" i="3"/>
  <c r="O9" i="3"/>
  <c r="O8" i="3"/>
  <c r="C25" i="2"/>
  <c r="C24" i="2"/>
  <c r="M4" i="3"/>
  <c r="N4" i="3"/>
  <c r="Q4" i="3" s="1"/>
  <c r="R4" i="3" s="1"/>
  <c r="R5" i="3"/>
  <c r="R6" i="3"/>
  <c r="AA4" i="3" s="1"/>
  <c r="I15" i="3" s="1"/>
  <c r="Q8" i="3"/>
  <c r="R8" i="3" s="1"/>
  <c r="Q7" i="3"/>
  <c r="R7" i="3" s="1"/>
  <c r="B53" i="3"/>
  <c r="B52" i="3"/>
  <c r="B51" i="3"/>
  <c r="F81" i="1"/>
  <c r="F80" i="1"/>
  <c r="F79" i="1"/>
  <c r="AA3" i="3"/>
  <c r="I14" i="3" s="1"/>
  <c r="O10" i="3"/>
  <c r="D10" i="3"/>
  <c r="D11" i="3" s="1"/>
  <c r="E10" i="3"/>
  <c r="F10" i="3"/>
  <c r="E11" i="3" s="1"/>
  <c r="G10" i="3"/>
  <c r="C10" i="3"/>
  <c r="C11" i="3" s="1"/>
  <c r="B34" i="3"/>
  <c r="B33" i="3"/>
  <c r="B35" i="3" s="1"/>
  <c r="B32" i="3"/>
  <c r="D9" i="3"/>
  <c r="E9" i="3"/>
  <c r="F9" i="3"/>
  <c r="G9" i="3"/>
  <c r="H9" i="3"/>
  <c r="B31" i="3" s="1"/>
  <c r="C9" i="3"/>
  <c r="C41" i="3"/>
  <c r="S5" i="3"/>
  <c r="V5" i="3" s="1"/>
  <c r="T5" i="3"/>
  <c r="U5" i="3"/>
  <c r="S6" i="3"/>
  <c r="V6" i="3" s="1"/>
  <c r="T6" i="3"/>
  <c r="U6" i="3"/>
  <c r="U4" i="3"/>
  <c r="T4" i="3"/>
  <c r="S4" i="3"/>
  <c r="V4" i="3" s="1"/>
  <c r="P4" i="3"/>
  <c r="L5" i="3"/>
  <c r="M5" i="3"/>
  <c r="N5" i="3"/>
  <c r="O5" i="3"/>
  <c r="P5" i="3"/>
  <c r="L6" i="3"/>
  <c r="M6" i="3"/>
  <c r="N6" i="3"/>
  <c r="O6" i="3"/>
  <c r="P6" i="3"/>
  <c r="O4" i="3"/>
  <c r="L4" i="3"/>
  <c r="D19" i="2"/>
  <c r="E19" i="2"/>
  <c r="F19" i="2"/>
  <c r="G19" i="2"/>
  <c r="C19" i="2"/>
  <c r="G61" i="3"/>
  <c r="G62" i="3"/>
  <c r="G63" i="3"/>
  <c r="G64" i="3"/>
  <c r="G65" i="3"/>
  <c r="E62" i="3"/>
  <c r="E63" i="3"/>
  <c r="E64" i="3"/>
  <c r="E65" i="3"/>
  <c r="E61" i="3"/>
  <c r="E45" i="3"/>
  <c r="E46" i="3"/>
  <c r="D46" i="3"/>
  <c r="D45" i="3"/>
  <c r="D25" i="2"/>
  <c r="E25" i="2"/>
  <c r="F25" i="2"/>
  <c r="G25" i="2"/>
  <c r="G24" i="2"/>
  <c r="D24" i="2"/>
  <c r="E24" i="2"/>
  <c r="F24" i="2"/>
  <c r="C18" i="2"/>
  <c r="G18" i="2"/>
  <c r="F18" i="2"/>
  <c r="E18" i="2"/>
  <c r="D18" i="2"/>
  <c r="D74" i="1"/>
  <c r="D73" i="1"/>
  <c r="D72" i="1"/>
  <c r="G68" i="1"/>
  <c r="F68" i="1"/>
  <c r="G67" i="1"/>
  <c r="F67" i="1"/>
  <c r="G66" i="1"/>
  <c r="F66" i="1"/>
  <c r="G65" i="1"/>
  <c r="AX81" i="5" l="1"/>
  <c r="AY76" i="5"/>
  <c r="AY83" i="5" s="1"/>
  <c r="AW81" i="5"/>
  <c r="AV81" i="5"/>
  <c r="BD81" i="5" s="1"/>
  <c r="AN58" i="5" s="1"/>
  <c r="AO58" i="5" s="1"/>
  <c r="R5" i="5"/>
  <c r="R6" i="5"/>
  <c r="S6" i="5"/>
  <c r="AL43" i="3"/>
  <c r="AL60" i="3"/>
  <c r="AN60" i="3" s="1"/>
  <c r="AX76" i="5"/>
  <c r="AW76" i="5"/>
  <c r="AV76" i="5"/>
  <c r="BD60" i="5"/>
  <c r="AN54" i="5" s="1"/>
  <c r="AO54" i="5" s="1"/>
  <c r="R4" i="5"/>
  <c r="I9" i="5"/>
  <c r="AD3" i="5"/>
  <c r="I14" i="5" s="1"/>
  <c r="AD4" i="5"/>
  <c r="I15" i="5" s="1"/>
  <c r="C16" i="5" s="1"/>
  <c r="I13" i="5"/>
  <c r="AN59" i="5"/>
  <c r="AO59" i="5" s="1"/>
  <c r="AZ71" i="5"/>
  <c r="AY71" i="5"/>
  <c r="AX71" i="5"/>
  <c r="AW71" i="5"/>
  <c r="AV71" i="5"/>
  <c r="BC71" i="5"/>
  <c r="BC83" i="5" s="1"/>
  <c r="BB71" i="5"/>
  <c r="BB83" i="5" s="1"/>
  <c r="BA71" i="5"/>
  <c r="BA83" i="5"/>
  <c r="AZ83" i="5"/>
  <c r="B35" i="5"/>
  <c r="B36" i="5"/>
  <c r="BD55" i="5"/>
  <c r="AN45" i="5"/>
  <c r="AO45" i="5" s="1"/>
  <c r="E42" i="5"/>
  <c r="D42" i="5"/>
  <c r="E41" i="5"/>
  <c r="D41" i="5"/>
  <c r="AD6" i="5"/>
  <c r="Y8" i="5"/>
  <c r="AD5" i="5"/>
  <c r="I16" i="5" s="1"/>
  <c r="Y7" i="5"/>
  <c r="AU81" i="3"/>
  <c r="AZ71" i="3"/>
  <c r="AY71" i="3"/>
  <c r="AV71" i="3"/>
  <c r="BA71" i="3"/>
  <c r="AX66" i="3"/>
  <c r="AZ66" i="3"/>
  <c r="AZ83" i="3" s="1"/>
  <c r="AY83" i="3"/>
  <c r="AX83" i="3"/>
  <c r="AW83" i="3"/>
  <c r="AV83" i="3"/>
  <c r="BA66" i="3"/>
  <c r="AT83" i="3"/>
  <c r="AS83" i="3"/>
  <c r="BA76" i="3"/>
  <c r="AK53" i="3"/>
  <c r="D53" i="3"/>
  <c r="L15" i="3"/>
  <c r="D52" i="3"/>
  <c r="L14" i="3"/>
  <c r="AK45" i="3"/>
  <c r="AL45" i="3" s="1"/>
  <c r="AA2" i="3"/>
  <c r="E53" i="3"/>
  <c r="F53" i="3"/>
  <c r="E52" i="3"/>
  <c r="F52" i="3"/>
  <c r="B36" i="3"/>
  <c r="E43" i="3"/>
  <c r="D43" i="3"/>
  <c r="I13" i="3"/>
  <c r="V8" i="3"/>
  <c r="AA6" i="3"/>
  <c r="I17" i="3" s="1"/>
  <c r="V7" i="3"/>
  <c r="AA5" i="3"/>
  <c r="G34" i="3"/>
  <c r="I34" i="3" s="1"/>
  <c r="G33" i="3"/>
  <c r="I33" i="3" s="1"/>
  <c r="C15" i="3"/>
  <c r="G15" i="3" s="1"/>
  <c r="F15" i="3"/>
  <c r="E15" i="3"/>
  <c r="D15" i="3"/>
  <c r="C16" i="3"/>
  <c r="G16" i="3" s="1"/>
  <c r="F16" i="3"/>
  <c r="E16" i="3"/>
  <c r="D16" i="3"/>
  <c r="E42" i="3"/>
  <c r="D42" i="3"/>
  <c r="E41" i="3"/>
  <c r="E47" i="3" s="1"/>
  <c r="D25" i="3" s="1"/>
  <c r="E25" i="3" s="1"/>
  <c r="D41" i="3"/>
  <c r="D47" i="3" s="1"/>
  <c r="E44" i="3"/>
  <c r="D44" i="3"/>
  <c r="AX83" i="5" l="1"/>
  <c r="BD76" i="5"/>
  <c r="AN57" i="5" s="1"/>
  <c r="AO57" i="5" s="1"/>
  <c r="AW83" i="5"/>
  <c r="AV83" i="5"/>
  <c r="F15" i="5"/>
  <c r="C15" i="5"/>
  <c r="D15" i="5"/>
  <c r="E15" i="5"/>
  <c r="D52" i="5"/>
  <c r="D16" i="5"/>
  <c r="E16" i="5"/>
  <c r="F16" i="5"/>
  <c r="D53" i="5"/>
  <c r="D47" i="5"/>
  <c r="BD71" i="5"/>
  <c r="AN56" i="5" s="1"/>
  <c r="AO56" i="5" s="1"/>
  <c r="BD83" i="5"/>
  <c r="AN53" i="5"/>
  <c r="E47" i="5"/>
  <c r="C17" i="5"/>
  <c r="D17" i="5"/>
  <c r="E17" i="5"/>
  <c r="F17" i="5"/>
  <c r="D54" i="5"/>
  <c r="E35" i="5"/>
  <c r="G35" i="5" s="1"/>
  <c r="C14" i="5"/>
  <c r="D14" i="5"/>
  <c r="E14" i="5"/>
  <c r="F14" i="5"/>
  <c r="D51" i="5"/>
  <c r="I17" i="5"/>
  <c r="I18" i="5" s="1"/>
  <c r="M18" i="5" s="1"/>
  <c r="AD7" i="5"/>
  <c r="AU83" i="3"/>
  <c r="BA81" i="3"/>
  <c r="AK56" i="3"/>
  <c r="AK55" i="3"/>
  <c r="AK57" i="3"/>
  <c r="L13" i="3"/>
  <c r="D51" i="3"/>
  <c r="D55" i="3"/>
  <c r="L17" i="3"/>
  <c r="E36" i="3"/>
  <c r="G36" i="3" s="1"/>
  <c r="I36" i="3" s="1"/>
  <c r="D23" i="3"/>
  <c r="E23" i="3" s="1"/>
  <c r="F62" i="3" s="1"/>
  <c r="D22" i="3"/>
  <c r="E22" i="3" s="1"/>
  <c r="F61" i="3" s="1"/>
  <c r="D24" i="3"/>
  <c r="E24" i="3" s="1"/>
  <c r="F63" i="3" s="1"/>
  <c r="D26" i="3"/>
  <c r="E26" i="3" s="1"/>
  <c r="E14" i="3"/>
  <c r="F14" i="3"/>
  <c r="C18" i="3"/>
  <c r="G18" i="3" s="1"/>
  <c r="E18" i="3"/>
  <c r="D18" i="3"/>
  <c r="F18" i="3"/>
  <c r="D14" i="3"/>
  <c r="C14" i="3"/>
  <c r="G14" i="3" s="1"/>
  <c r="G32" i="3"/>
  <c r="I16" i="3"/>
  <c r="AA7" i="3"/>
  <c r="G15" i="5" l="1"/>
  <c r="G16" i="5"/>
  <c r="E52" i="5"/>
  <c r="F52" i="5"/>
  <c r="E53" i="5"/>
  <c r="F53" i="5"/>
  <c r="AN60" i="5"/>
  <c r="AO53" i="5"/>
  <c r="D22" i="5"/>
  <c r="D23" i="5"/>
  <c r="D24" i="5"/>
  <c r="D25" i="5"/>
  <c r="D26" i="5"/>
  <c r="E54" i="5"/>
  <c r="F54" i="5"/>
  <c r="I35" i="5"/>
  <c r="F46" i="5"/>
  <c r="G46" i="5" s="1"/>
  <c r="J42" i="5"/>
  <c r="C69" i="5" s="1"/>
  <c r="F45" i="5"/>
  <c r="G45" i="5" s="1"/>
  <c r="F42" i="5"/>
  <c r="G42" i="5" s="1"/>
  <c r="F41" i="5"/>
  <c r="G41" i="5" s="1"/>
  <c r="F43" i="5"/>
  <c r="G43" i="5" s="1"/>
  <c r="F44" i="5"/>
  <c r="G44" i="5" s="1"/>
  <c r="E51" i="5"/>
  <c r="F51" i="5"/>
  <c r="E36" i="5"/>
  <c r="G36" i="5" s="1"/>
  <c r="D55" i="5"/>
  <c r="D56" i="5" s="1"/>
  <c r="F18" i="5"/>
  <c r="E18" i="5"/>
  <c r="D18" i="5"/>
  <c r="C18" i="5"/>
  <c r="G17" i="5"/>
  <c r="G14" i="5"/>
  <c r="BA83" i="3"/>
  <c r="AK58" i="3"/>
  <c r="F66" i="3"/>
  <c r="H61" i="3"/>
  <c r="E35" i="3"/>
  <c r="L16" i="3"/>
  <c r="D54" i="3"/>
  <c r="I18" i="3"/>
  <c r="F64" i="3"/>
  <c r="G35" i="3"/>
  <c r="C17" i="3"/>
  <c r="G17" i="3" s="1"/>
  <c r="D17" i="3"/>
  <c r="I32" i="3"/>
  <c r="E17" i="3"/>
  <c r="F17" i="3"/>
  <c r="I61" i="3"/>
  <c r="F65" i="3"/>
  <c r="G18" i="5" l="1"/>
  <c r="AO60" i="5"/>
  <c r="AQ60" i="5" s="1"/>
  <c r="AW94" i="5" s="1"/>
  <c r="AN61" i="5"/>
  <c r="I36" i="5"/>
  <c r="I37" i="5" s="1"/>
  <c r="C68" i="5" s="1"/>
  <c r="D68" i="5" s="1"/>
  <c r="G37" i="5"/>
  <c r="I61" i="5"/>
  <c r="J61" i="5" s="1"/>
  <c r="K61" i="5" s="1"/>
  <c r="E22" i="5"/>
  <c r="M22" i="5" s="1"/>
  <c r="N22" i="5" s="1"/>
  <c r="I62" i="5"/>
  <c r="J62" i="5" s="1"/>
  <c r="K62" i="5" s="1"/>
  <c r="E23" i="5"/>
  <c r="M23" i="5" s="1"/>
  <c r="N23" i="5" s="1"/>
  <c r="I63" i="5"/>
  <c r="J63" i="5" s="1"/>
  <c r="K63" i="5" s="1"/>
  <c r="E24" i="5"/>
  <c r="I64" i="5"/>
  <c r="J64" i="5" s="1"/>
  <c r="K64" i="5" s="1"/>
  <c r="E25" i="5"/>
  <c r="M25" i="5" s="1"/>
  <c r="N25" i="5" s="1"/>
  <c r="E55" i="5"/>
  <c r="E56" i="5" s="1"/>
  <c r="D71" i="5" s="1"/>
  <c r="F55" i="5"/>
  <c r="F56" i="5" s="1"/>
  <c r="D70" i="5" s="1"/>
  <c r="E26" i="5"/>
  <c r="M26" i="5" s="1"/>
  <c r="N26" i="5" s="1"/>
  <c r="I65" i="5"/>
  <c r="J65" i="5" s="1"/>
  <c r="K65" i="5" s="1"/>
  <c r="AT94" i="3"/>
  <c r="L18" i="3"/>
  <c r="J42" i="3"/>
  <c r="C69" i="3" s="1"/>
  <c r="I35" i="3"/>
  <c r="I37" i="3" s="1"/>
  <c r="G37" i="3"/>
  <c r="H65" i="3"/>
  <c r="I65" i="3"/>
  <c r="J65" i="3" s="1"/>
  <c r="K65" i="3" s="1"/>
  <c r="J61" i="3"/>
  <c r="K61" i="3" s="1"/>
  <c r="H62" i="3"/>
  <c r="H66" i="3" s="1"/>
  <c r="I62" i="3"/>
  <c r="J62" i="3" s="1"/>
  <c r="K62" i="3" s="1"/>
  <c r="H63" i="3"/>
  <c r="I63" i="3"/>
  <c r="J63" i="3" s="1"/>
  <c r="K63" i="3" s="1"/>
  <c r="H64" i="3"/>
  <c r="I64" i="3"/>
  <c r="J64" i="3" s="1"/>
  <c r="K64" i="3" s="1"/>
  <c r="K24" i="5" l="1"/>
  <c r="M24" i="5"/>
  <c r="N24" i="5" s="1"/>
  <c r="F61" i="5"/>
  <c r="J22" i="5"/>
  <c r="K22" i="5" s="1"/>
  <c r="F62" i="5"/>
  <c r="H62" i="5" s="1"/>
  <c r="J23" i="5"/>
  <c r="K23" i="5" s="1"/>
  <c r="F63" i="5"/>
  <c r="H63" i="5" s="1"/>
  <c r="J24" i="5"/>
  <c r="F64" i="5"/>
  <c r="H64" i="5" s="1"/>
  <c r="J25" i="5"/>
  <c r="K25" i="5"/>
  <c r="K26" i="5"/>
  <c r="J26" i="5"/>
  <c r="F65" i="5"/>
  <c r="H65" i="5" s="1"/>
  <c r="D72" i="5"/>
  <c r="C70" i="5"/>
  <c r="H61" i="5" l="1"/>
  <c r="H66" i="5" s="1"/>
  <c r="F66" i="5"/>
  <c r="C68" i="3" l="1"/>
  <c r="D68" i="3" s="1"/>
  <c r="F45" i="3"/>
  <c r="G45" i="3" s="1"/>
  <c r="F42" i="3"/>
  <c r="G42" i="3" s="1"/>
  <c r="F41" i="3"/>
  <c r="G41" i="3" s="1"/>
  <c r="F44" i="3"/>
  <c r="G44" i="3" s="1"/>
  <c r="F46" i="3"/>
  <c r="G46" i="3" s="1"/>
  <c r="F43" i="3"/>
  <c r="G43" i="3" s="1"/>
  <c r="E55" i="3" l="1"/>
  <c r="F55" i="3"/>
  <c r="E54" i="3"/>
  <c r="F54" i="3"/>
  <c r="F51" i="3" l="1"/>
  <c r="F56" i="3" s="1"/>
  <c r="D70" i="3" s="1"/>
  <c r="D72" i="3" s="1"/>
  <c r="E51" i="3"/>
  <c r="E56" i="3" s="1"/>
  <c r="D71" i="3" s="1"/>
  <c r="D56" i="3"/>
  <c r="C70" i="3" l="1"/>
</calcChain>
</file>

<file path=xl/sharedStrings.xml><?xml version="1.0" encoding="utf-8"?>
<sst xmlns="http://schemas.openxmlformats.org/spreadsheetml/2006/main" count="1503" uniqueCount="252">
  <si>
    <t xml:space="preserve">Table I.1 Target Populations* Per Company by Region and Segment (in # of households) </t>
  </si>
  <si>
    <t xml:space="preserve">       Market Share Per Region (%)    </t>
  </si>
  <si>
    <t>Zone</t>
  </si>
  <si>
    <t>ElectroMexSA A</t>
  </si>
  <si>
    <t>Startek A</t>
  </si>
  <si>
    <t>Forastero LLC. A</t>
  </si>
  <si>
    <t>Baobab A</t>
  </si>
  <si>
    <t>Company 5 A</t>
  </si>
  <si>
    <t>Borealis Group A</t>
  </si>
  <si>
    <t>Esquites A</t>
  </si>
  <si>
    <t>Center</t>
  </si>
  <si>
    <t>West</t>
  </si>
  <si>
    <t>North</t>
  </si>
  <si>
    <t>East</t>
  </si>
  <si>
    <t>South</t>
  </si>
  <si>
    <t>14.3</t>
  </si>
  <si>
    <t>HIGH END</t>
  </si>
  <si>
    <t>Low End</t>
  </si>
  <si>
    <t>High/ TOTAL</t>
  </si>
  <si>
    <t>0.0</t>
  </si>
  <si>
    <t/>
  </si>
  <si>
    <t xml:space="preserve">       Market Share Per Region Per Segment (%)    </t>
  </si>
  <si>
    <t>Segment</t>
  </si>
  <si>
    <t>High</t>
  </si>
  <si>
    <t>Low</t>
  </si>
  <si>
    <t>Expected Demand in Year 3</t>
  </si>
  <si>
    <t>Min</t>
  </si>
  <si>
    <t>Max</t>
  </si>
  <si>
    <t xml:space="preserve">       Price    </t>
  </si>
  <si>
    <t>68.00</t>
  </si>
  <si>
    <t>91.00</t>
  </si>
  <si>
    <t>0.00</t>
  </si>
  <si>
    <t xml:space="preserve">       Product Awareness Percentage Per Segment    </t>
  </si>
  <si>
    <t>42.39</t>
  </si>
  <si>
    <t>28.72</t>
  </si>
  <si>
    <t>34.58</t>
  </si>
  <si>
    <t>22.16</t>
  </si>
  <si>
    <t>26.84</t>
  </si>
  <si>
    <t>23.10</t>
  </si>
  <si>
    <t xml:space="preserve">       Product attractiveness (Perceived)    </t>
  </si>
  <si>
    <t>20.00</t>
  </si>
  <si>
    <t xml:space="preserve">       Evaluation of the Promotional Impact of Salesforce    </t>
  </si>
  <si>
    <t>ElectroMexSA</t>
  </si>
  <si>
    <t>Startek</t>
  </si>
  <si>
    <t>Forastero LLC.</t>
  </si>
  <si>
    <t>Baobab</t>
  </si>
  <si>
    <t>Company 5</t>
  </si>
  <si>
    <t>Borealis Group</t>
  </si>
  <si>
    <t>Esquites</t>
  </si>
  <si>
    <t>94.44</t>
  </si>
  <si>
    <t>81.55</t>
  </si>
  <si>
    <t>95.32</t>
  </si>
  <si>
    <t>Brand</t>
  </si>
  <si>
    <t>Media</t>
  </si>
  <si>
    <t>Amount</t>
  </si>
  <si>
    <t>Features Focus (0-100)</t>
  </si>
  <si>
    <t>A</t>
  </si>
  <si>
    <t>TV</t>
  </si>
  <si>
    <t>All</t>
  </si>
  <si>
    <t>Radio</t>
  </si>
  <si>
    <t>Distributors</t>
  </si>
  <si>
    <t>Payment Terms</t>
  </si>
  <si>
    <t>Salespeople</t>
  </si>
  <si>
    <t># FORTNIGHTS</t>
  </si>
  <si>
    <t>DISCOUNT</t>
  </si>
  <si>
    <t>B</t>
  </si>
  <si>
    <t>C</t>
  </si>
  <si>
    <t>D</t>
  </si>
  <si>
    <t>Rreach</t>
  </si>
  <si>
    <t>Cost</t>
  </si>
  <si>
    <t>Tv</t>
  </si>
  <si>
    <t>National / HE</t>
  </si>
  <si>
    <t>Regional / LE</t>
  </si>
  <si>
    <t># Persons</t>
  </si>
  <si>
    <t>Hiring</t>
  </si>
  <si>
    <t>Salary</t>
  </si>
  <si>
    <t>TOTAL TARGET POPULATION</t>
  </si>
  <si>
    <t>F2</t>
  </si>
  <si>
    <t>F4</t>
  </si>
  <si>
    <t>F6</t>
  </si>
  <si>
    <t>F8</t>
  </si>
  <si>
    <t>PRICE</t>
  </si>
  <si>
    <t>Features</t>
  </si>
  <si>
    <t>Precio</t>
  </si>
  <si>
    <t>Payment type</t>
  </si>
  <si>
    <t>Demanda</t>
  </si>
  <si>
    <t>Exhibits</t>
  </si>
  <si>
    <t>Advertaising</t>
  </si>
  <si>
    <t>Improvement</t>
  </si>
  <si>
    <t>Innovation Cost</t>
  </si>
  <si>
    <t>Product Cost / Unit sold</t>
  </si>
  <si>
    <t>Emmisions</t>
  </si>
  <si>
    <t>STAINLESS MATERIAL</t>
  </si>
  <si>
    <t>Makes the appliance attractive and durable.</t>
  </si>
  <si>
    <t>Design and Durability</t>
  </si>
  <si>
    <t>RECYCLABLE MATERIALS</t>
  </si>
  <si>
    <t>The appliance is built using environmentally friendly materials that can be recycled at the end of its life cycle, reducing waste and promoting sustainability.</t>
  </si>
  <si>
    <t>ESG</t>
  </si>
  <si>
    <t>ENERGY EFFICIENCY</t>
  </si>
  <si>
    <t>The appliance becomes more efficient and uses less electric power for its operation.</t>
  </si>
  <si>
    <t>LIGHTER AND MORE COMPACT</t>
  </si>
  <si>
    <t>The external design of the appliance is modified so it may be installed in an easier way.</t>
  </si>
  <si>
    <t>Design</t>
  </si>
  <si>
    <t>IMPACT RESISTANCE</t>
  </si>
  <si>
    <t>The frame material is replaced so it becomes more resistant to the impacts</t>
  </si>
  <si>
    <t>Durability</t>
  </si>
  <si>
    <t>NOISE REDUCTION</t>
  </si>
  <si>
    <t>The Electroclean becomes less noisy while operating.</t>
  </si>
  <si>
    <t>Performance</t>
  </si>
  <si>
    <t>IMPROVED BATTERY CAPACITY</t>
  </si>
  <si>
    <t>Equipped with a higher-capacity battery, the Electroclean can operate for longer periods between charges, making it more convenient for extended use.</t>
  </si>
  <si>
    <t>SELF-CLEANING</t>
  </si>
  <si>
    <t>The appliance features a self-cleaning function, automatically removing dirt and debris from internal components, reducing maintenance and ensuring optimal performance.</t>
  </si>
  <si>
    <t>Performance and convinience</t>
  </si>
  <si>
    <t>SPEED SETTINGS</t>
  </si>
  <si>
    <t>By substituting the electronic device used by the appliance to supply energy to the motor, the Electroclean may operate at three different speeds, which allows increasing its applications.</t>
  </si>
  <si>
    <t>DIGITAL CONTROLS</t>
  </si>
  <si>
    <t>A new digital-type unit in the controls of the appliance, with luminous display, makes it more attractive and sophisticated.</t>
  </si>
  <si>
    <t>VOICE ASSISTANCE INTEGRATION</t>
  </si>
  <si>
    <t>The integration with voice-controlled systems, like Siri or Alexa, enables users to control it through voice commands for a hands-free experience.</t>
  </si>
  <si>
    <t>AUTOMATION AND PROGRAMMABILITY</t>
  </si>
  <si>
    <t>It automatically starts and ends the programmed functions.</t>
  </si>
  <si>
    <t>MULTIFUNCTIONAL ACCESSORIES</t>
  </si>
  <si>
    <t>The appliance comes with various attachments and accessories, allowing it to perform multiple tasks, enhancing its versatility in cleaning different surfaces.</t>
  </si>
  <si>
    <t>MAPPING TECHNOLOGY</t>
  </si>
  <si>
    <t>Using advanced mapping technology, the Electroclean efficiently navigates and cleans spaces, covering all areas while avoiding obstacles.</t>
  </si>
  <si>
    <t>Feature</t>
  </si>
  <si>
    <t>VC</t>
  </si>
  <si>
    <t># Units</t>
  </si>
  <si>
    <t>Total Cost</t>
  </si>
  <si>
    <t># Spots</t>
  </si>
  <si>
    <t>$ per spot</t>
  </si>
  <si>
    <t>TC</t>
  </si>
  <si>
    <t>TOTAL</t>
  </si>
  <si>
    <t># People</t>
  </si>
  <si>
    <t>Hiring C</t>
  </si>
  <si>
    <t>T Hiring Cost</t>
  </si>
  <si>
    <t>UP FRONT</t>
  </si>
  <si>
    <t>FOCUS</t>
  </si>
  <si>
    <t># Sales People</t>
  </si>
  <si>
    <t>Type</t>
  </si>
  <si>
    <t>Payment term</t>
  </si>
  <si>
    <t>Sales</t>
  </si>
  <si>
    <t>Discount</t>
  </si>
  <si>
    <t>Tota Payment per 2 F</t>
  </si>
  <si>
    <t>FORECAST</t>
  </si>
  <si>
    <t>Q VS Q</t>
  </si>
  <si>
    <t>YVSY</t>
  </si>
  <si>
    <t>4 VS 1</t>
  </si>
  <si>
    <t>5 VS 2</t>
  </si>
  <si>
    <t>6 VS 3</t>
  </si>
  <si>
    <t>FQ7</t>
  </si>
  <si>
    <t>TRANSPORT</t>
  </si>
  <si>
    <t>TC/ FORTNIGHT</t>
  </si>
  <si>
    <t>TC FEATURES / F</t>
  </si>
  <si>
    <t>AVERAGE DEMAND</t>
  </si>
  <si>
    <t>TARGET POPULATION</t>
  </si>
  <si>
    <t>Crecimiento</t>
  </si>
  <si>
    <t>TC Q</t>
  </si>
  <si>
    <t>SALARY PER Q</t>
  </si>
  <si>
    <t>Final price</t>
  </si>
  <si>
    <t>Final price +6%</t>
  </si>
  <si>
    <t>7%%</t>
  </si>
  <si>
    <t>Real</t>
  </si>
  <si>
    <t>Me quedé corta en advertaising en east and south</t>
  </si>
  <si>
    <t>Un poco en tele</t>
  </si>
  <si>
    <t>Me faltaa gente</t>
  </si>
  <si>
    <t>East South</t>
  </si>
  <si>
    <t>Sobraron</t>
  </si>
  <si>
    <t>Section 2</t>
  </si>
  <si>
    <t>M2</t>
  </si>
  <si>
    <t>Section 3</t>
  </si>
  <si>
    <t>M3-alpha</t>
  </si>
  <si>
    <t>M3-beta</t>
  </si>
  <si>
    <t>M4</t>
  </si>
  <si>
    <t>Section 4</t>
  </si>
  <si>
    <t>Section 5</t>
  </si>
  <si>
    <t>Crew</t>
  </si>
  <si>
    <t>-</t>
  </si>
  <si>
    <t>Section 1</t>
  </si>
  <si>
    <t>M1</t>
  </si>
  <si>
    <t>Q</t>
  </si>
  <si>
    <t>DL</t>
  </si>
  <si>
    <t>OVERTIME</t>
  </si>
  <si>
    <t>INDIRECT</t>
  </si>
  <si>
    <t>RAW 1-6</t>
  </si>
  <si>
    <t>ORDERING COST A</t>
  </si>
  <si>
    <t>ORDERING COST B</t>
  </si>
  <si>
    <t>Holding Cost A</t>
  </si>
  <si>
    <t>Holding Cost B</t>
  </si>
  <si>
    <t>Holding Cost Assembly A</t>
  </si>
  <si>
    <t>Holding Cost Assembly B</t>
  </si>
  <si>
    <t>Holding Cost Assembly C</t>
  </si>
  <si>
    <t>Holding Cost Assembly D</t>
  </si>
  <si>
    <t>Transit</t>
  </si>
  <si>
    <t>Lost Finished Goods</t>
  </si>
  <si>
    <t>COGS 7</t>
  </si>
  <si>
    <t>GROSS MARG Sin trans</t>
  </si>
  <si>
    <t>GROSS MARG Con trans</t>
  </si>
  <si>
    <t>GMar Sin tran - Dcto</t>
  </si>
  <si>
    <t>G Marg Con trans</t>
  </si>
  <si>
    <t>% Dif</t>
  </si>
  <si>
    <t>R</t>
  </si>
  <si>
    <t>Sleeping Shrimp</t>
  </si>
  <si>
    <r>
      <t>Market Share Per Region Per Segment (%)</t>
    </r>
    <r>
      <rPr>
        <b/>
        <sz val="16"/>
        <color rgb="FFFFFFFF"/>
        <rFont val="Aptos Narrow"/>
        <family val="2"/>
        <scheme val="minor"/>
      </rPr>
      <t> </t>
    </r>
  </si>
  <si>
    <r>
      <t>Price</t>
    </r>
    <r>
      <rPr>
        <b/>
        <sz val="16"/>
        <color rgb="FFFFFFFF"/>
        <rFont val="Aptos Narrow"/>
        <family val="2"/>
        <scheme val="minor"/>
      </rPr>
      <t> </t>
    </r>
  </si>
  <si>
    <r>
      <t>Product Improvements</t>
    </r>
    <r>
      <rPr>
        <b/>
        <sz val="16"/>
        <color rgb="FFFFFFFF"/>
        <rFont val="Aptos Narrow"/>
        <family val="2"/>
        <scheme val="minor"/>
      </rPr>
      <t> </t>
    </r>
  </si>
  <si>
    <t>Improvements</t>
  </si>
  <si>
    <t>ElectroMexSA - A</t>
  </si>
  <si>
    <t>Startek - A</t>
  </si>
  <si>
    <t>Forastero LLC. - A</t>
  </si>
  <si>
    <t>Baobab - A</t>
  </si>
  <si>
    <t>Sleeping Shrimp - A</t>
  </si>
  <si>
    <t>Borealis Group - A</t>
  </si>
  <si>
    <t>Esquites - A</t>
  </si>
  <si>
    <t>​</t>
  </si>
  <si>
    <t>✔</t>
  </si>
  <si>
    <r>
      <t>Product Awareness Percentage Per Segment</t>
    </r>
    <r>
      <rPr>
        <b/>
        <sz val="16"/>
        <color rgb="FFFFFFFF"/>
        <rFont val="Aptos Narrow"/>
        <family val="2"/>
        <scheme val="minor"/>
      </rPr>
      <t> </t>
    </r>
  </si>
  <si>
    <r>
      <t>Product attractiveness (Perceived)</t>
    </r>
    <r>
      <rPr>
        <b/>
        <sz val="16"/>
        <color rgb="FFFFFFFF"/>
        <rFont val="Aptos Narrow"/>
        <family val="2"/>
        <scheme val="minor"/>
      </rPr>
      <t> </t>
    </r>
  </si>
  <si>
    <r>
      <t>Evaluation of the Promotional Impact of Salesforce</t>
    </r>
    <r>
      <rPr>
        <b/>
        <sz val="16"/>
        <color rgb="FFFFFFFF"/>
        <rFont val="Aptos Narrow"/>
        <family val="2"/>
        <scheme val="minor"/>
      </rPr>
      <t> </t>
    </r>
  </si>
  <si>
    <t xml:space="preserve">WEST </t>
  </si>
  <si>
    <t>1. $0.50 menos de precio</t>
  </si>
  <si>
    <t>Nos comieron Mkt share, sobre todo en el low</t>
  </si>
  <si>
    <t>2. Sales representatives fue lo que más pudo impactar</t>
  </si>
  <si>
    <t xml:space="preserve">3. Tuvieron más anuncios en radio </t>
  </si>
  <si>
    <t>CENTER</t>
  </si>
  <si>
    <t>%</t>
  </si>
  <si>
    <t>1. Más anuncios con TV tuvimos o con mejor focus</t>
  </si>
  <si>
    <t>2. Más fuerza de venta</t>
  </si>
  <si>
    <t>Mkt share</t>
  </si>
  <si>
    <t>Price</t>
  </si>
  <si>
    <t>Awareness</t>
  </si>
  <si>
    <t>Atractiveness</t>
  </si>
  <si>
    <t>NORTH</t>
  </si>
  <si>
    <t>Mtuvimos más anuncios de tele que ellos</t>
  </si>
  <si>
    <t>Tuvimos más sales people que ellos</t>
  </si>
  <si>
    <t>Nos comieron Mkt share en el norte pero en el low</t>
  </si>
  <si>
    <t>La diferencia estuvo en los anuncios de radio</t>
  </si>
  <si>
    <t>Awreness en low es 39 vs 36</t>
  </si>
  <si>
    <t>EAST</t>
  </si>
  <si>
    <t>SOUTH</t>
  </si>
  <si>
    <t>Fue donde más nos comieron mkt share</t>
  </si>
  <si>
    <t>Ellos tuvieron más anuncios de tele o mejoraron el focus al high</t>
  </si>
  <si>
    <t>Tuvieron más radio</t>
  </si>
  <si>
    <t>La fuerza de ventas fue mucho más grande</t>
  </si>
  <si>
    <t>Tuvieron muchos mas anuncios de radio que nosotros</t>
  </si>
  <si>
    <t>Nos están comiendo mkt en el low</t>
  </si>
  <si>
    <t>Mucha más gente en el sur</t>
  </si>
  <si>
    <t>TORMENTA</t>
  </si>
  <si>
    <t>Periodo</t>
  </si>
  <si>
    <t>Season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</si>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</sst>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  <numFmt numFmtId="175" formatCode="_(* #,##0.0_);_(* \(#,##0.0\);_(* &quot;-&quot;?_);_(@_)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color theme="1"/>
      <name val="TimesNewRomanPS"/>
    </font>
    <font>
      <b/>
      <sz val="10"/>
      <name val="Arial"/>
      <family val="2"/>
    </font>
    <font>
      <b/>
      <sz val="12"/>
      <color theme="1"/>
      <name val="Aptos Narrow"/>
      <scheme val="minor"/>
    </font>
    <font>
      <b/>
      <sz val="14"/>
      <color rgb="FF363636"/>
      <name val="Helvetica"/>
      <family val="2"/>
    </font>
    <font>
      <sz val="12"/>
      <color rgb="FF0F0F0F"/>
      <name val="Helvetica"/>
      <family val="2"/>
    </font>
    <font>
      <b/>
      <sz val="10"/>
      <color rgb="FFFFFFFF"/>
      <name val="Arial"/>
      <family val="2"/>
    </font>
    <font>
      <b/>
      <sz val="12"/>
      <color theme="2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0"/>
      <color theme="0"/>
      <name val="Arial"/>
      <family val="2"/>
    </font>
    <font>
      <sz val="14"/>
      <color rgb="FF4D4D4D"/>
      <name val="Helvetica"/>
      <family val="2"/>
    </font>
    <font>
      <sz val="12"/>
      <color rgb="FF0F0F0F"/>
      <name val="Helvetica"/>
      <family val="2"/>
    </font>
    <font>
      <b/>
      <sz val="12"/>
      <color rgb="FF0F0F0F"/>
      <name val="Helvetica"/>
      <family val="2"/>
    </font>
    <font>
      <b/>
      <sz val="16"/>
      <color rgb="FFFFFFFF"/>
      <name val="Aptos Narrow"/>
      <family val="2"/>
      <scheme val="minor"/>
    </font>
    <font>
      <b/>
      <sz val="20"/>
      <color rgb="FF0F0F0F"/>
      <name val="Helvetica"/>
      <family val="2"/>
    </font>
    <font>
      <sz val="20"/>
      <color rgb="FF0F0F0F"/>
      <name val="Helvetica"/>
      <family val="2"/>
    </font>
    <font>
      <sz val="22"/>
      <color rgb="FF0F0F0F"/>
      <name val="Helvetica"/>
      <family val="2"/>
    </font>
    <font>
      <b/>
      <sz val="22"/>
      <color rgb="FF0F0F0F"/>
      <name val="Helvetica"/>
      <family val="2"/>
    </font>
    <font>
      <b/>
      <sz val="24"/>
      <color rgb="FF0F0F0F"/>
      <name val="Helvetica"/>
      <family val="2"/>
    </font>
    <font>
      <sz val="24"/>
      <color rgb="FF0F0F0F"/>
      <name val="Helvetica"/>
      <family val="2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2E8DA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4" fontId="0" fillId="0" borderId="0" xfId="2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9" fontId="0" fillId="0" borderId="0" xfId="3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0" borderId="0" xfId="0" applyFont="1"/>
    <xf numFmtId="9" fontId="0" fillId="0" borderId="0" xfId="3" applyFont="1" applyAlignment="1">
      <alignment horizontal="center" vertical="center"/>
    </xf>
    <xf numFmtId="0" fontId="7" fillId="0" borderId="0" xfId="0" applyFont="1"/>
    <xf numFmtId="165" fontId="0" fillId="0" borderId="0" xfId="3" applyNumberFormat="1" applyFont="1" applyAlignment="1">
      <alignment horizontal="center"/>
    </xf>
    <xf numFmtId="10" fontId="7" fillId="0" borderId="0" xfId="3" applyNumberFormat="1" applyFont="1"/>
    <xf numFmtId="10" fontId="5" fillId="0" borderId="0" xfId="3" applyNumberFormat="1" applyFont="1"/>
    <xf numFmtId="0" fontId="2" fillId="3" borderId="0" xfId="0" applyFont="1" applyFill="1"/>
    <xf numFmtId="10" fontId="0" fillId="0" borderId="0" xfId="3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6" fontId="0" fillId="0" borderId="0" xfId="2" applyNumberFormat="1" applyFont="1" applyAlignment="1">
      <alignment horizontal="center"/>
    </xf>
    <xf numFmtId="0" fontId="2" fillId="2" borderId="0" xfId="0" applyFont="1" applyFill="1"/>
    <xf numFmtId="0" fontId="8" fillId="6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9" fillId="9" borderId="0" xfId="0" applyFont="1" applyFill="1"/>
    <xf numFmtId="0" fontId="10" fillId="0" borderId="0" xfId="0" applyFont="1" applyAlignment="1">
      <alignment wrapText="1"/>
    </xf>
    <xf numFmtId="0" fontId="4" fillId="10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8" fontId="0" fillId="0" borderId="0" xfId="0" applyNumberFormat="1"/>
    <xf numFmtId="44" fontId="11" fillId="0" borderId="0" xfId="0" applyNumberFormat="1" applyFont="1" applyAlignment="1">
      <alignment horizontal="left" wrapText="1"/>
    </xf>
    <xf numFmtId="0" fontId="11" fillId="11" borderId="0" xfId="0" applyFont="1" applyFill="1" applyAlignment="1">
      <alignment horizontal="left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44" fontId="10" fillId="0" borderId="0" xfId="0" applyNumberFormat="1" applyFont="1" applyAlignment="1">
      <alignment horizontal="left" wrapText="1"/>
    </xf>
    <xf numFmtId="0" fontId="10" fillId="11" borderId="0" xfId="0" applyFont="1" applyFill="1" applyAlignment="1">
      <alignment horizontal="left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166" fontId="13" fillId="0" borderId="0" xfId="0" applyNumberFormat="1" applyFont="1" applyAlignment="1">
      <alignment horizontal="left" wrapText="1"/>
    </xf>
    <xf numFmtId="44" fontId="13" fillId="0" borderId="0" xfId="0" applyNumberFormat="1" applyFont="1" applyAlignment="1">
      <alignment horizontal="left" wrapText="1"/>
    </xf>
    <xf numFmtId="0" fontId="13" fillId="11" borderId="0" xfId="0" applyFont="1" applyFill="1" applyAlignment="1">
      <alignment horizontal="left" wrapText="1"/>
    </xf>
    <xf numFmtId="0" fontId="13" fillId="0" borderId="0" xfId="0" applyFont="1" applyAlignment="1">
      <alignment wrapText="1"/>
    </xf>
    <xf numFmtId="0" fontId="14" fillId="2" borderId="1" xfId="0" applyFont="1" applyFill="1" applyBorder="1" applyAlignment="1">
      <alignment horizontal="center"/>
    </xf>
    <xf numFmtId="44" fontId="0" fillId="0" borderId="0" xfId="2" applyFont="1"/>
    <xf numFmtId="44" fontId="0" fillId="0" borderId="0" xfId="0" applyNumberFormat="1"/>
    <xf numFmtId="0" fontId="5" fillId="5" borderId="0" xfId="0" applyFont="1" applyFill="1" applyAlignment="1">
      <alignment horizontal="center" vertical="center"/>
    </xf>
    <xf numFmtId="44" fontId="0" fillId="9" borderId="0" xfId="0" applyNumberFormat="1" applyFill="1"/>
    <xf numFmtId="44" fontId="0" fillId="9" borderId="0" xfId="2" applyFont="1" applyFill="1"/>
    <xf numFmtId="44" fontId="0" fillId="5" borderId="0" xfId="2" applyFont="1" applyFill="1"/>
    <xf numFmtId="0" fontId="0" fillId="5" borderId="0" xfId="0" applyFill="1"/>
    <xf numFmtId="0" fontId="14" fillId="2" borderId="0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wrapText="1"/>
    </xf>
    <xf numFmtId="9" fontId="0" fillId="0" borderId="0" xfId="3" applyFont="1"/>
    <xf numFmtId="165" fontId="0" fillId="0" borderId="0" xfId="3" applyNumberFormat="1" applyFont="1"/>
    <xf numFmtId="44" fontId="0" fillId="5" borderId="0" xfId="0" applyNumberFormat="1" applyFill="1"/>
    <xf numFmtId="0" fontId="0" fillId="12" borderId="0" xfId="0" applyFill="1"/>
    <xf numFmtId="0" fontId="4" fillId="13" borderId="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9" fillId="9" borderId="0" xfId="0" applyFont="1" applyFill="1" applyAlignment="1">
      <alignment vertical="center"/>
    </xf>
    <xf numFmtId="0" fontId="2" fillId="2" borderId="2" xfId="0" applyFont="1" applyFill="1" applyBorder="1"/>
    <xf numFmtId="164" fontId="0" fillId="5" borderId="0" xfId="1" applyNumberFormat="1" applyFont="1" applyFill="1" applyAlignment="1">
      <alignment horizontal="center"/>
    </xf>
    <xf numFmtId="164" fontId="0" fillId="5" borderId="3" xfId="1" applyNumberFormat="1" applyFont="1" applyFill="1" applyBorder="1" applyAlignment="1">
      <alignment horizontal="center"/>
    </xf>
    <xf numFmtId="164" fontId="5" fillId="5" borderId="3" xfId="1" applyNumberFormat="1" applyFont="1" applyFill="1" applyBorder="1" applyAlignment="1">
      <alignment horizontal="center"/>
    </xf>
    <xf numFmtId="0" fontId="0" fillId="5" borderId="3" xfId="0" applyFill="1" applyBorder="1"/>
    <xf numFmtId="9" fontId="0" fillId="0" borderId="0" xfId="3" applyNumberFormat="1" applyFont="1"/>
    <xf numFmtId="43" fontId="0" fillId="0" borderId="0" xfId="0" applyNumberFormat="1"/>
    <xf numFmtId="164" fontId="0" fillId="0" borderId="0" xfId="0" applyNumberFormat="1"/>
    <xf numFmtId="43" fontId="0" fillId="5" borderId="0" xfId="0" applyNumberFormat="1" applyFill="1"/>
    <xf numFmtId="1" fontId="0" fillId="5" borderId="0" xfId="0" applyNumberFormat="1" applyFill="1"/>
    <xf numFmtId="0" fontId="0" fillId="12" borderId="0" xfId="0" applyFill="1" applyAlignment="1">
      <alignment horizontal="center" wrapText="1"/>
    </xf>
    <xf numFmtId="44" fontId="0" fillId="12" borderId="0" xfId="0" applyNumberFormat="1" applyFill="1" applyAlignment="1">
      <alignment horizontal="center"/>
    </xf>
    <xf numFmtId="44" fontId="0" fillId="14" borderId="0" xfId="2" applyFont="1" applyFill="1"/>
    <xf numFmtId="43" fontId="0" fillId="12" borderId="0" xfId="1" applyFont="1" applyFill="1" applyAlignment="1">
      <alignment horizontal="center"/>
    </xf>
    <xf numFmtId="10" fontId="0" fillId="0" borderId="0" xfId="3" applyNumberFormat="1" applyFont="1"/>
    <xf numFmtId="43" fontId="0" fillId="12" borderId="0" xfId="0" applyNumberFormat="1" applyFill="1" applyAlignment="1">
      <alignment horizontal="center"/>
    </xf>
    <xf numFmtId="165" fontId="0" fillId="5" borderId="0" xfId="3" applyNumberFormat="1" applyFont="1" applyFill="1"/>
    <xf numFmtId="164" fontId="0" fillId="9" borderId="0" xfId="1" applyNumberFormat="1" applyFont="1" applyFill="1" applyAlignment="1">
      <alignment horizontal="center"/>
    </xf>
    <xf numFmtId="3" fontId="15" fillId="12" borderId="0" xfId="0" applyNumberFormat="1" applyFont="1" applyFill="1"/>
    <xf numFmtId="44" fontId="0" fillId="0" borderId="0" xfId="2" applyFont="1" applyFill="1"/>
    <xf numFmtId="44" fontId="0" fillId="12" borderId="0" xfId="0" applyNumberFormat="1" applyFill="1"/>
    <xf numFmtId="0" fontId="5" fillId="0" borderId="0" xfId="0" applyFont="1"/>
    <xf numFmtId="0" fontId="4" fillId="5" borderId="0" xfId="0" applyFont="1" applyFill="1" applyBorder="1" applyAlignment="1">
      <alignment horizontal="center"/>
    </xf>
    <xf numFmtId="175" fontId="0" fillId="0" borderId="0" xfId="0" applyNumberFormat="1"/>
    <xf numFmtId="9" fontId="0" fillId="0" borderId="0" xfId="0" applyNumberFormat="1"/>
    <xf numFmtId="43" fontId="0" fillId="12" borderId="0" xfId="1" applyFont="1" applyFill="1"/>
    <xf numFmtId="43" fontId="0" fillId="12" borderId="0" xfId="0" applyNumberFormat="1" applyFill="1"/>
    <xf numFmtId="1" fontId="0" fillId="12" borderId="0" xfId="0" applyNumberFormat="1" applyFill="1"/>
    <xf numFmtId="9" fontId="0" fillId="12" borderId="0" xfId="0" applyNumberFormat="1" applyFill="1"/>
    <xf numFmtId="3" fontId="0" fillId="0" borderId="0" xfId="0" applyNumberFormat="1"/>
    <xf numFmtId="0" fontId="5" fillId="9" borderId="0" xfId="0" applyFont="1" applyFill="1"/>
    <xf numFmtId="0" fontId="8" fillId="6" borderId="0" xfId="0" applyFont="1" applyFill="1" applyAlignment="1">
      <alignment horizontal="center" wrapText="1"/>
    </xf>
    <xf numFmtId="44" fontId="0" fillId="9" borderId="0" xfId="0" applyNumberFormat="1" applyFill="1" applyAlignment="1">
      <alignment vertical="center"/>
    </xf>
    <xf numFmtId="44" fontId="5" fillId="0" borderId="0" xfId="0" applyNumberFormat="1" applyFont="1"/>
    <xf numFmtId="166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15" borderId="0" xfId="0" applyFill="1"/>
    <xf numFmtId="44" fontId="0" fillId="15" borderId="0" xfId="0" applyNumberFormat="1" applyFill="1"/>
    <xf numFmtId="44" fontId="5" fillId="15" borderId="0" xfId="0" applyNumberFormat="1" applyFont="1" applyFill="1"/>
    <xf numFmtId="164" fontId="5" fillId="9" borderId="0" xfId="1" applyNumberFormat="1" applyFont="1" applyFill="1"/>
    <xf numFmtId="43" fontId="0" fillId="5" borderId="0" xfId="1" applyFont="1" applyFill="1"/>
    <xf numFmtId="164" fontId="0" fillId="5" borderId="0" xfId="1" applyNumberFormat="1" applyFont="1" applyFill="1"/>
    <xf numFmtId="43" fontId="5" fillId="12" borderId="0" xfId="1" applyFont="1" applyFill="1" applyAlignment="1">
      <alignment horizontal="center"/>
    </xf>
    <xf numFmtId="9" fontId="0" fillId="7" borderId="0" xfId="3" applyNumberFormat="1" applyFont="1" applyFill="1"/>
    <xf numFmtId="10" fontId="0" fillId="0" borderId="0" xfId="0" applyNumberFormat="1"/>
    <xf numFmtId="0" fontId="16" fillId="0" borderId="0" xfId="0" applyFont="1"/>
    <xf numFmtId="44" fontId="0" fillId="0" borderId="0" xfId="0" applyNumberFormat="1" applyFill="1"/>
    <xf numFmtId="0" fontId="5" fillId="7" borderId="0" xfId="0" applyFont="1" applyFill="1"/>
    <xf numFmtId="0" fontId="17" fillId="0" borderId="0" xfId="0" applyFont="1"/>
    <xf numFmtId="44" fontId="10" fillId="0" borderId="0" xfId="0" applyNumberFormat="1" applyFont="1"/>
    <xf numFmtId="6" fontId="16" fillId="0" borderId="0" xfId="0" applyNumberFormat="1" applyFont="1"/>
    <xf numFmtId="6" fontId="10" fillId="0" borderId="0" xfId="0" applyNumberFormat="1" applyFont="1"/>
    <xf numFmtId="0" fontId="17" fillId="5" borderId="0" xfId="0" applyFont="1" applyFill="1"/>
    <xf numFmtId="166" fontId="0" fillId="0" borderId="0" xfId="0" applyNumberFormat="1" applyFill="1"/>
    <xf numFmtId="166" fontId="0" fillId="0" borderId="0" xfId="0" applyNumberFormat="1"/>
    <xf numFmtId="166" fontId="0" fillId="9" borderId="0" xfId="0" applyNumberFormat="1" applyFill="1"/>
    <xf numFmtId="166" fontId="17" fillId="9" borderId="0" xfId="0" applyNumberFormat="1" applyFont="1" applyFill="1"/>
    <xf numFmtId="0" fontId="0" fillId="0" borderId="0" xfId="0" applyFill="1"/>
    <xf numFmtId="164" fontId="0" fillId="0" borderId="0" xfId="1" applyNumberFormat="1" applyFont="1"/>
    <xf numFmtId="9" fontId="0" fillId="0" borderId="0" xfId="3" applyFont="1" applyFill="1"/>
    <xf numFmtId="43" fontId="0" fillId="0" borderId="0" xfId="3" applyNumberFormat="1" applyFont="1"/>
    <xf numFmtId="164" fontId="9" fillId="2" borderId="0" xfId="0" applyNumberFormat="1" applyFont="1" applyFill="1"/>
    <xf numFmtId="0" fontId="4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9" fontId="0" fillId="15" borderId="0" xfId="3" applyFont="1" applyFill="1"/>
    <xf numFmtId="0" fontId="0" fillId="16" borderId="0" xfId="0" applyFill="1"/>
    <xf numFmtId="0" fontId="20" fillId="16" borderId="0" xfId="0" applyFont="1" applyFill="1"/>
    <xf numFmtId="0" fontId="24" fillId="16" borderId="0" xfId="0" applyFont="1" applyFill="1"/>
    <xf numFmtId="9" fontId="0" fillId="12" borderId="0" xfId="3" applyFont="1" applyFill="1"/>
    <xf numFmtId="9" fontId="7" fillId="0" borderId="0" xfId="3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>
        <c:manualLayout>
          <c:layoutTarget val="inner"/>
          <c:xMode val="edge"/>
          <c:yMode val="edge"/>
          <c:x val="3.8615486911022262E-2"/>
          <c:y val="0.19942815208862991"/>
          <c:w val="0.96138451308897777"/>
          <c:h val="0.744952882613338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MX"/>
                </a:p>
              </c:txPr>
            </c:trendlineLbl>
          </c:trendline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317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val>
            <c:numRef>
              <c:f>'DF Q8'!$C$4:$I$4</c:f>
              <c:numCache>
                <c:formatCode>_(* #,##0_);_(* \(#,##0\);_(* "-"??_);_(@_)</c:formatCode>
                <c:ptCount val="7"/>
                <c:pt idx="0">
                  <c:v>4100</c:v>
                </c:pt>
                <c:pt idx="1">
                  <c:v>3600</c:v>
                </c:pt>
                <c:pt idx="2">
                  <c:v>6600</c:v>
                </c:pt>
                <c:pt idx="3">
                  <c:v>6000</c:v>
                </c:pt>
                <c:pt idx="4">
                  <c:v>5100</c:v>
                </c:pt>
                <c:pt idx="5">
                  <c:v>8900</c:v>
                </c:pt>
                <c:pt idx="6" formatCode="_(* #,##0.00_);_(* \(#,##0.00\);_(* &quot;-&quot;??_);_(@_)">
                  <c:v>7792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A-8F41-80B2-78B1B0A213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2320032"/>
        <c:axId val="95537696"/>
      </c:lineChart>
      <c:catAx>
        <c:axId val="43232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95537696"/>
        <c:crosses val="autoZero"/>
        <c:auto val="1"/>
        <c:lblAlgn val="ctr"/>
        <c:lblOffset val="100"/>
        <c:noMultiLvlLbl val="0"/>
      </c:catAx>
      <c:valAx>
        <c:axId val="9553769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4323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'DF Q8'!$C$5:$I$5</c:f>
              <c:numCache>
                <c:formatCode>_(* #,##0_);_(* \(#,##0\);_(* "-"??_);_(@_)</c:formatCode>
                <c:ptCount val="7"/>
                <c:pt idx="0">
                  <c:v>1800</c:v>
                </c:pt>
                <c:pt idx="1">
                  <c:v>1900</c:v>
                </c:pt>
                <c:pt idx="2">
                  <c:v>2700</c:v>
                </c:pt>
                <c:pt idx="3">
                  <c:v>2800</c:v>
                </c:pt>
                <c:pt idx="4">
                  <c:v>2900</c:v>
                </c:pt>
                <c:pt idx="5">
                  <c:v>4028</c:v>
                </c:pt>
                <c:pt idx="6" formatCode="_(* #,##0.00_);_(* \(#,##0.00\);_(* &quot;-&quot;??_);_(@_)">
                  <c:v>3948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E-2541-9AFD-B301D7D6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1600"/>
        <c:axId val="2133654063"/>
      </c:lineChart>
      <c:catAx>
        <c:axId val="20161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133654063"/>
        <c:crosses val="autoZero"/>
        <c:auto val="1"/>
        <c:lblAlgn val="ctr"/>
        <c:lblOffset val="100"/>
        <c:noMultiLvlLbl val="0"/>
      </c:catAx>
      <c:valAx>
        <c:axId val="213365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016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'DF Q8'!$C$6:$I$6</c:f>
              <c:numCache>
                <c:formatCode>_(* #,##0_);_(* \(#,##0\);_(* "-"??_);_(@_)</c:formatCode>
                <c:ptCount val="7"/>
                <c:pt idx="0">
                  <c:v>700</c:v>
                </c:pt>
                <c:pt idx="1">
                  <c:v>1200</c:v>
                </c:pt>
                <c:pt idx="2">
                  <c:v>2600</c:v>
                </c:pt>
                <c:pt idx="3">
                  <c:v>2700</c:v>
                </c:pt>
                <c:pt idx="4">
                  <c:v>2700</c:v>
                </c:pt>
                <c:pt idx="5">
                  <c:v>4400</c:v>
                </c:pt>
                <c:pt idx="6" formatCode="_(* #,##0.00_);_(* \(#,##0.00\);_(* &quot;-&quot;??_);_(@_)">
                  <c:v>3868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EC-AC4D-B8FC-CF053CFE3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062815"/>
        <c:axId val="489364527"/>
      </c:lineChart>
      <c:catAx>
        <c:axId val="204506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489364527"/>
        <c:crosses val="autoZero"/>
        <c:auto val="1"/>
        <c:lblAlgn val="ctr"/>
        <c:lblOffset val="100"/>
        <c:noMultiLvlLbl val="0"/>
      </c:catAx>
      <c:valAx>
        <c:axId val="48936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0450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Sheet7!$E$16:$K$16</c:f>
              <c:numCache>
                <c:formatCode>_(* #,##0_);_(* \(#,##0\);_(* "-"??_);_(@_)</c:formatCode>
                <c:ptCount val="7"/>
                <c:pt idx="0">
                  <c:v>12600</c:v>
                </c:pt>
                <c:pt idx="1">
                  <c:v>13300</c:v>
                </c:pt>
                <c:pt idx="2">
                  <c:v>18900</c:v>
                </c:pt>
                <c:pt idx="3">
                  <c:v>19600</c:v>
                </c:pt>
                <c:pt idx="4">
                  <c:v>20300</c:v>
                </c:pt>
                <c:pt idx="5">
                  <c:v>28196</c:v>
                </c:pt>
                <c:pt idx="6" formatCode="General">
                  <c:v>25290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8-A842-86DF-E632EF58C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36240"/>
        <c:axId val="2080644415"/>
      </c:lineChart>
      <c:catAx>
        <c:axId val="9453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080644415"/>
        <c:crosses val="autoZero"/>
        <c:auto val="1"/>
        <c:lblAlgn val="ctr"/>
        <c:lblOffset val="100"/>
        <c:noMultiLvlLbl val="0"/>
      </c:catAx>
      <c:valAx>
        <c:axId val="208064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9453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568960</xdr:colOff>
      <xdr:row>10</xdr:row>
      <xdr:rowOff>162560</xdr:rowOff>
    </xdr:from>
    <xdr:to>
      <xdr:col>30</xdr:col>
      <xdr:colOff>505647</xdr:colOff>
      <xdr:row>41</xdr:row>
      <xdr:rowOff>396240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FB5D8-198F-9A97-CF5D-0766F575A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1006231</xdr:colOff>
      <xdr:row>42</xdr:row>
      <xdr:rowOff>132861</xdr:rowOff>
    </xdr:from>
    <xdr:to>
      <xdr:col>13</xdr:col>
      <xdr:colOff>1465384</xdr:colOff>
      <xdr:row>77</xdr:row>
      <xdr:rowOff>156309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B008D-5267-97CF-5C51-271A09B31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478692</xdr:colOff>
      <xdr:row>13</xdr:row>
      <xdr:rowOff>58615</xdr:rowOff>
    </xdr:from>
    <xdr:to>
      <xdr:col>19</xdr:col>
      <xdr:colOff>19538</xdr:colOff>
      <xdr:row>43</xdr:row>
      <xdr:rowOff>160216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369B6A-FAE3-E4EC-7D2F-80AF63710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463550</xdr:colOff>
      <xdr:row>8</xdr:row>
      <xdr:rowOff>0</xdr:rowOff>
    </xdr:from>
    <xdr:to>
      <xdr:col>20</xdr:col>
      <xdr:colOff>596900</xdr:colOff>
      <xdr:row>37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3981FD-F41B-FBFD-511F-51EE5B470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49D2-C685-B04F-B077-5023B763DD69}">
  <dimension ref="B1:I29"/>
  <sheetViews>
    <sheetView zoomScale="125" workbookViewId="0">
      <selection activeCell="L8" sqref="L8"/>
    </sheetView>
  </sheetViews>
  <sheetFormatPr baseColWidth="10" defaultRowHeight="16"/>
  <cols>
    <col min="3" max="3" width="13.5" bestFit="1" customWidth="1"/>
  </cols>
  <sheetData>
    <row r="1" spans="2:9"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</row>
    <row r="2" spans="2:9">
      <c r="B2" s="7" t="s">
        <v>10</v>
      </c>
      <c r="C2" s="9">
        <v>4100</v>
      </c>
      <c r="D2" s="9">
        <v>3600</v>
      </c>
      <c r="E2" s="9">
        <v>6600</v>
      </c>
      <c r="F2" s="9">
        <v>6000</v>
      </c>
      <c r="G2" s="9">
        <v>5100</v>
      </c>
      <c r="H2" s="11">
        <v>8900</v>
      </c>
      <c r="I2" s="75">
        <f>'DF Q7'!K13</f>
        <v>7792</v>
      </c>
    </row>
    <row r="3" spans="2:9">
      <c r="B3" s="7" t="s">
        <v>11</v>
      </c>
      <c r="C3" s="9">
        <v>1800</v>
      </c>
      <c r="D3" s="9">
        <v>1900</v>
      </c>
      <c r="E3" s="9">
        <v>2700</v>
      </c>
      <c r="F3" s="9">
        <v>2800</v>
      </c>
      <c r="G3" s="9">
        <v>2900</v>
      </c>
      <c r="H3" s="11">
        <v>4028</v>
      </c>
      <c r="I3" s="75">
        <f>'DF Q7'!K14</f>
        <v>3948</v>
      </c>
    </row>
    <row r="4" spans="2:9">
      <c r="B4" s="7" t="s">
        <v>12</v>
      </c>
      <c r="C4" s="9">
        <v>700</v>
      </c>
      <c r="D4" s="9">
        <v>1200</v>
      </c>
      <c r="E4" s="9">
        <v>2600</v>
      </c>
      <c r="F4" s="9">
        <v>2700</v>
      </c>
      <c r="G4" s="9">
        <v>2700</v>
      </c>
      <c r="H4" s="11">
        <v>4400</v>
      </c>
      <c r="I4" s="75">
        <f>'DF Q7'!K15</f>
        <v>3868</v>
      </c>
    </row>
    <row r="5" spans="2:9">
      <c r="B5" s="7" t="s">
        <v>13</v>
      </c>
      <c r="I5" s="75">
        <f>'DF Q7'!K16</f>
        <v>788</v>
      </c>
    </row>
    <row r="6" spans="2:9">
      <c r="B6" s="7" t="s">
        <v>14</v>
      </c>
      <c r="I6" s="75">
        <f>'DF Q7'!K17</f>
        <v>684</v>
      </c>
    </row>
    <row r="8" spans="2:9">
      <c r="B8" s="2"/>
      <c r="C8" s="12" t="s">
        <v>25</v>
      </c>
      <c r="D8" s="12"/>
    </row>
    <row r="9" spans="2:9">
      <c r="B9" s="2"/>
      <c r="C9" s="7" t="s">
        <v>26</v>
      </c>
      <c r="D9" s="7" t="s">
        <v>27</v>
      </c>
    </row>
    <row r="10" spans="2:9">
      <c r="B10" s="7" t="s">
        <v>13</v>
      </c>
      <c r="C10" s="9">
        <v>3000</v>
      </c>
      <c r="D10" s="9">
        <v>5000</v>
      </c>
    </row>
    <row r="11" spans="2:9">
      <c r="B11" s="7" t="s">
        <v>14</v>
      </c>
      <c r="C11" s="9">
        <v>2500</v>
      </c>
      <c r="D11" s="9">
        <v>3500</v>
      </c>
      <c r="F11" s="76"/>
    </row>
    <row r="13" spans="2:9">
      <c r="B13" s="1" t="s">
        <v>0</v>
      </c>
      <c r="C13" s="1"/>
      <c r="D13" s="1"/>
      <c r="E13" s="1"/>
      <c r="F13" s="1"/>
      <c r="G13" s="1"/>
      <c r="H13" s="1"/>
    </row>
    <row r="14" spans="2:9">
      <c r="B14" s="4"/>
      <c r="C14" s="5">
        <v>68</v>
      </c>
      <c r="D14" s="5">
        <v>68</v>
      </c>
      <c r="E14" s="5">
        <v>91</v>
      </c>
      <c r="F14" s="2"/>
      <c r="G14" s="2"/>
      <c r="H14" s="2"/>
    </row>
    <row r="15" spans="2:9">
      <c r="B15" s="2"/>
      <c r="C15" s="7" t="s">
        <v>10</v>
      </c>
      <c r="D15" s="7" t="s">
        <v>11</v>
      </c>
      <c r="E15" s="7" t="s">
        <v>12</v>
      </c>
      <c r="F15" s="7" t="s">
        <v>13</v>
      </c>
      <c r="G15" s="7" t="s">
        <v>14</v>
      </c>
      <c r="H15" s="2"/>
    </row>
    <row r="16" spans="2:9">
      <c r="B16" s="7" t="s">
        <v>16</v>
      </c>
      <c r="C16" s="9">
        <v>35200</v>
      </c>
      <c r="D16" s="9">
        <v>24000</v>
      </c>
      <c r="E16" s="9">
        <v>19600</v>
      </c>
      <c r="F16" s="9">
        <v>10000</v>
      </c>
      <c r="G16" s="9">
        <v>9600</v>
      </c>
      <c r="H16" s="2"/>
    </row>
    <row r="17" spans="2:8">
      <c r="B17" s="7" t="s">
        <v>17</v>
      </c>
      <c r="C17" s="9">
        <v>74800</v>
      </c>
      <c r="D17" s="9">
        <v>51000</v>
      </c>
      <c r="E17" s="9">
        <v>50400</v>
      </c>
      <c r="F17" s="9">
        <v>40000</v>
      </c>
      <c r="G17" s="9">
        <v>20400</v>
      </c>
      <c r="H17" s="2"/>
    </row>
    <row r="18" spans="2:8">
      <c r="B18" s="7" t="s">
        <v>18</v>
      </c>
      <c r="C18" s="10">
        <f>C16/(C16+C17)</f>
        <v>0.32</v>
      </c>
      <c r="D18" s="10">
        <f t="shared" ref="D18:G18" si="0">D16/(D16+D17)</f>
        <v>0.32</v>
      </c>
      <c r="E18" s="10">
        <f t="shared" si="0"/>
        <v>0.28000000000000003</v>
      </c>
      <c r="F18" s="10">
        <f t="shared" si="0"/>
        <v>0.2</v>
      </c>
      <c r="G18" s="10">
        <f t="shared" si="0"/>
        <v>0.32</v>
      </c>
      <c r="H18" s="2"/>
    </row>
    <row r="19" spans="2:8">
      <c r="B19" s="9"/>
      <c r="C19" s="9">
        <f>C16+C17</f>
        <v>110000</v>
      </c>
      <c r="D19" s="9">
        <f t="shared" ref="D19:G19" si="1">D16+D17</f>
        <v>75000</v>
      </c>
      <c r="E19" s="9">
        <f t="shared" si="1"/>
        <v>70000</v>
      </c>
      <c r="F19" s="9">
        <f t="shared" si="1"/>
        <v>50000</v>
      </c>
      <c r="G19" s="9">
        <f t="shared" si="1"/>
        <v>30000</v>
      </c>
    </row>
    <row r="20" spans="2:8">
      <c r="B20" s="9"/>
      <c r="C20" s="9"/>
      <c r="D20" s="9"/>
    </row>
    <row r="21" spans="2:8">
      <c r="B21" s="1" t="s">
        <v>76</v>
      </c>
      <c r="C21" s="1"/>
      <c r="D21" s="1"/>
      <c r="E21" s="1"/>
      <c r="F21" s="1"/>
      <c r="G21" s="1"/>
      <c r="H21" s="1"/>
    </row>
    <row r="22" spans="2:8">
      <c r="B22" s="24" t="s">
        <v>86</v>
      </c>
      <c r="C22" s="5">
        <v>68</v>
      </c>
      <c r="D22" s="5">
        <v>68</v>
      </c>
      <c r="E22" s="5">
        <v>91</v>
      </c>
      <c r="F22" s="2"/>
      <c r="G22" s="2"/>
      <c r="H22" s="2"/>
    </row>
    <row r="23" spans="2:8">
      <c r="B23" s="2"/>
      <c r="C23" s="7" t="s">
        <v>10</v>
      </c>
      <c r="D23" s="7" t="s">
        <v>11</v>
      </c>
      <c r="E23" s="7" t="s">
        <v>12</v>
      </c>
      <c r="F23" s="7" t="s">
        <v>13</v>
      </c>
      <c r="G23" s="7" t="s">
        <v>14</v>
      </c>
      <c r="H23" s="2"/>
    </row>
    <row r="24" spans="2:8">
      <c r="B24" s="7" t="s">
        <v>16</v>
      </c>
      <c r="C24" s="9">
        <f>C16*7</f>
        <v>246400</v>
      </c>
      <c r="D24" s="9">
        <f t="shared" ref="D24:G24" si="2">D16*7</f>
        <v>168000</v>
      </c>
      <c r="E24" s="9">
        <f t="shared" si="2"/>
        <v>137200</v>
      </c>
      <c r="F24" s="9">
        <f t="shared" si="2"/>
        <v>70000</v>
      </c>
      <c r="G24" s="9">
        <f>G16*7</f>
        <v>67200</v>
      </c>
      <c r="H24" s="2"/>
    </row>
    <row r="25" spans="2:8">
      <c r="B25" s="7" t="s">
        <v>17</v>
      </c>
      <c r="C25" s="9">
        <f>C17*7</f>
        <v>523600</v>
      </c>
      <c r="D25" s="9">
        <f t="shared" ref="D25:G25" si="3">D17*7</f>
        <v>357000</v>
      </c>
      <c r="E25" s="9">
        <f t="shared" si="3"/>
        <v>352800</v>
      </c>
      <c r="F25" s="9">
        <f t="shared" si="3"/>
        <v>280000</v>
      </c>
      <c r="G25" s="9">
        <f t="shared" si="3"/>
        <v>142800</v>
      </c>
      <c r="H25" s="2"/>
    </row>
    <row r="29" spans="2:8">
      <c r="C29" s="92">
        <f>(C24+C25)*14.3</f>
        <v>11011000</v>
      </c>
    </row>
  </sheetData>
  <mergeCells count="3">
    <mergeCell ref="C8:D8"/>
    <mergeCell ref="B13:H13"/>
    <mergeCell ref="B21:H21"/>
  </mergeCells>
  <conditionalFormatting sqref="C17:G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G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G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D5E4-F7C2-B14B-9CFB-CD1395385D7B}">
  <dimension ref="A1:F15"/>
  <sheetViews>
    <sheetView zoomScale="95" workbookViewId="0">
      <selection activeCell="A11" activeCellId="1" sqref="A2:XFD2 A11:XFD11"/>
    </sheetView>
  </sheetViews>
  <sheetFormatPr baseColWidth="10" defaultColWidth="16.6640625" defaultRowHeight="16"/>
  <cols>
    <col min="2" max="2" width="47.6640625" customWidth="1"/>
  </cols>
  <sheetData>
    <row r="1" spans="1:6" ht="43">
      <c r="A1" s="33"/>
      <c r="B1" s="34" t="s">
        <v>88</v>
      </c>
      <c r="C1" s="34" t="s">
        <v>89</v>
      </c>
      <c r="D1" s="34" t="s">
        <v>90</v>
      </c>
      <c r="E1" s="34" t="s">
        <v>91</v>
      </c>
      <c r="F1" s="33"/>
    </row>
    <row r="2" spans="1:6" ht="50" customHeight="1">
      <c r="A2" s="35" t="s">
        <v>92</v>
      </c>
      <c r="B2" s="36" t="s">
        <v>93</v>
      </c>
      <c r="C2" s="37">
        <v>15000</v>
      </c>
      <c r="D2" s="39">
        <v>0.15</v>
      </c>
      <c r="E2" s="40">
        <v>-2.5000000000000001E-2</v>
      </c>
      <c r="F2" s="41" t="s">
        <v>94</v>
      </c>
    </row>
    <row r="3" spans="1:6" ht="102">
      <c r="A3" s="35" t="s">
        <v>95</v>
      </c>
      <c r="B3" s="42" t="s">
        <v>96</v>
      </c>
      <c r="C3" s="43">
        <v>30000</v>
      </c>
      <c r="D3" s="44">
        <v>0.15</v>
      </c>
      <c r="E3" s="42">
        <v>2.3E-2</v>
      </c>
      <c r="F3" s="33" t="s">
        <v>97</v>
      </c>
    </row>
    <row r="4" spans="1:6" ht="68">
      <c r="A4" s="35" t="s">
        <v>98</v>
      </c>
      <c r="B4" s="42" t="s">
        <v>99</v>
      </c>
      <c r="C4" s="43">
        <v>30000</v>
      </c>
      <c r="D4" s="44">
        <v>0.15</v>
      </c>
      <c r="E4" s="45">
        <v>-2.5000000000000001E-2</v>
      </c>
      <c r="F4" s="33" t="s">
        <v>97</v>
      </c>
    </row>
    <row r="5" spans="1:6" ht="68">
      <c r="A5" s="35" t="s">
        <v>100</v>
      </c>
      <c r="B5" s="42" t="s">
        <v>101</v>
      </c>
      <c r="C5" s="43">
        <v>30000</v>
      </c>
      <c r="D5" s="44">
        <v>0.3</v>
      </c>
      <c r="E5" s="42">
        <v>4.4999999999999998E-2</v>
      </c>
      <c r="F5" s="33" t="s">
        <v>102</v>
      </c>
    </row>
    <row r="6" spans="1:6" ht="51">
      <c r="A6" s="35" t="s">
        <v>103</v>
      </c>
      <c r="B6" s="42" t="s">
        <v>104</v>
      </c>
      <c r="C6" s="43">
        <v>30000</v>
      </c>
      <c r="D6" s="44">
        <v>0.3</v>
      </c>
      <c r="E6" s="45">
        <v>-0.05</v>
      </c>
      <c r="F6" s="33" t="s">
        <v>105</v>
      </c>
    </row>
    <row r="7" spans="1:6" ht="42">
      <c r="A7" s="35" t="s">
        <v>106</v>
      </c>
      <c r="B7" s="42" t="s">
        <v>107</v>
      </c>
      <c r="C7" s="43">
        <v>45000</v>
      </c>
      <c r="D7" s="44">
        <v>0.3</v>
      </c>
      <c r="E7" s="42">
        <v>4.4999999999999998E-2</v>
      </c>
      <c r="F7" s="33" t="s">
        <v>108</v>
      </c>
    </row>
    <row r="8" spans="1:6" ht="102">
      <c r="A8" s="35" t="s">
        <v>109</v>
      </c>
      <c r="B8" s="42" t="s">
        <v>110</v>
      </c>
      <c r="C8" s="43">
        <v>45000</v>
      </c>
      <c r="D8" s="44">
        <v>0.45</v>
      </c>
      <c r="E8" s="45">
        <v>-7.4999999999999997E-2</v>
      </c>
      <c r="F8" s="46" t="s">
        <v>108</v>
      </c>
    </row>
    <row r="9" spans="1:6" ht="119">
      <c r="A9" s="35" t="s">
        <v>111</v>
      </c>
      <c r="B9" s="42" t="s">
        <v>112</v>
      </c>
      <c r="C9" s="43">
        <v>45000</v>
      </c>
      <c r="D9" s="44">
        <v>0.45</v>
      </c>
      <c r="E9" s="42">
        <v>6.8000000000000005E-2</v>
      </c>
      <c r="F9" s="33" t="s">
        <v>113</v>
      </c>
    </row>
    <row r="10" spans="1:6" ht="119">
      <c r="A10" s="35" t="s">
        <v>114</v>
      </c>
      <c r="B10" s="42" t="s">
        <v>115</v>
      </c>
      <c r="C10" s="43">
        <v>30000</v>
      </c>
      <c r="D10" s="44">
        <v>0.45</v>
      </c>
      <c r="E10" s="42">
        <v>6.8000000000000005E-2</v>
      </c>
      <c r="F10" s="33" t="s">
        <v>108</v>
      </c>
    </row>
    <row r="11" spans="1:6" ht="85">
      <c r="A11" s="35" t="s">
        <v>116</v>
      </c>
      <c r="B11" s="47" t="s">
        <v>117</v>
      </c>
      <c r="C11" s="48">
        <v>45000</v>
      </c>
      <c r="D11" s="49">
        <v>0.45</v>
      </c>
      <c r="E11" s="50">
        <v>-7.4999999999999997E-2</v>
      </c>
      <c r="F11" s="51" t="s">
        <v>102</v>
      </c>
    </row>
    <row r="12" spans="1:6" ht="51">
      <c r="A12" s="35" t="s">
        <v>118</v>
      </c>
      <c r="B12" s="42" t="s">
        <v>119</v>
      </c>
      <c r="C12" s="43">
        <v>45000</v>
      </c>
      <c r="D12" s="44">
        <v>0.75</v>
      </c>
      <c r="E12" s="42">
        <v>0.107</v>
      </c>
      <c r="F12" s="46" t="s">
        <v>113</v>
      </c>
    </row>
    <row r="13" spans="1:6" ht="56">
      <c r="A13" s="35" t="s">
        <v>120</v>
      </c>
      <c r="B13" s="42" t="s">
        <v>121</v>
      </c>
      <c r="C13" s="43">
        <v>45000</v>
      </c>
      <c r="D13" s="44">
        <v>0.75</v>
      </c>
      <c r="E13" s="42">
        <v>0.107</v>
      </c>
      <c r="F13" s="33" t="s">
        <v>113</v>
      </c>
    </row>
    <row r="14" spans="1:6" ht="102">
      <c r="A14" s="35" t="s">
        <v>122</v>
      </c>
      <c r="B14" s="42" t="s">
        <v>123</v>
      </c>
      <c r="C14" s="43">
        <v>115000</v>
      </c>
      <c r="D14" s="44">
        <v>1</v>
      </c>
      <c r="E14" s="42">
        <v>0.14299999999999999</v>
      </c>
      <c r="F14" s="33" t="s">
        <v>113</v>
      </c>
    </row>
    <row r="15" spans="1:6" ht="102">
      <c r="A15" s="35" t="s">
        <v>124</v>
      </c>
      <c r="B15" s="42" t="s">
        <v>125</v>
      </c>
      <c r="C15" s="43">
        <v>115000</v>
      </c>
      <c r="D15" s="44">
        <v>1</v>
      </c>
      <c r="E15" s="42">
        <v>0.14299999999999999</v>
      </c>
      <c r="F15" s="3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E817-7E10-9E4D-AF89-03D7C74AA746}">
  <dimension ref="A1:N86"/>
  <sheetViews>
    <sheetView zoomScale="125" workbookViewId="0">
      <selection activeCell="A2" sqref="A2:A7"/>
    </sheetView>
  </sheetViews>
  <sheetFormatPr baseColWidth="10" defaultRowHeight="16"/>
  <cols>
    <col min="4" max="4" width="13.5" customWidth="1"/>
    <col min="5" max="5" width="19.1640625" customWidth="1"/>
    <col min="7" max="7" width="14.1640625" customWidth="1"/>
  </cols>
  <sheetData>
    <row r="1" spans="1:14">
      <c r="A1" s="3" t="s">
        <v>1</v>
      </c>
      <c r="B1" s="3"/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</row>
    <row r="2" spans="1:14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2"/>
      <c r="J2" s="2"/>
      <c r="K2" s="2"/>
      <c r="L2" s="2"/>
      <c r="M2" s="2"/>
      <c r="N2" s="2"/>
    </row>
    <row r="3" spans="1:14">
      <c r="A3" s="6" t="s">
        <v>10</v>
      </c>
      <c r="B3" s="8" t="s">
        <v>15</v>
      </c>
      <c r="C3" s="8" t="s">
        <v>15</v>
      </c>
      <c r="D3" s="8" t="s">
        <v>15</v>
      </c>
      <c r="E3" s="8" t="s">
        <v>15</v>
      </c>
      <c r="F3" s="8" t="s">
        <v>15</v>
      </c>
      <c r="G3" s="8" t="s">
        <v>15</v>
      </c>
      <c r="H3" s="8" t="s">
        <v>15</v>
      </c>
      <c r="I3" s="2"/>
      <c r="J3" s="2"/>
      <c r="K3" s="2"/>
      <c r="L3" s="2"/>
      <c r="M3" s="2"/>
      <c r="N3" s="2"/>
    </row>
    <row r="4" spans="1:14">
      <c r="A4" s="6" t="s">
        <v>11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8" t="s">
        <v>15</v>
      </c>
      <c r="H4" s="8" t="s">
        <v>15</v>
      </c>
      <c r="I4" s="2"/>
      <c r="J4" s="2"/>
      <c r="K4" s="2"/>
      <c r="L4" s="2"/>
      <c r="M4" s="2"/>
      <c r="N4" s="2"/>
    </row>
    <row r="5" spans="1:14">
      <c r="A5" s="6" t="s">
        <v>12</v>
      </c>
      <c r="B5" s="8" t="s">
        <v>15</v>
      </c>
      <c r="C5" s="8" t="s">
        <v>15</v>
      </c>
      <c r="D5" s="8" t="s">
        <v>15</v>
      </c>
      <c r="E5" s="8" t="s">
        <v>15</v>
      </c>
      <c r="F5" s="8" t="s">
        <v>15</v>
      </c>
      <c r="G5" s="8" t="s">
        <v>15</v>
      </c>
      <c r="H5" s="8" t="s">
        <v>15</v>
      </c>
      <c r="I5" s="2"/>
      <c r="J5" s="2"/>
      <c r="K5" s="2"/>
      <c r="L5" s="2"/>
      <c r="M5" s="2"/>
      <c r="N5" s="2"/>
    </row>
    <row r="6" spans="1:14">
      <c r="A6" s="6" t="s">
        <v>13</v>
      </c>
      <c r="B6" s="8" t="s">
        <v>19</v>
      </c>
      <c r="C6" s="8" t="s">
        <v>19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19</v>
      </c>
      <c r="I6" s="2"/>
      <c r="J6" s="2"/>
      <c r="K6" s="2"/>
      <c r="L6" s="2"/>
      <c r="M6" s="2"/>
      <c r="N6" s="2"/>
    </row>
    <row r="7" spans="1:14">
      <c r="A7" s="6" t="s">
        <v>14</v>
      </c>
      <c r="B7" s="8" t="s">
        <v>19</v>
      </c>
      <c r="C7" s="8" t="s">
        <v>19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2"/>
      <c r="J7" s="2"/>
      <c r="K7" s="2"/>
      <c r="L7" s="2"/>
      <c r="M7" s="2"/>
      <c r="N7" s="2"/>
    </row>
    <row r="8" spans="1:14">
      <c r="A8" s="2" t="s">
        <v>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3" t="s">
        <v>21</v>
      </c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</row>
    <row r="10" spans="1:14">
      <c r="A10" s="6" t="s">
        <v>2</v>
      </c>
      <c r="B10" s="6" t="s">
        <v>22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H10" s="6" t="s">
        <v>8</v>
      </c>
      <c r="I10" s="6" t="s">
        <v>9</v>
      </c>
      <c r="J10" s="2"/>
      <c r="K10" s="2"/>
      <c r="L10" s="2"/>
      <c r="M10" s="2"/>
      <c r="N10" s="2"/>
    </row>
    <row r="11" spans="1:14">
      <c r="A11" s="6" t="s">
        <v>10</v>
      </c>
      <c r="B11" s="6" t="s">
        <v>23</v>
      </c>
      <c r="C11" s="8" t="s">
        <v>15</v>
      </c>
      <c r="D11" s="8" t="s">
        <v>15</v>
      </c>
      <c r="E11" s="8" t="s">
        <v>15</v>
      </c>
      <c r="F11" s="8" t="s">
        <v>15</v>
      </c>
      <c r="G11" s="28" t="s">
        <v>15</v>
      </c>
      <c r="H11" s="8" t="s">
        <v>15</v>
      </c>
      <c r="I11" s="8" t="s">
        <v>15</v>
      </c>
      <c r="J11" s="2"/>
      <c r="K11" s="2"/>
      <c r="L11" s="2"/>
      <c r="M11" s="2"/>
      <c r="N11" s="2"/>
    </row>
    <row r="12" spans="1:14">
      <c r="A12" s="6" t="s">
        <v>20</v>
      </c>
      <c r="B12" s="6" t="s">
        <v>24</v>
      </c>
      <c r="C12" s="8" t="s">
        <v>15</v>
      </c>
      <c r="D12" s="8" t="s">
        <v>15</v>
      </c>
      <c r="E12" s="8" t="s">
        <v>15</v>
      </c>
      <c r="F12" s="8" t="s">
        <v>15</v>
      </c>
      <c r="G12" s="28" t="s">
        <v>15</v>
      </c>
      <c r="H12" s="8" t="s">
        <v>15</v>
      </c>
      <c r="I12" s="8" t="s">
        <v>15</v>
      </c>
      <c r="J12" s="2"/>
      <c r="K12" s="2"/>
      <c r="L12" s="2"/>
      <c r="M12" s="2"/>
      <c r="N12" s="2"/>
    </row>
    <row r="13" spans="1:14">
      <c r="A13" s="6" t="s">
        <v>11</v>
      </c>
      <c r="B13" s="6" t="s">
        <v>23</v>
      </c>
      <c r="C13" s="8" t="s">
        <v>15</v>
      </c>
      <c r="D13" s="8" t="s">
        <v>15</v>
      </c>
      <c r="E13" s="8" t="s">
        <v>15</v>
      </c>
      <c r="F13" s="8" t="s">
        <v>15</v>
      </c>
      <c r="G13" s="28" t="s">
        <v>15</v>
      </c>
      <c r="H13" s="8" t="s">
        <v>15</v>
      </c>
      <c r="I13" s="8" t="s">
        <v>15</v>
      </c>
      <c r="J13" s="2"/>
      <c r="K13" s="2"/>
      <c r="L13" s="2"/>
      <c r="M13" s="2"/>
      <c r="N13" s="2"/>
    </row>
    <row r="14" spans="1:14">
      <c r="A14" s="6" t="s">
        <v>20</v>
      </c>
      <c r="B14" s="6" t="s">
        <v>24</v>
      </c>
      <c r="C14" s="8" t="s">
        <v>15</v>
      </c>
      <c r="D14" s="8" t="s">
        <v>15</v>
      </c>
      <c r="E14" s="8" t="s">
        <v>15</v>
      </c>
      <c r="F14" s="8" t="s">
        <v>15</v>
      </c>
      <c r="G14" s="28" t="s">
        <v>15</v>
      </c>
      <c r="H14" s="8" t="s">
        <v>15</v>
      </c>
      <c r="I14" s="8" t="s">
        <v>15</v>
      </c>
      <c r="J14" s="2"/>
      <c r="K14" s="2"/>
      <c r="L14" s="2"/>
      <c r="M14" s="2"/>
      <c r="N14" s="2"/>
    </row>
    <row r="15" spans="1:14">
      <c r="A15" s="6" t="s">
        <v>12</v>
      </c>
      <c r="B15" s="6" t="s">
        <v>23</v>
      </c>
      <c r="C15" s="8" t="s">
        <v>15</v>
      </c>
      <c r="D15" s="8" t="s">
        <v>15</v>
      </c>
      <c r="E15" s="8" t="s">
        <v>15</v>
      </c>
      <c r="F15" s="8" t="s">
        <v>15</v>
      </c>
      <c r="G15" s="28" t="s">
        <v>15</v>
      </c>
      <c r="H15" s="8" t="s">
        <v>15</v>
      </c>
      <c r="I15" s="8" t="s">
        <v>15</v>
      </c>
      <c r="J15" s="2"/>
      <c r="K15" s="2"/>
      <c r="L15" s="2"/>
      <c r="M15" s="2"/>
      <c r="N15" s="2"/>
    </row>
    <row r="16" spans="1:14">
      <c r="A16" s="6" t="s">
        <v>20</v>
      </c>
      <c r="B16" s="6" t="s">
        <v>24</v>
      </c>
      <c r="C16" s="8" t="s">
        <v>15</v>
      </c>
      <c r="D16" s="8" t="s">
        <v>15</v>
      </c>
      <c r="E16" s="8" t="s">
        <v>15</v>
      </c>
      <c r="F16" s="8" t="s">
        <v>15</v>
      </c>
      <c r="G16" s="28" t="s">
        <v>15</v>
      </c>
      <c r="H16" s="8" t="s">
        <v>15</v>
      </c>
      <c r="I16" s="8" t="s">
        <v>15</v>
      </c>
      <c r="J16" s="2"/>
      <c r="K16" s="2"/>
      <c r="L16" s="2"/>
      <c r="M16" s="2"/>
      <c r="N16" s="2"/>
    </row>
    <row r="17" spans="1:14">
      <c r="A17" s="6" t="s">
        <v>13</v>
      </c>
      <c r="B17" s="6" t="s">
        <v>23</v>
      </c>
      <c r="C17" s="8" t="s">
        <v>19</v>
      </c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  <c r="I17" s="8" t="s">
        <v>19</v>
      </c>
      <c r="J17" s="2"/>
      <c r="K17" s="2"/>
      <c r="L17" s="2"/>
      <c r="M17" s="2"/>
      <c r="N17" s="2"/>
    </row>
    <row r="18" spans="1:14">
      <c r="A18" s="6" t="s">
        <v>20</v>
      </c>
      <c r="B18" s="6" t="s">
        <v>24</v>
      </c>
      <c r="C18" s="8" t="s">
        <v>19</v>
      </c>
      <c r="D18" s="8" t="s">
        <v>19</v>
      </c>
      <c r="E18" s="8" t="s">
        <v>19</v>
      </c>
      <c r="F18" s="8" t="s">
        <v>19</v>
      </c>
      <c r="G18" s="8" t="s">
        <v>19</v>
      </c>
      <c r="H18" s="8" t="s">
        <v>19</v>
      </c>
      <c r="I18" s="8" t="s">
        <v>19</v>
      </c>
      <c r="J18" s="2"/>
      <c r="K18" s="2"/>
      <c r="L18" s="2"/>
      <c r="M18" s="2"/>
      <c r="N18" s="2"/>
    </row>
    <row r="19" spans="1:14">
      <c r="A19" s="6" t="s">
        <v>14</v>
      </c>
      <c r="B19" s="6" t="s">
        <v>23</v>
      </c>
      <c r="C19" s="8" t="s">
        <v>19</v>
      </c>
      <c r="D19" s="8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s">
        <v>19</v>
      </c>
      <c r="J19" s="2"/>
      <c r="K19" s="2"/>
      <c r="L19" s="2"/>
      <c r="M19" s="2"/>
      <c r="N19" s="2"/>
    </row>
    <row r="20" spans="1:14">
      <c r="A20" s="6" t="s">
        <v>20</v>
      </c>
      <c r="B20" s="6" t="s">
        <v>24</v>
      </c>
      <c r="C20" s="8" t="s">
        <v>19</v>
      </c>
      <c r="D20" s="8" t="s">
        <v>19</v>
      </c>
      <c r="E20" s="8" t="s">
        <v>19</v>
      </c>
      <c r="F20" s="8" t="s">
        <v>19</v>
      </c>
      <c r="G20" s="8" t="s">
        <v>19</v>
      </c>
      <c r="H20" s="8" t="s">
        <v>19</v>
      </c>
      <c r="I20" s="8" t="s">
        <v>19</v>
      </c>
      <c r="J20" s="2"/>
      <c r="K20" s="2"/>
      <c r="L20" s="2"/>
      <c r="M20" s="2"/>
      <c r="N20" s="2"/>
    </row>
    <row r="21" spans="1:14">
      <c r="A21" s="2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3" t="s">
        <v>28</v>
      </c>
      <c r="B22" s="3"/>
      <c r="C22" s="3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</row>
    <row r="23" spans="1:14">
      <c r="A23" s="6" t="s">
        <v>2</v>
      </c>
      <c r="B23" s="6" t="s">
        <v>3</v>
      </c>
      <c r="C23" s="6" t="s">
        <v>4</v>
      </c>
      <c r="D23" s="6" t="s">
        <v>5</v>
      </c>
      <c r="E23" s="6" t="s">
        <v>6</v>
      </c>
      <c r="F23" s="6" t="s">
        <v>7</v>
      </c>
      <c r="G23" s="6" t="s">
        <v>8</v>
      </c>
      <c r="H23" s="6" t="s">
        <v>9</v>
      </c>
      <c r="I23" s="2"/>
      <c r="J23" s="2"/>
      <c r="K23" s="2"/>
      <c r="L23" s="2"/>
      <c r="M23" s="2"/>
      <c r="N23" s="2"/>
    </row>
    <row r="24" spans="1:14">
      <c r="A24" s="6" t="s">
        <v>10</v>
      </c>
      <c r="B24" s="8" t="s">
        <v>29</v>
      </c>
      <c r="C24" s="8" t="s">
        <v>29</v>
      </c>
      <c r="D24" s="8" t="s">
        <v>29</v>
      </c>
      <c r="E24" s="8" t="s">
        <v>29</v>
      </c>
      <c r="F24" s="8" t="s">
        <v>29</v>
      </c>
      <c r="G24" s="8" t="s">
        <v>29</v>
      </c>
      <c r="H24" s="8" t="s">
        <v>29</v>
      </c>
      <c r="I24" s="2"/>
      <c r="J24" s="2"/>
      <c r="K24" s="2"/>
      <c r="L24" s="2"/>
      <c r="M24" s="2"/>
      <c r="N24" s="2"/>
    </row>
    <row r="25" spans="1:14">
      <c r="A25" s="6" t="s">
        <v>11</v>
      </c>
      <c r="B25" s="8" t="s">
        <v>29</v>
      </c>
      <c r="C25" s="8" t="s">
        <v>29</v>
      </c>
      <c r="D25" s="8" t="s">
        <v>29</v>
      </c>
      <c r="E25" s="8" t="s">
        <v>29</v>
      </c>
      <c r="F25" s="8" t="s">
        <v>29</v>
      </c>
      <c r="G25" s="8" t="s">
        <v>29</v>
      </c>
      <c r="H25" s="8" t="s">
        <v>29</v>
      </c>
      <c r="I25" s="2"/>
      <c r="J25" s="2"/>
      <c r="K25" s="2"/>
      <c r="L25" s="2"/>
      <c r="M25" s="2"/>
      <c r="N25" s="2"/>
    </row>
    <row r="26" spans="1:14">
      <c r="A26" s="6" t="s">
        <v>12</v>
      </c>
      <c r="B26" s="8" t="s">
        <v>30</v>
      </c>
      <c r="C26" s="8" t="s">
        <v>30</v>
      </c>
      <c r="D26" s="8" t="s">
        <v>30</v>
      </c>
      <c r="E26" s="8" t="s">
        <v>30</v>
      </c>
      <c r="F26" s="8" t="s">
        <v>30</v>
      </c>
      <c r="G26" s="8" t="s">
        <v>30</v>
      </c>
      <c r="H26" s="8" t="s">
        <v>30</v>
      </c>
      <c r="I26" s="2"/>
      <c r="J26" s="2"/>
      <c r="K26" s="2"/>
      <c r="L26" s="2"/>
      <c r="M26" s="2"/>
      <c r="N26" s="2"/>
    </row>
    <row r="27" spans="1:14">
      <c r="A27" s="6" t="s">
        <v>13</v>
      </c>
      <c r="B27" s="8" t="s">
        <v>31</v>
      </c>
      <c r="C27" s="8" t="s">
        <v>31</v>
      </c>
      <c r="D27" s="8" t="s">
        <v>31</v>
      </c>
      <c r="E27" s="8" t="s">
        <v>31</v>
      </c>
      <c r="F27" s="8" t="s">
        <v>31</v>
      </c>
      <c r="G27" s="8" t="s">
        <v>31</v>
      </c>
      <c r="H27" s="8" t="s">
        <v>31</v>
      </c>
      <c r="I27" s="2"/>
      <c r="J27" s="2"/>
      <c r="K27" s="2"/>
      <c r="L27" s="2"/>
      <c r="M27" s="2"/>
      <c r="N27" s="2"/>
    </row>
    <row r="28" spans="1:14">
      <c r="A28" s="6" t="s">
        <v>14</v>
      </c>
      <c r="B28" s="8" t="s">
        <v>31</v>
      </c>
      <c r="C28" s="8" t="s">
        <v>31</v>
      </c>
      <c r="D28" s="8" t="s">
        <v>31</v>
      </c>
      <c r="E28" s="8" t="s">
        <v>31</v>
      </c>
      <c r="F28" s="8" t="s">
        <v>31</v>
      </c>
      <c r="G28" s="8" t="s">
        <v>31</v>
      </c>
      <c r="H28" s="8" t="s">
        <v>31</v>
      </c>
      <c r="I28" s="2"/>
      <c r="J28" s="2"/>
      <c r="K28" s="2"/>
      <c r="L28" s="2"/>
      <c r="M28" s="2"/>
      <c r="N28" s="2"/>
    </row>
    <row r="29" spans="1:14">
      <c r="A29" s="2" t="s">
        <v>20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3" t="s">
        <v>32</v>
      </c>
      <c r="B30" s="3"/>
      <c r="C30" s="3"/>
      <c r="D30" s="3"/>
      <c r="E30" s="3"/>
      <c r="F30" s="3"/>
      <c r="G30" s="3"/>
      <c r="H30" s="3"/>
      <c r="I30" s="3"/>
      <c r="J30" s="2"/>
      <c r="K30" s="2"/>
      <c r="L30" s="2"/>
      <c r="M30" s="2"/>
      <c r="N30" s="2"/>
    </row>
    <row r="31" spans="1:14">
      <c r="A31" s="6" t="s">
        <v>2</v>
      </c>
      <c r="B31" s="6" t="s">
        <v>22</v>
      </c>
      <c r="C31" s="6" t="s">
        <v>3</v>
      </c>
      <c r="D31" s="6" t="s">
        <v>4</v>
      </c>
      <c r="E31" s="6" t="s">
        <v>5</v>
      </c>
      <c r="F31" s="6" t="s">
        <v>6</v>
      </c>
      <c r="G31" s="6" t="s">
        <v>7</v>
      </c>
      <c r="H31" s="6" t="s">
        <v>8</v>
      </c>
      <c r="I31" s="6" t="s">
        <v>9</v>
      </c>
      <c r="J31" s="2"/>
      <c r="K31" s="2"/>
      <c r="L31" s="2"/>
      <c r="M31" s="2"/>
      <c r="N31" s="2"/>
    </row>
    <row r="32" spans="1:14">
      <c r="A32" s="6" t="s">
        <v>10</v>
      </c>
      <c r="B32" s="6" t="s">
        <v>23</v>
      </c>
      <c r="C32" s="8" t="s">
        <v>33</v>
      </c>
      <c r="D32" s="8" t="s">
        <v>33</v>
      </c>
      <c r="E32" s="8" t="s">
        <v>33</v>
      </c>
      <c r="F32" s="8" t="s">
        <v>33</v>
      </c>
      <c r="G32" s="28" t="s">
        <v>33</v>
      </c>
      <c r="H32" s="8" t="s">
        <v>33</v>
      </c>
      <c r="I32" s="8" t="s">
        <v>33</v>
      </c>
      <c r="J32" s="2"/>
      <c r="K32" s="2"/>
      <c r="L32" s="2"/>
      <c r="M32" s="2"/>
      <c r="N32" s="2"/>
    </row>
    <row r="33" spans="1:14">
      <c r="A33" s="6" t="s">
        <v>20</v>
      </c>
      <c r="B33" s="6" t="s">
        <v>24</v>
      </c>
      <c r="C33" s="8" t="s">
        <v>34</v>
      </c>
      <c r="D33" s="8" t="s">
        <v>34</v>
      </c>
      <c r="E33" s="8" t="s">
        <v>34</v>
      </c>
      <c r="F33" s="8" t="s">
        <v>34</v>
      </c>
      <c r="G33" s="29" t="s">
        <v>34</v>
      </c>
      <c r="H33" s="8" t="s">
        <v>34</v>
      </c>
      <c r="I33" s="8" t="s">
        <v>34</v>
      </c>
      <c r="J33" s="2"/>
      <c r="K33" s="2"/>
      <c r="L33" s="2"/>
      <c r="M33" s="2"/>
      <c r="N33" s="2"/>
    </row>
    <row r="34" spans="1:14">
      <c r="A34" s="6" t="s">
        <v>11</v>
      </c>
      <c r="B34" s="6" t="s">
        <v>23</v>
      </c>
      <c r="C34" s="8" t="s">
        <v>35</v>
      </c>
      <c r="D34" s="8" t="s">
        <v>35</v>
      </c>
      <c r="E34" s="8" t="s">
        <v>35</v>
      </c>
      <c r="F34" s="8" t="s">
        <v>35</v>
      </c>
      <c r="G34" s="28" t="s">
        <v>35</v>
      </c>
      <c r="H34" s="8" t="s">
        <v>35</v>
      </c>
      <c r="I34" s="8" t="s">
        <v>35</v>
      </c>
      <c r="J34" s="2"/>
      <c r="K34" s="2"/>
      <c r="L34" s="2"/>
      <c r="M34" s="2"/>
      <c r="N34" s="2"/>
    </row>
    <row r="35" spans="1:14">
      <c r="A35" s="6" t="s">
        <v>20</v>
      </c>
      <c r="B35" s="6" t="s">
        <v>24</v>
      </c>
      <c r="C35" s="8" t="s">
        <v>36</v>
      </c>
      <c r="D35" s="8" t="s">
        <v>36</v>
      </c>
      <c r="E35" s="8" t="s">
        <v>36</v>
      </c>
      <c r="F35" s="8" t="s">
        <v>36</v>
      </c>
      <c r="G35" s="29" t="s">
        <v>36</v>
      </c>
      <c r="H35" s="8" t="s">
        <v>36</v>
      </c>
      <c r="I35" s="8" t="s">
        <v>36</v>
      </c>
      <c r="J35" s="2"/>
      <c r="K35" s="2"/>
      <c r="L35" s="2"/>
      <c r="M35" s="2"/>
      <c r="N35" s="2"/>
    </row>
    <row r="36" spans="1:14">
      <c r="A36" s="6" t="s">
        <v>12</v>
      </c>
      <c r="B36" s="6" t="s">
        <v>23</v>
      </c>
      <c r="C36" s="8" t="s">
        <v>37</v>
      </c>
      <c r="D36" s="8" t="s">
        <v>37</v>
      </c>
      <c r="E36" s="8" t="s">
        <v>37</v>
      </c>
      <c r="F36" s="8" t="s">
        <v>37</v>
      </c>
      <c r="G36" s="28" t="s">
        <v>37</v>
      </c>
      <c r="H36" s="8" t="s">
        <v>37</v>
      </c>
      <c r="I36" s="8" t="s">
        <v>37</v>
      </c>
      <c r="J36" s="2"/>
      <c r="K36" s="2"/>
      <c r="L36" s="2"/>
      <c r="M36" s="2"/>
      <c r="N36" s="2"/>
    </row>
    <row r="37" spans="1:14">
      <c r="A37" s="6" t="s">
        <v>20</v>
      </c>
      <c r="B37" s="6" t="s">
        <v>24</v>
      </c>
      <c r="C37" s="8" t="s">
        <v>38</v>
      </c>
      <c r="D37" s="8" t="s">
        <v>38</v>
      </c>
      <c r="E37" s="8" t="s">
        <v>38</v>
      </c>
      <c r="F37" s="8" t="s">
        <v>38</v>
      </c>
      <c r="G37" s="29" t="s">
        <v>38</v>
      </c>
      <c r="H37" s="8" t="s">
        <v>38</v>
      </c>
      <c r="I37" s="8" t="s">
        <v>38</v>
      </c>
      <c r="J37" s="2"/>
      <c r="K37" s="2"/>
      <c r="L37" s="2"/>
      <c r="M37" s="2"/>
      <c r="N37" s="2"/>
    </row>
    <row r="38" spans="1:14">
      <c r="A38" s="6" t="s">
        <v>13</v>
      </c>
      <c r="B38" s="6" t="s">
        <v>23</v>
      </c>
      <c r="C38" s="8" t="s">
        <v>31</v>
      </c>
      <c r="D38" s="8" t="s">
        <v>31</v>
      </c>
      <c r="E38" s="8" t="s">
        <v>31</v>
      </c>
      <c r="F38" s="8" t="s">
        <v>31</v>
      </c>
      <c r="G38" s="28" t="s">
        <v>31</v>
      </c>
      <c r="H38" s="8" t="s">
        <v>31</v>
      </c>
      <c r="I38" s="8" t="s">
        <v>31</v>
      </c>
      <c r="J38" s="2"/>
      <c r="K38" s="2"/>
      <c r="L38" s="2"/>
      <c r="M38" s="2"/>
      <c r="N38" s="2"/>
    </row>
    <row r="39" spans="1:14">
      <c r="A39" s="6" t="s">
        <v>20</v>
      </c>
      <c r="B39" s="6" t="s">
        <v>24</v>
      </c>
      <c r="C39" s="8" t="s">
        <v>31</v>
      </c>
      <c r="D39" s="8" t="s">
        <v>31</v>
      </c>
      <c r="E39" s="8" t="s">
        <v>31</v>
      </c>
      <c r="F39" s="8" t="s">
        <v>31</v>
      </c>
      <c r="G39" s="28" t="s">
        <v>31</v>
      </c>
      <c r="H39" s="8" t="s">
        <v>31</v>
      </c>
      <c r="I39" s="8" t="s">
        <v>31</v>
      </c>
      <c r="J39" s="2"/>
      <c r="K39" s="2"/>
      <c r="L39" s="2"/>
      <c r="M39" s="2"/>
      <c r="N39" s="2"/>
    </row>
    <row r="40" spans="1:14">
      <c r="A40" s="6" t="s">
        <v>14</v>
      </c>
      <c r="B40" s="6" t="s">
        <v>23</v>
      </c>
      <c r="C40" s="8" t="s">
        <v>31</v>
      </c>
      <c r="D40" s="8" t="s">
        <v>31</v>
      </c>
      <c r="E40" s="8" t="s">
        <v>31</v>
      </c>
      <c r="F40" s="8" t="s">
        <v>31</v>
      </c>
      <c r="G40" s="28" t="s">
        <v>31</v>
      </c>
      <c r="H40" s="8" t="s">
        <v>31</v>
      </c>
      <c r="I40" s="8" t="s">
        <v>31</v>
      </c>
      <c r="J40" s="2"/>
      <c r="K40" s="2"/>
      <c r="L40" s="2"/>
      <c r="M40" s="2"/>
      <c r="N40" s="2"/>
    </row>
    <row r="41" spans="1:14">
      <c r="A41" s="6" t="s">
        <v>20</v>
      </c>
      <c r="B41" s="6" t="s">
        <v>24</v>
      </c>
      <c r="C41" s="8" t="s">
        <v>31</v>
      </c>
      <c r="D41" s="8" t="s">
        <v>31</v>
      </c>
      <c r="E41" s="8" t="s">
        <v>31</v>
      </c>
      <c r="F41" s="8" t="s">
        <v>31</v>
      </c>
      <c r="G41" s="28" t="s">
        <v>31</v>
      </c>
      <c r="H41" s="8" t="s">
        <v>31</v>
      </c>
      <c r="I41" s="8" t="s">
        <v>31</v>
      </c>
      <c r="J41" s="2"/>
      <c r="K41" s="2"/>
      <c r="L41" s="2"/>
      <c r="M41" s="2"/>
      <c r="N41" s="2"/>
    </row>
    <row r="42" spans="1:14">
      <c r="A42" s="2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3" t="s">
        <v>39</v>
      </c>
      <c r="B43" s="3"/>
      <c r="C43" s="3"/>
      <c r="D43" s="3"/>
      <c r="E43" s="3"/>
      <c r="F43" s="3"/>
      <c r="G43" s="3"/>
      <c r="H43" s="3"/>
      <c r="I43" s="3"/>
      <c r="J43" s="2"/>
      <c r="K43" s="2"/>
      <c r="L43" s="2"/>
      <c r="M43" s="2"/>
      <c r="N43" s="2"/>
    </row>
    <row r="44" spans="1:14">
      <c r="A44" s="6" t="s">
        <v>2</v>
      </c>
      <c r="B44" s="6" t="s">
        <v>22</v>
      </c>
      <c r="C44" s="6" t="s">
        <v>3</v>
      </c>
      <c r="D44" s="6" t="s">
        <v>4</v>
      </c>
      <c r="E44" s="6" t="s">
        <v>5</v>
      </c>
      <c r="F44" s="6" t="s">
        <v>6</v>
      </c>
      <c r="G44" s="6" t="s">
        <v>7</v>
      </c>
      <c r="H44" s="6" t="s">
        <v>8</v>
      </c>
      <c r="I44" s="6" t="s">
        <v>9</v>
      </c>
      <c r="J44" s="2"/>
      <c r="K44" s="2"/>
      <c r="L44" s="2"/>
      <c r="M44" s="2"/>
      <c r="N44" s="2"/>
    </row>
    <row r="45" spans="1:14">
      <c r="A45" s="6" t="s">
        <v>10</v>
      </c>
      <c r="B45" s="6" t="s">
        <v>23</v>
      </c>
      <c r="C45" s="8" t="s">
        <v>40</v>
      </c>
      <c r="D45" s="8" t="s">
        <v>40</v>
      </c>
      <c r="E45" s="8" t="s">
        <v>40</v>
      </c>
      <c r="F45" s="8" t="s">
        <v>40</v>
      </c>
      <c r="G45" s="8" t="s">
        <v>40</v>
      </c>
      <c r="H45" s="8" t="s">
        <v>40</v>
      </c>
      <c r="I45" s="8" t="s">
        <v>40</v>
      </c>
      <c r="J45" s="2"/>
      <c r="K45" s="2"/>
      <c r="L45" s="2"/>
      <c r="M45" s="2"/>
      <c r="N45" s="2"/>
    </row>
    <row r="46" spans="1:14">
      <c r="A46" s="6" t="s">
        <v>20</v>
      </c>
      <c r="B46" s="6" t="s">
        <v>24</v>
      </c>
      <c r="C46" s="8" t="s">
        <v>40</v>
      </c>
      <c r="D46" s="8" t="s">
        <v>40</v>
      </c>
      <c r="E46" s="8" t="s">
        <v>40</v>
      </c>
      <c r="F46" s="8" t="s">
        <v>40</v>
      </c>
      <c r="G46" s="8" t="s">
        <v>40</v>
      </c>
      <c r="H46" s="8" t="s">
        <v>40</v>
      </c>
      <c r="I46" s="8" t="s">
        <v>40</v>
      </c>
      <c r="J46" s="2"/>
      <c r="K46" s="2"/>
      <c r="L46" s="2"/>
      <c r="M46" s="2"/>
      <c r="N46" s="2"/>
    </row>
    <row r="47" spans="1:14">
      <c r="A47" s="6" t="s">
        <v>11</v>
      </c>
      <c r="B47" s="6" t="s">
        <v>23</v>
      </c>
      <c r="C47" s="8" t="s">
        <v>40</v>
      </c>
      <c r="D47" s="8" t="s">
        <v>40</v>
      </c>
      <c r="E47" s="8" t="s">
        <v>40</v>
      </c>
      <c r="F47" s="8" t="s">
        <v>40</v>
      </c>
      <c r="G47" s="8" t="s">
        <v>40</v>
      </c>
      <c r="H47" s="8" t="s">
        <v>40</v>
      </c>
      <c r="I47" s="8" t="s">
        <v>40</v>
      </c>
      <c r="J47" s="2"/>
      <c r="K47" s="2"/>
      <c r="L47" s="2"/>
      <c r="M47" s="2"/>
      <c r="N47" s="2"/>
    </row>
    <row r="48" spans="1:14">
      <c r="A48" s="6" t="s">
        <v>20</v>
      </c>
      <c r="B48" s="6" t="s">
        <v>24</v>
      </c>
      <c r="C48" s="8" t="s">
        <v>40</v>
      </c>
      <c r="D48" s="8" t="s">
        <v>40</v>
      </c>
      <c r="E48" s="8" t="s">
        <v>40</v>
      </c>
      <c r="F48" s="8" t="s">
        <v>40</v>
      </c>
      <c r="G48" s="8" t="s">
        <v>40</v>
      </c>
      <c r="H48" s="8" t="s">
        <v>40</v>
      </c>
      <c r="I48" s="8" t="s">
        <v>40</v>
      </c>
      <c r="J48" s="2"/>
      <c r="K48" s="2"/>
      <c r="L48" s="2"/>
      <c r="M48" s="2"/>
      <c r="N48" s="2"/>
    </row>
    <row r="49" spans="1:14">
      <c r="A49" s="6" t="s">
        <v>12</v>
      </c>
      <c r="B49" s="6" t="s">
        <v>23</v>
      </c>
      <c r="C49" s="8" t="s">
        <v>40</v>
      </c>
      <c r="D49" s="8" t="s">
        <v>40</v>
      </c>
      <c r="E49" s="8" t="s">
        <v>40</v>
      </c>
      <c r="F49" s="8" t="s">
        <v>40</v>
      </c>
      <c r="G49" s="8" t="s">
        <v>40</v>
      </c>
      <c r="H49" s="8" t="s">
        <v>40</v>
      </c>
      <c r="I49" s="8" t="s">
        <v>40</v>
      </c>
      <c r="J49" s="2"/>
      <c r="K49" s="2"/>
      <c r="L49" s="2"/>
      <c r="M49" s="2"/>
      <c r="N49" s="2"/>
    </row>
    <row r="50" spans="1:14">
      <c r="A50" s="6" t="s">
        <v>20</v>
      </c>
      <c r="B50" s="6" t="s">
        <v>24</v>
      </c>
      <c r="C50" s="8" t="s">
        <v>40</v>
      </c>
      <c r="D50" s="8" t="s">
        <v>40</v>
      </c>
      <c r="E50" s="8" t="s">
        <v>40</v>
      </c>
      <c r="F50" s="8" t="s">
        <v>40</v>
      </c>
      <c r="G50" s="8" t="s">
        <v>40</v>
      </c>
      <c r="H50" s="8" t="s">
        <v>40</v>
      </c>
      <c r="I50" s="8" t="s">
        <v>40</v>
      </c>
      <c r="J50" s="2"/>
      <c r="K50" s="2"/>
      <c r="L50" s="2"/>
      <c r="M50" s="2"/>
      <c r="N50" s="2"/>
    </row>
    <row r="51" spans="1:14">
      <c r="A51" s="6" t="s">
        <v>13</v>
      </c>
      <c r="B51" s="6" t="s">
        <v>23</v>
      </c>
      <c r="C51" s="8" t="s">
        <v>31</v>
      </c>
      <c r="D51" s="8" t="s">
        <v>31</v>
      </c>
      <c r="E51" s="8" t="s">
        <v>31</v>
      </c>
      <c r="F51" s="8" t="s">
        <v>31</v>
      </c>
      <c r="G51" s="8" t="s">
        <v>31</v>
      </c>
      <c r="H51" s="8" t="s">
        <v>31</v>
      </c>
      <c r="I51" s="8" t="s">
        <v>31</v>
      </c>
      <c r="J51" s="2"/>
      <c r="K51" s="2"/>
      <c r="L51" s="2"/>
      <c r="M51" s="2"/>
      <c r="N51" s="2"/>
    </row>
    <row r="52" spans="1:14">
      <c r="A52" s="6" t="s">
        <v>20</v>
      </c>
      <c r="B52" s="6" t="s">
        <v>24</v>
      </c>
      <c r="C52" s="8" t="s">
        <v>31</v>
      </c>
      <c r="D52" s="8" t="s">
        <v>31</v>
      </c>
      <c r="E52" s="8" t="s">
        <v>31</v>
      </c>
      <c r="F52" s="8" t="s">
        <v>31</v>
      </c>
      <c r="G52" s="8" t="s">
        <v>31</v>
      </c>
      <c r="H52" s="8" t="s">
        <v>31</v>
      </c>
      <c r="I52" s="8" t="s">
        <v>31</v>
      </c>
      <c r="J52" s="2"/>
      <c r="K52" s="2"/>
      <c r="L52" s="2"/>
      <c r="M52" s="2"/>
      <c r="N52" s="2"/>
    </row>
    <row r="53" spans="1:14">
      <c r="A53" s="6" t="s">
        <v>14</v>
      </c>
      <c r="B53" s="6" t="s">
        <v>23</v>
      </c>
      <c r="C53" s="8" t="s">
        <v>31</v>
      </c>
      <c r="D53" s="8" t="s">
        <v>31</v>
      </c>
      <c r="E53" s="8" t="s">
        <v>31</v>
      </c>
      <c r="F53" s="8" t="s">
        <v>31</v>
      </c>
      <c r="G53" s="8" t="s">
        <v>31</v>
      </c>
      <c r="H53" s="8" t="s">
        <v>31</v>
      </c>
      <c r="I53" s="8" t="s">
        <v>31</v>
      </c>
      <c r="J53" s="2"/>
      <c r="K53" s="2"/>
      <c r="L53" s="2"/>
      <c r="M53" s="2"/>
      <c r="N53" s="2"/>
    </row>
    <row r="54" spans="1:14">
      <c r="A54" s="6" t="s">
        <v>20</v>
      </c>
      <c r="B54" s="6" t="s">
        <v>24</v>
      </c>
      <c r="C54" s="8" t="s">
        <v>31</v>
      </c>
      <c r="D54" s="8" t="s">
        <v>31</v>
      </c>
      <c r="E54" s="8" t="s">
        <v>31</v>
      </c>
      <c r="F54" s="8" t="s">
        <v>31</v>
      </c>
      <c r="G54" s="8" t="s">
        <v>31</v>
      </c>
      <c r="H54" s="8" t="s">
        <v>31</v>
      </c>
      <c r="I54" s="8" t="s">
        <v>31</v>
      </c>
      <c r="J54" s="2"/>
      <c r="K54" s="2"/>
      <c r="L54" s="2"/>
      <c r="M54" s="2"/>
      <c r="N54" s="2"/>
    </row>
    <row r="55" spans="1:14">
      <c r="A55" s="2" t="s">
        <v>20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3" t="s">
        <v>41</v>
      </c>
      <c r="B56" s="3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</row>
    <row r="57" spans="1:14">
      <c r="A57" s="6" t="s">
        <v>2</v>
      </c>
      <c r="B57" s="6" t="s">
        <v>42</v>
      </c>
      <c r="C57" s="6" t="s">
        <v>43</v>
      </c>
      <c r="D57" s="6" t="s">
        <v>44</v>
      </c>
      <c r="E57" s="6" t="s">
        <v>45</v>
      </c>
      <c r="F57" s="6" t="s">
        <v>46</v>
      </c>
      <c r="G57" s="6" t="s">
        <v>47</v>
      </c>
      <c r="H57" s="6" t="s">
        <v>48</v>
      </c>
      <c r="I57" s="2"/>
      <c r="J57" s="2"/>
      <c r="K57" s="2"/>
      <c r="L57" s="2"/>
      <c r="M57" s="2"/>
      <c r="N57" s="2"/>
    </row>
    <row r="58" spans="1:14">
      <c r="A58" s="6" t="s">
        <v>10</v>
      </c>
      <c r="B58" s="8" t="s">
        <v>49</v>
      </c>
      <c r="C58" s="8" t="s">
        <v>49</v>
      </c>
      <c r="D58" s="8" t="s">
        <v>49</v>
      </c>
      <c r="E58" s="8" t="s">
        <v>49</v>
      </c>
      <c r="F58" s="28" t="s">
        <v>49</v>
      </c>
      <c r="G58" s="8" t="s">
        <v>49</v>
      </c>
      <c r="H58" s="8" t="s">
        <v>49</v>
      </c>
      <c r="I58" s="2"/>
      <c r="J58" s="2"/>
      <c r="K58" s="2"/>
      <c r="L58" s="2"/>
      <c r="M58" s="2"/>
      <c r="N58" s="2"/>
    </row>
    <row r="59" spans="1:14">
      <c r="A59" s="6" t="s">
        <v>11</v>
      </c>
      <c r="B59" s="8" t="s">
        <v>50</v>
      </c>
      <c r="C59" s="8" t="s">
        <v>50</v>
      </c>
      <c r="D59" s="8" t="s">
        <v>50</v>
      </c>
      <c r="E59" s="8" t="s">
        <v>50</v>
      </c>
      <c r="F59" s="30" t="s">
        <v>50</v>
      </c>
      <c r="G59" s="8" t="s">
        <v>50</v>
      </c>
      <c r="H59" s="8" t="s">
        <v>50</v>
      </c>
      <c r="I59" s="2"/>
      <c r="J59" s="2"/>
      <c r="K59" s="2"/>
      <c r="L59" s="2"/>
      <c r="M59" s="2"/>
      <c r="N59" s="2"/>
    </row>
    <row r="60" spans="1:14">
      <c r="A60" s="6" t="s">
        <v>12</v>
      </c>
      <c r="B60" s="8" t="s">
        <v>51</v>
      </c>
      <c r="C60" s="8" t="s">
        <v>51</v>
      </c>
      <c r="D60" s="8" t="s">
        <v>51</v>
      </c>
      <c r="E60" s="8" t="s">
        <v>51</v>
      </c>
      <c r="F60" s="28" t="s">
        <v>51</v>
      </c>
      <c r="G60" s="8" t="s">
        <v>51</v>
      </c>
      <c r="H60" s="8" t="s">
        <v>51</v>
      </c>
      <c r="I60" s="2"/>
      <c r="J60" s="2"/>
      <c r="K60" s="2"/>
      <c r="L60" s="2"/>
      <c r="M60" s="2"/>
      <c r="N60" s="2"/>
    </row>
    <row r="61" spans="1:14">
      <c r="A61" s="6" t="s">
        <v>13</v>
      </c>
      <c r="B61" s="8" t="s">
        <v>31</v>
      </c>
      <c r="C61" s="8" t="s">
        <v>31</v>
      </c>
      <c r="D61" s="8" t="s">
        <v>31</v>
      </c>
      <c r="E61" s="8" t="s">
        <v>31</v>
      </c>
      <c r="F61" s="28" t="s">
        <v>31</v>
      </c>
      <c r="G61" s="8" t="s">
        <v>31</v>
      </c>
      <c r="H61" s="8" t="s">
        <v>31</v>
      </c>
      <c r="I61" s="2"/>
      <c r="J61" s="2"/>
      <c r="K61" s="2"/>
      <c r="L61" s="2"/>
      <c r="M61" s="2"/>
      <c r="N61" s="2"/>
    </row>
    <row r="62" spans="1:14">
      <c r="A62" s="6" t="s">
        <v>14</v>
      </c>
      <c r="B62" s="8" t="s">
        <v>31</v>
      </c>
      <c r="C62" s="8" t="s">
        <v>31</v>
      </c>
      <c r="D62" s="8" t="s">
        <v>31</v>
      </c>
      <c r="E62" s="8" t="s">
        <v>31</v>
      </c>
      <c r="F62" s="28" t="s">
        <v>31</v>
      </c>
      <c r="G62" s="8" t="s">
        <v>31</v>
      </c>
      <c r="H62" s="8" t="s">
        <v>31</v>
      </c>
      <c r="I62" s="2"/>
      <c r="J62" s="2"/>
      <c r="K62" s="2"/>
      <c r="L62" s="2"/>
      <c r="M62" s="2"/>
      <c r="N62" s="2"/>
    </row>
    <row r="63" spans="1:1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8">
      <c r="A64" s="6" t="s">
        <v>52</v>
      </c>
      <c r="B64" s="6" t="s">
        <v>53</v>
      </c>
      <c r="C64" s="6" t="s">
        <v>2</v>
      </c>
      <c r="D64" s="6" t="s">
        <v>54</v>
      </c>
      <c r="E64" s="6" t="s">
        <v>55</v>
      </c>
      <c r="F64" s="13"/>
      <c r="G64" s="2"/>
      <c r="H64" s="2"/>
      <c r="I64" s="2"/>
      <c r="J64" s="2"/>
      <c r="K64" s="2"/>
      <c r="L64" s="2"/>
      <c r="M64" s="2"/>
      <c r="N64" s="2"/>
    </row>
    <row r="65" spans="1:14">
      <c r="A65" s="6" t="s">
        <v>56</v>
      </c>
      <c r="B65" s="8" t="s">
        <v>57</v>
      </c>
      <c r="C65" s="8" t="s">
        <v>58</v>
      </c>
      <c r="D65" s="104">
        <v>35</v>
      </c>
      <c r="E65" s="14">
        <v>0.5</v>
      </c>
      <c r="F65" s="15"/>
      <c r="G65" s="16" t="e">
        <f>D65/((SUM(#REF!)))</f>
        <v>#REF!</v>
      </c>
      <c r="H65" s="2"/>
      <c r="I65" s="2"/>
      <c r="J65" s="2"/>
      <c r="K65" s="2"/>
      <c r="L65" s="2"/>
      <c r="M65" s="2"/>
      <c r="N65" s="2"/>
    </row>
    <row r="66" spans="1:14">
      <c r="A66" s="6" t="s">
        <v>56</v>
      </c>
      <c r="B66" s="8" t="s">
        <v>59</v>
      </c>
      <c r="C66" s="8" t="s">
        <v>10</v>
      </c>
      <c r="D66" s="104">
        <v>210</v>
      </c>
      <c r="E66" s="14">
        <v>0.5</v>
      </c>
      <c r="F66" s="17" t="e">
        <f>D66/(SUM((#REF!)))</f>
        <v>#REF!</v>
      </c>
      <c r="G66" s="16" t="e">
        <f>D66/#REF!</f>
        <v>#REF!</v>
      </c>
      <c r="H66" s="2"/>
      <c r="I66" s="2"/>
      <c r="J66" s="2"/>
      <c r="K66" s="2"/>
      <c r="L66" s="2"/>
      <c r="M66" s="2"/>
      <c r="N66" s="2"/>
    </row>
    <row r="67" spans="1:14">
      <c r="A67" s="6" t="s">
        <v>56</v>
      </c>
      <c r="B67" s="8" t="s">
        <v>59</v>
      </c>
      <c r="C67" s="8" t="s">
        <v>11</v>
      </c>
      <c r="D67" s="104">
        <v>102</v>
      </c>
      <c r="E67" s="14">
        <v>0.5</v>
      </c>
      <c r="F67" s="17" t="e">
        <f>D67/(SUM(#REF!))</f>
        <v>#REF!</v>
      </c>
      <c r="G67" s="16" t="e">
        <f>D67/#REF!</f>
        <v>#REF!</v>
      </c>
      <c r="H67" s="2"/>
      <c r="I67" s="2"/>
      <c r="J67" s="2"/>
      <c r="K67" s="2"/>
      <c r="L67" s="2"/>
      <c r="M67" s="2"/>
      <c r="N67" s="2"/>
    </row>
    <row r="68" spans="1:14">
      <c r="A68" s="6" t="s">
        <v>56</v>
      </c>
      <c r="B68" s="8" t="s">
        <v>59</v>
      </c>
      <c r="C68" s="8" t="s">
        <v>12</v>
      </c>
      <c r="D68" s="104">
        <v>82</v>
      </c>
      <c r="E68" s="14">
        <v>0.5</v>
      </c>
      <c r="F68" s="18" t="e">
        <f>D68/(SUM(#REF!))</f>
        <v>#REF!</v>
      </c>
      <c r="G68" s="16" t="e">
        <f>D68/#REF!</f>
        <v>#REF!</v>
      </c>
      <c r="H68" s="2"/>
      <c r="I68" s="2"/>
      <c r="J68" s="2"/>
      <c r="K68" s="2"/>
      <c r="L68" s="2"/>
      <c r="M68" s="2"/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19"/>
      <c r="B70" s="19" t="s">
        <v>60</v>
      </c>
      <c r="C70" s="19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6" t="s">
        <v>2</v>
      </c>
      <c r="B71" s="6" t="s">
        <v>61</v>
      </c>
      <c r="C71" s="6" t="s">
        <v>62</v>
      </c>
      <c r="D71" s="2"/>
      <c r="E71" s="6" t="s">
        <v>61</v>
      </c>
      <c r="F71" s="6" t="s">
        <v>63</v>
      </c>
      <c r="G71" s="6" t="s">
        <v>64</v>
      </c>
      <c r="H71" s="2"/>
      <c r="I71" s="2"/>
      <c r="J71" s="2"/>
      <c r="K71" s="2"/>
      <c r="L71" s="2"/>
      <c r="M71" s="2"/>
      <c r="N71" s="2"/>
    </row>
    <row r="72" spans="1:14">
      <c r="A72" s="6" t="s">
        <v>10</v>
      </c>
      <c r="B72" s="2" t="s">
        <v>65</v>
      </c>
      <c r="C72" s="2">
        <v>17</v>
      </c>
      <c r="D72" s="20" t="e">
        <f>C72/#REF!</f>
        <v>#REF!</v>
      </c>
      <c r="E72" s="2" t="s">
        <v>56</v>
      </c>
      <c r="F72" s="2">
        <v>0</v>
      </c>
      <c r="G72" s="16">
        <v>0.13</v>
      </c>
      <c r="H72" s="2"/>
      <c r="I72" s="2"/>
      <c r="J72" s="2"/>
      <c r="K72" s="2"/>
      <c r="L72" s="2"/>
      <c r="M72" s="2"/>
      <c r="N72" s="2"/>
    </row>
    <row r="73" spans="1:14">
      <c r="A73" s="6" t="s">
        <v>11</v>
      </c>
      <c r="B73" s="2" t="s">
        <v>65</v>
      </c>
      <c r="C73" s="2">
        <v>13</v>
      </c>
      <c r="D73" s="20" t="e">
        <f>C73/#REF!</f>
        <v>#REF!</v>
      </c>
      <c r="E73" s="2" t="s">
        <v>65</v>
      </c>
      <c r="F73" s="2">
        <v>2</v>
      </c>
      <c r="G73" s="16">
        <v>7.4999999999999997E-2</v>
      </c>
      <c r="H73" s="2"/>
      <c r="I73" s="2"/>
      <c r="J73" s="2"/>
      <c r="K73" s="2"/>
      <c r="L73" s="2"/>
      <c r="M73" s="2"/>
      <c r="N73" s="2"/>
    </row>
    <row r="74" spans="1:14">
      <c r="A74" s="6" t="s">
        <v>12</v>
      </c>
      <c r="B74" s="2" t="s">
        <v>65</v>
      </c>
      <c r="C74" s="2">
        <v>14</v>
      </c>
      <c r="D74" s="20" t="e">
        <f>C74/#REF!</f>
        <v>#REF!</v>
      </c>
      <c r="E74" s="2" t="s">
        <v>66</v>
      </c>
      <c r="F74" s="2">
        <v>4</v>
      </c>
      <c r="G74" s="16">
        <v>2.5000000000000001E-2</v>
      </c>
      <c r="H74" s="2"/>
      <c r="I74" s="2"/>
      <c r="J74" s="2"/>
      <c r="K74" s="2"/>
      <c r="L74" s="2"/>
      <c r="M74" s="2"/>
      <c r="N74" s="2"/>
    </row>
    <row r="75" spans="1:14">
      <c r="A75" s="6" t="s">
        <v>13</v>
      </c>
      <c r="B75" s="2" t="s">
        <v>56</v>
      </c>
      <c r="C75" s="2">
        <v>0</v>
      </c>
      <c r="D75" s="21"/>
      <c r="E75" s="2" t="s">
        <v>67</v>
      </c>
      <c r="F75" s="2">
        <v>8</v>
      </c>
      <c r="G75" s="16">
        <v>0</v>
      </c>
      <c r="H75" s="2"/>
      <c r="I75" s="2"/>
      <c r="J75" s="2"/>
      <c r="K75" s="2"/>
      <c r="L75" s="2"/>
      <c r="M75" s="2"/>
      <c r="N75" s="2"/>
    </row>
    <row r="76" spans="1:14">
      <c r="A76" s="6" t="s">
        <v>14</v>
      </c>
      <c r="B76" s="2" t="s">
        <v>56</v>
      </c>
      <c r="C76" s="2">
        <v>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6" t="s">
        <v>53</v>
      </c>
      <c r="B78" s="6" t="s">
        <v>68</v>
      </c>
      <c r="C78" s="6" t="s">
        <v>69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2" t="s">
        <v>70</v>
      </c>
      <c r="B79" s="2" t="s">
        <v>71</v>
      </c>
      <c r="C79" s="23">
        <v>3000</v>
      </c>
      <c r="D79" s="2"/>
      <c r="E79" s="2"/>
      <c r="F79" s="103">
        <f>D65*C79</f>
        <v>105000</v>
      </c>
      <c r="G79" s="2"/>
      <c r="H79" s="2"/>
      <c r="I79" s="2"/>
      <c r="J79" s="2"/>
      <c r="K79" s="2"/>
      <c r="L79" s="2"/>
      <c r="M79" s="2"/>
      <c r="N79" s="2"/>
    </row>
    <row r="80" spans="1:14">
      <c r="A80" s="22" t="s">
        <v>59</v>
      </c>
      <c r="B80" s="2" t="s">
        <v>72</v>
      </c>
      <c r="C80" s="23">
        <v>300</v>
      </c>
      <c r="D80" s="2"/>
      <c r="E80" s="2"/>
      <c r="F80" s="103">
        <f>(SUM(D66:D68)*C80)</f>
        <v>118200</v>
      </c>
      <c r="G80" s="2"/>
      <c r="H80" s="2"/>
      <c r="I80" s="2"/>
      <c r="J80" s="2"/>
      <c r="K80" s="2"/>
      <c r="L80" s="2"/>
      <c r="M80" s="2"/>
      <c r="N80" s="2"/>
    </row>
    <row r="81" spans="1:14">
      <c r="A81" s="22"/>
      <c r="B81" s="2"/>
      <c r="C81" s="2"/>
      <c r="D81" s="2"/>
      <c r="E81" s="2"/>
      <c r="F81" s="103">
        <f>SUM(F79:F80)</f>
        <v>223200</v>
      </c>
      <c r="G81" s="2"/>
      <c r="H81" s="2"/>
      <c r="I81" s="2"/>
      <c r="J81" s="2"/>
      <c r="K81" s="2"/>
      <c r="L81" s="2"/>
      <c r="M81" s="2"/>
      <c r="N81" s="2"/>
    </row>
    <row r="82" spans="1:14">
      <c r="A82" s="19" t="s">
        <v>73</v>
      </c>
      <c r="B82" s="19" t="s">
        <v>74</v>
      </c>
      <c r="C82" s="19" t="s">
        <v>75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2">
        <v>44</v>
      </c>
      <c r="B83" s="23">
        <v>1000</v>
      </c>
      <c r="C83" s="23">
        <v>750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</sheetData>
  <mergeCells count="6">
    <mergeCell ref="A22:H22"/>
    <mergeCell ref="A30:I30"/>
    <mergeCell ref="A43:I43"/>
    <mergeCell ref="A56:H56"/>
    <mergeCell ref="A1:H1"/>
    <mergeCell ref="A9: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F45C-328C-BA4E-BE1C-289A6B1ECE59}">
  <dimension ref="A2:BJ94"/>
  <sheetViews>
    <sheetView topLeftCell="AA26" zoomScaleNormal="107" workbookViewId="0">
      <selection activeCell="AL49" sqref="AL49"/>
    </sheetView>
  </sheetViews>
  <sheetFormatPr baseColWidth="10" defaultRowHeight="16"/>
  <cols>
    <col min="1" max="1" width="7.83203125" customWidth="1"/>
    <col min="2" max="2" width="22" customWidth="1"/>
    <col min="3" max="3" width="16.5" customWidth="1"/>
    <col min="4" max="4" width="16" customWidth="1"/>
    <col min="5" max="5" width="13.33203125" customWidth="1"/>
    <col min="6" max="6" width="15.5" customWidth="1"/>
    <col min="7" max="7" width="13.83203125" customWidth="1"/>
    <col min="8" max="8" width="15.6640625" customWidth="1"/>
    <col min="9" max="9" width="15.1640625" customWidth="1"/>
    <col min="10" max="10" width="23.1640625" customWidth="1"/>
    <col min="11" max="11" width="24.6640625" customWidth="1"/>
    <col min="12" max="12" width="20.6640625" customWidth="1"/>
    <col min="13" max="13" width="13.33203125" customWidth="1"/>
    <col min="18" max="18" width="13.1640625" customWidth="1"/>
    <col min="33" max="33" width="22.1640625" customWidth="1"/>
    <col min="34" max="36" width="11.1640625" bestFit="1" customWidth="1"/>
    <col min="37" max="37" width="14" customWidth="1"/>
    <col min="38" max="38" width="25.83203125" customWidth="1"/>
    <col min="39" max="39" width="16.6640625" customWidth="1"/>
    <col min="40" max="40" width="13" customWidth="1"/>
    <col min="41" max="41" width="11" bestFit="1" customWidth="1"/>
    <col min="44" max="44" width="25.83203125" customWidth="1"/>
    <col min="45" max="45" width="13.1640625" customWidth="1"/>
    <col min="46" max="46" width="14.5" customWidth="1"/>
    <col min="47" max="47" width="11.5" bestFit="1" customWidth="1"/>
    <col min="53" max="53" width="13.6640625" customWidth="1"/>
    <col min="54" max="54" width="11.5" bestFit="1" customWidth="1"/>
  </cols>
  <sheetData>
    <row r="2" spans="2:35" ht="18">
      <c r="B2" s="32" t="s">
        <v>145</v>
      </c>
      <c r="C2" s="90" t="s">
        <v>155</v>
      </c>
      <c r="K2" s="1" t="s">
        <v>146</v>
      </c>
      <c r="L2" s="1"/>
      <c r="M2" s="1"/>
      <c r="N2" s="1"/>
      <c r="O2" s="1"/>
      <c r="P2" s="1"/>
      <c r="Q2" s="1"/>
      <c r="R2" s="24" t="s">
        <v>157</v>
      </c>
      <c r="S2" s="1" t="s">
        <v>147</v>
      </c>
      <c r="T2" s="1"/>
      <c r="U2" s="1"/>
      <c r="V2" s="1"/>
      <c r="W2" s="1"/>
      <c r="X2" s="1"/>
      <c r="Y2" s="1"/>
      <c r="Z2" s="7" t="s">
        <v>10</v>
      </c>
      <c r="AA2" s="87">
        <f>ROUNDUP(R4,0)</f>
        <v>8091</v>
      </c>
      <c r="AD2" s="114">
        <v>9</v>
      </c>
      <c r="AE2" s="114"/>
      <c r="AH2">
        <v>9</v>
      </c>
    </row>
    <row r="3" spans="2:35" ht="18">
      <c r="C3" s="24">
        <v>1</v>
      </c>
      <c r="D3" s="24">
        <v>2</v>
      </c>
      <c r="E3" s="69">
        <v>3</v>
      </c>
      <c r="F3" s="24">
        <v>4</v>
      </c>
      <c r="G3" s="24">
        <v>5</v>
      </c>
      <c r="H3" s="24">
        <v>6</v>
      </c>
      <c r="I3" s="24">
        <v>7</v>
      </c>
      <c r="K3" s="24">
        <v>1</v>
      </c>
      <c r="L3" s="24">
        <v>2</v>
      </c>
      <c r="M3" s="69">
        <v>3</v>
      </c>
      <c r="N3" s="24">
        <v>4</v>
      </c>
      <c r="O3" s="24">
        <v>5</v>
      </c>
      <c r="P3" s="24">
        <v>6</v>
      </c>
      <c r="Q3" s="24">
        <v>7</v>
      </c>
      <c r="R3" s="97">
        <v>0</v>
      </c>
      <c r="S3" s="27" t="s">
        <v>148</v>
      </c>
      <c r="T3" s="24" t="s">
        <v>149</v>
      </c>
      <c r="U3" s="24" t="s">
        <v>150</v>
      </c>
      <c r="V3" s="55" t="s">
        <v>151</v>
      </c>
      <c r="Z3" s="7" t="s">
        <v>11</v>
      </c>
      <c r="AA3" s="87">
        <f t="shared" ref="AA3:AA6" si="0">ROUNDUP(R5,0)</f>
        <v>4178</v>
      </c>
      <c r="AD3" s="114" t="s">
        <v>10</v>
      </c>
      <c r="AE3" s="114" t="s">
        <v>169</v>
      </c>
      <c r="AF3" s="114" t="s">
        <v>170</v>
      </c>
      <c r="AG3" s="114">
        <v>22</v>
      </c>
      <c r="AH3" s="114">
        <v>24</v>
      </c>
      <c r="AI3" s="114"/>
    </row>
    <row r="4" spans="2:35" ht="18">
      <c r="B4" s="7" t="s">
        <v>10</v>
      </c>
      <c r="C4" s="70">
        <v>4100</v>
      </c>
      <c r="D4" s="70">
        <v>3600</v>
      </c>
      <c r="E4" s="71">
        <v>6600</v>
      </c>
      <c r="F4" s="70">
        <v>6000</v>
      </c>
      <c r="G4" s="70">
        <v>5100</v>
      </c>
      <c r="H4" s="72">
        <v>8900</v>
      </c>
      <c r="I4" s="62"/>
      <c r="L4" s="74">
        <f>(D4/C4)-1</f>
        <v>-0.12195121951219512</v>
      </c>
      <c r="M4" s="112">
        <f>(E4/D4)-1</f>
        <v>0.83333333333333326</v>
      </c>
      <c r="N4" s="74">
        <f>(F4/E4)-1</f>
        <v>-9.0909090909090939E-2</v>
      </c>
      <c r="O4" s="74">
        <f t="shared" ref="M4:O4" si="1">(G4/F4)-1</f>
        <v>-0.15000000000000002</v>
      </c>
      <c r="P4" s="74">
        <f>(H4/G4)-1</f>
        <v>0.74509803921568629</v>
      </c>
      <c r="Q4" s="94">
        <f>H4*(1+N4)</f>
        <v>8090.909090909091</v>
      </c>
      <c r="R4" s="95">
        <f>Q4*(1+$R$3)</f>
        <v>8090.909090909091</v>
      </c>
      <c r="S4" s="62">
        <f>(F4/C4)-1</f>
        <v>0.46341463414634143</v>
      </c>
      <c r="T4" s="62">
        <f>(G4/D4)-1</f>
        <v>0.41666666666666674</v>
      </c>
      <c r="U4" s="62">
        <f>(H4/E4)-1</f>
        <v>0.3484848484848484</v>
      </c>
      <c r="V4" s="77">
        <f>F4*(1+S4)</f>
        <v>8780.4878048780483</v>
      </c>
      <c r="Z4" s="7" t="s">
        <v>12</v>
      </c>
      <c r="AA4" s="87">
        <f t="shared" si="0"/>
        <v>4570</v>
      </c>
      <c r="AD4" s="114" t="s">
        <v>10</v>
      </c>
      <c r="AE4" s="114" t="s">
        <v>171</v>
      </c>
      <c r="AF4" s="114" t="s">
        <v>172</v>
      </c>
      <c r="AG4" s="114">
        <v>4</v>
      </c>
      <c r="AH4" s="114">
        <v>120</v>
      </c>
      <c r="AI4" s="114"/>
    </row>
    <row r="5" spans="2:35" ht="18">
      <c r="B5" s="7" t="s">
        <v>11</v>
      </c>
      <c r="C5" s="70">
        <v>1800</v>
      </c>
      <c r="D5" s="70">
        <v>1900</v>
      </c>
      <c r="E5" s="71">
        <v>2700</v>
      </c>
      <c r="F5" s="70">
        <v>2800</v>
      </c>
      <c r="G5" s="70">
        <v>2900</v>
      </c>
      <c r="H5" s="72">
        <v>4028</v>
      </c>
      <c r="I5" s="62"/>
      <c r="J5" s="63"/>
      <c r="L5" s="74">
        <f t="shared" ref="L5:L6" si="2">(D5/C5)-1</f>
        <v>5.555555555555558E-2</v>
      </c>
      <c r="M5" s="112">
        <f t="shared" ref="M5:M6" si="3">(E5/D5)-1</f>
        <v>0.42105263157894735</v>
      </c>
      <c r="N5" s="74">
        <f t="shared" ref="N5:N6" si="4">(F5/E5)-1</f>
        <v>3.7037037037036979E-2</v>
      </c>
      <c r="O5" s="74">
        <f t="shared" ref="O5:O6" si="5">(G5/F5)-1</f>
        <v>3.5714285714285809E-2</v>
      </c>
      <c r="P5" s="74">
        <f t="shared" ref="P5:P6" si="6">(H5/G5)-1</f>
        <v>0.38896551724137929</v>
      </c>
      <c r="Q5" s="94">
        <f>H5*(1+N5)</f>
        <v>4177.1851851851852</v>
      </c>
      <c r="R5" s="95">
        <f t="shared" ref="R5" si="7">Q5*(1+$R$3)</f>
        <v>4177.1851851851852</v>
      </c>
      <c r="S5" s="62">
        <f t="shared" ref="S5:S6" si="8">(F5/C5)-1</f>
        <v>0.55555555555555558</v>
      </c>
      <c r="T5" s="62">
        <f t="shared" ref="T5:T6" si="9">(G5/D5)-1</f>
        <v>0.52631578947368429</v>
      </c>
      <c r="U5" s="62">
        <f t="shared" ref="U5:U6" si="10">(H5/E5)-1</f>
        <v>0.49185185185185176</v>
      </c>
      <c r="V5" s="77">
        <f>F5*(1+S5)</f>
        <v>4355.5555555555557</v>
      </c>
      <c r="Z5" s="7" t="s">
        <v>13</v>
      </c>
      <c r="AA5" s="87">
        <f t="shared" si="0"/>
        <v>1334</v>
      </c>
      <c r="AD5" s="114" t="s">
        <v>10</v>
      </c>
      <c r="AE5" s="114" t="s">
        <v>171</v>
      </c>
      <c r="AF5" s="114" t="s">
        <v>173</v>
      </c>
      <c r="AG5" s="114">
        <v>0</v>
      </c>
      <c r="AH5" s="114">
        <v>0</v>
      </c>
      <c r="AI5" s="114"/>
    </row>
    <row r="6" spans="2:35" ht="18">
      <c r="B6" s="7" t="s">
        <v>12</v>
      </c>
      <c r="C6" s="70">
        <v>700</v>
      </c>
      <c r="D6" s="70">
        <v>1200</v>
      </c>
      <c r="E6" s="71">
        <v>2600</v>
      </c>
      <c r="F6" s="70">
        <v>2700</v>
      </c>
      <c r="G6" s="70">
        <v>2700</v>
      </c>
      <c r="H6" s="72">
        <v>4400</v>
      </c>
      <c r="I6" s="62"/>
      <c r="L6" s="74">
        <f t="shared" si="2"/>
        <v>0.71428571428571419</v>
      </c>
      <c r="M6" s="112">
        <f t="shared" si="3"/>
        <v>1.1666666666666665</v>
      </c>
      <c r="N6" s="74">
        <f t="shared" si="4"/>
        <v>3.8461538461538547E-2</v>
      </c>
      <c r="O6" s="74">
        <f t="shared" si="5"/>
        <v>0</v>
      </c>
      <c r="P6" s="74">
        <f t="shared" si="6"/>
        <v>0.62962962962962954</v>
      </c>
      <c r="Q6" s="94">
        <f>H6*(1+N6)</f>
        <v>4569.2307692307695</v>
      </c>
      <c r="R6" s="95">
        <f>Q6*(1+$R$3)</f>
        <v>4569.2307692307695</v>
      </c>
      <c r="S6" s="62">
        <f t="shared" si="8"/>
        <v>2.8571428571428572</v>
      </c>
      <c r="T6" s="62">
        <f t="shared" si="9"/>
        <v>1.25</v>
      </c>
      <c r="U6" s="62">
        <f t="shared" si="10"/>
        <v>0.69230769230769229</v>
      </c>
      <c r="V6" s="77">
        <f>F6*(1+S6)</f>
        <v>10414.285714285714</v>
      </c>
      <c r="Z6" s="7" t="s">
        <v>14</v>
      </c>
      <c r="AA6" s="87">
        <f t="shared" si="0"/>
        <v>1000</v>
      </c>
      <c r="AD6" s="114" t="s">
        <v>10</v>
      </c>
      <c r="AE6" s="114" t="s">
        <v>171</v>
      </c>
      <c r="AF6" s="114" t="s">
        <v>174</v>
      </c>
      <c r="AG6" s="114">
        <v>4</v>
      </c>
      <c r="AH6" s="114">
        <v>5</v>
      </c>
      <c r="AI6" s="114"/>
    </row>
    <row r="7" spans="2:35">
      <c r="B7" s="7" t="s">
        <v>13</v>
      </c>
      <c r="C7" s="59"/>
      <c r="D7" s="59"/>
      <c r="E7" s="73"/>
      <c r="F7" s="59"/>
      <c r="G7" s="59"/>
      <c r="H7" s="73"/>
      <c r="I7" s="62"/>
      <c r="L7" s="63"/>
      <c r="M7" s="63"/>
      <c r="N7" s="63"/>
      <c r="O7" s="63"/>
      <c r="P7" s="63"/>
      <c r="Q7" s="96">
        <f>((EXHIBITS!C10+EXHIBITS!D10)/2)/3</f>
        <v>1333.3333333333333</v>
      </c>
      <c r="R7" s="95">
        <f>Q7</f>
        <v>1333.3333333333333</v>
      </c>
      <c r="V7" s="78">
        <f>Q7</f>
        <v>1333.3333333333333</v>
      </c>
      <c r="AA7" s="98">
        <f>SUM(AA2:AA6)</f>
        <v>19173</v>
      </c>
      <c r="AD7" s="114" t="s">
        <v>10</v>
      </c>
      <c r="AE7" s="114" t="s">
        <v>175</v>
      </c>
      <c r="AF7" s="114" t="s">
        <v>174</v>
      </c>
      <c r="AG7" s="114">
        <v>10</v>
      </c>
      <c r="AH7" s="114">
        <v>11</v>
      </c>
      <c r="AI7" s="114"/>
    </row>
    <row r="8" spans="2:35">
      <c r="B8" s="7" t="s">
        <v>14</v>
      </c>
      <c r="C8" s="59"/>
      <c r="D8" s="59"/>
      <c r="E8" s="73"/>
      <c r="F8" s="59"/>
      <c r="G8" s="59"/>
      <c r="H8" s="73"/>
      <c r="L8" s="63"/>
      <c r="M8" s="63"/>
      <c r="N8" s="63"/>
      <c r="O8" s="63">
        <f>(M13/H4)-1</f>
        <v>-1</v>
      </c>
      <c r="P8" s="63"/>
      <c r="Q8" s="96">
        <f>((EXHIBITS!C11+EXHIBITS!D11)/2)/3</f>
        <v>1000</v>
      </c>
      <c r="R8" s="95">
        <f>Q8</f>
        <v>1000</v>
      </c>
      <c r="V8" s="78">
        <f>Q8</f>
        <v>1000</v>
      </c>
      <c r="AD8" s="114" t="s">
        <v>10</v>
      </c>
      <c r="AE8" s="114" t="s">
        <v>176</v>
      </c>
      <c r="AF8" s="114" t="s">
        <v>174</v>
      </c>
      <c r="AG8" s="114">
        <v>12</v>
      </c>
      <c r="AH8" s="114">
        <v>13</v>
      </c>
      <c r="AI8" s="114"/>
    </row>
    <row r="9" spans="2:35">
      <c r="B9" s="25" t="s">
        <v>133</v>
      </c>
      <c r="C9" s="76">
        <f>SUM(C4:C8)</f>
        <v>6600</v>
      </c>
      <c r="D9" s="76">
        <f t="shared" ref="D9:H9" si="11">SUM(D4:D8)</f>
        <v>6700</v>
      </c>
      <c r="E9" s="76">
        <f t="shared" si="11"/>
        <v>11900</v>
      </c>
      <c r="F9" s="76">
        <f t="shared" si="11"/>
        <v>11500</v>
      </c>
      <c r="G9" s="76">
        <f t="shared" si="11"/>
        <v>10700</v>
      </c>
      <c r="H9" s="76">
        <f t="shared" si="11"/>
        <v>17328</v>
      </c>
      <c r="O9" s="63">
        <f t="shared" ref="O9:O10" si="12">(M14/H5)-1</f>
        <v>-1</v>
      </c>
      <c r="AD9" s="114" t="s">
        <v>10</v>
      </c>
      <c r="AE9" s="114" t="s">
        <v>176</v>
      </c>
      <c r="AF9" s="114" t="s">
        <v>177</v>
      </c>
      <c r="AG9" s="114" t="s">
        <v>178</v>
      </c>
      <c r="AH9" s="114">
        <v>90</v>
      </c>
      <c r="AI9" s="114"/>
    </row>
    <row r="10" spans="2:35">
      <c r="B10" s="91" t="s">
        <v>156</v>
      </c>
      <c r="C10" s="76">
        <f>EXHIBITS!C19</f>
        <v>110000</v>
      </c>
      <c r="D10" s="76">
        <f>EXHIBITS!D19</f>
        <v>75000</v>
      </c>
      <c r="E10" s="76">
        <f>EXHIBITS!E19</f>
        <v>70000</v>
      </c>
      <c r="F10" s="76">
        <f>EXHIBITS!F19</f>
        <v>50000</v>
      </c>
      <c r="G10" s="76">
        <f>EXHIBITS!G19</f>
        <v>30000</v>
      </c>
      <c r="H10" s="76"/>
      <c r="O10" s="63">
        <f t="shared" si="12"/>
        <v>-1</v>
      </c>
      <c r="AD10" s="114" t="s">
        <v>13</v>
      </c>
      <c r="AE10" s="114" t="s">
        <v>179</v>
      </c>
      <c r="AF10" s="114" t="s">
        <v>180</v>
      </c>
      <c r="AG10" s="114">
        <v>0</v>
      </c>
      <c r="AH10" s="114">
        <v>0</v>
      </c>
      <c r="AI10" s="114"/>
    </row>
    <row r="11" spans="2:35">
      <c r="C11" s="62">
        <f>H4/C10</f>
        <v>8.0909090909090903E-2</v>
      </c>
      <c r="D11" s="62">
        <f>H5/D10</f>
        <v>5.3706666666666666E-2</v>
      </c>
      <c r="E11" s="62">
        <f>H6/F10</f>
        <v>8.7999999999999995E-2</v>
      </c>
      <c r="F11" s="76"/>
      <c r="G11" s="76"/>
      <c r="H11" s="76"/>
      <c r="AD11" s="114" t="s">
        <v>13</v>
      </c>
      <c r="AE11" s="114" t="s">
        <v>169</v>
      </c>
      <c r="AF11" s="114" t="s">
        <v>170</v>
      </c>
      <c r="AG11" s="114">
        <v>0</v>
      </c>
      <c r="AH11" s="114">
        <v>0</v>
      </c>
      <c r="AI11" s="114"/>
    </row>
    <row r="12" spans="2:35">
      <c r="B12" s="32" t="s">
        <v>85</v>
      </c>
      <c r="C12" s="31"/>
      <c r="D12" s="31"/>
      <c r="E12" s="31"/>
      <c r="F12" s="31"/>
      <c r="G12" s="31"/>
      <c r="H12" s="31"/>
      <c r="I12" s="31"/>
      <c r="J12" s="31"/>
      <c r="K12" s="99" t="s">
        <v>163</v>
      </c>
      <c r="L12" s="99" t="s">
        <v>168</v>
      </c>
      <c r="M12" s="31"/>
      <c r="N12" s="31" t="s">
        <v>201</v>
      </c>
      <c r="O12" s="31"/>
      <c r="P12" s="31"/>
      <c r="Q12" s="31"/>
      <c r="R12" s="31"/>
      <c r="S12" s="31"/>
      <c r="T12" s="31"/>
      <c r="U12" s="31"/>
      <c r="AD12" s="114" t="s">
        <v>13</v>
      </c>
      <c r="AE12" s="114" t="s">
        <v>171</v>
      </c>
      <c r="AF12" s="114" t="s">
        <v>172</v>
      </c>
      <c r="AG12" s="114">
        <v>0</v>
      </c>
      <c r="AH12" s="114">
        <v>0</v>
      </c>
      <c r="AI12" s="114"/>
    </row>
    <row r="13" spans="2:35">
      <c r="C13" s="26" t="s">
        <v>77</v>
      </c>
      <c r="D13" s="25" t="s">
        <v>78</v>
      </c>
      <c r="E13" s="25" t="s">
        <v>79</v>
      </c>
      <c r="F13" s="25" t="s">
        <v>80</v>
      </c>
      <c r="H13" s="55" t="s">
        <v>10</v>
      </c>
      <c r="I13" s="86">
        <f>AA2</f>
        <v>8091</v>
      </c>
      <c r="K13" s="75">
        <v>7792</v>
      </c>
      <c r="L13" s="75">
        <f>I13-K13</f>
        <v>299</v>
      </c>
      <c r="M13" s="76"/>
      <c r="N13" s="62">
        <f>1-(K13/I13)</f>
        <v>3.6954640959090401E-2</v>
      </c>
      <c r="O13" s="76"/>
      <c r="AD13" s="114" t="s">
        <v>13</v>
      </c>
      <c r="AE13" s="114" t="s">
        <v>171</v>
      </c>
      <c r="AF13" s="114" t="s">
        <v>173</v>
      </c>
      <c r="AG13" s="114">
        <v>0</v>
      </c>
      <c r="AH13" s="114">
        <v>0</v>
      </c>
      <c r="AI13" s="114"/>
    </row>
    <row r="14" spans="2:35">
      <c r="C14" s="109">
        <f>$I$13/4</f>
        <v>2022.75</v>
      </c>
      <c r="D14" s="109">
        <f>$I$13/4</f>
        <v>2022.75</v>
      </c>
      <c r="E14" s="109">
        <f>$I$13/4</f>
        <v>2022.75</v>
      </c>
      <c r="F14" s="109">
        <f>$I$13/4</f>
        <v>2022.75</v>
      </c>
      <c r="G14" s="75">
        <f>SUM(C14:F14)</f>
        <v>8091</v>
      </c>
      <c r="H14" s="55" t="s">
        <v>11</v>
      </c>
      <c r="I14" s="86">
        <f>AA3</f>
        <v>4178</v>
      </c>
      <c r="K14" s="75">
        <v>3948</v>
      </c>
      <c r="L14" s="75">
        <f t="shared" ref="L14:L18" si="13">I14-K14</f>
        <v>230</v>
      </c>
      <c r="M14" s="76"/>
      <c r="N14" s="62">
        <f t="shared" ref="N14:N17" si="14">1-(K14/I14)</f>
        <v>5.5050263283867862E-2</v>
      </c>
      <c r="O14" s="76"/>
      <c r="AD14" s="114" t="s">
        <v>13</v>
      </c>
      <c r="AE14" s="114" t="s">
        <v>171</v>
      </c>
      <c r="AF14" s="114" t="s">
        <v>174</v>
      </c>
      <c r="AG14" s="114">
        <v>0</v>
      </c>
      <c r="AH14" s="114">
        <v>0</v>
      </c>
      <c r="AI14" s="114"/>
    </row>
    <row r="15" spans="2:35">
      <c r="C15" s="109">
        <f>$I$14/4</f>
        <v>1044.5</v>
      </c>
      <c r="D15" s="109">
        <f>$I$14/4</f>
        <v>1044.5</v>
      </c>
      <c r="E15" s="109">
        <f>$I$14/4</f>
        <v>1044.5</v>
      </c>
      <c r="F15" s="109">
        <f>$I$14/4</f>
        <v>1044.5</v>
      </c>
      <c r="G15" s="75">
        <f t="shared" ref="G15:G18" si="15">SUM(C15:F15)</f>
        <v>4178</v>
      </c>
      <c r="H15" s="55" t="s">
        <v>12</v>
      </c>
      <c r="I15" s="86">
        <f>AA4</f>
        <v>4570</v>
      </c>
      <c r="K15" s="75">
        <v>3868</v>
      </c>
      <c r="L15" s="75">
        <f t="shared" si="13"/>
        <v>702</v>
      </c>
      <c r="M15" s="76"/>
      <c r="N15" s="62">
        <f t="shared" si="14"/>
        <v>0.15361050328227566</v>
      </c>
      <c r="O15" s="76"/>
      <c r="AD15" s="114" t="s">
        <v>13</v>
      </c>
      <c r="AE15" s="114" t="s">
        <v>175</v>
      </c>
      <c r="AF15" s="114" t="s">
        <v>174</v>
      </c>
      <c r="AG15" s="114">
        <v>0</v>
      </c>
      <c r="AH15" s="114">
        <v>0</v>
      </c>
      <c r="AI15" s="114"/>
    </row>
    <row r="16" spans="2:35">
      <c r="C16" s="109">
        <f>$I$15/4</f>
        <v>1142.5</v>
      </c>
      <c r="D16" s="109">
        <f>$I$15/4</f>
        <v>1142.5</v>
      </c>
      <c r="E16" s="109">
        <f>$I$15/4</f>
        <v>1142.5</v>
      </c>
      <c r="F16" s="109">
        <f>$I$15/4</f>
        <v>1142.5</v>
      </c>
      <c r="G16" s="75">
        <f t="shared" si="15"/>
        <v>4570</v>
      </c>
      <c r="H16" s="55" t="s">
        <v>13</v>
      </c>
      <c r="I16" s="86">
        <f>AA5</f>
        <v>1334</v>
      </c>
      <c r="K16" s="75">
        <v>788</v>
      </c>
      <c r="L16" s="75">
        <f t="shared" si="13"/>
        <v>546</v>
      </c>
      <c r="M16" s="76"/>
      <c r="N16" s="62">
        <f t="shared" si="14"/>
        <v>0.40929535232383807</v>
      </c>
      <c r="O16" s="76"/>
      <c r="AD16" s="114" t="s">
        <v>13</v>
      </c>
      <c r="AE16" s="114" t="s">
        <v>176</v>
      </c>
      <c r="AF16" s="114" t="s">
        <v>174</v>
      </c>
      <c r="AG16" s="114">
        <v>0</v>
      </c>
      <c r="AH16" s="114">
        <v>0</v>
      </c>
      <c r="AI16" s="114"/>
    </row>
    <row r="17" spans="1:35">
      <c r="C17" s="109">
        <f>$I$16/4</f>
        <v>333.5</v>
      </c>
      <c r="D17" s="109">
        <f>$I$16/4</f>
        <v>333.5</v>
      </c>
      <c r="E17" s="109">
        <f>$I$16/4</f>
        <v>333.5</v>
      </c>
      <c r="F17" s="109">
        <f>$I$16/4</f>
        <v>333.5</v>
      </c>
      <c r="G17" s="75">
        <f t="shared" si="15"/>
        <v>1334</v>
      </c>
      <c r="H17" s="55" t="s">
        <v>14</v>
      </c>
      <c r="I17" s="86">
        <f>AA6</f>
        <v>1000</v>
      </c>
      <c r="K17" s="75">
        <v>684</v>
      </c>
      <c r="L17" s="75">
        <f t="shared" si="13"/>
        <v>316</v>
      </c>
      <c r="M17" s="76"/>
      <c r="N17" s="62">
        <f t="shared" si="14"/>
        <v>0.31599999999999995</v>
      </c>
      <c r="O17" s="76"/>
      <c r="AD17" s="114" t="s">
        <v>13</v>
      </c>
      <c r="AE17" s="114" t="s">
        <v>176</v>
      </c>
      <c r="AF17" s="114" t="s">
        <v>177</v>
      </c>
      <c r="AG17" s="114" t="s">
        <v>178</v>
      </c>
      <c r="AH17" s="114">
        <v>0</v>
      </c>
      <c r="AI17" s="114"/>
    </row>
    <row r="18" spans="1:35">
      <c r="C18" s="109">
        <f>$I$17/4</f>
        <v>250</v>
      </c>
      <c r="D18" s="109">
        <f>$I$17/4</f>
        <v>250</v>
      </c>
      <c r="E18" s="109">
        <f>$I$17/4</f>
        <v>250</v>
      </c>
      <c r="F18" s="109">
        <f>$I$17/4</f>
        <v>250</v>
      </c>
      <c r="G18" s="75">
        <f t="shared" si="15"/>
        <v>1000</v>
      </c>
      <c r="H18" s="25" t="s">
        <v>133</v>
      </c>
      <c r="I18" s="108">
        <f>SUM(I13:I17)</f>
        <v>19173</v>
      </c>
      <c r="K18" s="75">
        <f>SUM(K13:K17)</f>
        <v>17080</v>
      </c>
      <c r="L18" s="75">
        <f t="shared" si="13"/>
        <v>2093</v>
      </c>
      <c r="O18" s="76"/>
      <c r="AD18" s="114" t="s">
        <v>12</v>
      </c>
      <c r="AE18" s="114" t="s">
        <v>179</v>
      </c>
      <c r="AF18" s="114" t="s">
        <v>180</v>
      </c>
      <c r="AG18" s="114">
        <v>0</v>
      </c>
      <c r="AH18" s="114">
        <v>0</v>
      </c>
      <c r="AI18" s="114"/>
    </row>
    <row r="19" spans="1:35">
      <c r="AD19" s="114" t="s">
        <v>12</v>
      </c>
      <c r="AE19" s="114" t="s">
        <v>169</v>
      </c>
      <c r="AF19" s="114" t="s">
        <v>170</v>
      </c>
      <c r="AG19" s="114">
        <v>0</v>
      </c>
      <c r="AH19" s="114">
        <v>0</v>
      </c>
      <c r="AI19" s="114"/>
    </row>
    <row r="20" spans="1:35">
      <c r="B20" s="32" t="s">
        <v>83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AD20" s="114" t="s">
        <v>12</v>
      </c>
      <c r="AE20" s="114" t="s">
        <v>171</v>
      </c>
      <c r="AF20" s="114" t="s">
        <v>172</v>
      </c>
      <c r="AG20" s="114">
        <v>0</v>
      </c>
      <c r="AH20" s="114">
        <v>0</v>
      </c>
      <c r="AI20" s="114"/>
    </row>
    <row r="21" spans="1:35">
      <c r="A21" s="90" t="s">
        <v>196</v>
      </c>
      <c r="B21">
        <v>31.39</v>
      </c>
      <c r="C21" s="52" t="s">
        <v>2</v>
      </c>
      <c r="D21" s="52" t="s">
        <v>81</v>
      </c>
      <c r="E21" s="52" t="s">
        <v>161</v>
      </c>
      <c r="F21" s="52" t="s">
        <v>152</v>
      </c>
      <c r="I21" s="52" t="s">
        <v>2</v>
      </c>
      <c r="J21" s="52" t="s">
        <v>197</v>
      </c>
      <c r="K21" s="52" t="s">
        <v>198</v>
      </c>
      <c r="L21" s="52" t="s">
        <v>198</v>
      </c>
      <c r="M21" s="52" t="s">
        <v>199</v>
      </c>
      <c r="N21" s="52" t="s">
        <v>199</v>
      </c>
      <c r="O21" s="52" t="s">
        <v>226</v>
      </c>
      <c r="AD21" s="114" t="s">
        <v>12</v>
      </c>
      <c r="AE21" s="114" t="s">
        <v>171</v>
      </c>
      <c r="AF21" s="114" t="s">
        <v>173</v>
      </c>
      <c r="AG21" s="114">
        <v>0</v>
      </c>
      <c r="AH21" s="114">
        <v>0</v>
      </c>
      <c r="AI21" s="114"/>
    </row>
    <row r="22" spans="1:35">
      <c r="A22" s="53">
        <v>68</v>
      </c>
      <c r="B22" s="93">
        <v>0.11</v>
      </c>
      <c r="C22" s="55" t="s">
        <v>10</v>
      </c>
      <c r="D22" s="80">
        <f>ROUNDUP(A22+E47,0)</f>
        <v>69</v>
      </c>
      <c r="E22" s="106">
        <f>ROUNDUP(D22*1.11,0)</f>
        <v>77</v>
      </c>
      <c r="I22" s="55" t="s">
        <v>10</v>
      </c>
      <c r="J22" s="54">
        <f>E22-$B$21</f>
        <v>45.61</v>
      </c>
      <c r="L22" s="137">
        <f>(J22/$B$21)-1</f>
        <v>0.45301051290219818</v>
      </c>
      <c r="M22" s="54">
        <f>(E22*(1-G61))-$B$21</f>
        <v>39.835000000000008</v>
      </c>
      <c r="O22" s="137">
        <f>(M22/$B$21)-1</f>
        <v>0.26903472443453347</v>
      </c>
      <c r="AD22" s="114" t="s">
        <v>12</v>
      </c>
      <c r="AE22" s="114" t="s">
        <v>171</v>
      </c>
      <c r="AF22" s="114" t="s">
        <v>174</v>
      </c>
      <c r="AG22" s="114">
        <v>0</v>
      </c>
      <c r="AH22" s="114">
        <v>0</v>
      </c>
      <c r="AI22" s="114"/>
    </row>
    <row r="23" spans="1:35">
      <c r="A23" s="53">
        <v>68</v>
      </c>
      <c r="B23" s="93">
        <v>0.11</v>
      </c>
      <c r="C23" s="55" t="s">
        <v>11</v>
      </c>
      <c r="D23" s="80">
        <f>ROUNDUP(A23+E47,0)</f>
        <v>69</v>
      </c>
      <c r="E23" s="106">
        <f>ROUNDUP(D23*1.11,0)</f>
        <v>77</v>
      </c>
      <c r="I23" s="55" t="s">
        <v>11</v>
      </c>
      <c r="J23" s="54">
        <f>E23-$B$21</f>
        <v>45.61</v>
      </c>
      <c r="L23" s="137">
        <f t="shared" ref="L23:L26" si="16">(J23/$B$21)-1</f>
        <v>0.45301051290219818</v>
      </c>
      <c r="M23" s="54">
        <f t="shared" ref="M23:M26" si="17">(E23*(1-G62))-$B$21</f>
        <v>39.835000000000008</v>
      </c>
      <c r="O23" s="137">
        <f t="shared" ref="O23:O26" si="18">(M23/$B$21)-1</f>
        <v>0.26903472443453347</v>
      </c>
      <c r="AD23" s="114" t="s">
        <v>12</v>
      </c>
      <c r="AE23" s="114" t="s">
        <v>175</v>
      </c>
      <c r="AF23" s="114" t="s">
        <v>174</v>
      </c>
      <c r="AG23" s="114">
        <v>0</v>
      </c>
      <c r="AH23" s="114">
        <v>0</v>
      </c>
      <c r="AI23" s="114"/>
    </row>
    <row r="24" spans="1:35">
      <c r="A24" s="53">
        <v>91</v>
      </c>
      <c r="B24" s="113">
        <v>9.5000000000000001E-2</v>
      </c>
      <c r="C24" s="55" t="s">
        <v>12</v>
      </c>
      <c r="D24" s="80">
        <f>ROUNDUP(A24+'DF Q7'!E47,0)</f>
        <v>92</v>
      </c>
      <c r="E24" s="106">
        <f>ROUNDUP(D24*1.095,0)</f>
        <v>101</v>
      </c>
      <c r="F24" s="81">
        <v>26.4</v>
      </c>
      <c r="G24" s="81">
        <v>19.600000000000001</v>
      </c>
      <c r="I24" s="55" t="s">
        <v>12</v>
      </c>
      <c r="J24" s="54">
        <f t="shared" ref="J24:J26" si="19">E24-$B$21</f>
        <v>69.61</v>
      </c>
      <c r="K24" s="54">
        <f>E24-$B$21-F24</f>
        <v>43.21</v>
      </c>
      <c r="L24" s="137">
        <f>(K24/$B$21)-1</f>
        <v>0.3765530423701815</v>
      </c>
      <c r="M24" s="54">
        <f t="shared" si="17"/>
        <v>62.035000000000011</v>
      </c>
      <c r="N24" s="54">
        <f>M24-F24</f>
        <v>35.635000000000012</v>
      </c>
      <c r="O24" s="137">
        <f>(N24/$B$21)-1</f>
        <v>0.13523415100350467</v>
      </c>
      <c r="AD24" s="114" t="s">
        <v>12</v>
      </c>
      <c r="AE24" s="114" t="s">
        <v>176</v>
      </c>
      <c r="AF24" s="114" t="s">
        <v>174</v>
      </c>
      <c r="AG24" s="114">
        <v>0</v>
      </c>
      <c r="AH24" s="114">
        <v>0</v>
      </c>
      <c r="AI24" s="114"/>
    </row>
    <row r="25" spans="1:35">
      <c r="A25" s="53">
        <v>0</v>
      </c>
      <c r="B25" s="93"/>
      <c r="C25" s="55" t="s">
        <v>13</v>
      </c>
      <c r="D25" s="80">
        <f>ROUNDUP(A22+'DF Q7'!E47+'DF Q7'!F25,0)</f>
        <v>98</v>
      </c>
      <c r="E25" s="106">
        <f>ROUNDUP(D25*1,0)</f>
        <v>98</v>
      </c>
      <c r="F25" s="81">
        <v>28.8</v>
      </c>
      <c r="I25" s="55" t="s">
        <v>13</v>
      </c>
      <c r="J25" s="54">
        <f t="shared" si="19"/>
        <v>66.61</v>
      </c>
      <c r="K25" s="54">
        <f>E25-$B$21-F25</f>
        <v>37.81</v>
      </c>
      <c r="L25" s="137">
        <f>(K25/$B$21)-1</f>
        <v>0.20452373367314447</v>
      </c>
      <c r="M25" s="54">
        <f t="shared" si="17"/>
        <v>59.260000000000005</v>
      </c>
      <c r="N25" s="54">
        <f t="shared" ref="N25:N26" si="20">M25-F25</f>
        <v>30.460000000000004</v>
      </c>
      <c r="O25" s="137">
        <f t="shared" ref="O25:O26" si="21">(N25/$B$21)-1</f>
        <v>-2.9627269831156267E-2</v>
      </c>
      <c r="AD25" s="114" t="s">
        <v>12</v>
      </c>
      <c r="AE25" s="114" t="s">
        <v>176</v>
      </c>
      <c r="AF25" s="114" t="s">
        <v>177</v>
      </c>
      <c r="AG25" s="114" t="s">
        <v>178</v>
      </c>
      <c r="AH25" s="114">
        <v>0</v>
      </c>
      <c r="AI25" s="114"/>
    </row>
    <row r="26" spans="1:35">
      <c r="A26" s="53">
        <v>0</v>
      </c>
      <c r="B26" s="62" t="s">
        <v>162</v>
      </c>
      <c r="C26" s="55" t="s">
        <v>14</v>
      </c>
      <c r="D26" s="80">
        <f>ROUNDUP(A22+'DF Q7'!E47+'DF Q7'!F26,0)</f>
        <v>93</v>
      </c>
      <c r="E26" s="107">
        <f>ROUNDUP(D26*1.07,0)</f>
        <v>100</v>
      </c>
      <c r="F26" s="81">
        <v>24</v>
      </c>
      <c r="I26" s="55" t="s">
        <v>14</v>
      </c>
      <c r="J26" s="54">
        <f t="shared" si="19"/>
        <v>68.61</v>
      </c>
      <c r="K26" s="54">
        <f>E26-$B$21-F26</f>
        <v>44.61</v>
      </c>
      <c r="L26" s="137">
        <f>(K26/$B$21)-1</f>
        <v>0.42115323351385792</v>
      </c>
      <c r="M26" s="54">
        <f t="shared" si="17"/>
        <v>61.11</v>
      </c>
      <c r="N26" s="54">
        <f t="shared" si="20"/>
        <v>37.11</v>
      </c>
      <c r="O26" s="137">
        <f t="shared" si="21"/>
        <v>0.18222363810130604</v>
      </c>
      <c r="AD26" s="114" t="s">
        <v>14</v>
      </c>
      <c r="AE26" s="114" t="s">
        <v>179</v>
      </c>
      <c r="AF26" s="114" t="s">
        <v>180</v>
      </c>
      <c r="AG26" s="114">
        <v>0</v>
      </c>
      <c r="AH26" s="114">
        <v>0</v>
      </c>
      <c r="AI26" s="114"/>
    </row>
    <row r="27" spans="1:35">
      <c r="AD27" s="114" t="s">
        <v>14</v>
      </c>
      <c r="AE27" s="114" t="s">
        <v>169</v>
      </c>
      <c r="AF27" s="114" t="s">
        <v>170</v>
      </c>
      <c r="AG27" s="114">
        <v>0</v>
      </c>
      <c r="AH27" s="114">
        <v>0</v>
      </c>
      <c r="AI27" s="114"/>
    </row>
    <row r="28" spans="1:35">
      <c r="AD28" s="114" t="s">
        <v>14</v>
      </c>
      <c r="AE28" s="114" t="s">
        <v>171</v>
      </c>
      <c r="AF28" s="114" t="s">
        <v>172</v>
      </c>
      <c r="AG28" s="114">
        <v>0</v>
      </c>
      <c r="AH28" s="114">
        <v>0</v>
      </c>
      <c r="AI28" s="114"/>
    </row>
    <row r="29" spans="1:35">
      <c r="B29" s="32" t="s">
        <v>87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AD29" s="114" t="s">
        <v>14</v>
      </c>
      <c r="AE29" s="114" t="s">
        <v>171</v>
      </c>
      <c r="AF29" s="114" t="s">
        <v>173</v>
      </c>
      <c r="AG29" s="114">
        <v>0</v>
      </c>
      <c r="AH29" s="114">
        <v>0</v>
      </c>
      <c r="AI29" s="114"/>
    </row>
    <row r="30" spans="1:35">
      <c r="C30" s="52" t="s">
        <v>53</v>
      </c>
      <c r="D30" s="52" t="s">
        <v>2</v>
      </c>
      <c r="E30" s="52" t="s">
        <v>130</v>
      </c>
      <c r="F30" s="52" t="s">
        <v>131</v>
      </c>
      <c r="G30" s="52" t="s">
        <v>132</v>
      </c>
      <c r="H30" s="52" t="s">
        <v>138</v>
      </c>
      <c r="I30" s="52" t="s">
        <v>153</v>
      </c>
      <c r="AD30" s="114" t="s">
        <v>14</v>
      </c>
      <c r="AE30" s="114" t="s">
        <v>171</v>
      </c>
      <c r="AF30" s="114" t="s">
        <v>174</v>
      </c>
      <c r="AG30" s="114">
        <v>0</v>
      </c>
      <c r="AH30" s="114">
        <v>0</v>
      </c>
      <c r="AI30" s="114"/>
    </row>
    <row r="31" spans="1:35">
      <c r="A31">
        <v>35</v>
      </c>
      <c r="B31" s="83">
        <f>REPORT!D65/'DF Q7'!H9</f>
        <v>2.0198522622345335E-3</v>
      </c>
      <c r="C31" s="55" t="s">
        <v>57</v>
      </c>
      <c r="D31" s="55" t="s">
        <v>58</v>
      </c>
      <c r="E31" s="111">
        <v>35</v>
      </c>
      <c r="F31" s="58">
        <v>3000</v>
      </c>
      <c r="G31" s="64">
        <f>F31*E31</f>
        <v>105000</v>
      </c>
      <c r="H31" s="67">
        <v>60</v>
      </c>
      <c r="I31" s="54">
        <f>G31/8</f>
        <v>13125</v>
      </c>
      <c r="AD31" s="114" t="s">
        <v>14</v>
      </c>
      <c r="AE31" s="114" t="s">
        <v>175</v>
      </c>
      <c r="AF31" s="114" t="s">
        <v>174</v>
      </c>
      <c r="AG31" s="114">
        <v>0</v>
      </c>
      <c r="AH31" s="114">
        <v>0</v>
      </c>
      <c r="AI31" s="114"/>
    </row>
    <row r="32" spans="1:35">
      <c r="A32">
        <v>210</v>
      </c>
      <c r="B32" s="83">
        <f>REPORT!D66/'DF Q7'!H4</f>
        <v>2.359550561797753E-2</v>
      </c>
      <c r="C32" s="55" t="s">
        <v>59</v>
      </c>
      <c r="D32" s="55" t="s">
        <v>10</v>
      </c>
      <c r="E32" s="111">
        <v>210</v>
      </c>
      <c r="F32" s="58">
        <v>300</v>
      </c>
      <c r="G32" s="64">
        <f t="shared" ref="G32:G36" si="22">F32*E32</f>
        <v>63000</v>
      </c>
      <c r="H32" s="67">
        <v>55</v>
      </c>
      <c r="I32" s="54">
        <f t="shared" ref="I32:I36" si="23">G32/8</f>
        <v>7875</v>
      </c>
      <c r="J32" t="s">
        <v>164</v>
      </c>
      <c r="AD32" s="114" t="s">
        <v>14</v>
      </c>
      <c r="AE32" s="114" t="s">
        <v>176</v>
      </c>
      <c r="AF32" s="114" t="s">
        <v>174</v>
      </c>
      <c r="AG32" s="114">
        <v>0</v>
      </c>
      <c r="AH32" s="114">
        <v>0</v>
      </c>
      <c r="AI32" s="114"/>
    </row>
    <row r="33" spans="1:41">
      <c r="A33">
        <v>102</v>
      </c>
      <c r="B33" s="83">
        <f>REPORT!D67/'DF Q7'!H5</f>
        <v>2.5322740814299902E-2</v>
      </c>
      <c r="C33" s="55"/>
      <c r="D33" s="55" t="s">
        <v>11</v>
      </c>
      <c r="E33" s="111">
        <v>102</v>
      </c>
      <c r="F33" s="58">
        <v>300</v>
      </c>
      <c r="G33" s="64">
        <f t="shared" si="22"/>
        <v>30600</v>
      </c>
      <c r="H33" s="67">
        <v>55</v>
      </c>
      <c r="I33" s="54">
        <f t="shared" si="23"/>
        <v>3825</v>
      </c>
      <c r="J33" t="s">
        <v>165</v>
      </c>
      <c r="AD33" s="114" t="s">
        <v>14</v>
      </c>
      <c r="AE33" s="114" t="s">
        <v>176</v>
      </c>
      <c r="AF33" s="114" t="s">
        <v>177</v>
      </c>
      <c r="AG33" s="114" t="s">
        <v>178</v>
      </c>
      <c r="AH33" s="114">
        <v>0</v>
      </c>
      <c r="AI33" s="114"/>
    </row>
    <row r="34" spans="1:41">
      <c r="A34">
        <v>82</v>
      </c>
      <c r="B34" s="83">
        <f>REPORT!D68/'DF Q7'!H6</f>
        <v>1.8636363636363635E-2</v>
      </c>
      <c r="C34" s="55"/>
      <c r="D34" s="55" t="s">
        <v>12</v>
      </c>
      <c r="E34" s="111">
        <v>82</v>
      </c>
      <c r="F34" s="58">
        <v>300</v>
      </c>
      <c r="G34" s="64">
        <f t="shared" si="22"/>
        <v>24600</v>
      </c>
      <c r="H34" s="67">
        <v>55</v>
      </c>
      <c r="I34" s="54">
        <f t="shared" si="23"/>
        <v>3075</v>
      </c>
      <c r="AD34" s="114" t="s">
        <v>11</v>
      </c>
      <c r="AE34" s="114" t="s">
        <v>179</v>
      </c>
      <c r="AF34" s="114" t="s">
        <v>180</v>
      </c>
      <c r="AG34" s="114">
        <v>3</v>
      </c>
      <c r="AH34" s="114">
        <v>4</v>
      </c>
      <c r="AI34" s="114"/>
    </row>
    <row r="35" spans="1:41">
      <c r="A35">
        <v>0</v>
      </c>
      <c r="B35" s="63">
        <f>B33</f>
        <v>2.5322740814299902E-2</v>
      </c>
      <c r="C35" s="55"/>
      <c r="D35" s="55" t="s">
        <v>13</v>
      </c>
      <c r="E35" s="82">
        <f>ROUNDUP(I16*B35,0)</f>
        <v>34</v>
      </c>
      <c r="F35" s="58">
        <v>300</v>
      </c>
      <c r="G35" s="64">
        <f t="shared" si="22"/>
        <v>10200</v>
      </c>
      <c r="H35" s="67">
        <v>50</v>
      </c>
      <c r="I35" s="54">
        <f t="shared" si="23"/>
        <v>1275</v>
      </c>
      <c r="J35" s="75"/>
      <c r="AD35" s="114" t="s">
        <v>11</v>
      </c>
      <c r="AE35" s="114" t="s">
        <v>169</v>
      </c>
      <c r="AF35" s="114" t="s">
        <v>170</v>
      </c>
      <c r="AG35" s="114">
        <v>8</v>
      </c>
      <c r="AH35" s="114">
        <v>9</v>
      </c>
      <c r="AI35" s="114"/>
    </row>
    <row r="36" spans="1:41">
      <c r="A36">
        <v>0</v>
      </c>
      <c r="B36" s="63">
        <f>B33</f>
        <v>2.5322740814299902E-2</v>
      </c>
      <c r="C36" s="55"/>
      <c r="D36" s="55" t="s">
        <v>14</v>
      </c>
      <c r="E36" s="82">
        <f>ROUNDUP(I17*B36,0)</f>
        <v>26</v>
      </c>
      <c r="F36" s="58">
        <v>300</v>
      </c>
      <c r="G36" s="64">
        <f t="shared" si="22"/>
        <v>7800</v>
      </c>
      <c r="H36" s="67">
        <v>50</v>
      </c>
      <c r="I36" s="54">
        <f t="shared" si="23"/>
        <v>975</v>
      </c>
      <c r="J36" s="75"/>
      <c r="AD36" s="114" t="s">
        <v>11</v>
      </c>
      <c r="AE36" s="114" t="s">
        <v>171</v>
      </c>
      <c r="AF36" s="114" t="s">
        <v>172</v>
      </c>
      <c r="AG36" s="114">
        <v>2</v>
      </c>
      <c r="AH36" s="114">
        <v>60</v>
      </c>
      <c r="AI36" s="114"/>
    </row>
    <row r="37" spans="1:41">
      <c r="G37" s="64">
        <f>SUM(G31:G36)</f>
        <v>241200</v>
      </c>
      <c r="H37" s="25" t="s">
        <v>133</v>
      </c>
      <c r="I37" s="56">
        <f>SUM(I31:I36)</f>
        <v>30150</v>
      </c>
      <c r="AD37" s="114" t="s">
        <v>11</v>
      </c>
      <c r="AE37" s="114" t="s">
        <v>171</v>
      </c>
      <c r="AF37" s="114" t="s">
        <v>173</v>
      </c>
      <c r="AG37" s="114">
        <v>0</v>
      </c>
      <c r="AH37" s="114">
        <v>0</v>
      </c>
      <c r="AI37" s="114"/>
    </row>
    <row r="38" spans="1:41">
      <c r="I38" s="54"/>
      <c r="AD38" s="114" t="s">
        <v>11</v>
      </c>
      <c r="AE38" s="114" t="s">
        <v>171</v>
      </c>
      <c r="AF38" s="114" t="s">
        <v>174</v>
      </c>
      <c r="AG38" s="114">
        <v>2</v>
      </c>
      <c r="AH38" s="114">
        <v>3</v>
      </c>
      <c r="AI38" s="114"/>
    </row>
    <row r="39" spans="1:41">
      <c r="B39" s="32" t="s">
        <v>82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AD39" s="114" t="s">
        <v>11</v>
      </c>
      <c r="AE39" s="114" t="s">
        <v>175</v>
      </c>
      <c r="AF39" s="114" t="s">
        <v>174</v>
      </c>
      <c r="AG39" s="114">
        <v>4</v>
      </c>
      <c r="AH39" s="114">
        <v>5</v>
      </c>
      <c r="AI39" s="114"/>
    </row>
    <row r="40" spans="1:41">
      <c r="C40" s="25" t="s">
        <v>126</v>
      </c>
      <c r="D40" s="25" t="s">
        <v>137</v>
      </c>
      <c r="E40" s="25" t="s">
        <v>127</v>
      </c>
      <c r="F40" s="25" t="s">
        <v>128</v>
      </c>
      <c r="G40" s="25" t="s">
        <v>129</v>
      </c>
      <c r="AD40" s="114" t="s">
        <v>11</v>
      </c>
      <c r="AE40" s="114" t="s">
        <v>176</v>
      </c>
      <c r="AF40" s="114" t="s">
        <v>174</v>
      </c>
      <c r="AG40" s="114">
        <v>4</v>
      </c>
      <c r="AH40" s="114">
        <v>5</v>
      </c>
      <c r="AI40" s="114"/>
    </row>
    <row r="41" spans="1:41" ht="28">
      <c r="C41" s="66" t="str">
        <f>FEATURES!A2</f>
        <v>STAINLESS MATERIAL</v>
      </c>
      <c r="D41" s="58">
        <f>VLOOKUP(C41,FEATURES!$A$2:$E$15,3,FALSE)</f>
        <v>15000</v>
      </c>
      <c r="E41" s="58">
        <f>VLOOKUP(C41,FEATURES!$A$2:$E$15,4,)</f>
        <v>0.15</v>
      </c>
      <c r="F41" s="110">
        <f>$I$18</f>
        <v>19173</v>
      </c>
      <c r="G41" s="57">
        <f t="shared" ref="G41:G46" si="24">E41*F41</f>
        <v>2875.95</v>
      </c>
      <c r="AD41" s="114" t="s">
        <v>11</v>
      </c>
      <c r="AE41" s="114" t="s">
        <v>176</v>
      </c>
      <c r="AF41" s="114" t="s">
        <v>177</v>
      </c>
      <c r="AG41" s="114" t="s">
        <v>178</v>
      </c>
      <c r="AH41" s="114">
        <v>30</v>
      </c>
    </row>
    <row r="42" spans="1:41" ht="34">
      <c r="C42" s="79" t="str">
        <f>FEATURES!A11</f>
        <v>DIGITAL CONTROLS</v>
      </c>
      <c r="D42" s="58">
        <f>VLOOKUP(C42,FEATURES!$A$2:$E$15,3,FALSE)</f>
        <v>45000</v>
      </c>
      <c r="E42" s="58">
        <f>VLOOKUP(C42,FEATURES!$A$2:$E$15,4,)</f>
        <v>0.45</v>
      </c>
      <c r="F42" s="110">
        <f>$I$18</f>
        <v>19173</v>
      </c>
      <c r="G42" s="57">
        <f t="shared" si="24"/>
        <v>8627.85</v>
      </c>
      <c r="I42" s="100" t="s">
        <v>154</v>
      </c>
      <c r="J42" s="101">
        <f>(I18*E47)/4</f>
        <v>2875.95</v>
      </c>
      <c r="AK42" s="90" t="s">
        <v>181</v>
      </c>
      <c r="AL42" s="126"/>
      <c r="AM42" s="126"/>
    </row>
    <row r="43" spans="1:41">
      <c r="C43" s="79"/>
      <c r="D43" s="58" t="e">
        <f>VLOOKUP(C43,FEATURES!$A$2:$E$15,3,FALSE)</f>
        <v>#N/A</v>
      </c>
      <c r="E43" s="58" t="e">
        <f>VLOOKUP(C43,FEATURES!$A$2:$E$15,4,)</f>
        <v>#N/A</v>
      </c>
      <c r="F43" s="110">
        <f>$I$18</f>
        <v>19173</v>
      </c>
      <c r="G43" s="57" t="e">
        <f t="shared" si="24"/>
        <v>#N/A</v>
      </c>
      <c r="AG43" t="s">
        <v>182</v>
      </c>
      <c r="AH43">
        <f>SUM(AH2:AH41)</f>
        <v>388</v>
      </c>
      <c r="AI43" s="53">
        <v>28</v>
      </c>
      <c r="AJ43">
        <v>8</v>
      </c>
      <c r="AK43" s="57">
        <f>AH43*AI43*AJ43</f>
        <v>86912</v>
      </c>
      <c r="AL43" s="128">
        <f>AK43/$AM$60</f>
        <v>0.15832811110949183</v>
      </c>
      <c r="AM43" s="88"/>
      <c r="AO43" s="54"/>
    </row>
    <row r="44" spans="1:41">
      <c r="C44" s="67"/>
      <c r="D44" s="58" t="e">
        <f>VLOOKUP(C44,FEATURES!$A$2:$E$15,3,FALSE)</f>
        <v>#N/A</v>
      </c>
      <c r="E44" s="58" t="e">
        <f>VLOOKUP(C44,FEATURES!$A$2:$E$15,4,)</f>
        <v>#N/A</v>
      </c>
      <c r="F44" s="110">
        <f>$I$18</f>
        <v>19173</v>
      </c>
      <c r="G44" s="57" t="e">
        <f t="shared" si="24"/>
        <v>#N/A</v>
      </c>
      <c r="AG44" t="s">
        <v>183</v>
      </c>
      <c r="AH44">
        <f>AH8+AH34+AH35+AH39+AH40+AH41+AH9</f>
        <v>156</v>
      </c>
      <c r="AI44" s="53">
        <v>12</v>
      </c>
      <c r="AJ44">
        <v>8</v>
      </c>
      <c r="AK44" s="57">
        <f>AH44*AI44*AJ44</f>
        <v>14976</v>
      </c>
      <c r="AL44" s="128">
        <f t="shared" ref="AL44:AL58" si="25">AK44/$AM$60</f>
        <v>2.7281868924610521E-2</v>
      </c>
      <c r="AM44" s="126"/>
    </row>
    <row r="45" spans="1:41">
      <c r="C45" s="67"/>
      <c r="D45" s="58" t="e">
        <f>VLOOKUP(C45,FEATURES!$A$2:$E$15,3,FALSE)</f>
        <v>#N/A</v>
      </c>
      <c r="E45" s="58" t="e">
        <f>VLOOKUP(C45,FEATURES!$A$2:$E$15,4,)</f>
        <v>#N/A</v>
      </c>
      <c r="F45" s="110">
        <f>$I$18</f>
        <v>19173</v>
      </c>
      <c r="G45" s="57" t="e">
        <f t="shared" si="24"/>
        <v>#N/A</v>
      </c>
      <c r="AG45" t="s">
        <v>184</v>
      </c>
      <c r="AI45" s="53"/>
      <c r="AK45" s="56">
        <f>(AK43+AK44)*0.5</f>
        <v>50944</v>
      </c>
      <c r="AL45" s="128">
        <f t="shared" si="25"/>
        <v>9.280499001705117E-2</v>
      </c>
      <c r="AM45" s="115"/>
    </row>
    <row r="46" spans="1:41">
      <c r="C46" s="67"/>
      <c r="D46" s="58" t="e">
        <f>VLOOKUP(C46,FEATURES!$A$2:$E$15,3,FALSE)</f>
        <v>#N/A</v>
      </c>
      <c r="E46" s="58" t="e">
        <f>VLOOKUP(C46,FEATURES!$A$2:$E$15,4,)</f>
        <v>#N/A</v>
      </c>
      <c r="F46" s="110">
        <f>$I$18</f>
        <v>19173</v>
      </c>
      <c r="G46" s="57" t="e">
        <f t="shared" si="24"/>
        <v>#N/A</v>
      </c>
      <c r="AI46" s="53"/>
      <c r="AK46" s="54"/>
      <c r="AL46" s="128">
        <f t="shared" si="25"/>
        <v>0</v>
      </c>
      <c r="AM46" s="126"/>
    </row>
    <row r="47" spans="1:41">
      <c r="C47" s="25" t="s">
        <v>133</v>
      </c>
      <c r="D47" s="56">
        <f>D41+D42</f>
        <v>60000</v>
      </c>
      <c r="E47" s="56">
        <f>E41+E42</f>
        <v>0.6</v>
      </c>
      <c r="AG47" t="s">
        <v>127</v>
      </c>
      <c r="AI47" s="53">
        <v>0.6</v>
      </c>
      <c r="AJ47">
        <v>17080</v>
      </c>
      <c r="AK47" s="124">
        <f>AI47*AJ47</f>
        <v>10248</v>
      </c>
      <c r="AL47" s="128">
        <f t="shared" si="25"/>
        <v>1.8668842998090851E-2</v>
      </c>
    </row>
    <row r="48" spans="1:41">
      <c r="AG48" t="s">
        <v>185</v>
      </c>
      <c r="AI48" s="53">
        <v>2.5</v>
      </c>
      <c r="AJ48">
        <v>17080</v>
      </c>
      <c r="AK48" s="122">
        <f>AI48*AJ48</f>
        <v>42700</v>
      </c>
      <c r="AL48" s="128">
        <f t="shared" si="25"/>
        <v>7.7786845825378551E-2</v>
      </c>
    </row>
    <row r="49" spans="1:62">
      <c r="B49" s="32" t="s">
        <v>139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AG49" t="s">
        <v>56</v>
      </c>
      <c r="AH49">
        <v>1</v>
      </c>
      <c r="AI49" s="53">
        <f>140/30</f>
        <v>4.666666666666667</v>
      </c>
      <c r="AJ49">
        <v>17080</v>
      </c>
      <c r="AK49" s="123">
        <f>AI49*AJ49</f>
        <v>79706.666666666672</v>
      </c>
      <c r="AL49" s="128">
        <f t="shared" si="25"/>
        <v>0.14520211220737331</v>
      </c>
    </row>
    <row r="50" spans="1:62">
      <c r="C50" s="52" t="s">
        <v>2</v>
      </c>
      <c r="D50" s="52" t="s">
        <v>134</v>
      </c>
      <c r="E50" s="60" t="s">
        <v>136</v>
      </c>
      <c r="F50" s="60" t="s">
        <v>159</v>
      </c>
      <c r="H50" s="52" t="s">
        <v>135</v>
      </c>
      <c r="I50" s="60" t="s">
        <v>75</v>
      </c>
      <c r="AG50" t="s">
        <v>65</v>
      </c>
      <c r="AH50">
        <v>0.2</v>
      </c>
      <c r="AI50" s="53">
        <f>370/12</f>
        <v>30.833333333333332</v>
      </c>
      <c r="AJ50">
        <v>17080</v>
      </c>
      <c r="AK50" s="123">
        <f>AJ50*AH50*AI50</f>
        <v>105326.66666666666</v>
      </c>
      <c r="AL50" s="128">
        <f t="shared" si="25"/>
        <v>0.19187421970260041</v>
      </c>
    </row>
    <row r="51" spans="1:62">
      <c r="A51">
        <v>17</v>
      </c>
      <c r="B51" s="83">
        <f>A51/H4</f>
        <v>1.9101123595505619E-3</v>
      </c>
      <c r="C51" s="55" t="s">
        <v>10</v>
      </c>
      <c r="D51" s="84">
        <f>ROUNDUP(I13*B51,0)+1</f>
        <v>17</v>
      </c>
      <c r="E51" s="89">
        <f>(D51-17)*$H$51</f>
        <v>0</v>
      </c>
      <c r="F51" s="64">
        <f>D51*$I$51</f>
        <v>12750</v>
      </c>
      <c r="H51" s="58">
        <v>1000</v>
      </c>
      <c r="I51" s="58">
        <v>750</v>
      </c>
      <c r="AG51" t="s">
        <v>186</v>
      </c>
      <c r="AH51">
        <v>3</v>
      </c>
      <c r="AI51" s="53">
        <v>2300</v>
      </c>
      <c r="AK51" s="124">
        <f>AH51*AI51</f>
        <v>6900</v>
      </c>
      <c r="AL51" s="128">
        <f t="shared" si="25"/>
        <v>1.2569771339463982E-2</v>
      </c>
      <c r="AM51" s="123"/>
      <c r="AN51" s="123"/>
    </row>
    <row r="52" spans="1:62">
      <c r="A52">
        <v>13</v>
      </c>
      <c r="B52" s="83">
        <f>A52/H5</f>
        <v>3.2274081429990069E-3</v>
      </c>
      <c r="C52" s="55" t="s">
        <v>11</v>
      </c>
      <c r="D52" s="84">
        <f>ROUNDUP(I14*B52,0)</f>
        <v>14</v>
      </c>
      <c r="E52" s="89">
        <f>(D52-13)*$H$51</f>
        <v>1000</v>
      </c>
      <c r="F52" s="64">
        <f>D52*$I$51</f>
        <v>10500</v>
      </c>
      <c r="AG52" t="s">
        <v>187</v>
      </c>
      <c r="AH52">
        <v>7</v>
      </c>
      <c r="AI52" s="53">
        <v>6000</v>
      </c>
      <c r="AK52" s="124">
        <f>AH52*AI52</f>
        <v>42000</v>
      </c>
      <c r="AL52" s="128">
        <f t="shared" si="25"/>
        <v>7.6511651631519892E-2</v>
      </c>
      <c r="AS52" s="121">
        <v>304</v>
      </c>
      <c r="AT52" s="121">
        <v>2712</v>
      </c>
      <c r="AU52" s="121">
        <v>2000</v>
      </c>
      <c r="AV52" s="121">
        <v>1288</v>
      </c>
      <c r="AW52" s="121">
        <v>576</v>
      </c>
      <c r="AX52" s="121">
        <v>0</v>
      </c>
      <c r="AY52" s="121">
        <v>2408</v>
      </c>
      <c r="AZ52" s="121">
        <v>1696</v>
      </c>
    </row>
    <row r="53" spans="1:62">
      <c r="A53">
        <v>14</v>
      </c>
      <c r="B53" s="83">
        <f>A53/H6</f>
        <v>3.1818181818181819E-3</v>
      </c>
      <c r="C53" s="55" t="s">
        <v>12</v>
      </c>
      <c r="D53" s="84">
        <f>ROUNDUP(I15*B53,0)</f>
        <v>15</v>
      </c>
      <c r="E53" s="89">
        <f>(D53-14)*$H$51</f>
        <v>1000</v>
      </c>
      <c r="F53" s="64">
        <f>D53*$I$51</f>
        <v>11250</v>
      </c>
      <c r="K53" t="s">
        <v>166</v>
      </c>
      <c r="AG53" t="s">
        <v>188</v>
      </c>
      <c r="AH53" s="117"/>
      <c r="AI53" s="117"/>
      <c r="AJ53" s="117"/>
      <c r="AK53" s="125">
        <f>BA55</f>
        <v>7786.8</v>
      </c>
      <c r="AL53" s="128">
        <f t="shared" si="25"/>
        <v>1.4185260212483787E-2</v>
      </c>
      <c r="AM53" s="117"/>
      <c r="AN53" s="117"/>
      <c r="AO53" s="117"/>
      <c r="AR53" t="s">
        <v>188</v>
      </c>
      <c r="AS53" s="121">
        <v>2875</v>
      </c>
      <c r="AT53" s="121">
        <v>2254</v>
      </c>
      <c r="AU53" s="121">
        <v>1633</v>
      </c>
      <c r="AV53" s="121">
        <v>1012</v>
      </c>
      <c r="AW53" s="121">
        <v>391</v>
      </c>
      <c r="AX53" s="121">
        <v>2890</v>
      </c>
      <c r="AY53" s="121">
        <v>2269</v>
      </c>
      <c r="AZ53" s="121">
        <v>1648</v>
      </c>
    </row>
    <row r="54" spans="1:62">
      <c r="A54">
        <v>0</v>
      </c>
      <c r="B54" s="18">
        <v>6.0000000000000001E-3</v>
      </c>
      <c r="C54" s="55" t="s">
        <v>13</v>
      </c>
      <c r="D54" s="84">
        <f>ROUNDUP(I16*B54,0)</f>
        <v>9</v>
      </c>
      <c r="E54" s="89">
        <f>D54*$H$51</f>
        <v>9000</v>
      </c>
      <c r="F54" s="64">
        <f>D54*$I$51</f>
        <v>6750</v>
      </c>
      <c r="G54" s="75"/>
      <c r="K54" t="s">
        <v>11</v>
      </c>
      <c r="AG54" t="s">
        <v>189</v>
      </c>
      <c r="AH54" s="90"/>
      <c r="AI54" s="53"/>
      <c r="AJ54" s="54"/>
      <c r="AK54" s="124">
        <f>BA60</f>
        <v>20214</v>
      </c>
      <c r="AL54" s="128">
        <f t="shared" si="25"/>
        <v>3.6823964906655786E-2</v>
      </c>
      <c r="AS54" s="53">
        <v>0.3</v>
      </c>
      <c r="AT54" s="53">
        <v>0.3</v>
      </c>
      <c r="AU54" s="53">
        <v>0.3</v>
      </c>
      <c r="AV54" s="53">
        <v>0.3</v>
      </c>
      <c r="AW54" s="53">
        <v>0.3</v>
      </c>
      <c r="AX54" s="53">
        <v>0.3</v>
      </c>
      <c r="AY54" s="53">
        <v>0.3</v>
      </c>
      <c r="AZ54" s="53">
        <v>0.3</v>
      </c>
    </row>
    <row r="55" spans="1:62">
      <c r="A55">
        <v>0</v>
      </c>
      <c r="B55" s="18">
        <v>8.0000000000000002E-3</v>
      </c>
      <c r="C55" s="55" t="s">
        <v>14</v>
      </c>
      <c r="D55" s="84">
        <f>ROUNDUP(I17*B55,0)</f>
        <v>8</v>
      </c>
      <c r="E55" s="89">
        <f>D55*$H$51</f>
        <v>8000</v>
      </c>
      <c r="F55" s="64">
        <f>D55*$I$51</f>
        <v>6000</v>
      </c>
      <c r="G55" s="75"/>
      <c r="K55" t="s">
        <v>167</v>
      </c>
      <c r="AG55" t="s">
        <v>190</v>
      </c>
      <c r="AH55" s="116"/>
      <c r="AI55" s="53"/>
      <c r="AJ55" s="54"/>
      <c r="AK55" s="124">
        <f>BA66</f>
        <v>14372</v>
      </c>
      <c r="AL55" s="128">
        <f t="shared" si="25"/>
        <v>2.6181558505909613E-2</v>
      </c>
      <c r="AS55" s="102">
        <f>(AS52+AS53)*AS54</f>
        <v>953.69999999999993</v>
      </c>
      <c r="AT55" s="102">
        <f t="shared" ref="AT55:AZ55" si="26">(AT52+AT53)*AT54</f>
        <v>1489.8</v>
      </c>
      <c r="AU55" s="102">
        <f t="shared" si="26"/>
        <v>1089.8999999999999</v>
      </c>
      <c r="AV55" s="102">
        <f t="shared" si="26"/>
        <v>690</v>
      </c>
      <c r="AW55" s="102">
        <f t="shared" si="26"/>
        <v>290.09999999999997</v>
      </c>
      <c r="AX55" s="102">
        <f t="shared" si="26"/>
        <v>867</v>
      </c>
      <c r="AY55" s="102">
        <f t="shared" si="26"/>
        <v>1403.1</v>
      </c>
      <c r="AZ55" s="102">
        <f t="shared" si="26"/>
        <v>1003.1999999999999</v>
      </c>
      <c r="BA55" s="56">
        <f>SUM(AS55:AZ55)</f>
        <v>7786.8</v>
      </c>
    </row>
    <row r="56" spans="1:62">
      <c r="C56" s="25" t="s">
        <v>133</v>
      </c>
      <c r="D56" s="59">
        <f>SUM(D51:D55)</f>
        <v>63</v>
      </c>
      <c r="E56" s="56">
        <f>SUM(E51:E55)</f>
        <v>19000</v>
      </c>
      <c r="F56" s="56">
        <f>SUM(F51:F55)</f>
        <v>47250</v>
      </c>
      <c r="AG56" t="s">
        <v>191</v>
      </c>
      <c r="AH56" s="116"/>
      <c r="AI56" s="53"/>
      <c r="AJ56" s="54"/>
      <c r="AK56" s="124">
        <f>BA71</f>
        <v>21201.600000000002</v>
      </c>
      <c r="AL56" s="128">
        <f t="shared" si="25"/>
        <v>3.8623081743591241E-2</v>
      </c>
    </row>
    <row r="57" spans="1:62">
      <c r="AG57" t="s">
        <v>192</v>
      </c>
      <c r="AH57" s="116"/>
      <c r="AI57" s="53"/>
      <c r="AJ57" s="54"/>
      <c r="AK57" s="124">
        <f>BA76</f>
        <v>21181.200000000001</v>
      </c>
      <c r="AL57" s="128">
        <f t="shared" si="25"/>
        <v>3.8585918941370215E-2</v>
      </c>
      <c r="AR57" t="s">
        <v>189</v>
      </c>
      <c r="AS57" s="121">
        <v>160</v>
      </c>
      <c r="AT57" s="121">
        <v>327</v>
      </c>
      <c r="AU57" s="121">
        <v>194</v>
      </c>
      <c r="AV57" s="121">
        <v>361</v>
      </c>
      <c r="AW57" s="121">
        <v>228</v>
      </c>
      <c r="AX57" s="121">
        <v>395</v>
      </c>
      <c r="AY57" s="121">
        <v>262</v>
      </c>
      <c r="AZ57" s="121">
        <v>429</v>
      </c>
    </row>
    <row r="58" spans="1:62">
      <c r="B58" s="68" t="s">
        <v>84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AG58" t="s">
        <v>193</v>
      </c>
      <c r="AH58" s="116"/>
      <c r="AI58" s="53"/>
      <c r="AJ58" s="54"/>
      <c r="AK58" s="124">
        <f>BA81</f>
        <v>11631.600000000002</v>
      </c>
      <c r="AL58" s="128">
        <f t="shared" si="25"/>
        <v>2.1189355407552068E-2</v>
      </c>
      <c r="AS58" s="121">
        <v>585</v>
      </c>
      <c r="AT58" s="121">
        <v>405</v>
      </c>
      <c r="AU58" s="121">
        <v>225</v>
      </c>
      <c r="AV58" s="121">
        <v>45</v>
      </c>
      <c r="AW58" s="121">
        <v>177</v>
      </c>
      <c r="AX58" s="121">
        <v>309</v>
      </c>
      <c r="AY58" s="121">
        <v>129</v>
      </c>
      <c r="AZ58" s="121">
        <v>261</v>
      </c>
    </row>
    <row r="59" spans="1:62">
      <c r="AG59" t="s">
        <v>195</v>
      </c>
      <c r="AI59">
        <f>31.39</f>
        <v>31.39</v>
      </c>
      <c r="AJ59" s="127">
        <f>SUM(AS90:AS93)</f>
        <v>405</v>
      </c>
      <c r="AK59" s="53">
        <f>AI59*AJ59</f>
        <v>12712.95</v>
      </c>
      <c r="AS59" s="53">
        <v>4.5</v>
      </c>
      <c r="AT59" s="53">
        <v>4.5</v>
      </c>
      <c r="AU59" s="53">
        <v>4.5</v>
      </c>
      <c r="AV59" s="53">
        <v>4.5</v>
      </c>
      <c r="AW59" s="53">
        <v>4.5</v>
      </c>
      <c r="AX59" s="53">
        <v>4.5</v>
      </c>
      <c r="AY59" s="53">
        <v>4.5</v>
      </c>
      <c r="AZ59" s="53">
        <v>4.5</v>
      </c>
    </row>
    <row r="60" spans="1:62" ht="29">
      <c r="C60" s="52" t="s">
        <v>2</v>
      </c>
      <c r="D60" s="52" t="s">
        <v>140</v>
      </c>
      <c r="E60" s="52" t="s">
        <v>141</v>
      </c>
      <c r="F60" s="52" t="s">
        <v>142</v>
      </c>
      <c r="G60" s="52" t="s">
        <v>143</v>
      </c>
      <c r="H60" s="61" t="s">
        <v>144</v>
      </c>
      <c r="J60" s="54"/>
      <c r="AK60" s="54">
        <f>SUM(AK43:AK58)</f>
        <v>536100.53333333333</v>
      </c>
      <c r="AL60" s="54">
        <f>AK60+AK59</f>
        <v>548813.48333333328</v>
      </c>
      <c r="AM60" s="53">
        <v>548936</v>
      </c>
      <c r="AN60" s="54">
        <f>AL60-AM60</f>
        <v>-122.51666666672099</v>
      </c>
      <c r="AS60" s="102">
        <f>(AS57+AS58)*AS59</f>
        <v>3352.5</v>
      </c>
      <c r="AT60" s="102">
        <f t="shared" ref="AT60" si="27">(AT57+AT58)*AT59</f>
        <v>3294</v>
      </c>
      <c r="AU60" s="102">
        <f t="shared" ref="AU60" si="28">(AU57+AU58)*AU59</f>
        <v>1885.5</v>
      </c>
      <c r="AV60" s="102">
        <f t="shared" ref="AV60" si="29">(AV57+AV58)*AV59</f>
        <v>1827</v>
      </c>
      <c r="AW60" s="102">
        <f t="shared" ref="AW60" si="30">(AW57+AW58)*AW59</f>
        <v>1822.5</v>
      </c>
      <c r="AX60" s="102">
        <f t="shared" ref="AX60" si="31">(AX57+AX58)*AX59</f>
        <v>3168</v>
      </c>
      <c r="AY60" s="102">
        <f t="shared" ref="AY60" si="32">(AY57+AY58)*AY59</f>
        <v>1759.5</v>
      </c>
      <c r="AZ60" s="102">
        <f>(AZ57+AZ58)*AZ59</f>
        <v>3105</v>
      </c>
      <c r="BA60" s="54">
        <f>SUM(AS60:AZ60)</f>
        <v>20214</v>
      </c>
    </row>
    <row r="61" spans="1:62">
      <c r="C61" s="55" t="s">
        <v>10</v>
      </c>
      <c r="D61" s="67" t="s">
        <v>65</v>
      </c>
      <c r="E61" s="59">
        <f>IF(D61="A",REPORT!$F$72,IF('DF Q7'!D61="B",REPORT!$F$73,IF('DF Q7'!D61="C",REPORT!$F$74,IF('DF Q7'!D61="D",REPORT!$F$75,"error"))))</f>
        <v>2</v>
      </c>
      <c r="F61" s="58">
        <f>I13*E22</f>
        <v>623007</v>
      </c>
      <c r="G61" s="85">
        <f>IF(D61="A",REPORT!$G$72,IF('DF Q7'!D61="B",REPORT!$G$73,IF('DF Q7'!D61="C",REPORT!$G$74,IF('DF Q7'!D61="D",REPORT!$G$75,"error"))))</f>
        <v>7.4999999999999997E-2</v>
      </c>
      <c r="H61" s="88">
        <f>(F61*(1-G61))/4</f>
        <v>144070.36874999999</v>
      </c>
      <c r="I61">
        <f>I13*D22</f>
        <v>558279</v>
      </c>
      <c r="J61" s="54">
        <f>I61*0.925</f>
        <v>516408.07500000001</v>
      </c>
      <c r="K61" s="54">
        <f>J61/4</f>
        <v>129102.01875</v>
      </c>
      <c r="AK61" s="54">
        <f>AK60/$AJ$50</f>
        <v>31.387619047619047</v>
      </c>
      <c r="AM61" s="54">
        <f>AM60/$AJ$50</f>
        <v>32.139110070257608</v>
      </c>
    </row>
    <row r="62" spans="1:62">
      <c r="C62" s="55" t="s">
        <v>11</v>
      </c>
      <c r="D62" s="67" t="s">
        <v>65</v>
      </c>
      <c r="E62" s="59">
        <f>IF(D62="A",REPORT!$F$72,IF('DF Q7'!D62="B",REPORT!$F$73,IF('DF Q7'!D62="C",REPORT!$F$74,IF('DF Q7'!D62="D",REPORT!$F$75,"error"))))</f>
        <v>2</v>
      </c>
      <c r="F62" s="58">
        <f>I14*E23</f>
        <v>321706</v>
      </c>
      <c r="G62" s="85">
        <f>IF(D62="A",REPORT!$G$72,IF('DF Q7'!D62="B",REPORT!$G$73,IF('DF Q7'!D62="C",REPORT!$G$74,IF('DF Q7'!D62="D",REPORT!$G$75,"error"))))</f>
        <v>7.4999999999999997E-2</v>
      </c>
      <c r="H62" s="88">
        <f t="shared" ref="H62:H65" si="33">(F62*(1-G62))/4</f>
        <v>74394.512499999997</v>
      </c>
      <c r="I62">
        <f>I14*D23</f>
        <v>288282</v>
      </c>
      <c r="J62" s="54">
        <f t="shared" ref="J62:J65" si="34">I62*0.925</f>
        <v>266660.85000000003</v>
      </c>
      <c r="K62" s="54">
        <f t="shared" ref="K62:K65" si="35">J62/4</f>
        <v>66665.212500000009</v>
      </c>
    </row>
    <row r="63" spans="1:62">
      <c r="C63" s="55" t="s">
        <v>12</v>
      </c>
      <c r="D63" s="67" t="s">
        <v>65</v>
      </c>
      <c r="E63" s="59">
        <f>IF(D63="A",REPORT!$F$72,IF('DF Q7'!D63="B",REPORT!$F$73,IF('DF Q7'!D63="C",REPORT!$F$74,IF('DF Q7'!D63="D",REPORT!$F$75,"error"))))</f>
        <v>2</v>
      </c>
      <c r="F63" s="58">
        <f>I15*E24</f>
        <v>461570</v>
      </c>
      <c r="G63" s="85">
        <f>IF(D63="A",REPORT!$G$72,IF('DF Q7'!D63="B",REPORT!$G$73,IF('DF Q7'!D63="C",REPORT!$G$74,IF('DF Q7'!D63="D",REPORT!$G$75,"error"))))</f>
        <v>7.4999999999999997E-2</v>
      </c>
      <c r="H63" s="88">
        <f t="shared" si="33"/>
        <v>106738.0625</v>
      </c>
      <c r="I63">
        <f>I15*D24</f>
        <v>420440</v>
      </c>
      <c r="J63" s="54">
        <f t="shared" si="34"/>
        <v>388907</v>
      </c>
      <c r="K63" s="54">
        <f t="shared" si="35"/>
        <v>97226.75</v>
      </c>
      <c r="AR63" t="s">
        <v>190</v>
      </c>
      <c r="AS63" s="121">
        <f>2936+712</f>
        <v>3648</v>
      </c>
      <c r="AT63" s="121">
        <f>2962+712</f>
        <v>3674</v>
      </c>
      <c r="AU63" s="121">
        <f>2988+712</f>
        <v>3700</v>
      </c>
      <c r="AV63" s="121">
        <f>3014+712</f>
        <v>3726</v>
      </c>
      <c r="AW63" s="121">
        <f>3040+712</f>
        <v>3752</v>
      </c>
      <c r="AX63" s="121">
        <f>3066+576</f>
        <v>3642</v>
      </c>
      <c r="AY63" s="121">
        <f>2956+712</f>
        <v>3668</v>
      </c>
      <c r="AZ63" s="121">
        <f>2982+712</f>
        <v>3694</v>
      </c>
      <c r="BA63" s="54"/>
      <c r="BB63" s="54"/>
      <c r="BC63" s="54"/>
      <c r="BD63" s="54"/>
      <c r="BE63" s="54"/>
      <c r="BF63" s="54"/>
      <c r="BG63" s="54"/>
      <c r="BH63" s="54"/>
    </row>
    <row r="64" spans="1:62">
      <c r="C64" s="55" t="s">
        <v>13</v>
      </c>
      <c r="D64" s="67" t="s">
        <v>65</v>
      </c>
      <c r="E64" s="59">
        <f>IF(D64="A",REPORT!$F$72,IF('DF Q7'!D64="B",REPORT!$F$73,IF('DF Q7'!D64="C",REPORT!$F$74,IF('DF Q7'!D64="D",REPORT!$F$75,"error"))))</f>
        <v>2</v>
      </c>
      <c r="F64" s="58">
        <f t="shared" ref="F62:F65" si="36">I16*E25</f>
        <v>130732</v>
      </c>
      <c r="G64" s="85">
        <f>IF(D64="A",REPORT!$G$72,IF('DF Q7'!D64="B",REPORT!$G$73,IF('DF Q7'!D64="C",REPORT!$G$74,IF('DF Q7'!D64="D",REPORT!$G$75,"error"))))</f>
        <v>7.4999999999999997E-2</v>
      </c>
      <c r="H64" s="88">
        <f t="shared" si="33"/>
        <v>30231.775000000001</v>
      </c>
      <c r="I64">
        <f>I16*D25</f>
        <v>130732</v>
      </c>
      <c r="J64" s="54">
        <f t="shared" si="34"/>
        <v>120927.1</v>
      </c>
      <c r="K64" s="54">
        <f t="shared" si="35"/>
        <v>30231.775000000001</v>
      </c>
      <c r="AS64" s="121">
        <f>6336+621</f>
        <v>6957</v>
      </c>
      <c r="AT64" s="121">
        <f>5861+621</f>
        <v>6482</v>
      </c>
      <c r="AU64" s="121">
        <f>5386+621</f>
        <v>6007</v>
      </c>
      <c r="AV64" s="121">
        <f>4911+621</f>
        <v>5532</v>
      </c>
      <c r="AW64" s="121">
        <f>4436+621</f>
        <v>5057</v>
      </c>
      <c r="AX64" s="121">
        <f>3961+621</f>
        <v>4582</v>
      </c>
      <c r="AY64" s="121">
        <f>3486+621</f>
        <v>4107</v>
      </c>
      <c r="AZ64" s="121">
        <f>3011+621</f>
        <v>3632</v>
      </c>
      <c r="BA64" s="54"/>
      <c r="BB64" s="54"/>
      <c r="BC64" s="54"/>
      <c r="BD64" s="54"/>
      <c r="BE64" s="54"/>
      <c r="BF64" s="54"/>
      <c r="BG64" s="54"/>
      <c r="BH64" s="54"/>
      <c r="BI64" s="54"/>
      <c r="BJ64" s="54"/>
    </row>
    <row r="65" spans="2:62">
      <c r="C65" s="55" t="s">
        <v>14</v>
      </c>
      <c r="D65" s="67" t="s">
        <v>65</v>
      </c>
      <c r="E65" s="59">
        <f>IF(D65="A",REPORT!$F$72,IF('DF Q7'!D65="B",REPORT!$F$73,IF('DF Q7'!D65="C",REPORT!$F$74,IF('DF Q7'!D65="D",REPORT!$F$75,"error"))))</f>
        <v>2</v>
      </c>
      <c r="F65" s="58">
        <f t="shared" si="36"/>
        <v>100000</v>
      </c>
      <c r="G65" s="85">
        <f>IF(D65="A",REPORT!$G$72,IF('DF Q7'!D65="B",REPORT!$G$73,IF('DF Q7'!D65="C",REPORT!$G$74,IF('DF Q7'!D65="D",REPORT!$G$75,"error"))))</f>
        <v>7.4999999999999997E-2</v>
      </c>
      <c r="H65" s="88">
        <f t="shared" si="33"/>
        <v>23125</v>
      </c>
      <c r="I65">
        <f>I17*D26</f>
        <v>93000</v>
      </c>
      <c r="J65" s="54">
        <f t="shared" si="34"/>
        <v>86025</v>
      </c>
      <c r="K65" s="54">
        <f t="shared" si="35"/>
        <v>21506.25</v>
      </c>
      <c r="AS65" s="53">
        <v>0.2</v>
      </c>
      <c r="AT65" s="53">
        <v>0.2</v>
      </c>
      <c r="AU65" s="53">
        <v>0.2</v>
      </c>
      <c r="AV65" s="53">
        <v>0.2</v>
      </c>
      <c r="AW65" s="53">
        <v>0.2</v>
      </c>
      <c r="AX65" s="53">
        <v>0.2</v>
      </c>
      <c r="AY65" s="53">
        <v>0.2</v>
      </c>
      <c r="AZ65" s="53">
        <v>0.2</v>
      </c>
    </row>
    <row r="66" spans="2:62">
      <c r="F66" s="54">
        <f>SUM(F61:F65)</f>
        <v>1637015</v>
      </c>
      <c r="G66" s="25" t="s">
        <v>133</v>
      </c>
      <c r="H66" s="56">
        <f>SUM(H61:H65)</f>
        <v>378559.71875</v>
      </c>
      <c r="AS66" s="102">
        <f t="shared" ref="AS66:AZ66" si="37">(AS63+AS64)*AS65</f>
        <v>2121</v>
      </c>
      <c r="AT66" s="102">
        <f t="shared" si="37"/>
        <v>2031.2</v>
      </c>
      <c r="AU66" s="102">
        <f>(AU63+AU64)*AU65</f>
        <v>1941.4</v>
      </c>
      <c r="AV66" s="102">
        <f t="shared" si="37"/>
        <v>1851.6000000000001</v>
      </c>
      <c r="AW66" s="102">
        <f t="shared" si="37"/>
        <v>1761.8000000000002</v>
      </c>
      <c r="AX66" s="102">
        <f t="shared" si="37"/>
        <v>1644.8000000000002</v>
      </c>
      <c r="AY66" s="102">
        <f t="shared" si="37"/>
        <v>1555</v>
      </c>
      <c r="AZ66" s="102">
        <f t="shared" si="37"/>
        <v>1465.2</v>
      </c>
      <c r="BA66" s="118">
        <f>SUM(AS66:AZ66)</f>
        <v>14372</v>
      </c>
      <c r="BB66" s="54"/>
      <c r="BC66" s="54"/>
    </row>
    <row r="67" spans="2:62">
      <c r="C67" s="52" t="s">
        <v>153</v>
      </c>
      <c r="D67" s="52" t="s">
        <v>158</v>
      </c>
    </row>
    <row r="68" spans="2:62">
      <c r="B68" s="32" t="s">
        <v>87</v>
      </c>
      <c r="C68" s="54">
        <f>I37</f>
        <v>30150</v>
      </c>
      <c r="D68" s="54">
        <f>C68*8</f>
        <v>241200</v>
      </c>
      <c r="AR68" t="s">
        <v>191</v>
      </c>
      <c r="AS68" s="121">
        <f>1524+665</f>
        <v>2189</v>
      </c>
      <c r="AT68" s="121">
        <f>1503+665</f>
        <v>2168</v>
      </c>
      <c r="AU68" s="121">
        <f>1482+665</f>
        <v>2147</v>
      </c>
      <c r="AV68" s="121">
        <f>1461+665</f>
        <v>2126</v>
      </c>
      <c r="AW68" s="121">
        <f>1440+665</f>
        <v>2105</v>
      </c>
      <c r="AX68" s="121">
        <f>1419+665</f>
        <v>2084</v>
      </c>
      <c r="AY68" s="121">
        <f>1398+665</f>
        <v>2063</v>
      </c>
      <c r="AZ68" s="121">
        <f>1377+665</f>
        <v>2042</v>
      </c>
    </row>
    <row r="69" spans="2:62">
      <c r="B69" s="32" t="s">
        <v>82</v>
      </c>
      <c r="C69" s="54">
        <f>J42</f>
        <v>2875.95</v>
      </c>
      <c r="D69" s="54"/>
      <c r="H69" s="54"/>
      <c r="I69" s="54"/>
      <c r="AS69" s="121">
        <f>4296+900</f>
        <v>5196</v>
      </c>
      <c r="AT69" s="121">
        <f>4100+900</f>
        <v>5000</v>
      </c>
      <c r="AU69" s="121">
        <f>3904+900</f>
        <v>4804</v>
      </c>
      <c r="AV69" s="121">
        <f>3708+900</f>
        <v>4608</v>
      </c>
      <c r="AW69" s="121">
        <f>3512+900</f>
        <v>4412</v>
      </c>
      <c r="AX69" s="121">
        <f>3316+900</f>
        <v>4216</v>
      </c>
      <c r="AY69" s="121">
        <f>3120+900</f>
        <v>4020</v>
      </c>
      <c r="AZ69" s="121">
        <f>2924+900</f>
        <v>3824</v>
      </c>
    </row>
    <row r="70" spans="2:62">
      <c r="B70" s="32" t="s">
        <v>139</v>
      </c>
      <c r="C70" s="54">
        <f>D70/8</f>
        <v>5906.25</v>
      </c>
      <c r="D70" s="54">
        <f>F56</f>
        <v>47250</v>
      </c>
      <c r="AS70" s="53">
        <v>0.4</v>
      </c>
      <c r="AT70" s="53">
        <v>0.4</v>
      </c>
      <c r="AU70" s="53">
        <v>0.4</v>
      </c>
      <c r="AV70" s="53">
        <v>0.4</v>
      </c>
      <c r="AW70" s="53">
        <v>0.4</v>
      </c>
      <c r="AX70" s="53">
        <v>0.4</v>
      </c>
      <c r="AY70" s="53">
        <v>0.4</v>
      </c>
      <c r="AZ70" s="53">
        <v>0.4</v>
      </c>
    </row>
    <row r="71" spans="2:62">
      <c r="B71" s="32" t="s">
        <v>74</v>
      </c>
      <c r="D71" s="54">
        <f>E56</f>
        <v>19000</v>
      </c>
      <c r="AS71" s="102">
        <f>(AS68+AS69)*AS70</f>
        <v>2954</v>
      </c>
      <c r="AT71" s="102">
        <f t="shared" ref="AS71:AZ71" si="38">(AT68+AT69)*AT70</f>
        <v>2867.2000000000003</v>
      </c>
      <c r="AU71" s="102">
        <f>(AU68+AU69)*AU70</f>
        <v>2780.4</v>
      </c>
      <c r="AV71" s="102">
        <f t="shared" si="38"/>
        <v>2693.6000000000004</v>
      </c>
      <c r="AW71" s="102">
        <f t="shared" si="38"/>
        <v>2606.8000000000002</v>
      </c>
      <c r="AX71" s="102">
        <f t="shared" si="38"/>
        <v>2520</v>
      </c>
      <c r="AY71" s="102">
        <f t="shared" si="38"/>
        <v>2433.2000000000003</v>
      </c>
      <c r="AZ71" s="102">
        <f>(AZ68+AZ69)*AZ70</f>
        <v>2346.4</v>
      </c>
      <c r="BA71" s="118">
        <f>SUM(AS71:AZ71)</f>
        <v>21201.600000000002</v>
      </c>
      <c r="BB71" s="53"/>
      <c r="BC71" s="54"/>
    </row>
    <row r="72" spans="2:62">
      <c r="D72" s="102">
        <f>D68+D70+D71</f>
        <v>307450</v>
      </c>
      <c r="BA72" s="90" t="s">
        <v>194</v>
      </c>
    </row>
    <row r="73" spans="2:62">
      <c r="AR73" t="s">
        <v>192</v>
      </c>
      <c r="AS73" s="121">
        <f>1822+686</f>
        <v>2508</v>
      </c>
      <c r="AT73" s="121">
        <f>1914+686</f>
        <v>2600</v>
      </c>
      <c r="AU73" s="121">
        <f>2006+686</f>
        <v>2692</v>
      </c>
      <c r="AV73" s="121">
        <f>2098+686</f>
        <v>2784</v>
      </c>
      <c r="AW73" s="121">
        <f>2190+686</f>
        <v>2876</v>
      </c>
      <c r="AX73" s="121">
        <f>2282+686</f>
        <v>2968</v>
      </c>
      <c r="AY73" s="121">
        <f>2374+686</f>
        <v>3060</v>
      </c>
      <c r="AZ73" s="121">
        <f>2466+686</f>
        <v>3152</v>
      </c>
      <c r="BA73" s="54"/>
      <c r="BB73" s="54"/>
      <c r="BC73" s="54"/>
      <c r="BD73" s="54"/>
      <c r="BE73" s="54"/>
      <c r="BF73" s="54"/>
      <c r="BG73" s="54"/>
      <c r="BH73" s="54"/>
      <c r="BI73" s="54"/>
      <c r="BJ73" s="54"/>
    </row>
    <row r="74" spans="2:62">
      <c r="AS74" s="121">
        <f>1984+1096</f>
        <v>3080</v>
      </c>
      <c r="AT74" s="121">
        <f>1298+1096</f>
        <v>2394</v>
      </c>
      <c r="AU74" s="121">
        <f>612+1096</f>
        <v>1708</v>
      </c>
      <c r="AV74" s="121">
        <f>1096</f>
        <v>1096</v>
      </c>
      <c r="AW74" s="121">
        <v>1096</v>
      </c>
      <c r="AX74" s="121">
        <v>1096</v>
      </c>
      <c r="AY74" s="121">
        <v>1096</v>
      </c>
      <c r="AZ74" s="121">
        <v>1096</v>
      </c>
      <c r="BA74" s="54"/>
      <c r="BB74" s="54"/>
      <c r="BC74" s="54"/>
      <c r="BD74" s="54"/>
      <c r="BE74" s="54"/>
      <c r="BF74" s="54"/>
      <c r="BG74" s="54"/>
      <c r="BH74" s="54"/>
    </row>
    <row r="75" spans="2:62">
      <c r="AS75" s="53">
        <v>0.6</v>
      </c>
      <c r="AT75" s="53">
        <v>0.6</v>
      </c>
      <c r="AU75" s="53">
        <v>0.6</v>
      </c>
      <c r="AV75" s="53">
        <v>0.6</v>
      </c>
      <c r="AW75" s="53">
        <v>0.6</v>
      </c>
      <c r="AX75" s="53">
        <v>0.6</v>
      </c>
      <c r="AY75" s="53">
        <v>0.6</v>
      </c>
      <c r="AZ75" s="53">
        <v>0.6</v>
      </c>
    </row>
    <row r="76" spans="2:62">
      <c r="AS76" s="102">
        <f t="shared" ref="AS76:AZ76" si="39">(AS73+AS74)*AS75</f>
        <v>3352.7999999999997</v>
      </c>
      <c r="AT76" s="102">
        <f t="shared" si="39"/>
        <v>2996.4</v>
      </c>
      <c r="AU76" s="102">
        <f>(AU73+AU74)*AU75</f>
        <v>2640</v>
      </c>
      <c r="AV76" s="102">
        <f t="shared" si="39"/>
        <v>2328</v>
      </c>
      <c r="AW76" s="102">
        <f t="shared" si="39"/>
        <v>2383.1999999999998</v>
      </c>
      <c r="AX76" s="102">
        <f t="shared" si="39"/>
        <v>2438.4</v>
      </c>
      <c r="AY76" s="102">
        <f t="shared" si="39"/>
        <v>2493.6</v>
      </c>
      <c r="AZ76" s="102">
        <f t="shared" si="39"/>
        <v>2548.7999999999997</v>
      </c>
      <c r="BA76" s="118">
        <f>SUM(AS76:AZ76)</f>
        <v>21181.200000000001</v>
      </c>
      <c r="BB76" s="53"/>
      <c r="BC76" s="54"/>
    </row>
    <row r="78" spans="2:62">
      <c r="AR78" t="s">
        <v>193</v>
      </c>
      <c r="AS78" s="121">
        <f>1672+712</f>
        <v>2384</v>
      </c>
      <c r="AT78" s="121">
        <f>1790+712</f>
        <v>2502</v>
      </c>
      <c r="AU78" s="121">
        <f>1908+712</f>
        <v>2620</v>
      </c>
      <c r="AV78" s="121">
        <f>2026+712</f>
        <v>2738</v>
      </c>
      <c r="AW78" s="121">
        <f>2144+712</f>
        <v>2856</v>
      </c>
      <c r="AX78" s="121">
        <f>2262+712</f>
        <v>2974</v>
      </c>
      <c r="AY78" s="121">
        <f>2380+656</f>
        <v>3036</v>
      </c>
      <c r="AZ78" s="121">
        <v>2442</v>
      </c>
    </row>
    <row r="79" spans="2:62">
      <c r="AS79" s="121">
        <f>4824+1130</f>
        <v>5954</v>
      </c>
      <c r="AT79" s="121">
        <f>4172+1130</f>
        <v>5302</v>
      </c>
      <c r="AU79" s="121">
        <f>3520+1130</f>
        <v>4650</v>
      </c>
      <c r="AV79" s="121">
        <f>2942+1130</f>
        <v>4072</v>
      </c>
      <c r="AW79" s="121">
        <f>2976+1130</f>
        <v>4106</v>
      </c>
      <c r="AX79" s="121">
        <f>3010+1130</f>
        <v>4140</v>
      </c>
      <c r="AY79" s="121">
        <f>3044+1130</f>
        <v>4174</v>
      </c>
      <c r="AZ79" s="121">
        <f>3078+1130</f>
        <v>4208</v>
      </c>
    </row>
    <row r="80" spans="2:62">
      <c r="AS80" s="53">
        <v>0.2</v>
      </c>
      <c r="AT80" s="53">
        <v>0.2</v>
      </c>
      <c r="AU80" s="53">
        <v>0.2</v>
      </c>
      <c r="AV80" s="53">
        <v>0.2</v>
      </c>
      <c r="AW80" s="53">
        <v>0.2</v>
      </c>
      <c r="AX80" s="53">
        <v>0.2</v>
      </c>
      <c r="AY80" s="53">
        <v>0.2</v>
      </c>
      <c r="AZ80" s="53">
        <v>0.2</v>
      </c>
    </row>
    <row r="81" spans="45:55">
      <c r="AS81" s="102">
        <f t="shared" ref="AS81:AZ81" si="40">(AS78+AS79)*AS80</f>
        <v>1667.6000000000001</v>
      </c>
      <c r="AT81" s="102">
        <f t="shared" si="40"/>
        <v>1560.8000000000002</v>
      </c>
      <c r="AU81" s="102">
        <f>(AU78+AU79)*AU80</f>
        <v>1454</v>
      </c>
      <c r="AV81" s="102">
        <f t="shared" si="40"/>
        <v>1362</v>
      </c>
      <c r="AW81" s="102">
        <f t="shared" si="40"/>
        <v>1392.4</v>
      </c>
      <c r="AX81" s="102">
        <f t="shared" si="40"/>
        <v>1422.8000000000002</v>
      </c>
      <c r="AY81" s="102">
        <f t="shared" si="40"/>
        <v>1442</v>
      </c>
      <c r="AZ81" s="102">
        <f t="shared" si="40"/>
        <v>1330</v>
      </c>
      <c r="BA81" s="118">
        <f>SUM(AS81:AZ81)</f>
        <v>11631.600000000002</v>
      </c>
      <c r="BB81" s="53">
        <v>11632</v>
      </c>
      <c r="BC81" s="54"/>
    </row>
    <row r="83" spans="45:55">
      <c r="AS83" s="54">
        <f t="shared" ref="AS83:AZ83" si="41">AS55+AS60+AS66+AS71+AS76+AS81</f>
        <v>14401.6</v>
      </c>
      <c r="AT83" s="54">
        <f t="shared" si="41"/>
        <v>14239.400000000001</v>
      </c>
      <c r="AU83" s="54">
        <f t="shared" si="41"/>
        <v>11791.199999999999</v>
      </c>
      <c r="AV83" s="54">
        <f t="shared" si="41"/>
        <v>10752.2</v>
      </c>
      <c r="AW83" s="54">
        <f t="shared" si="41"/>
        <v>10256.800000000001</v>
      </c>
      <c r="AX83" s="54">
        <f t="shared" si="41"/>
        <v>12061</v>
      </c>
      <c r="AY83" s="54">
        <f t="shared" si="41"/>
        <v>11086.400000000001</v>
      </c>
      <c r="AZ83" s="54">
        <f t="shared" si="41"/>
        <v>11798.599999999999</v>
      </c>
      <c r="BA83" s="54">
        <f>BA55+BA60+BA66+BA71+BA76+BA81</f>
        <v>96387.200000000012</v>
      </c>
    </row>
    <row r="86" spans="45:55">
      <c r="AS86" s="119">
        <v>14402</v>
      </c>
      <c r="AT86" s="119">
        <v>14239</v>
      </c>
      <c r="AU86" s="119">
        <v>11791</v>
      </c>
      <c r="AV86" s="119">
        <v>10752</v>
      </c>
      <c r="AW86" s="119">
        <v>10257</v>
      </c>
      <c r="AX86" s="119">
        <v>12061</v>
      </c>
      <c r="AY86" s="119">
        <v>11086</v>
      </c>
      <c r="AZ86" s="119">
        <v>11799</v>
      </c>
      <c r="BA86" s="120">
        <f>SUM(AS86:AZ86)</f>
        <v>96387</v>
      </c>
    </row>
    <row r="87" spans="45:55">
      <c r="BA87" s="38"/>
    </row>
    <row r="90" spans="45:55">
      <c r="AS90" s="114">
        <v>103</v>
      </c>
    </row>
    <row r="91" spans="45:55">
      <c r="AS91" s="114">
        <v>29</v>
      </c>
    </row>
    <row r="92" spans="45:55">
      <c r="AS92" s="114">
        <v>115</v>
      </c>
    </row>
    <row r="93" spans="45:55">
      <c r="AS93" s="114">
        <v>158</v>
      </c>
    </row>
    <row r="94" spans="45:55">
      <c r="AS94">
        <f>SUM(AS90:AS93)</f>
        <v>405</v>
      </c>
      <c r="AT94" s="54">
        <f>AN60/AS94</f>
        <v>-0.30251028806597774</v>
      </c>
    </row>
  </sheetData>
  <mergeCells count="2">
    <mergeCell ref="K2:Q2"/>
    <mergeCell ref="S2:Y2"/>
  </mergeCells>
  <conditionalFormatting sqref="L13:L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5F4A-D468-0A4A-A8DB-4A6F15582874}">
  <dimension ref="A1:Y79"/>
  <sheetViews>
    <sheetView workbookViewId="0">
      <selection activeCell="G5" sqref="G5:G9"/>
    </sheetView>
  </sheetViews>
  <sheetFormatPr baseColWidth="10" defaultRowHeight="16"/>
  <cols>
    <col min="2" max="2" width="33.1640625" customWidth="1"/>
    <col min="3" max="3" width="15.33203125" bestFit="1" customWidth="1"/>
    <col min="4" max="4" width="17.1640625" bestFit="1" customWidth="1"/>
    <col min="5" max="5" width="22.33203125" bestFit="1" customWidth="1"/>
    <col min="6" max="6" width="18.33203125" bestFit="1" customWidth="1"/>
    <col min="7" max="7" width="24" bestFit="1" customWidth="1"/>
    <col min="8" max="8" width="22.5" bestFit="1" customWidth="1"/>
    <col min="9" max="9" width="18.5" bestFit="1" customWidth="1"/>
    <col min="10" max="10" width="11.1640625" bestFit="1" customWidth="1"/>
    <col min="20" max="20" width="15.6640625" customWidth="1"/>
    <col min="21" max="25" width="15.33203125" customWidth="1"/>
  </cols>
  <sheetData>
    <row r="1" spans="1:25">
      <c r="A1" t="s">
        <v>202</v>
      </c>
    </row>
    <row r="2" spans="1:25">
      <c r="B2" s="3" t="s">
        <v>1</v>
      </c>
      <c r="C2" s="3"/>
      <c r="D2" s="3"/>
      <c r="E2" s="3"/>
      <c r="F2" s="3"/>
      <c r="G2" s="3"/>
      <c r="H2" s="3"/>
      <c r="I2" s="3"/>
    </row>
    <row r="3" spans="1:25">
      <c r="B3" s="131" t="s">
        <v>2</v>
      </c>
      <c r="C3" s="131" t="s">
        <v>42</v>
      </c>
      <c r="D3" s="131" t="s">
        <v>43</v>
      </c>
      <c r="E3" s="131" t="s">
        <v>44</v>
      </c>
      <c r="F3" s="131" t="s">
        <v>45</v>
      </c>
      <c r="G3" s="131" t="s">
        <v>203</v>
      </c>
      <c r="H3" s="131" t="s">
        <v>47</v>
      </c>
      <c r="I3" s="131" t="s">
        <v>48</v>
      </c>
    </row>
    <row r="4" spans="1:25">
      <c r="B4" s="131"/>
      <c r="C4" s="131" t="s">
        <v>56</v>
      </c>
      <c r="D4" s="131" t="s">
        <v>56</v>
      </c>
      <c r="E4" s="131" t="s">
        <v>56</v>
      </c>
      <c r="F4" s="131" t="s">
        <v>56</v>
      </c>
      <c r="G4" s="131" t="s">
        <v>56</v>
      </c>
      <c r="H4" s="131" t="s">
        <v>56</v>
      </c>
      <c r="I4" s="131" t="s">
        <v>56</v>
      </c>
      <c r="N4" s="90" t="s">
        <v>225</v>
      </c>
      <c r="T4" s="131" t="s">
        <v>47</v>
      </c>
    </row>
    <row r="5" spans="1:25">
      <c r="B5" s="6" t="s">
        <v>10</v>
      </c>
      <c r="C5" s="15">
        <v>15.3</v>
      </c>
      <c r="D5" s="15">
        <v>13.8</v>
      </c>
      <c r="E5" s="15">
        <v>14.6</v>
      </c>
      <c r="F5" s="15">
        <v>12.5</v>
      </c>
      <c r="G5" s="15">
        <v>14.1</v>
      </c>
      <c r="H5" s="15">
        <v>14.1</v>
      </c>
      <c r="I5" s="15">
        <v>15.5</v>
      </c>
      <c r="N5" t="s">
        <v>227</v>
      </c>
      <c r="T5" s="131" t="s">
        <v>56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62</v>
      </c>
    </row>
    <row r="6" spans="1:25">
      <c r="B6" s="6" t="s">
        <v>11</v>
      </c>
      <c r="C6" s="15">
        <v>13.2</v>
      </c>
      <c r="D6" s="15">
        <v>14.1</v>
      </c>
      <c r="E6" s="15">
        <v>13</v>
      </c>
      <c r="F6" s="15">
        <v>13.6</v>
      </c>
      <c r="G6" s="15">
        <v>14.4</v>
      </c>
      <c r="H6" s="15">
        <v>15.2</v>
      </c>
      <c r="I6" s="15">
        <v>16.399999999999999</v>
      </c>
      <c r="N6" t="s">
        <v>228</v>
      </c>
      <c r="T6" s="6" t="s">
        <v>10</v>
      </c>
      <c r="U6" s="90">
        <f>H5</f>
        <v>14.1</v>
      </c>
      <c r="V6" s="90">
        <f>H26</f>
        <v>77</v>
      </c>
      <c r="W6">
        <f>I50</f>
        <v>60.17</v>
      </c>
      <c r="X6" s="90">
        <f>I63</f>
        <v>43.58</v>
      </c>
      <c r="Y6">
        <f>H75</f>
        <v>92.27</v>
      </c>
    </row>
    <row r="7" spans="1:25">
      <c r="B7" s="6" t="s">
        <v>12</v>
      </c>
      <c r="C7" s="15">
        <v>13</v>
      </c>
      <c r="D7" s="15">
        <v>15.1</v>
      </c>
      <c r="E7" s="15">
        <v>13.4</v>
      </c>
      <c r="F7" s="15">
        <v>11.6</v>
      </c>
      <c r="G7" s="15">
        <v>14.3</v>
      </c>
      <c r="H7" s="15">
        <v>14.6</v>
      </c>
      <c r="I7" s="15">
        <v>17.899999999999999</v>
      </c>
      <c r="T7" s="6" t="s">
        <v>11</v>
      </c>
      <c r="U7" s="105">
        <f t="shared" ref="U7:U10" si="0">H6</f>
        <v>15.2</v>
      </c>
      <c r="V7" s="105">
        <f t="shared" ref="V7:V10" si="1">H27</f>
        <v>76.5</v>
      </c>
      <c r="W7">
        <f>I52</f>
        <v>54.18</v>
      </c>
      <c r="X7">
        <f>I65</f>
        <v>43.58</v>
      </c>
      <c r="Y7" s="105">
        <f t="shared" ref="Y7:Y10" si="2">H76</f>
        <v>92.27</v>
      </c>
    </row>
    <row r="8" spans="1:25">
      <c r="B8" s="6" t="s">
        <v>13</v>
      </c>
      <c r="C8" s="15">
        <v>7.6</v>
      </c>
      <c r="D8" s="15">
        <v>14.9</v>
      </c>
      <c r="E8" s="15">
        <v>15</v>
      </c>
      <c r="F8" s="15">
        <v>12.4</v>
      </c>
      <c r="G8" s="15">
        <v>13.4</v>
      </c>
      <c r="H8" s="15">
        <v>16.399999999999999</v>
      </c>
      <c r="I8" s="15">
        <v>20.2</v>
      </c>
      <c r="T8" s="6" t="s">
        <v>12</v>
      </c>
      <c r="U8" s="65">
        <f t="shared" si="0"/>
        <v>14.6</v>
      </c>
      <c r="V8">
        <f t="shared" si="1"/>
        <v>101</v>
      </c>
      <c r="W8" s="65">
        <f>I54</f>
        <v>48.83</v>
      </c>
      <c r="X8">
        <f>I67</f>
        <v>43.58</v>
      </c>
      <c r="Y8" s="65">
        <f t="shared" si="2"/>
        <v>95.32</v>
      </c>
    </row>
    <row r="9" spans="1:25">
      <c r="B9" s="6" t="s">
        <v>14</v>
      </c>
      <c r="C9" s="15">
        <v>7.5</v>
      </c>
      <c r="D9" s="15">
        <v>15.3</v>
      </c>
      <c r="E9" s="15">
        <v>5.0999999999999996</v>
      </c>
      <c r="F9" s="15">
        <v>14.3</v>
      </c>
      <c r="G9" s="15">
        <v>15.3</v>
      </c>
      <c r="H9" s="15">
        <v>17.600000000000001</v>
      </c>
      <c r="I9" s="15">
        <v>24.8</v>
      </c>
      <c r="T9" s="6" t="s">
        <v>13</v>
      </c>
      <c r="U9" s="138">
        <f t="shared" si="0"/>
        <v>16.399999999999999</v>
      </c>
      <c r="V9">
        <f t="shared" si="1"/>
        <v>98</v>
      </c>
      <c r="W9" s="138">
        <f>I56</f>
        <v>36.46</v>
      </c>
      <c r="X9">
        <f>I69</f>
        <v>53.57</v>
      </c>
      <c r="Y9" s="138">
        <f t="shared" si="2"/>
        <v>98.17</v>
      </c>
    </row>
    <row r="10" spans="1:25" ht="22">
      <c r="B10" s="3" t="s">
        <v>204</v>
      </c>
      <c r="C10" s="3"/>
      <c r="D10" s="3"/>
      <c r="E10" s="3"/>
      <c r="F10" s="3"/>
      <c r="G10" s="3"/>
      <c r="H10" s="3"/>
      <c r="I10" s="3"/>
      <c r="J10" s="132"/>
      <c r="T10" s="6" t="s">
        <v>14</v>
      </c>
      <c r="U10" s="138">
        <f>H9</f>
        <v>17.600000000000001</v>
      </c>
      <c r="V10">
        <f>H30</f>
        <v>100</v>
      </c>
      <c r="W10">
        <f>I58</f>
        <v>35.78</v>
      </c>
      <c r="X10">
        <f>I71</f>
        <v>53.57</v>
      </c>
      <c r="Y10">
        <f t="shared" si="2"/>
        <v>91.54</v>
      </c>
    </row>
    <row r="11" spans="1:25">
      <c r="B11" s="131" t="s">
        <v>2</v>
      </c>
      <c r="C11" s="131" t="s">
        <v>22</v>
      </c>
      <c r="D11" s="131" t="s">
        <v>42</v>
      </c>
      <c r="E11" s="131" t="s">
        <v>43</v>
      </c>
      <c r="F11" s="131" t="s">
        <v>44</v>
      </c>
      <c r="G11" s="131" t="s">
        <v>45</v>
      </c>
      <c r="H11" s="131" t="s">
        <v>203</v>
      </c>
      <c r="I11" s="131" t="s">
        <v>47</v>
      </c>
      <c r="J11" s="131" t="s">
        <v>48</v>
      </c>
      <c r="N11" s="90" t="s">
        <v>220</v>
      </c>
      <c r="O11" t="s">
        <v>222</v>
      </c>
    </row>
    <row r="12" spans="1:25">
      <c r="B12" s="131"/>
      <c r="C12" s="131"/>
      <c r="D12" s="131" t="s">
        <v>56</v>
      </c>
      <c r="E12" s="131" t="s">
        <v>56</v>
      </c>
      <c r="F12" s="131" t="s">
        <v>56</v>
      </c>
      <c r="G12" s="131" t="s">
        <v>56</v>
      </c>
      <c r="H12" s="131" t="s">
        <v>56</v>
      </c>
      <c r="I12" s="131" t="s">
        <v>56</v>
      </c>
      <c r="J12" s="131" t="s">
        <v>56</v>
      </c>
      <c r="O12" t="s">
        <v>221</v>
      </c>
    </row>
    <row r="13" spans="1:25">
      <c r="B13" s="6" t="s">
        <v>10</v>
      </c>
      <c r="C13" s="6" t="s">
        <v>23</v>
      </c>
      <c r="D13" s="15">
        <v>12.9</v>
      </c>
      <c r="E13" s="15">
        <v>14.6</v>
      </c>
      <c r="F13" s="15">
        <v>13</v>
      </c>
      <c r="G13" s="15">
        <v>13.5</v>
      </c>
      <c r="H13" s="15">
        <v>14.9</v>
      </c>
      <c r="I13" s="15">
        <v>14.5</v>
      </c>
      <c r="J13" s="15">
        <v>16.7</v>
      </c>
      <c r="O13" s="90" t="s">
        <v>223</v>
      </c>
    </row>
    <row r="14" spans="1:25">
      <c r="B14" s="6"/>
      <c r="C14" s="6" t="s">
        <v>24</v>
      </c>
      <c r="D14" s="15">
        <v>16.399999999999999</v>
      </c>
      <c r="E14" s="15">
        <v>13.5</v>
      </c>
      <c r="F14" s="15">
        <v>15.3</v>
      </c>
      <c r="G14" s="15">
        <v>12.1</v>
      </c>
      <c r="H14" s="15">
        <v>13.8</v>
      </c>
      <c r="I14" s="15">
        <v>13.9</v>
      </c>
      <c r="J14" s="15">
        <v>15</v>
      </c>
      <c r="O14" t="s">
        <v>224</v>
      </c>
      <c r="T14" s="131" t="s">
        <v>203</v>
      </c>
    </row>
    <row r="15" spans="1:25">
      <c r="B15" s="6" t="s">
        <v>11</v>
      </c>
      <c r="C15" s="6" t="s">
        <v>23</v>
      </c>
      <c r="D15" s="15">
        <v>11.6</v>
      </c>
      <c r="E15" s="15">
        <v>15</v>
      </c>
      <c r="F15" s="15">
        <v>11.9</v>
      </c>
      <c r="G15" s="15">
        <v>13.8</v>
      </c>
      <c r="H15" s="15">
        <v>15.1</v>
      </c>
      <c r="I15" s="15">
        <v>15.2</v>
      </c>
      <c r="J15" s="15">
        <v>17.399999999999999</v>
      </c>
      <c r="T15" s="131" t="s">
        <v>56</v>
      </c>
      <c r="U15" s="6" t="s">
        <v>229</v>
      </c>
      <c r="V15" s="6" t="s">
        <v>230</v>
      </c>
      <c r="W15" s="6" t="s">
        <v>231</v>
      </c>
      <c r="X15" s="6" t="s">
        <v>232</v>
      </c>
      <c r="Y15" s="6" t="s">
        <v>62</v>
      </c>
    </row>
    <row r="16" spans="1:25" ht="26">
      <c r="B16" s="6"/>
      <c r="C16" s="6" t="s">
        <v>24</v>
      </c>
      <c r="D16" s="15">
        <v>14</v>
      </c>
      <c r="E16" s="15">
        <v>13.7</v>
      </c>
      <c r="F16" s="15">
        <v>13.5</v>
      </c>
      <c r="G16" s="15">
        <v>13.5</v>
      </c>
      <c r="H16" s="15">
        <v>14.1</v>
      </c>
      <c r="I16" s="133">
        <v>15.2</v>
      </c>
      <c r="J16" s="15">
        <v>15.9</v>
      </c>
      <c r="N16" s="90" t="s">
        <v>233</v>
      </c>
      <c r="T16" s="6" t="s">
        <v>10</v>
      </c>
      <c r="U16" s="90">
        <f>G5</f>
        <v>14.1</v>
      </c>
      <c r="V16" s="90">
        <f>G26</f>
        <v>77</v>
      </c>
      <c r="W16">
        <f>H50</f>
        <v>63.02</v>
      </c>
      <c r="X16" s="90">
        <f>H63</f>
        <v>43.58</v>
      </c>
      <c r="Y16">
        <f>G75</f>
        <v>94.44</v>
      </c>
    </row>
    <row r="17" spans="2:25">
      <c r="B17" s="6" t="s">
        <v>12</v>
      </c>
      <c r="C17" s="6" t="s">
        <v>23</v>
      </c>
      <c r="D17" s="15">
        <v>11.6</v>
      </c>
      <c r="E17" s="15">
        <v>15.7</v>
      </c>
      <c r="F17" s="15">
        <v>11.9</v>
      </c>
      <c r="G17" s="15">
        <v>11.6</v>
      </c>
      <c r="H17" s="15">
        <v>15.4</v>
      </c>
      <c r="I17" s="15">
        <v>15.3</v>
      </c>
      <c r="J17" s="15">
        <v>18.5</v>
      </c>
      <c r="N17" t="s">
        <v>234</v>
      </c>
      <c r="T17" s="6" t="s">
        <v>11</v>
      </c>
      <c r="U17" s="105">
        <f t="shared" ref="U17:U20" si="3">G6</f>
        <v>14.4</v>
      </c>
      <c r="V17" s="105">
        <f t="shared" ref="V17:V20" si="4">G27</f>
        <v>77</v>
      </c>
      <c r="W17">
        <f>H52</f>
        <v>54.51</v>
      </c>
      <c r="X17">
        <f>H65</f>
        <v>43.58</v>
      </c>
      <c r="Y17" s="105">
        <f t="shared" ref="Y17:Y20" si="5">G76</f>
        <v>85.91</v>
      </c>
    </row>
    <row r="18" spans="2:25">
      <c r="B18" s="6"/>
      <c r="C18" s="6" t="s">
        <v>24</v>
      </c>
      <c r="D18" s="15">
        <v>13.7</v>
      </c>
      <c r="E18" s="15">
        <v>14.8</v>
      </c>
      <c r="F18" s="15">
        <v>14.2</v>
      </c>
      <c r="G18" s="15">
        <v>11.6</v>
      </c>
      <c r="H18" s="15">
        <v>13.8</v>
      </c>
      <c r="I18" s="15">
        <v>14.3</v>
      </c>
      <c r="J18" s="15">
        <v>17.600000000000001</v>
      </c>
      <c r="N18" t="s">
        <v>235</v>
      </c>
      <c r="T18" s="6" t="s">
        <v>12</v>
      </c>
      <c r="U18" s="65">
        <f t="shared" si="3"/>
        <v>14.3</v>
      </c>
      <c r="V18">
        <f t="shared" si="4"/>
        <v>101</v>
      </c>
      <c r="W18" s="65">
        <f>H54</f>
        <v>49.18</v>
      </c>
      <c r="X18">
        <f>H67</f>
        <v>43.58</v>
      </c>
      <c r="Y18" s="65">
        <f t="shared" si="5"/>
        <v>97.03</v>
      </c>
    </row>
    <row r="19" spans="2:25">
      <c r="B19" s="6" t="s">
        <v>13</v>
      </c>
      <c r="C19" s="6" t="s">
        <v>23</v>
      </c>
      <c r="D19" s="15">
        <v>3.7</v>
      </c>
      <c r="E19" s="15">
        <v>16.899999999999999</v>
      </c>
      <c r="F19" s="15">
        <v>8.1</v>
      </c>
      <c r="G19" s="15">
        <v>12.1</v>
      </c>
      <c r="H19" s="15">
        <v>16.5</v>
      </c>
      <c r="I19" s="15">
        <v>17.899999999999999</v>
      </c>
      <c r="J19" s="15">
        <v>24.8</v>
      </c>
      <c r="N19" t="s">
        <v>236</v>
      </c>
      <c r="T19" s="6" t="s">
        <v>13</v>
      </c>
      <c r="U19" s="138">
        <f t="shared" si="3"/>
        <v>13.4</v>
      </c>
      <c r="V19">
        <f t="shared" si="4"/>
        <v>98</v>
      </c>
      <c r="W19" s="138">
        <f>H56</f>
        <v>34.1</v>
      </c>
      <c r="X19">
        <f>H69</f>
        <v>53.57</v>
      </c>
      <c r="Y19" s="138">
        <f t="shared" si="5"/>
        <v>80.849999999999994</v>
      </c>
    </row>
    <row r="20" spans="2:25">
      <c r="B20" s="6"/>
      <c r="C20" s="6" t="s">
        <v>24</v>
      </c>
      <c r="D20" s="15">
        <v>8.9</v>
      </c>
      <c r="E20" s="15">
        <v>14.2</v>
      </c>
      <c r="F20" s="15">
        <v>17.399999999999999</v>
      </c>
      <c r="G20" s="15">
        <v>12.6</v>
      </c>
      <c r="H20" s="15">
        <v>12.4</v>
      </c>
      <c r="I20" s="15">
        <v>15.9</v>
      </c>
      <c r="J20" s="15">
        <v>18.7</v>
      </c>
      <c r="N20" t="s">
        <v>237</v>
      </c>
      <c r="T20" s="6" t="s">
        <v>14</v>
      </c>
      <c r="U20" s="138">
        <f>G9</f>
        <v>15.3</v>
      </c>
      <c r="V20">
        <f>G30</f>
        <v>100</v>
      </c>
      <c r="W20">
        <f>H58</f>
        <v>33.96</v>
      </c>
      <c r="X20">
        <f>H71</f>
        <v>53.57</v>
      </c>
      <c r="Y20">
        <f t="shared" si="5"/>
        <v>72.91</v>
      </c>
    </row>
    <row r="21" spans="2:25">
      <c r="B21" s="6" t="s">
        <v>14</v>
      </c>
      <c r="C21" s="6" t="s">
        <v>23</v>
      </c>
      <c r="D21" s="15">
        <v>4.0999999999999996</v>
      </c>
      <c r="E21" s="15">
        <v>16.899999999999999</v>
      </c>
      <c r="F21" s="15">
        <v>3.4</v>
      </c>
      <c r="G21" s="15">
        <v>13.2</v>
      </c>
      <c r="H21" s="15">
        <v>17.100000000000001</v>
      </c>
      <c r="I21" s="15">
        <v>18.399999999999999</v>
      </c>
      <c r="J21" s="15">
        <v>27</v>
      </c>
      <c r="N21" t="s">
        <v>238</v>
      </c>
    </row>
    <row r="22" spans="2:25" ht="31">
      <c r="B22" s="6"/>
      <c r="C22" s="6" t="s">
        <v>24</v>
      </c>
      <c r="D22" s="15">
        <v>10.9</v>
      </c>
      <c r="E22" s="15">
        <v>13.8</v>
      </c>
      <c r="F22" s="15">
        <v>6.9</v>
      </c>
      <c r="G22" s="15">
        <v>15.3</v>
      </c>
      <c r="H22" s="140">
        <v>13.7</v>
      </c>
      <c r="I22" s="140">
        <v>16.8</v>
      </c>
      <c r="J22" s="15">
        <v>22.8</v>
      </c>
    </row>
    <row r="23" spans="2:25" ht="22">
      <c r="B23" s="3" t="s">
        <v>205</v>
      </c>
      <c r="C23" s="3"/>
      <c r="D23" s="3"/>
      <c r="E23" s="3"/>
      <c r="F23" s="3"/>
      <c r="G23" s="3"/>
      <c r="H23" s="3"/>
      <c r="I23" s="3"/>
      <c r="N23" s="90" t="s">
        <v>239</v>
      </c>
    </row>
    <row r="24" spans="2:25">
      <c r="B24" s="131" t="s">
        <v>2</v>
      </c>
      <c r="C24" s="131" t="s">
        <v>42</v>
      </c>
      <c r="D24" s="131" t="s">
        <v>43</v>
      </c>
      <c r="E24" s="131" t="s">
        <v>44</v>
      </c>
      <c r="F24" s="131" t="s">
        <v>45</v>
      </c>
      <c r="G24" s="131" t="s">
        <v>203</v>
      </c>
      <c r="H24" s="131" t="s">
        <v>47</v>
      </c>
      <c r="I24" s="131" t="s">
        <v>48</v>
      </c>
      <c r="N24" t="s">
        <v>241</v>
      </c>
    </row>
    <row r="25" spans="2:25">
      <c r="B25" s="131"/>
      <c r="C25" s="131" t="s">
        <v>56</v>
      </c>
      <c r="D25" s="131" t="s">
        <v>56</v>
      </c>
      <c r="E25" s="131" t="s">
        <v>56</v>
      </c>
      <c r="F25" s="131" t="s">
        <v>56</v>
      </c>
      <c r="G25" s="131" t="s">
        <v>56</v>
      </c>
      <c r="H25" s="131" t="s">
        <v>56</v>
      </c>
      <c r="I25" s="131" t="s">
        <v>56</v>
      </c>
      <c r="N25" t="s">
        <v>242</v>
      </c>
    </row>
    <row r="26" spans="2:25">
      <c r="B26" s="6" t="s">
        <v>10</v>
      </c>
      <c r="C26" s="15">
        <v>69.989999999999995</v>
      </c>
      <c r="D26" s="15">
        <v>77</v>
      </c>
      <c r="E26" s="15">
        <v>71</v>
      </c>
      <c r="F26" s="15">
        <v>77</v>
      </c>
      <c r="G26" s="15">
        <v>77</v>
      </c>
      <c r="H26" s="15">
        <v>77</v>
      </c>
      <c r="I26" s="15">
        <v>74</v>
      </c>
      <c r="N26" t="s">
        <v>243</v>
      </c>
    </row>
    <row r="27" spans="2:25" ht="28">
      <c r="B27" s="6" t="s">
        <v>11</v>
      </c>
      <c r="C27" s="15">
        <v>69.989999999999995</v>
      </c>
      <c r="D27" s="15">
        <v>77</v>
      </c>
      <c r="E27" s="15">
        <v>72</v>
      </c>
      <c r="F27" s="15">
        <v>75</v>
      </c>
      <c r="G27" s="15">
        <v>77</v>
      </c>
      <c r="H27" s="135">
        <v>76.5</v>
      </c>
      <c r="I27" s="15">
        <v>75</v>
      </c>
      <c r="N27" s="90" t="s">
        <v>244</v>
      </c>
    </row>
    <row r="28" spans="2:25">
      <c r="B28" s="6" t="s">
        <v>12</v>
      </c>
      <c r="C28" s="15">
        <v>93</v>
      </c>
      <c r="D28" s="15">
        <v>99</v>
      </c>
      <c r="E28" s="15">
        <v>93</v>
      </c>
      <c r="F28" s="15">
        <v>96</v>
      </c>
      <c r="G28" s="15">
        <v>101</v>
      </c>
      <c r="H28" s="15">
        <v>101</v>
      </c>
      <c r="I28" s="15">
        <v>95</v>
      </c>
    </row>
    <row r="29" spans="2:25">
      <c r="B29" s="6" t="s">
        <v>13</v>
      </c>
      <c r="C29" s="15">
        <v>93</v>
      </c>
      <c r="D29" s="15">
        <v>100</v>
      </c>
      <c r="E29" s="15">
        <v>90</v>
      </c>
      <c r="F29" s="15">
        <v>98</v>
      </c>
      <c r="G29" s="15">
        <v>98</v>
      </c>
      <c r="H29" s="15">
        <v>98</v>
      </c>
      <c r="I29" s="15">
        <v>94</v>
      </c>
      <c r="N29" s="90" t="s">
        <v>240</v>
      </c>
    </row>
    <row r="30" spans="2:25">
      <c r="B30" s="6" t="s">
        <v>14</v>
      </c>
      <c r="C30" s="15">
        <v>93</v>
      </c>
      <c r="D30" s="15">
        <v>105</v>
      </c>
      <c r="E30" s="15">
        <v>90</v>
      </c>
      <c r="F30" s="15">
        <v>98</v>
      </c>
      <c r="G30" s="15">
        <v>100</v>
      </c>
      <c r="H30" s="15">
        <v>100</v>
      </c>
      <c r="I30" s="15">
        <v>94</v>
      </c>
      <c r="N30" t="s">
        <v>245</v>
      </c>
    </row>
    <row r="31" spans="2:25" ht="22">
      <c r="B31" s="3" t="s">
        <v>206</v>
      </c>
      <c r="C31" s="3"/>
      <c r="D31" s="3"/>
      <c r="E31" s="3"/>
      <c r="F31" s="3"/>
      <c r="G31" s="3"/>
      <c r="H31" s="3"/>
      <c r="I31" s="3"/>
      <c r="N31" s="90" t="s">
        <v>247</v>
      </c>
    </row>
    <row r="32" spans="2:25">
      <c r="B32" s="6" t="s">
        <v>207</v>
      </c>
      <c r="C32" s="6" t="s">
        <v>208</v>
      </c>
      <c r="D32" s="6" t="s">
        <v>209</v>
      </c>
      <c r="E32" s="6" t="s">
        <v>210</v>
      </c>
      <c r="F32" s="6" t="s">
        <v>211</v>
      </c>
      <c r="G32" s="6" t="s">
        <v>212</v>
      </c>
      <c r="H32" s="6" t="s">
        <v>213</v>
      </c>
      <c r="I32" s="6" t="s">
        <v>214</v>
      </c>
    </row>
    <row r="33" spans="2:14">
      <c r="B33" s="15" t="s">
        <v>92</v>
      </c>
      <c r="C33" s="15" t="s">
        <v>215</v>
      </c>
      <c r="D33" s="15" t="s">
        <v>215</v>
      </c>
      <c r="E33" s="15" t="s">
        <v>216</v>
      </c>
      <c r="F33" s="15" t="s">
        <v>216</v>
      </c>
      <c r="G33" s="15" t="s">
        <v>216</v>
      </c>
      <c r="H33" s="15" t="s">
        <v>216</v>
      </c>
      <c r="I33" s="15" t="s">
        <v>216</v>
      </c>
    </row>
    <row r="34" spans="2:14">
      <c r="B34" s="15" t="s">
        <v>95</v>
      </c>
      <c r="C34" s="15" t="s">
        <v>215</v>
      </c>
      <c r="D34" s="15" t="s">
        <v>215</v>
      </c>
      <c r="E34" s="15" t="s">
        <v>215</v>
      </c>
      <c r="F34" s="15" t="s">
        <v>215</v>
      </c>
      <c r="G34" s="15" t="s">
        <v>215</v>
      </c>
      <c r="H34" s="15" t="s">
        <v>215</v>
      </c>
      <c r="I34" s="15" t="s">
        <v>215</v>
      </c>
    </row>
    <row r="35" spans="2:14">
      <c r="B35" s="15" t="s">
        <v>98</v>
      </c>
      <c r="C35" s="15" t="s">
        <v>216</v>
      </c>
      <c r="D35" s="15" t="s">
        <v>216</v>
      </c>
      <c r="E35" s="15" t="s">
        <v>215</v>
      </c>
      <c r="F35" s="15" t="s">
        <v>216</v>
      </c>
      <c r="G35" s="15" t="s">
        <v>215</v>
      </c>
      <c r="H35" s="15" t="s">
        <v>215</v>
      </c>
      <c r="I35" s="15" t="s">
        <v>215</v>
      </c>
    </row>
    <row r="36" spans="2:14">
      <c r="B36" s="15" t="s">
        <v>100</v>
      </c>
      <c r="C36" s="15" t="s">
        <v>215</v>
      </c>
      <c r="D36" s="15" t="s">
        <v>215</v>
      </c>
      <c r="E36" s="15" t="s">
        <v>215</v>
      </c>
      <c r="F36" s="15" t="s">
        <v>216</v>
      </c>
      <c r="G36" s="15" t="s">
        <v>215</v>
      </c>
      <c r="H36" s="15" t="s">
        <v>215</v>
      </c>
      <c r="I36" s="15" t="s">
        <v>215</v>
      </c>
      <c r="N36" t="s">
        <v>246</v>
      </c>
    </row>
    <row r="37" spans="2:14">
      <c r="B37" s="15" t="s">
        <v>103</v>
      </c>
      <c r="C37" s="15" t="s">
        <v>215</v>
      </c>
      <c r="D37" s="15" t="s">
        <v>215</v>
      </c>
      <c r="E37" s="15" t="s">
        <v>215</v>
      </c>
      <c r="F37" s="15" t="s">
        <v>215</v>
      </c>
      <c r="G37" s="15" t="s">
        <v>215</v>
      </c>
      <c r="H37" s="15" t="s">
        <v>215</v>
      </c>
      <c r="I37" s="15" t="s">
        <v>215</v>
      </c>
    </row>
    <row r="38" spans="2:14">
      <c r="B38" s="15" t="s">
        <v>106</v>
      </c>
      <c r="C38" s="15" t="s">
        <v>215</v>
      </c>
      <c r="D38" s="15" t="s">
        <v>215</v>
      </c>
      <c r="E38" s="15" t="s">
        <v>215</v>
      </c>
      <c r="F38" s="15" t="s">
        <v>215</v>
      </c>
      <c r="G38" s="15" t="s">
        <v>215</v>
      </c>
      <c r="H38" s="15" t="s">
        <v>215</v>
      </c>
      <c r="I38" s="15" t="s">
        <v>215</v>
      </c>
    </row>
    <row r="39" spans="2:14">
      <c r="B39" s="15" t="s">
        <v>109</v>
      </c>
      <c r="C39" s="15" t="s">
        <v>215</v>
      </c>
      <c r="D39" s="15" t="s">
        <v>215</v>
      </c>
      <c r="E39" s="15" t="s">
        <v>215</v>
      </c>
      <c r="F39" s="15" t="s">
        <v>215</v>
      </c>
      <c r="G39" s="15" t="s">
        <v>215</v>
      </c>
      <c r="H39" s="15" t="s">
        <v>215</v>
      </c>
      <c r="I39" s="15" t="s">
        <v>216</v>
      </c>
    </row>
    <row r="40" spans="2:14">
      <c r="B40" s="15" t="s">
        <v>111</v>
      </c>
      <c r="C40" s="15" t="s">
        <v>215</v>
      </c>
      <c r="D40" s="15" t="s">
        <v>215</v>
      </c>
      <c r="E40" s="15" t="s">
        <v>215</v>
      </c>
      <c r="F40" s="15" t="s">
        <v>215</v>
      </c>
      <c r="G40" s="15" t="s">
        <v>215</v>
      </c>
      <c r="H40" s="15" t="s">
        <v>215</v>
      </c>
      <c r="I40" s="15" t="s">
        <v>215</v>
      </c>
    </row>
    <row r="41" spans="2:14">
      <c r="B41" s="15" t="s">
        <v>114</v>
      </c>
      <c r="C41" s="15" t="s">
        <v>215</v>
      </c>
      <c r="D41" s="15" t="s">
        <v>215</v>
      </c>
      <c r="E41" s="15" t="s">
        <v>215</v>
      </c>
      <c r="F41" s="15" t="s">
        <v>215</v>
      </c>
      <c r="G41" s="15" t="s">
        <v>215</v>
      </c>
      <c r="H41" s="15" t="s">
        <v>215</v>
      </c>
      <c r="I41" s="15" t="s">
        <v>215</v>
      </c>
    </row>
    <row r="42" spans="2:14">
      <c r="B42" s="15" t="s">
        <v>116</v>
      </c>
      <c r="C42" s="15" t="s">
        <v>215</v>
      </c>
      <c r="D42" s="15" t="s">
        <v>216</v>
      </c>
      <c r="E42" s="15" t="s">
        <v>215</v>
      </c>
      <c r="F42" s="15" t="s">
        <v>215</v>
      </c>
      <c r="G42" s="15" t="s">
        <v>216</v>
      </c>
      <c r="H42" s="15" t="s">
        <v>216</v>
      </c>
      <c r="I42" s="15" t="s">
        <v>216</v>
      </c>
    </row>
    <row r="43" spans="2:14">
      <c r="B43" s="15" t="s">
        <v>118</v>
      </c>
      <c r="C43" s="15" t="s">
        <v>215</v>
      </c>
      <c r="D43" s="15" t="s">
        <v>215</v>
      </c>
      <c r="E43" s="15" t="s">
        <v>215</v>
      </c>
      <c r="F43" s="15" t="s">
        <v>215</v>
      </c>
      <c r="G43" s="15" t="s">
        <v>215</v>
      </c>
      <c r="H43" s="15" t="s">
        <v>215</v>
      </c>
      <c r="I43" s="15" t="s">
        <v>215</v>
      </c>
    </row>
    <row r="44" spans="2:14">
      <c r="B44" s="15" t="s">
        <v>120</v>
      </c>
      <c r="C44" s="15" t="s">
        <v>215</v>
      </c>
      <c r="D44" s="15" t="s">
        <v>215</v>
      </c>
      <c r="E44" s="15" t="s">
        <v>215</v>
      </c>
      <c r="F44" s="15" t="s">
        <v>215</v>
      </c>
      <c r="G44" s="15" t="s">
        <v>215</v>
      </c>
      <c r="H44" s="15" t="s">
        <v>215</v>
      </c>
      <c r="I44" s="15" t="s">
        <v>215</v>
      </c>
    </row>
    <row r="45" spans="2:14">
      <c r="B45" s="15" t="s">
        <v>122</v>
      </c>
      <c r="C45" s="15" t="s">
        <v>215</v>
      </c>
      <c r="D45" s="15" t="s">
        <v>215</v>
      </c>
      <c r="E45" s="15" t="s">
        <v>215</v>
      </c>
      <c r="F45" s="15" t="s">
        <v>215</v>
      </c>
      <c r="G45" s="15" t="s">
        <v>215</v>
      </c>
      <c r="H45" s="15" t="s">
        <v>215</v>
      </c>
      <c r="I45" s="15" t="s">
        <v>215</v>
      </c>
    </row>
    <row r="46" spans="2:14">
      <c r="B46" s="15" t="s">
        <v>124</v>
      </c>
      <c r="C46" s="15" t="s">
        <v>215</v>
      </c>
      <c r="D46" s="15" t="s">
        <v>215</v>
      </c>
      <c r="E46" s="15" t="s">
        <v>215</v>
      </c>
      <c r="F46" s="15" t="s">
        <v>215</v>
      </c>
      <c r="G46" s="15" t="s">
        <v>215</v>
      </c>
      <c r="H46" s="15" t="s">
        <v>215</v>
      </c>
      <c r="I46" s="15" t="s">
        <v>215</v>
      </c>
    </row>
    <row r="47" spans="2:14" ht="22">
      <c r="B47" s="3" t="s">
        <v>217</v>
      </c>
      <c r="C47" s="3"/>
      <c r="D47" s="3"/>
      <c r="E47" s="3"/>
      <c r="F47" s="3"/>
      <c r="G47" s="3"/>
      <c r="H47" s="3"/>
      <c r="I47" s="3"/>
      <c r="J47" s="132"/>
    </row>
    <row r="48" spans="2:14">
      <c r="B48" s="131" t="s">
        <v>2</v>
      </c>
      <c r="C48" s="131" t="s">
        <v>22</v>
      </c>
      <c r="D48" s="131" t="s">
        <v>42</v>
      </c>
      <c r="E48" s="131" t="s">
        <v>43</v>
      </c>
      <c r="F48" s="131" t="s">
        <v>44</v>
      </c>
      <c r="G48" s="131" t="s">
        <v>45</v>
      </c>
      <c r="H48" s="131" t="s">
        <v>203</v>
      </c>
      <c r="I48" s="131" t="s">
        <v>47</v>
      </c>
      <c r="J48" s="131" t="s">
        <v>48</v>
      </c>
    </row>
    <row r="49" spans="2:10">
      <c r="B49" s="131"/>
      <c r="C49" s="131"/>
      <c r="D49" s="131" t="s">
        <v>56</v>
      </c>
      <c r="E49" s="131" t="s">
        <v>56</v>
      </c>
      <c r="F49" s="131" t="s">
        <v>56</v>
      </c>
      <c r="G49" s="131" t="s">
        <v>56</v>
      </c>
      <c r="H49" s="131" t="s">
        <v>56</v>
      </c>
      <c r="I49" s="131" t="s">
        <v>56</v>
      </c>
      <c r="J49" s="131" t="s">
        <v>56</v>
      </c>
    </row>
    <row r="50" spans="2:10">
      <c r="B50" s="6" t="s">
        <v>10</v>
      </c>
      <c r="C50" s="6" t="s">
        <v>23</v>
      </c>
      <c r="D50" s="15">
        <v>53.47</v>
      </c>
      <c r="E50" s="15">
        <v>62.72</v>
      </c>
      <c r="F50" s="15">
        <v>53.41</v>
      </c>
      <c r="G50" s="15">
        <v>55.11</v>
      </c>
      <c r="H50" s="15">
        <v>63.02</v>
      </c>
      <c r="I50" s="15">
        <v>60.17</v>
      </c>
      <c r="J50" s="15">
        <v>61.92</v>
      </c>
    </row>
    <row r="51" spans="2:10">
      <c r="B51" s="6"/>
      <c r="C51" s="6" t="s">
        <v>24</v>
      </c>
      <c r="D51" s="15">
        <v>45.07</v>
      </c>
      <c r="E51" s="15">
        <v>45.39</v>
      </c>
      <c r="F51" s="15">
        <v>41.04</v>
      </c>
      <c r="G51" s="15">
        <v>32.630000000000003</v>
      </c>
      <c r="H51" s="15">
        <v>46.55</v>
      </c>
      <c r="I51" s="15">
        <v>47.7</v>
      </c>
      <c r="J51" s="15">
        <v>39.78</v>
      </c>
    </row>
    <row r="52" spans="2:10">
      <c r="B52" s="6" t="s">
        <v>11</v>
      </c>
      <c r="C52" s="6" t="s">
        <v>23</v>
      </c>
      <c r="D52" s="15">
        <v>32.97</v>
      </c>
      <c r="E52" s="15">
        <v>55.83</v>
      </c>
      <c r="F52" s="15">
        <v>36.72</v>
      </c>
      <c r="G52" s="15">
        <v>50.29</v>
      </c>
      <c r="H52" s="15">
        <v>54.51</v>
      </c>
      <c r="I52" s="15">
        <v>54.18</v>
      </c>
      <c r="J52" s="15">
        <v>57.23</v>
      </c>
    </row>
    <row r="53" spans="2:10" ht="28">
      <c r="B53" s="6"/>
      <c r="C53" s="6" t="s">
        <v>24</v>
      </c>
      <c r="D53" s="15">
        <v>24.6</v>
      </c>
      <c r="E53" s="15">
        <v>34.97</v>
      </c>
      <c r="F53" s="15">
        <v>25.8</v>
      </c>
      <c r="G53" s="15">
        <v>28.5</v>
      </c>
      <c r="H53" s="15">
        <v>36.39</v>
      </c>
      <c r="I53" s="134">
        <v>39.86</v>
      </c>
      <c r="J53" s="15">
        <v>35.909999999999997</v>
      </c>
    </row>
    <row r="54" spans="2:10">
      <c r="B54" s="6" t="s">
        <v>12</v>
      </c>
      <c r="C54" s="6" t="s">
        <v>23</v>
      </c>
      <c r="D54" s="15">
        <v>28.33</v>
      </c>
      <c r="E54" s="15">
        <v>51.61</v>
      </c>
      <c r="F54" s="15">
        <v>28.96</v>
      </c>
      <c r="G54" s="15">
        <v>45.57</v>
      </c>
      <c r="H54" s="15">
        <v>49.18</v>
      </c>
      <c r="I54" s="15">
        <v>48.83</v>
      </c>
      <c r="J54" s="15">
        <v>52.72</v>
      </c>
    </row>
    <row r="55" spans="2:10">
      <c r="B55" s="6"/>
      <c r="C55" s="6" t="s">
        <v>24</v>
      </c>
      <c r="D55" s="15">
        <v>25.17</v>
      </c>
      <c r="E55" s="15">
        <v>36.83</v>
      </c>
      <c r="F55" s="15">
        <v>26.89</v>
      </c>
      <c r="G55" s="15">
        <v>29.08</v>
      </c>
      <c r="H55" s="15">
        <v>35.4</v>
      </c>
      <c r="I55" s="15">
        <v>38.21</v>
      </c>
      <c r="J55" s="15">
        <v>36.99</v>
      </c>
    </row>
    <row r="56" spans="2:10">
      <c r="B56" s="6" t="s">
        <v>13</v>
      </c>
      <c r="C56" s="6" t="s">
        <v>23</v>
      </c>
      <c r="D56" s="15">
        <v>7.58</v>
      </c>
      <c r="E56" s="15">
        <v>37.549999999999997</v>
      </c>
      <c r="F56" s="15">
        <v>19.18</v>
      </c>
      <c r="G56" s="15">
        <v>30.08</v>
      </c>
      <c r="H56" s="15">
        <v>34.1</v>
      </c>
      <c r="I56" s="15">
        <v>36.46</v>
      </c>
      <c r="J56" s="15">
        <v>39.71</v>
      </c>
    </row>
    <row r="57" spans="2:10">
      <c r="B57" s="6"/>
      <c r="C57" s="6" t="s">
        <v>24</v>
      </c>
      <c r="D57" s="15">
        <v>12.65</v>
      </c>
      <c r="E57" s="15">
        <v>25.74</v>
      </c>
      <c r="F57" s="15">
        <v>25.33</v>
      </c>
      <c r="G57" s="15">
        <v>17.78</v>
      </c>
      <c r="H57" s="15">
        <v>20.260000000000002</v>
      </c>
      <c r="I57" s="15">
        <v>26.34</v>
      </c>
      <c r="J57" s="15">
        <v>25.2</v>
      </c>
    </row>
    <row r="58" spans="2:10" ht="26">
      <c r="B58" s="6" t="s">
        <v>14</v>
      </c>
      <c r="C58" s="6" t="s">
        <v>23</v>
      </c>
      <c r="D58" s="15">
        <v>7.58</v>
      </c>
      <c r="E58" s="15">
        <v>37.04</v>
      </c>
      <c r="F58" s="15">
        <v>10.220000000000001</v>
      </c>
      <c r="G58" s="15">
        <v>30.08</v>
      </c>
      <c r="H58" s="139">
        <v>33.96</v>
      </c>
      <c r="I58" s="139">
        <v>35.78</v>
      </c>
      <c r="J58" s="15">
        <v>39.71</v>
      </c>
    </row>
    <row r="59" spans="2:10" ht="26">
      <c r="B59" s="6"/>
      <c r="C59" s="6" t="s">
        <v>24</v>
      </c>
      <c r="D59" s="15">
        <v>12.65</v>
      </c>
      <c r="E59" s="15">
        <v>23.86</v>
      </c>
      <c r="F59" s="15">
        <v>10.93</v>
      </c>
      <c r="G59" s="15">
        <v>17.78</v>
      </c>
      <c r="H59" s="139">
        <v>19.899999999999999</v>
      </c>
      <c r="I59" s="139">
        <v>24.26</v>
      </c>
      <c r="J59" s="15">
        <v>25.16</v>
      </c>
    </row>
    <row r="60" spans="2:10" ht="22">
      <c r="B60" s="3" t="s">
        <v>218</v>
      </c>
      <c r="C60" s="3"/>
      <c r="D60" s="3"/>
      <c r="E60" s="3"/>
      <c r="F60" s="3"/>
      <c r="G60" s="3"/>
      <c r="H60" s="3"/>
      <c r="I60" s="3"/>
      <c r="J60" s="132"/>
    </row>
    <row r="61" spans="2:10">
      <c r="B61" s="131" t="s">
        <v>2</v>
      </c>
      <c r="C61" s="131" t="s">
        <v>22</v>
      </c>
      <c r="D61" s="131" t="s">
        <v>42</v>
      </c>
      <c r="E61" s="131" t="s">
        <v>43</v>
      </c>
      <c r="F61" s="131" t="s">
        <v>44</v>
      </c>
      <c r="G61" s="131" t="s">
        <v>45</v>
      </c>
      <c r="H61" s="131" t="s">
        <v>203</v>
      </c>
      <c r="I61" s="131" t="s">
        <v>47</v>
      </c>
      <c r="J61" s="131" t="s">
        <v>48</v>
      </c>
    </row>
    <row r="62" spans="2:10">
      <c r="B62" s="131"/>
      <c r="C62" s="131"/>
      <c r="D62" s="131" t="s">
        <v>56</v>
      </c>
      <c r="E62" s="131" t="s">
        <v>56</v>
      </c>
      <c r="F62" s="131" t="s">
        <v>56</v>
      </c>
      <c r="G62" s="131" t="s">
        <v>56</v>
      </c>
      <c r="H62" s="131" t="s">
        <v>56</v>
      </c>
      <c r="I62" s="131" t="s">
        <v>56</v>
      </c>
      <c r="J62" s="131" t="s">
        <v>56</v>
      </c>
    </row>
    <row r="63" spans="2:10">
      <c r="B63" s="6" t="s">
        <v>10</v>
      </c>
      <c r="C63" s="6" t="s">
        <v>23</v>
      </c>
      <c r="D63" s="15">
        <v>28.02</v>
      </c>
      <c r="E63" s="15">
        <v>41.8</v>
      </c>
      <c r="F63" s="15">
        <v>29.8</v>
      </c>
      <c r="G63" s="15">
        <v>39.85</v>
      </c>
      <c r="H63" s="15">
        <v>43.58</v>
      </c>
      <c r="I63" s="15">
        <v>43.58</v>
      </c>
      <c r="J63" s="15">
        <v>50.91</v>
      </c>
    </row>
    <row r="64" spans="2:10">
      <c r="B64" s="6"/>
      <c r="C64" s="6" t="s">
        <v>24</v>
      </c>
      <c r="D64" s="15">
        <v>29.81</v>
      </c>
      <c r="E64" s="15">
        <v>44.09</v>
      </c>
      <c r="F64" s="15">
        <v>31.65</v>
      </c>
      <c r="G64" s="15">
        <v>53.1</v>
      </c>
      <c r="H64" s="15">
        <v>45.93</v>
      </c>
      <c r="I64" s="15">
        <v>45.93</v>
      </c>
      <c r="J64" s="15">
        <v>52.16</v>
      </c>
    </row>
    <row r="65" spans="2:10">
      <c r="B65" s="6" t="s">
        <v>11</v>
      </c>
      <c r="C65" s="6" t="s">
        <v>23</v>
      </c>
      <c r="D65" s="15">
        <v>28.02</v>
      </c>
      <c r="E65" s="15">
        <v>41.8</v>
      </c>
      <c r="F65" s="15">
        <v>29.8</v>
      </c>
      <c r="G65" s="15">
        <v>39.85</v>
      </c>
      <c r="H65" s="15">
        <v>43.58</v>
      </c>
      <c r="I65" s="15">
        <v>43.58</v>
      </c>
      <c r="J65" s="15">
        <v>50.91</v>
      </c>
    </row>
    <row r="66" spans="2:10">
      <c r="B66" s="6"/>
      <c r="C66" s="6" t="s">
        <v>24</v>
      </c>
      <c r="D66" s="15">
        <v>29.81</v>
      </c>
      <c r="E66" s="15">
        <v>44.09</v>
      </c>
      <c r="F66" s="15">
        <v>31.65</v>
      </c>
      <c r="G66" s="15">
        <v>53.1</v>
      </c>
      <c r="H66" s="15">
        <v>45.93</v>
      </c>
      <c r="I66" s="15">
        <v>45.93</v>
      </c>
      <c r="J66" s="15">
        <v>52.16</v>
      </c>
    </row>
    <row r="67" spans="2:10">
      <c r="B67" s="6" t="s">
        <v>12</v>
      </c>
      <c r="C67" s="6" t="s">
        <v>23</v>
      </c>
      <c r="D67" s="15">
        <v>28.02</v>
      </c>
      <c r="E67" s="15">
        <v>41.8</v>
      </c>
      <c r="F67" s="15">
        <v>29.8</v>
      </c>
      <c r="G67" s="15">
        <v>39.85</v>
      </c>
      <c r="H67" s="15">
        <v>43.58</v>
      </c>
      <c r="I67" s="15">
        <v>43.58</v>
      </c>
      <c r="J67" s="15">
        <v>50.91</v>
      </c>
    </row>
    <row r="68" spans="2:10">
      <c r="B68" s="6"/>
      <c r="C68" s="6" t="s">
        <v>24</v>
      </c>
      <c r="D68" s="15">
        <v>29.81</v>
      </c>
      <c r="E68" s="15">
        <v>44.09</v>
      </c>
      <c r="F68" s="15">
        <v>31.65</v>
      </c>
      <c r="G68" s="15">
        <v>53.1</v>
      </c>
      <c r="H68" s="15">
        <v>45.93</v>
      </c>
      <c r="I68" s="15">
        <v>45.93</v>
      </c>
      <c r="J68" s="15">
        <v>52.16</v>
      </c>
    </row>
    <row r="69" spans="2:10">
      <c r="B69" s="6" t="s">
        <v>13</v>
      </c>
      <c r="C69" s="6" t="s">
        <v>23</v>
      </c>
      <c r="D69" s="15">
        <v>32.18</v>
      </c>
      <c r="E69" s="15">
        <v>51.35</v>
      </c>
      <c r="F69" s="15">
        <v>34.4</v>
      </c>
      <c r="G69" s="15">
        <v>42.22</v>
      </c>
      <c r="H69" s="15">
        <v>53.57</v>
      </c>
      <c r="I69" s="15">
        <v>53.57</v>
      </c>
      <c r="J69" s="15">
        <v>63.39</v>
      </c>
    </row>
    <row r="70" spans="2:10">
      <c r="B70" s="6"/>
      <c r="C70" s="6" t="s">
        <v>24</v>
      </c>
      <c r="D70" s="15">
        <v>32.17</v>
      </c>
      <c r="E70" s="15">
        <v>48.17</v>
      </c>
      <c r="F70" s="15">
        <v>34.630000000000003</v>
      </c>
      <c r="G70" s="15">
        <v>58.77</v>
      </c>
      <c r="H70" s="15">
        <v>50.63</v>
      </c>
      <c r="I70" s="15">
        <v>50.63</v>
      </c>
      <c r="J70" s="15">
        <v>59.1</v>
      </c>
    </row>
    <row r="71" spans="2:10">
      <c r="B71" s="6" t="s">
        <v>14</v>
      </c>
      <c r="C71" s="6" t="s">
        <v>23</v>
      </c>
      <c r="D71" s="15">
        <v>32.18</v>
      </c>
      <c r="E71" s="15">
        <v>51.35</v>
      </c>
      <c r="F71" s="15">
        <v>34.4</v>
      </c>
      <c r="G71" s="15">
        <v>42.22</v>
      </c>
      <c r="H71" s="15">
        <v>53.57</v>
      </c>
      <c r="I71" s="15">
        <v>53.57</v>
      </c>
      <c r="J71" s="15">
        <v>63.39</v>
      </c>
    </row>
    <row r="72" spans="2:10">
      <c r="B72" s="6"/>
      <c r="C72" s="6" t="s">
        <v>24</v>
      </c>
      <c r="D72" s="15">
        <v>32.17</v>
      </c>
      <c r="E72" s="15">
        <v>48.17</v>
      </c>
      <c r="F72" s="15">
        <v>34.630000000000003</v>
      </c>
      <c r="G72" s="15">
        <v>58.77</v>
      </c>
      <c r="H72" s="15">
        <v>50.63</v>
      </c>
      <c r="I72" s="15">
        <v>50.63</v>
      </c>
      <c r="J72" s="15">
        <v>59.1</v>
      </c>
    </row>
    <row r="73" spans="2:10" ht="22">
      <c r="B73" s="3" t="s">
        <v>219</v>
      </c>
      <c r="C73" s="3"/>
      <c r="D73" s="3"/>
      <c r="E73" s="3"/>
      <c r="F73" s="3"/>
      <c r="G73" s="3"/>
      <c r="H73" s="3"/>
      <c r="I73" s="3"/>
    </row>
    <row r="74" spans="2:10">
      <c r="B74" s="6" t="s">
        <v>2</v>
      </c>
      <c r="C74" s="6" t="s">
        <v>42</v>
      </c>
      <c r="D74" s="6" t="s">
        <v>43</v>
      </c>
      <c r="E74" s="6" t="s">
        <v>44</v>
      </c>
      <c r="F74" s="6" t="s">
        <v>45</v>
      </c>
      <c r="G74" s="6" t="s">
        <v>203</v>
      </c>
      <c r="H74" s="6" t="s">
        <v>47</v>
      </c>
      <c r="I74" s="6" t="s">
        <v>48</v>
      </c>
    </row>
    <row r="75" spans="2:10">
      <c r="B75" s="6" t="s">
        <v>10</v>
      </c>
      <c r="C75" s="15">
        <v>85.91</v>
      </c>
      <c r="D75" s="15">
        <v>94.44</v>
      </c>
      <c r="E75" s="15">
        <v>96.08</v>
      </c>
      <c r="F75" s="15">
        <v>99.99</v>
      </c>
      <c r="G75" s="15">
        <v>94.44</v>
      </c>
      <c r="H75" s="15">
        <v>92.27</v>
      </c>
      <c r="I75" s="15">
        <v>98.78</v>
      </c>
    </row>
    <row r="76" spans="2:10" ht="31">
      <c r="B76" s="6" t="s">
        <v>11</v>
      </c>
      <c r="C76" s="15">
        <v>85.91</v>
      </c>
      <c r="D76" s="15">
        <v>89.46</v>
      </c>
      <c r="E76" s="15">
        <v>85.91</v>
      </c>
      <c r="F76" s="15">
        <v>92.27</v>
      </c>
      <c r="G76" s="117">
        <v>85.91</v>
      </c>
      <c r="H76" s="136">
        <v>92.27</v>
      </c>
      <c r="I76" s="15">
        <v>97.29</v>
      </c>
    </row>
    <row r="77" spans="2:10">
      <c r="B77" s="6" t="s">
        <v>12</v>
      </c>
      <c r="C77" s="15">
        <v>95.32</v>
      </c>
      <c r="D77" s="15">
        <v>95.32</v>
      </c>
      <c r="E77" s="15">
        <v>97.03</v>
      </c>
      <c r="F77" s="15">
        <v>95.32</v>
      </c>
      <c r="G77" s="15">
        <v>97.03</v>
      </c>
      <c r="H77" s="15">
        <v>95.32</v>
      </c>
      <c r="I77" s="15">
        <v>99.9</v>
      </c>
    </row>
    <row r="78" spans="2:10">
      <c r="B78" s="6" t="s">
        <v>13</v>
      </c>
      <c r="C78" s="15">
        <v>87.01</v>
      </c>
      <c r="D78" s="15">
        <v>94.71</v>
      </c>
      <c r="E78" s="15">
        <v>94.71</v>
      </c>
      <c r="F78" s="15">
        <v>99.46</v>
      </c>
      <c r="G78" s="15">
        <v>80.849999999999994</v>
      </c>
      <c r="H78" s="15">
        <v>98.17</v>
      </c>
      <c r="I78" s="15">
        <v>98.17</v>
      </c>
    </row>
    <row r="79" spans="2:10">
      <c r="B79" s="6" t="s">
        <v>14</v>
      </c>
      <c r="C79" s="15">
        <v>87.01</v>
      </c>
      <c r="D79" s="15">
        <v>94.71</v>
      </c>
      <c r="E79" s="15">
        <v>7.84</v>
      </c>
      <c r="F79" s="15">
        <v>99.46</v>
      </c>
      <c r="G79" s="15">
        <v>72.91</v>
      </c>
      <c r="H79" s="15">
        <v>91.54</v>
      </c>
      <c r="I79" s="15">
        <v>98.99</v>
      </c>
    </row>
  </sheetData>
  <mergeCells count="52">
    <mergeCell ref="T4:T5"/>
    <mergeCell ref="T14:T15"/>
    <mergeCell ref="J48:J49"/>
    <mergeCell ref="D61:D62"/>
    <mergeCell ref="E61:E62"/>
    <mergeCell ref="F61:F62"/>
    <mergeCell ref="G61:G62"/>
    <mergeCell ref="H61:H62"/>
    <mergeCell ref="I61:I62"/>
    <mergeCell ref="J61:J62"/>
    <mergeCell ref="I24:I25"/>
    <mergeCell ref="B10:I10"/>
    <mergeCell ref="B47:I47"/>
    <mergeCell ref="B60:I60"/>
    <mergeCell ref="D48:D49"/>
    <mergeCell ref="E48:E49"/>
    <mergeCell ref="F48:F49"/>
    <mergeCell ref="G48:G49"/>
    <mergeCell ref="H48:H49"/>
    <mergeCell ref="I48:I49"/>
    <mergeCell ref="G11:G12"/>
    <mergeCell ref="H11:H12"/>
    <mergeCell ref="I11:I12"/>
    <mergeCell ref="J11:J12"/>
    <mergeCell ref="C24:C25"/>
    <mergeCell ref="D24:D25"/>
    <mergeCell ref="E24:E25"/>
    <mergeCell ref="F24:F25"/>
    <mergeCell ref="G24:G25"/>
    <mergeCell ref="H24:H25"/>
    <mergeCell ref="B61:B62"/>
    <mergeCell ref="C61:C62"/>
    <mergeCell ref="B73:I73"/>
    <mergeCell ref="C3:C4"/>
    <mergeCell ref="D3:D4"/>
    <mergeCell ref="E3:E4"/>
    <mergeCell ref="F3:F4"/>
    <mergeCell ref="G3:G4"/>
    <mergeCell ref="H3:H4"/>
    <mergeCell ref="B2:I2"/>
    <mergeCell ref="B3:B4"/>
    <mergeCell ref="B11:B12"/>
    <mergeCell ref="C11:C12"/>
    <mergeCell ref="B23:I23"/>
    <mergeCell ref="B24:B25"/>
    <mergeCell ref="B31:I31"/>
    <mergeCell ref="B48:B49"/>
    <mergeCell ref="C48:C49"/>
    <mergeCell ref="I3:I4"/>
    <mergeCell ref="D11:D12"/>
    <mergeCell ref="E11:E12"/>
    <mergeCell ref="F11:F12"/>
  </mergeCells>
  <conditionalFormatting sqref="C5:I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I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J1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J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I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I2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J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:J5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:J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J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I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EA0B-ABAC-3C40-9304-C910D8AAA6AA}">
  <dimension ref="A2:BM94"/>
  <sheetViews>
    <sheetView zoomScale="115" zoomScaleNormal="100" workbookViewId="0">
      <selection activeCell="I4" sqref="I4:I8"/>
    </sheetView>
  </sheetViews>
  <sheetFormatPr baseColWidth="10" defaultRowHeight="16"/>
  <cols>
    <col min="1" max="1" width="10.5" customWidth="1"/>
    <col min="2" max="2" width="22" customWidth="1"/>
    <col min="3" max="3" width="16.5" customWidth="1"/>
    <col min="4" max="4" width="16" customWidth="1"/>
    <col min="5" max="5" width="13.33203125" customWidth="1"/>
    <col min="6" max="6" width="15.5" customWidth="1"/>
    <col min="7" max="7" width="13.83203125" customWidth="1"/>
    <col min="8" max="8" width="15.6640625" customWidth="1"/>
    <col min="9" max="9" width="15.1640625" customWidth="1"/>
    <col min="10" max="10" width="23.1640625" customWidth="1"/>
    <col min="11" max="11" width="15.6640625" bestFit="1" customWidth="1"/>
    <col min="12" max="12" width="15.6640625" customWidth="1"/>
    <col min="13" max="14" width="20.5" customWidth="1"/>
    <col min="20" max="21" width="13.1640625" customWidth="1"/>
    <col min="36" max="36" width="22.1640625" customWidth="1"/>
    <col min="37" max="39" width="11.1640625" bestFit="1" customWidth="1"/>
    <col min="40" max="40" width="14" customWidth="1"/>
    <col min="41" max="41" width="12.6640625" bestFit="1" customWidth="1"/>
    <col min="42" max="42" width="16.6640625" customWidth="1"/>
    <col min="43" max="43" width="13" customWidth="1"/>
    <col min="44" max="44" width="11" bestFit="1" customWidth="1"/>
    <col min="47" max="47" width="25.83203125" customWidth="1"/>
    <col min="48" max="48" width="13.1640625" customWidth="1"/>
    <col min="49" max="49" width="14.5" customWidth="1"/>
    <col min="50" max="50" width="11.5" bestFit="1" customWidth="1"/>
    <col min="56" max="56" width="13.6640625" customWidth="1"/>
    <col min="57" max="57" width="11.5" bestFit="1" customWidth="1"/>
  </cols>
  <sheetData>
    <row r="2" spans="1:38" ht="18">
      <c r="B2" s="32" t="s">
        <v>145</v>
      </c>
      <c r="C2" s="90" t="s">
        <v>155</v>
      </c>
      <c r="K2" s="1" t="s">
        <v>146</v>
      </c>
      <c r="L2" s="1"/>
      <c r="M2" s="1"/>
      <c r="N2" s="1"/>
      <c r="O2" s="1"/>
      <c r="P2" s="1"/>
      <c r="Q2" s="1"/>
      <c r="R2" s="1"/>
      <c r="S2" s="1"/>
      <c r="T2" s="24" t="s">
        <v>157</v>
      </c>
      <c r="U2" s="24"/>
      <c r="V2" s="1" t="s">
        <v>147</v>
      </c>
      <c r="W2" s="1"/>
      <c r="X2" s="1"/>
      <c r="Y2" s="1"/>
      <c r="Z2" s="1"/>
      <c r="AA2" s="1"/>
      <c r="AB2" s="1"/>
      <c r="AC2" s="7" t="s">
        <v>10</v>
      </c>
      <c r="AD2" s="87">
        <f>ROUNDUP(T4,0)</f>
        <v>0</v>
      </c>
      <c r="AG2" s="114">
        <v>9</v>
      </c>
      <c r="AH2" s="114"/>
      <c r="AK2">
        <v>9</v>
      </c>
    </row>
    <row r="3" spans="1:38" ht="18">
      <c r="C3" s="24">
        <v>1</v>
      </c>
      <c r="D3" s="24">
        <v>2</v>
      </c>
      <c r="E3" s="69">
        <v>3</v>
      </c>
      <c r="F3" s="24">
        <v>4</v>
      </c>
      <c r="G3" s="24">
        <v>5</v>
      </c>
      <c r="H3" s="24">
        <v>6</v>
      </c>
      <c r="I3" s="24">
        <v>7</v>
      </c>
      <c r="K3" s="24">
        <v>1</v>
      </c>
      <c r="L3" s="24"/>
      <c r="M3" s="24">
        <v>2</v>
      </c>
      <c r="N3" s="69">
        <v>3</v>
      </c>
      <c r="O3" s="24">
        <v>4</v>
      </c>
      <c r="P3" s="24">
        <v>5</v>
      </c>
      <c r="Q3" s="24">
        <v>6</v>
      </c>
      <c r="R3" s="24">
        <v>7</v>
      </c>
      <c r="S3" s="24">
        <v>8</v>
      </c>
      <c r="T3" s="97">
        <v>0</v>
      </c>
      <c r="U3" s="24"/>
      <c r="V3" s="27" t="s">
        <v>148</v>
      </c>
      <c r="W3" s="24" t="s">
        <v>149</v>
      </c>
      <c r="X3" s="24" t="s">
        <v>150</v>
      </c>
      <c r="Y3" s="55" t="s">
        <v>151</v>
      </c>
      <c r="AC3" s="7" t="s">
        <v>11</v>
      </c>
      <c r="AD3" s="87">
        <f t="shared" ref="AD3:AD6" si="0">ROUNDUP(T5,0)</f>
        <v>0</v>
      </c>
      <c r="AG3" s="114" t="s">
        <v>10</v>
      </c>
      <c r="AH3" s="114" t="s">
        <v>169</v>
      </c>
      <c r="AI3" s="114" t="s">
        <v>170</v>
      </c>
      <c r="AJ3" s="114">
        <v>22</v>
      </c>
      <c r="AK3" s="114">
        <v>24</v>
      </c>
      <c r="AL3" s="114"/>
    </row>
    <row r="4" spans="1:38" ht="18">
      <c r="B4" s="7" t="s">
        <v>10</v>
      </c>
      <c r="C4" s="70">
        <v>4100</v>
      </c>
      <c r="D4" s="70">
        <v>3600</v>
      </c>
      <c r="E4" s="71">
        <v>6600</v>
      </c>
      <c r="F4" s="70">
        <v>6000</v>
      </c>
      <c r="G4" s="70">
        <v>5100</v>
      </c>
      <c r="H4" s="72">
        <v>8900</v>
      </c>
      <c r="I4" s="129">
        <f>'DF Q7'!K13</f>
        <v>7792</v>
      </c>
      <c r="L4" s="7" t="s">
        <v>10</v>
      </c>
      <c r="M4" s="74">
        <f>(D4/C4)-1</f>
        <v>-0.12195121951219512</v>
      </c>
      <c r="N4" s="112">
        <f>(E4/D4)-1</f>
        <v>0.83333333333333326</v>
      </c>
      <c r="O4" s="74">
        <f>(F4/E4)-1</f>
        <v>-9.0909090909090939E-2</v>
      </c>
      <c r="P4" s="74">
        <f>(G4/F4)-1</f>
        <v>-0.15000000000000002</v>
      </c>
      <c r="Q4" s="74">
        <f>(H4/G4)-1</f>
        <v>0.74509803921568629</v>
      </c>
      <c r="R4" s="74">
        <f>(I4/H4)-1</f>
        <v>-0.12449438202247187</v>
      </c>
      <c r="S4" s="94">
        <f>I4*(1+P4)</f>
        <v>6623.2</v>
      </c>
      <c r="T4" s="95"/>
      <c r="U4" s="24"/>
      <c r="V4" s="62">
        <f>(F4/C4)-1</f>
        <v>0.46341463414634143</v>
      </c>
      <c r="W4" s="62">
        <f>(G4/D4)-1</f>
        <v>0.41666666666666674</v>
      </c>
      <c r="X4" s="62">
        <f>(H4/E4)-1</f>
        <v>0.3484848484848484</v>
      </c>
      <c r="Y4" s="77">
        <f>F4*(1+V4)</f>
        <v>8780.4878048780483</v>
      </c>
      <c r="AC4" s="7" t="s">
        <v>12</v>
      </c>
      <c r="AD4" s="87">
        <f t="shared" si="0"/>
        <v>0</v>
      </c>
      <c r="AG4" s="114" t="s">
        <v>10</v>
      </c>
      <c r="AH4" s="114" t="s">
        <v>171</v>
      </c>
      <c r="AI4" s="114" t="s">
        <v>172</v>
      </c>
      <c r="AJ4" s="114">
        <v>4</v>
      </c>
      <c r="AK4" s="114">
        <v>120</v>
      </c>
      <c r="AL4" s="114"/>
    </row>
    <row r="5" spans="1:38" ht="18">
      <c r="B5" s="7" t="s">
        <v>11</v>
      </c>
      <c r="C5" s="70">
        <v>1800</v>
      </c>
      <c r="D5" s="70">
        <v>1900</v>
      </c>
      <c r="E5" s="71">
        <v>2700</v>
      </c>
      <c r="F5" s="70">
        <v>2800</v>
      </c>
      <c r="G5" s="70">
        <v>2900</v>
      </c>
      <c r="H5" s="72">
        <v>4028</v>
      </c>
      <c r="I5" s="129">
        <f>'DF Q7'!K14</f>
        <v>3948</v>
      </c>
      <c r="J5" s="63"/>
      <c r="L5" s="7" t="s">
        <v>11</v>
      </c>
      <c r="M5" s="74">
        <f>(D5/C5)-1</f>
        <v>5.555555555555558E-2</v>
      </c>
      <c r="N5" s="112">
        <f>(E5/D5)-1</f>
        <v>0.42105263157894735</v>
      </c>
      <c r="O5" s="74">
        <f>(F5/E5)-1</f>
        <v>3.7037037037036979E-2</v>
      </c>
      <c r="P5" s="74">
        <f>(G5/F5)-1</f>
        <v>3.5714285714285809E-2</v>
      </c>
      <c r="Q5" s="74">
        <f>(H5/G5)-1</f>
        <v>0.38896551724137929</v>
      </c>
      <c r="R5" s="74">
        <f t="shared" ref="R5:R6" si="1">(I5/H5)-1</f>
        <v>-1.9860973187686204E-2</v>
      </c>
      <c r="S5" s="94">
        <f>I5*(1+P5)</f>
        <v>4089.0000000000005</v>
      </c>
      <c r="T5" s="95"/>
      <c r="U5" s="24"/>
      <c r="V5" s="62">
        <f>(F5/C5)-1</f>
        <v>0.55555555555555558</v>
      </c>
      <c r="W5" s="62">
        <f>(G5/D5)-1</f>
        <v>0.52631578947368429</v>
      </c>
      <c r="X5" s="62">
        <f>(H5/E5)-1</f>
        <v>0.49185185185185176</v>
      </c>
      <c r="Y5" s="77">
        <f>F5*(1+V5)</f>
        <v>4355.5555555555557</v>
      </c>
      <c r="AC5" s="7" t="s">
        <v>13</v>
      </c>
      <c r="AD5" s="87">
        <f t="shared" si="0"/>
        <v>-1</v>
      </c>
      <c r="AG5" s="114" t="s">
        <v>10</v>
      </c>
      <c r="AH5" s="114" t="s">
        <v>171</v>
      </c>
      <c r="AI5" s="114" t="s">
        <v>173</v>
      </c>
      <c r="AJ5" s="114">
        <v>0</v>
      </c>
      <c r="AK5" s="114">
        <v>0</v>
      </c>
      <c r="AL5" s="114"/>
    </row>
    <row r="6" spans="1:38" ht="18">
      <c r="A6" s="99" t="s">
        <v>248</v>
      </c>
      <c r="B6" s="7" t="s">
        <v>12</v>
      </c>
      <c r="C6" s="70">
        <v>700</v>
      </c>
      <c r="D6" s="70">
        <v>1200</v>
      </c>
      <c r="E6" s="71">
        <v>2600</v>
      </c>
      <c r="F6" s="70">
        <v>2700</v>
      </c>
      <c r="G6" s="70">
        <v>2700</v>
      </c>
      <c r="H6" s="72">
        <v>4400</v>
      </c>
      <c r="I6" s="129">
        <f>'DF Q7'!K15</f>
        <v>3868</v>
      </c>
      <c r="K6" s="99" t="s">
        <v>248</v>
      </c>
      <c r="L6" s="7" t="s">
        <v>12</v>
      </c>
      <c r="M6" s="74">
        <f>(D6/C6)-1</f>
        <v>0.71428571428571419</v>
      </c>
      <c r="N6" s="112">
        <f>(E6/D6)-1</f>
        <v>1.1666666666666665</v>
      </c>
      <c r="O6" s="74">
        <f>(F6/E6)-1</f>
        <v>3.8461538461538547E-2</v>
      </c>
      <c r="P6" s="74">
        <f>(G6/F6)-1</f>
        <v>0</v>
      </c>
      <c r="Q6" s="74">
        <f>(H6/G6)-1</f>
        <v>0.62962962962962954</v>
      </c>
      <c r="R6" s="74">
        <f t="shared" si="1"/>
        <v>-0.12090909090909085</v>
      </c>
      <c r="S6" s="94">
        <f t="shared" ref="S5:S6" si="2">I6*(1+P6)</f>
        <v>3868</v>
      </c>
      <c r="T6" s="95"/>
      <c r="U6" s="24"/>
      <c r="V6" s="62">
        <f>(F6/C6)-1</f>
        <v>2.8571428571428572</v>
      </c>
      <c r="W6" s="62">
        <f>(G6/D6)-1</f>
        <v>1.25</v>
      </c>
      <c r="X6" s="62">
        <f>(H6/E6)-1</f>
        <v>0.69230769230769229</v>
      </c>
      <c r="Y6" s="77">
        <f>F6*(1+V6)</f>
        <v>10414.285714285714</v>
      </c>
      <c r="AC6" s="7" t="s">
        <v>14</v>
      </c>
      <c r="AD6" s="87">
        <f t="shared" si="0"/>
        <v>0</v>
      </c>
      <c r="AG6" s="114" t="s">
        <v>10</v>
      </c>
      <c r="AH6" s="114" t="s">
        <v>171</v>
      </c>
      <c r="AI6" s="114" t="s">
        <v>174</v>
      </c>
      <c r="AJ6" s="114">
        <v>4</v>
      </c>
      <c r="AK6" s="114">
        <v>5</v>
      </c>
      <c r="AL6" s="114"/>
    </row>
    <row r="7" spans="1:38">
      <c r="A7" s="138" t="s">
        <v>97</v>
      </c>
      <c r="B7" s="7" t="s">
        <v>13</v>
      </c>
      <c r="C7" s="59"/>
      <c r="D7" s="59"/>
      <c r="E7" s="73"/>
      <c r="F7" s="59"/>
      <c r="G7" s="59"/>
      <c r="H7" s="73"/>
      <c r="I7" s="129">
        <f>'DF Q7'!K16</f>
        <v>788</v>
      </c>
      <c r="K7" s="138" t="s">
        <v>97</v>
      </c>
      <c r="L7" s="7" t="s">
        <v>13</v>
      </c>
      <c r="M7" s="63"/>
      <c r="N7" s="63"/>
      <c r="O7" s="63"/>
      <c r="P7" s="63"/>
      <c r="Q7" s="63"/>
      <c r="R7" s="74"/>
      <c r="S7" s="96">
        <f>I7</f>
        <v>788</v>
      </c>
      <c r="T7" s="141">
        <v>-0.02</v>
      </c>
      <c r="U7" s="24"/>
      <c r="Y7" s="78">
        <f>S7</f>
        <v>788</v>
      </c>
      <c r="AD7" s="98">
        <f>SUM(AD2:AD6)</f>
        <v>-1</v>
      </c>
      <c r="AG7" s="114" t="s">
        <v>10</v>
      </c>
      <c r="AH7" s="114" t="s">
        <v>175</v>
      </c>
      <c r="AI7" s="114" t="s">
        <v>174</v>
      </c>
      <c r="AJ7" s="114">
        <v>10</v>
      </c>
      <c r="AK7" s="114">
        <v>11</v>
      </c>
      <c r="AL7" s="114"/>
    </row>
    <row r="8" spans="1:38">
      <c r="B8" s="7" t="s">
        <v>14</v>
      </c>
      <c r="C8" s="59"/>
      <c r="D8" s="59"/>
      <c r="E8" s="73"/>
      <c r="F8" s="59"/>
      <c r="G8" s="59"/>
      <c r="H8" s="73"/>
      <c r="I8" s="129">
        <f>'DF Q7'!K17</f>
        <v>684</v>
      </c>
      <c r="L8" s="7" t="s">
        <v>14</v>
      </c>
      <c r="M8" s="63"/>
      <c r="N8" s="63"/>
      <c r="O8" s="63"/>
      <c r="P8" s="63">
        <f>(N13/H4)-1</f>
        <v>-1</v>
      </c>
      <c r="Q8" s="63"/>
      <c r="R8" s="74"/>
      <c r="S8" s="96">
        <f>I8*(1.05)</f>
        <v>718.2</v>
      </c>
      <c r="T8" s="95"/>
      <c r="U8" s="24"/>
      <c r="Y8" s="78">
        <f>S8</f>
        <v>718.2</v>
      </c>
      <c r="AG8" s="114" t="s">
        <v>10</v>
      </c>
      <c r="AH8" s="114" t="s">
        <v>176</v>
      </c>
      <c r="AI8" s="114" t="s">
        <v>174</v>
      </c>
      <c r="AJ8" s="114">
        <v>12</v>
      </c>
      <c r="AK8" s="114">
        <v>13</v>
      </c>
      <c r="AL8" s="114"/>
    </row>
    <row r="9" spans="1:38">
      <c r="B9" s="25" t="s">
        <v>133</v>
      </c>
      <c r="C9" s="130">
        <f>SUM(C4:C8)</f>
        <v>6600</v>
      </c>
      <c r="D9" s="130">
        <f t="shared" ref="D9:G9" si="3">SUM(D4:D8)</f>
        <v>6700</v>
      </c>
      <c r="E9" s="130">
        <f t="shared" si="3"/>
        <v>11900</v>
      </c>
      <c r="F9" s="130">
        <f t="shared" si="3"/>
        <v>11500</v>
      </c>
      <c r="G9" s="130">
        <f t="shared" si="3"/>
        <v>10700</v>
      </c>
      <c r="H9" s="130">
        <f>SUM(H4:H8)</f>
        <v>17328</v>
      </c>
      <c r="I9" s="130">
        <f>SUM(I4:I8)</f>
        <v>17080</v>
      </c>
      <c r="P9" s="63">
        <f t="shared" ref="P9:P10" si="4">(N14/H5)-1</f>
        <v>-1</v>
      </c>
      <c r="S9" s="75">
        <f>SUM(S4:S8)</f>
        <v>16086.400000000001</v>
      </c>
      <c r="U9" s="24"/>
      <c r="AG9" s="114" t="s">
        <v>10</v>
      </c>
      <c r="AH9" s="114" t="s">
        <v>176</v>
      </c>
      <c r="AI9" s="114" t="s">
        <v>177</v>
      </c>
      <c r="AJ9" s="114" t="s">
        <v>178</v>
      </c>
      <c r="AK9" s="114">
        <v>90</v>
      </c>
      <c r="AL9" s="114"/>
    </row>
    <row r="10" spans="1:38">
      <c r="B10" s="91" t="s">
        <v>156</v>
      </c>
      <c r="C10" s="76">
        <f>EXHIBITS!C19</f>
        <v>110000</v>
      </c>
      <c r="D10" s="76">
        <f>EXHIBITS!D19</f>
        <v>75000</v>
      </c>
      <c r="E10" s="76">
        <f>EXHIBITS!E19</f>
        <v>70000</v>
      </c>
      <c r="F10" s="76">
        <f>EXHIBITS!F19</f>
        <v>50000</v>
      </c>
      <c r="G10" s="76">
        <f>EXHIBITS!G19</f>
        <v>30000</v>
      </c>
      <c r="H10" s="76"/>
      <c r="P10" s="63">
        <f t="shared" si="4"/>
        <v>-1</v>
      </c>
      <c r="U10" s="24"/>
      <c r="AG10" s="114" t="s">
        <v>13</v>
      </c>
      <c r="AH10" s="114" t="s">
        <v>179</v>
      </c>
      <c r="AI10" s="114" t="s">
        <v>180</v>
      </c>
      <c r="AJ10" s="114">
        <v>0</v>
      </c>
      <c r="AK10" s="114">
        <v>0</v>
      </c>
      <c r="AL10" s="114"/>
    </row>
    <row r="11" spans="1:38">
      <c r="C11" s="62">
        <f>H4/C10</f>
        <v>8.0909090909090903E-2</v>
      </c>
      <c r="D11" s="62">
        <f>H5/D10</f>
        <v>5.3706666666666666E-2</v>
      </c>
      <c r="E11" s="62">
        <f>H6/F10</f>
        <v>8.7999999999999995E-2</v>
      </c>
      <c r="F11" s="76"/>
      <c r="G11" s="76"/>
      <c r="H11" s="76"/>
      <c r="U11" s="24"/>
      <c r="AG11" s="114" t="s">
        <v>13</v>
      </c>
      <c r="AH11" s="114" t="s">
        <v>169</v>
      </c>
      <c r="AI11" s="114" t="s">
        <v>170</v>
      </c>
      <c r="AJ11" s="114">
        <v>0</v>
      </c>
      <c r="AK11" s="114">
        <v>0</v>
      </c>
      <c r="AL11" s="114"/>
    </row>
    <row r="12" spans="1:38">
      <c r="B12" s="32" t="s">
        <v>85</v>
      </c>
      <c r="C12" s="31"/>
      <c r="D12" s="31"/>
      <c r="E12" s="31"/>
      <c r="F12" s="31"/>
      <c r="G12" s="31"/>
      <c r="H12" s="31"/>
      <c r="I12" s="31"/>
      <c r="J12" s="31"/>
      <c r="K12" s="99" t="s">
        <v>163</v>
      </c>
      <c r="L12" s="99"/>
      <c r="M12" s="99" t="s">
        <v>168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AG12" s="114" t="s">
        <v>13</v>
      </c>
      <c r="AH12" s="114" t="s">
        <v>171</v>
      </c>
      <c r="AI12" s="114" t="s">
        <v>172</v>
      </c>
      <c r="AJ12" s="114">
        <v>0</v>
      </c>
      <c r="AK12" s="114">
        <v>0</v>
      </c>
      <c r="AL12" s="114"/>
    </row>
    <row r="13" spans="1:38">
      <c r="C13" s="26" t="s">
        <v>77</v>
      </c>
      <c r="D13" s="25" t="s">
        <v>78</v>
      </c>
      <c r="E13" s="25" t="s">
        <v>79</v>
      </c>
      <c r="F13" s="25" t="s">
        <v>80</v>
      </c>
      <c r="H13" s="55" t="s">
        <v>10</v>
      </c>
      <c r="I13" s="86">
        <f>AD2</f>
        <v>0</v>
      </c>
      <c r="K13" s="75"/>
      <c r="L13" s="75"/>
      <c r="M13" s="75"/>
      <c r="N13" s="76"/>
      <c r="O13" s="75"/>
      <c r="P13" s="76"/>
      <c r="AG13" s="114" t="s">
        <v>13</v>
      </c>
      <c r="AH13" s="114" t="s">
        <v>171</v>
      </c>
      <c r="AI13" s="114" t="s">
        <v>173</v>
      </c>
      <c r="AJ13" s="114">
        <v>0</v>
      </c>
      <c r="AK13" s="114">
        <v>0</v>
      </c>
      <c r="AL13" s="114"/>
    </row>
    <row r="14" spans="1:38">
      <c r="C14" s="109">
        <f>$I$13/4</f>
        <v>0</v>
      </c>
      <c r="D14" s="109">
        <f>$I$13/4</f>
        <v>0</v>
      </c>
      <c r="E14" s="109">
        <f>$I$13/4</f>
        <v>0</v>
      </c>
      <c r="F14" s="109">
        <f>$I$13/4</f>
        <v>0</v>
      </c>
      <c r="G14" s="75">
        <f>SUM(C14:F14)</f>
        <v>0</v>
      </c>
      <c r="H14" s="55" t="s">
        <v>11</v>
      </c>
      <c r="I14" s="86">
        <f>AD3</f>
        <v>0</v>
      </c>
      <c r="K14" s="75"/>
      <c r="L14" s="75"/>
      <c r="M14" s="75"/>
      <c r="N14" s="76"/>
      <c r="O14" s="75"/>
      <c r="P14" s="76"/>
      <c r="AG14" s="114" t="s">
        <v>13</v>
      </c>
      <c r="AH14" s="114" t="s">
        <v>171</v>
      </c>
      <c r="AI14" s="114" t="s">
        <v>174</v>
      </c>
      <c r="AJ14" s="114">
        <v>0</v>
      </c>
      <c r="AK14" s="114">
        <v>0</v>
      </c>
      <c r="AL14" s="114"/>
    </row>
    <row r="15" spans="1:38">
      <c r="C15" s="109">
        <f>$I$14/4</f>
        <v>0</v>
      </c>
      <c r="D15" s="109">
        <f>$I$14/4</f>
        <v>0</v>
      </c>
      <c r="E15" s="109">
        <f>$I$14/4</f>
        <v>0</v>
      </c>
      <c r="F15" s="109">
        <f>$I$14/4</f>
        <v>0</v>
      </c>
      <c r="G15" s="75">
        <f t="shared" ref="G15:G18" si="5">SUM(C15:F15)</f>
        <v>0</v>
      </c>
      <c r="H15" s="55" t="s">
        <v>12</v>
      </c>
      <c r="I15" s="86">
        <f>AD4</f>
        <v>0</v>
      </c>
      <c r="K15" s="75"/>
      <c r="L15" s="75"/>
      <c r="M15" s="75"/>
      <c r="N15" s="76"/>
      <c r="O15" s="75"/>
      <c r="P15" s="76"/>
      <c r="AG15" s="114" t="s">
        <v>13</v>
      </c>
      <c r="AH15" s="114" t="s">
        <v>175</v>
      </c>
      <c r="AI15" s="114" t="s">
        <v>174</v>
      </c>
      <c r="AJ15" s="114">
        <v>0</v>
      </c>
      <c r="AK15" s="114">
        <v>0</v>
      </c>
      <c r="AL15" s="114"/>
    </row>
    <row r="16" spans="1:38">
      <c r="C16" s="109">
        <f>$I$15/4</f>
        <v>0</v>
      </c>
      <c r="D16" s="109">
        <f>$I$15/4</f>
        <v>0</v>
      </c>
      <c r="E16" s="109">
        <f>$I$15/4</f>
        <v>0</v>
      </c>
      <c r="F16" s="109">
        <f>$I$15/4</f>
        <v>0</v>
      </c>
      <c r="G16" s="75">
        <f t="shared" si="5"/>
        <v>0</v>
      </c>
      <c r="H16" s="55" t="s">
        <v>13</v>
      </c>
      <c r="I16" s="86">
        <f>AD5</f>
        <v>-1</v>
      </c>
      <c r="K16" s="75"/>
      <c r="L16" s="75"/>
      <c r="M16" s="75"/>
      <c r="N16" s="76"/>
      <c r="O16" s="75"/>
      <c r="P16" s="76"/>
      <c r="AG16" s="114" t="s">
        <v>13</v>
      </c>
      <c r="AH16" s="114" t="s">
        <v>176</v>
      </c>
      <c r="AI16" s="114" t="s">
        <v>174</v>
      </c>
      <c r="AJ16" s="114">
        <v>0</v>
      </c>
      <c r="AK16" s="114">
        <v>0</v>
      </c>
      <c r="AL16" s="114"/>
    </row>
    <row r="17" spans="1:38">
      <c r="C17" s="109">
        <f>$I$16/4</f>
        <v>-0.25</v>
      </c>
      <c r="D17" s="109">
        <f>$I$16/4</f>
        <v>-0.25</v>
      </c>
      <c r="E17" s="109">
        <f>$I$16/4</f>
        <v>-0.25</v>
      </c>
      <c r="F17" s="109">
        <f>$I$16/4</f>
        <v>-0.25</v>
      </c>
      <c r="G17" s="75">
        <f t="shared" si="5"/>
        <v>-1</v>
      </c>
      <c r="H17" s="55" t="s">
        <v>14</v>
      </c>
      <c r="I17" s="86">
        <f>AD6</f>
        <v>0</v>
      </c>
      <c r="K17" s="75"/>
      <c r="L17" s="75"/>
      <c r="M17" s="75"/>
      <c r="N17" s="76"/>
      <c r="O17" s="75"/>
      <c r="P17" s="76"/>
      <c r="AG17" s="114" t="s">
        <v>13</v>
      </c>
      <c r="AH17" s="114" t="s">
        <v>176</v>
      </c>
      <c r="AI17" s="114" t="s">
        <v>177</v>
      </c>
      <c r="AJ17" s="114" t="s">
        <v>178</v>
      </c>
      <c r="AK17" s="114">
        <v>0</v>
      </c>
      <c r="AL17" s="114"/>
    </row>
    <row r="18" spans="1:38">
      <c r="C18" s="109">
        <f>$I$17/4</f>
        <v>0</v>
      </c>
      <c r="D18" s="109">
        <f>$I$17/4</f>
        <v>0</v>
      </c>
      <c r="E18" s="109">
        <f>$I$17/4</f>
        <v>0</v>
      </c>
      <c r="F18" s="109">
        <f>$I$17/4</f>
        <v>0</v>
      </c>
      <c r="G18" s="75">
        <f t="shared" si="5"/>
        <v>0</v>
      </c>
      <c r="H18" s="25" t="s">
        <v>133</v>
      </c>
      <c r="I18" s="108">
        <f>SUM(I13:I17)</f>
        <v>-1</v>
      </c>
      <c r="K18" s="75">
        <f>SUM(K13:K17)</f>
        <v>0</v>
      </c>
      <c r="L18" s="75"/>
      <c r="M18" s="75">
        <f t="shared" ref="M18" si="6">I18-K18</f>
        <v>-1</v>
      </c>
      <c r="P18" s="76"/>
      <c r="AG18" s="114" t="s">
        <v>12</v>
      </c>
      <c r="AH18" s="114" t="s">
        <v>179</v>
      </c>
      <c r="AI18" s="114" t="s">
        <v>180</v>
      </c>
      <c r="AJ18" s="114">
        <v>0</v>
      </c>
      <c r="AK18" s="114">
        <v>0</v>
      </c>
      <c r="AL18" s="114"/>
    </row>
    <row r="19" spans="1:38">
      <c r="AG19" s="114" t="s">
        <v>12</v>
      </c>
      <c r="AH19" s="114" t="s">
        <v>169</v>
      </c>
      <c r="AI19" s="114" t="s">
        <v>170</v>
      </c>
      <c r="AJ19" s="114">
        <v>0</v>
      </c>
      <c r="AK19" s="114">
        <v>0</v>
      </c>
      <c r="AL19" s="114"/>
    </row>
    <row r="20" spans="1:38">
      <c r="B20" s="32" t="s">
        <v>83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AG20" s="114" t="s">
        <v>12</v>
      </c>
      <c r="AH20" s="114" t="s">
        <v>171</v>
      </c>
      <c r="AI20" s="114" t="s">
        <v>172</v>
      </c>
      <c r="AJ20" s="114">
        <v>0</v>
      </c>
      <c r="AK20" s="114">
        <v>0</v>
      </c>
      <c r="AL20" s="114"/>
    </row>
    <row r="21" spans="1:38">
      <c r="A21" s="90" t="s">
        <v>196</v>
      </c>
      <c r="B21">
        <v>31.39</v>
      </c>
      <c r="C21" s="52" t="s">
        <v>2</v>
      </c>
      <c r="D21" s="52" t="s">
        <v>81</v>
      </c>
      <c r="E21" s="52" t="s">
        <v>160</v>
      </c>
      <c r="F21" s="52" t="s">
        <v>152</v>
      </c>
      <c r="I21" s="52" t="s">
        <v>2</v>
      </c>
      <c r="J21" s="52" t="s">
        <v>197</v>
      </c>
      <c r="K21" s="52" t="s">
        <v>200</v>
      </c>
      <c r="L21" s="52" t="s">
        <v>226</v>
      </c>
      <c r="M21" s="52" t="s">
        <v>199</v>
      </c>
      <c r="N21" s="52" t="s">
        <v>199</v>
      </c>
      <c r="O21" s="52" t="s">
        <v>226</v>
      </c>
      <c r="AG21" s="114" t="s">
        <v>12</v>
      </c>
      <c r="AH21" s="114" t="s">
        <v>171</v>
      </c>
      <c r="AI21" s="114" t="s">
        <v>173</v>
      </c>
      <c r="AJ21" s="114">
        <v>0</v>
      </c>
      <c r="AK21" s="114">
        <v>0</v>
      </c>
      <c r="AL21" s="114"/>
    </row>
    <row r="22" spans="1:38">
      <c r="A22" s="53">
        <v>68</v>
      </c>
      <c r="B22" s="93">
        <v>0.11</v>
      </c>
      <c r="C22" s="55" t="s">
        <v>10</v>
      </c>
      <c r="D22" s="80">
        <f>ROUNDUP(A22+E47,0)</f>
        <v>69</v>
      </c>
      <c r="E22" s="106">
        <f>ROUNDUP(D22*1.11,0)</f>
        <v>77</v>
      </c>
      <c r="I22" s="55" t="s">
        <v>10</v>
      </c>
      <c r="J22" s="54">
        <f>E22-$B$21</f>
        <v>45.61</v>
      </c>
      <c r="K22" s="54">
        <f>J22</f>
        <v>45.61</v>
      </c>
      <c r="L22" s="62">
        <f>(K22/$B$21)-1</f>
        <v>0.45301051290219818</v>
      </c>
      <c r="M22" s="54">
        <f>(E22*(1-$G$61))-$B$21</f>
        <v>39.835000000000008</v>
      </c>
      <c r="N22" s="54">
        <f>M22</f>
        <v>39.835000000000008</v>
      </c>
      <c r="O22" s="62">
        <f>(N22/$B$21)-1</f>
        <v>0.26903472443453347</v>
      </c>
      <c r="AG22" s="114" t="s">
        <v>12</v>
      </c>
      <c r="AH22" s="114" t="s">
        <v>171</v>
      </c>
      <c r="AI22" s="114" t="s">
        <v>174</v>
      </c>
      <c r="AJ22" s="114">
        <v>0</v>
      </c>
      <c r="AK22" s="114">
        <v>0</v>
      </c>
      <c r="AL22" s="114"/>
    </row>
    <row r="23" spans="1:38">
      <c r="A23" s="53">
        <v>68</v>
      </c>
      <c r="B23" s="93">
        <v>0.11</v>
      </c>
      <c r="C23" s="55" t="s">
        <v>11</v>
      </c>
      <c r="D23" s="80">
        <f>ROUNDUP(A23+E47,0)</f>
        <v>69</v>
      </c>
      <c r="E23" s="106">
        <f>ROUNDUP(D23*1.11,0)</f>
        <v>77</v>
      </c>
      <c r="I23" s="55" t="s">
        <v>11</v>
      </c>
      <c r="J23" s="54">
        <f>E23-$B$21</f>
        <v>45.61</v>
      </c>
      <c r="K23" s="54">
        <f>J23</f>
        <v>45.61</v>
      </c>
      <c r="L23" s="62">
        <f t="shared" ref="L23:L26" si="7">(K23/$B$21)-1</f>
        <v>0.45301051290219818</v>
      </c>
      <c r="M23" s="54">
        <f>(E23*(1-$G$61))-$B$21</f>
        <v>39.835000000000008</v>
      </c>
      <c r="N23" s="54">
        <f>M23</f>
        <v>39.835000000000008</v>
      </c>
      <c r="O23" s="62">
        <f t="shared" ref="O23:O26" si="8">(N23/$B$21)-1</f>
        <v>0.26903472443453347</v>
      </c>
      <c r="AG23" s="114" t="s">
        <v>12</v>
      </c>
      <c r="AH23" s="114" t="s">
        <v>175</v>
      </c>
      <c r="AI23" s="114" t="s">
        <v>174</v>
      </c>
      <c r="AJ23" s="114">
        <v>0</v>
      </c>
      <c r="AK23" s="114">
        <v>0</v>
      </c>
      <c r="AL23" s="114"/>
    </row>
    <row r="24" spans="1:38">
      <c r="A24" s="53">
        <v>91</v>
      </c>
      <c r="B24" s="113">
        <v>9.5000000000000001E-2</v>
      </c>
      <c r="C24" s="55" t="s">
        <v>12</v>
      </c>
      <c r="D24" s="80">
        <f>ROUNDUP(A24+'DF Q8'!E47,0)</f>
        <v>92</v>
      </c>
      <c r="E24" s="106">
        <f>ROUNDUP(D24*1.095,0)</f>
        <v>101</v>
      </c>
      <c r="F24" s="81">
        <v>26.4</v>
      </c>
      <c r="G24" s="81">
        <v>19.600000000000001</v>
      </c>
      <c r="I24" s="55" t="s">
        <v>12</v>
      </c>
      <c r="J24" s="54">
        <f t="shared" ref="J24:J26" si="9">E24-$B$21</f>
        <v>69.61</v>
      </c>
      <c r="K24" s="54">
        <f>E24-$B$21-F24</f>
        <v>43.21</v>
      </c>
      <c r="L24" s="62">
        <f t="shared" si="7"/>
        <v>0.3765530423701815</v>
      </c>
      <c r="M24" s="54">
        <f>(E24*(1-$G$61))-$B$21</f>
        <v>62.035000000000011</v>
      </c>
      <c r="N24" s="54">
        <f>M24-F24</f>
        <v>35.635000000000012</v>
      </c>
      <c r="O24" s="62">
        <f t="shared" si="8"/>
        <v>0.13523415100350467</v>
      </c>
      <c r="AG24" s="114" t="s">
        <v>12</v>
      </c>
      <c r="AH24" s="114" t="s">
        <v>176</v>
      </c>
      <c r="AI24" s="114" t="s">
        <v>174</v>
      </c>
      <c r="AJ24" s="114">
        <v>0</v>
      </c>
      <c r="AK24" s="114">
        <v>0</v>
      </c>
      <c r="AL24" s="114"/>
    </row>
    <row r="25" spans="1:38">
      <c r="A25" s="53">
        <v>0</v>
      </c>
      <c r="B25" s="93"/>
      <c r="C25" s="55" t="s">
        <v>13</v>
      </c>
      <c r="D25" s="80">
        <f>ROUNDUP(A22+'DF Q8'!E47+'DF Q8'!F25,0)</f>
        <v>98</v>
      </c>
      <c r="E25" s="106">
        <f>ROUNDUP(D25*1,0)</f>
        <v>98</v>
      </c>
      <c r="F25" s="81">
        <v>28.8</v>
      </c>
      <c r="I25" s="55" t="s">
        <v>13</v>
      </c>
      <c r="J25" s="54">
        <f t="shared" si="9"/>
        <v>66.61</v>
      </c>
      <c r="K25" s="54">
        <f>E25-$B$21-F25</f>
        <v>37.81</v>
      </c>
      <c r="L25" s="62">
        <f t="shared" si="7"/>
        <v>0.20452373367314447</v>
      </c>
      <c r="M25" s="54">
        <f>(E25*(1-$G$61))-$B$21</f>
        <v>59.260000000000005</v>
      </c>
      <c r="N25" s="54">
        <f>M25-F25</f>
        <v>30.460000000000004</v>
      </c>
      <c r="O25" s="62">
        <f>(N25/$B$21)-1</f>
        <v>-2.9627269831156267E-2</v>
      </c>
      <c r="AG25" s="114" t="s">
        <v>12</v>
      </c>
      <c r="AH25" s="114" t="s">
        <v>176</v>
      </c>
      <c r="AI25" s="114" t="s">
        <v>177</v>
      </c>
      <c r="AJ25" s="114" t="s">
        <v>178</v>
      </c>
      <c r="AK25" s="114">
        <v>0</v>
      </c>
      <c r="AL25" s="114"/>
    </row>
    <row r="26" spans="1:38">
      <c r="A26" s="53">
        <v>0</v>
      </c>
      <c r="B26" s="62">
        <v>7.0000000000000007E-2</v>
      </c>
      <c r="C26" s="55" t="s">
        <v>14</v>
      </c>
      <c r="D26" s="80">
        <f>ROUNDUP(A22+'DF Q8'!E47+'DF Q8'!F26,0)</f>
        <v>93</v>
      </c>
      <c r="E26" s="107">
        <f>ROUNDUP(D26*1.07,0)</f>
        <v>100</v>
      </c>
      <c r="F26" s="81">
        <v>24</v>
      </c>
      <c r="I26" s="55" t="s">
        <v>14</v>
      </c>
      <c r="J26" s="54">
        <f t="shared" si="9"/>
        <v>68.61</v>
      </c>
      <c r="K26" s="54">
        <f>E26-$B$21-F26</f>
        <v>44.61</v>
      </c>
      <c r="L26" s="62">
        <f t="shared" si="7"/>
        <v>0.42115323351385792</v>
      </c>
      <c r="M26" s="54">
        <f>(E26*(1-$G$61))-$B$21</f>
        <v>61.11</v>
      </c>
      <c r="N26" s="54">
        <f>M26-F26</f>
        <v>37.11</v>
      </c>
      <c r="O26" s="62">
        <f t="shared" si="8"/>
        <v>0.18222363810130604</v>
      </c>
      <c r="AG26" s="114" t="s">
        <v>14</v>
      </c>
      <c r="AH26" s="114" t="s">
        <v>179</v>
      </c>
      <c r="AI26" s="114" t="s">
        <v>180</v>
      </c>
      <c r="AJ26" s="114">
        <v>0</v>
      </c>
      <c r="AK26" s="114">
        <v>0</v>
      </c>
      <c r="AL26" s="114"/>
    </row>
    <row r="27" spans="1:38">
      <c r="AG27" s="114" t="s">
        <v>14</v>
      </c>
      <c r="AH27" s="114" t="s">
        <v>169</v>
      </c>
      <c r="AI27" s="114" t="s">
        <v>170</v>
      </c>
      <c r="AJ27" s="114">
        <v>0</v>
      </c>
      <c r="AK27" s="114">
        <v>0</v>
      </c>
      <c r="AL27" s="114"/>
    </row>
    <row r="28" spans="1:38">
      <c r="AG28" s="114" t="s">
        <v>14</v>
      </c>
      <c r="AH28" s="114" t="s">
        <v>171</v>
      </c>
      <c r="AI28" s="114" t="s">
        <v>172</v>
      </c>
      <c r="AJ28" s="114">
        <v>0</v>
      </c>
      <c r="AK28" s="114">
        <v>0</v>
      </c>
      <c r="AL28" s="114"/>
    </row>
    <row r="29" spans="1:38">
      <c r="B29" s="32" t="s">
        <v>87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AG29" s="114" t="s">
        <v>14</v>
      </c>
      <c r="AH29" s="114" t="s">
        <v>171</v>
      </c>
      <c r="AI29" s="114" t="s">
        <v>173</v>
      </c>
      <c r="AJ29" s="114">
        <v>0</v>
      </c>
      <c r="AK29" s="114">
        <v>0</v>
      </c>
      <c r="AL29" s="114"/>
    </row>
    <row r="30" spans="1:38">
      <c r="C30" s="52" t="s">
        <v>53</v>
      </c>
      <c r="D30" s="52" t="s">
        <v>2</v>
      </c>
      <c r="E30" s="52" t="s">
        <v>130</v>
      </c>
      <c r="F30" s="52" t="s">
        <v>131</v>
      </c>
      <c r="G30" s="52" t="s">
        <v>132</v>
      </c>
      <c r="H30" s="52" t="s">
        <v>138</v>
      </c>
      <c r="I30" s="52" t="s">
        <v>153</v>
      </c>
      <c r="AG30" s="114" t="s">
        <v>14</v>
      </c>
      <c r="AH30" s="114" t="s">
        <v>171</v>
      </c>
      <c r="AI30" s="114" t="s">
        <v>174</v>
      </c>
      <c r="AJ30" s="114">
        <v>0</v>
      </c>
      <c r="AK30" s="114">
        <v>0</v>
      </c>
      <c r="AL30" s="114"/>
    </row>
    <row r="31" spans="1:38">
      <c r="A31">
        <v>35</v>
      </c>
      <c r="B31" s="83">
        <f>REPORT!D65/'DF Q8'!H9</f>
        <v>2.0198522622345335E-3</v>
      </c>
      <c r="C31" s="55" t="s">
        <v>57</v>
      </c>
      <c r="D31" s="55" t="s">
        <v>58</v>
      </c>
      <c r="E31" s="111">
        <v>35</v>
      </c>
      <c r="F31" s="58">
        <v>3000</v>
      </c>
      <c r="G31" s="64">
        <f>F31*E31</f>
        <v>105000</v>
      </c>
      <c r="H31" s="67">
        <v>60</v>
      </c>
      <c r="I31" s="54">
        <f>G31/8</f>
        <v>13125</v>
      </c>
      <c r="AG31" s="114" t="s">
        <v>14</v>
      </c>
      <c r="AH31" s="114" t="s">
        <v>175</v>
      </c>
      <c r="AI31" s="114" t="s">
        <v>174</v>
      </c>
      <c r="AJ31" s="114">
        <v>0</v>
      </c>
      <c r="AK31" s="114">
        <v>0</v>
      </c>
      <c r="AL31" s="114"/>
    </row>
    <row r="32" spans="1:38">
      <c r="A32">
        <v>210</v>
      </c>
      <c r="B32" s="83">
        <f>REPORT!D66/'DF Q8'!H4</f>
        <v>2.359550561797753E-2</v>
      </c>
      <c r="C32" s="55" t="s">
        <v>59</v>
      </c>
      <c r="D32" s="55" t="s">
        <v>10</v>
      </c>
      <c r="E32" s="111">
        <v>210</v>
      </c>
      <c r="F32" s="58">
        <v>300</v>
      </c>
      <c r="G32" s="64">
        <f t="shared" ref="G32:G36" si="10">F32*E32</f>
        <v>63000</v>
      </c>
      <c r="H32" s="67">
        <v>55</v>
      </c>
      <c r="I32" s="54">
        <f t="shared" ref="I32:I36" si="11">G32/8</f>
        <v>7875</v>
      </c>
      <c r="J32" t="s">
        <v>164</v>
      </c>
      <c r="AG32" s="114" t="s">
        <v>14</v>
      </c>
      <c r="AH32" s="114" t="s">
        <v>176</v>
      </c>
      <c r="AI32" s="114" t="s">
        <v>174</v>
      </c>
      <c r="AJ32" s="114">
        <v>0</v>
      </c>
      <c r="AK32" s="114">
        <v>0</v>
      </c>
      <c r="AL32" s="114"/>
    </row>
    <row r="33" spans="1:44">
      <c r="A33">
        <v>102</v>
      </c>
      <c r="B33" s="83">
        <f>REPORT!D67/'DF Q8'!H5</f>
        <v>2.5322740814299902E-2</v>
      </c>
      <c r="C33" s="55"/>
      <c r="D33" s="55" t="s">
        <v>11</v>
      </c>
      <c r="E33" s="111">
        <v>102</v>
      </c>
      <c r="F33" s="58">
        <v>300</v>
      </c>
      <c r="G33" s="64">
        <f t="shared" si="10"/>
        <v>30600</v>
      </c>
      <c r="H33" s="67">
        <v>55</v>
      </c>
      <c r="I33" s="54">
        <f t="shared" si="11"/>
        <v>3825</v>
      </c>
      <c r="J33" t="s">
        <v>165</v>
      </c>
      <c r="AG33" s="114" t="s">
        <v>14</v>
      </c>
      <c r="AH33" s="114" t="s">
        <v>176</v>
      </c>
      <c r="AI33" s="114" t="s">
        <v>177</v>
      </c>
      <c r="AJ33" s="114" t="s">
        <v>178</v>
      </c>
      <c r="AK33" s="114">
        <v>0</v>
      </c>
      <c r="AL33" s="114"/>
    </row>
    <row r="34" spans="1:44">
      <c r="A34">
        <v>82</v>
      </c>
      <c r="B34" s="83">
        <f>REPORT!D68/'DF Q8'!H6</f>
        <v>1.8636363636363635E-2</v>
      </c>
      <c r="C34" s="55"/>
      <c r="D34" s="55" t="s">
        <v>12</v>
      </c>
      <c r="E34" s="111">
        <v>82</v>
      </c>
      <c r="F34" s="58">
        <v>300</v>
      </c>
      <c r="G34" s="64">
        <f t="shared" si="10"/>
        <v>24600</v>
      </c>
      <c r="H34" s="67">
        <v>55</v>
      </c>
      <c r="I34" s="54">
        <f t="shared" si="11"/>
        <v>3075</v>
      </c>
      <c r="AG34" s="114" t="s">
        <v>11</v>
      </c>
      <c r="AH34" s="114" t="s">
        <v>179</v>
      </c>
      <c r="AI34" s="114" t="s">
        <v>180</v>
      </c>
      <c r="AJ34" s="114">
        <v>3</v>
      </c>
      <c r="AK34" s="114">
        <v>4</v>
      </c>
      <c r="AL34" s="114"/>
    </row>
    <row r="35" spans="1:44">
      <c r="A35">
        <v>0</v>
      </c>
      <c r="B35" s="63">
        <f>B33</f>
        <v>2.5322740814299902E-2</v>
      </c>
      <c r="C35" s="55"/>
      <c r="D35" s="55" t="s">
        <v>13</v>
      </c>
      <c r="E35" s="82">
        <f>ROUNDUP(I16*B35,0)</f>
        <v>-1</v>
      </c>
      <c r="F35" s="58">
        <v>300</v>
      </c>
      <c r="G35" s="64">
        <f t="shared" si="10"/>
        <v>-300</v>
      </c>
      <c r="H35" s="67">
        <v>50</v>
      </c>
      <c r="I35" s="54">
        <f t="shared" si="11"/>
        <v>-37.5</v>
      </c>
      <c r="J35" s="75"/>
      <c r="AG35" s="114" t="s">
        <v>11</v>
      </c>
      <c r="AH35" s="114" t="s">
        <v>169</v>
      </c>
      <c r="AI35" s="114" t="s">
        <v>170</v>
      </c>
      <c r="AJ35" s="114">
        <v>8</v>
      </c>
      <c r="AK35" s="114">
        <v>9</v>
      </c>
      <c r="AL35" s="114"/>
    </row>
    <row r="36" spans="1:44">
      <c r="A36">
        <v>0</v>
      </c>
      <c r="B36" s="63">
        <f>B33</f>
        <v>2.5322740814299902E-2</v>
      </c>
      <c r="C36" s="55"/>
      <c r="D36" s="55" t="s">
        <v>14</v>
      </c>
      <c r="E36" s="82">
        <f>ROUNDUP(I17*B36,0)</f>
        <v>0</v>
      </c>
      <c r="F36" s="58">
        <v>300</v>
      </c>
      <c r="G36" s="64">
        <f t="shared" si="10"/>
        <v>0</v>
      </c>
      <c r="H36" s="67">
        <v>50</v>
      </c>
      <c r="I36" s="54">
        <f t="shared" si="11"/>
        <v>0</v>
      </c>
      <c r="J36" s="75"/>
      <c r="AG36" s="114" t="s">
        <v>11</v>
      </c>
      <c r="AH36" s="114" t="s">
        <v>171</v>
      </c>
      <c r="AI36" s="114" t="s">
        <v>172</v>
      </c>
      <c r="AJ36" s="114">
        <v>2</v>
      </c>
      <c r="AK36" s="114">
        <v>60</v>
      </c>
      <c r="AL36" s="114"/>
    </row>
    <row r="37" spans="1:44">
      <c r="G37" s="64">
        <f>SUM(G31:G36)</f>
        <v>222900</v>
      </c>
      <c r="H37" s="25" t="s">
        <v>133</v>
      </c>
      <c r="I37" s="56">
        <f>SUM(I31:I36)</f>
        <v>27862.5</v>
      </c>
      <c r="AG37" s="114" t="s">
        <v>11</v>
      </c>
      <c r="AH37" s="114" t="s">
        <v>171</v>
      </c>
      <c r="AI37" s="114" t="s">
        <v>173</v>
      </c>
      <c r="AJ37" s="114">
        <v>0</v>
      </c>
      <c r="AK37" s="114">
        <v>0</v>
      </c>
      <c r="AL37" s="114"/>
    </row>
    <row r="38" spans="1:44">
      <c r="I38" s="54"/>
      <c r="AG38" s="114" t="s">
        <v>11</v>
      </c>
      <c r="AH38" s="114" t="s">
        <v>171</v>
      </c>
      <c r="AI38" s="114" t="s">
        <v>174</v>
      </c>
      <c r="AJ38" s="114">
        <v>2</v>
      </c>
      <c r="AK38" s="114">
        <v>3</v>
      </c>
      <c r="AL38" s="114"/>
    </row>
    <row r="39" spans="1:44">
      <c r="B39" s="32" t="s">
        <v>82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AG39" s="114" t="s">
        <v>11</v>
      </c>
      <c r="AH39" s="114" t="s">
        <v>175</v>
      </c>
      <c r="AI39" s="114" t="s">
        <v>174</v>
      </c>
      <c r="AJ39" s="114">
        <v>4</v>
      </c>
      <c r="AK39" s="114">
        <v>5</v>
      </c>
      <c r="AL39" s="114"/>
    </row>
    <row r="40" spans="1:44">
      <c r="C40" s="25" t="s">
        <v>126</v>
      </c>
      <c r="D40" s="25" t="s">
        <v>137</v>
      </c>
      <c r="E40" s="25" t="s">
        <v>127</v>
      </c>
      <c r="F40" s="25" t="s">
        <v>128</v>
      </c>
      <c r="G40" s="25" t="s">
        <v>129</v>
      </c>
      <c r="AG40" s="114" t="s">
        <v>11</v>
      </c>
      <c r="AH40" s="114" t="s">
        <v>176</v>
      </c>
      <c r="AI40" s="114" t="s">
        <v>174</v>
      </c>
      <c r="AJ40" s="114">
        <v>4</v>
      </c>
      <c r="AK40" s="114">
        <v>5</v>
      </c>
      <c r="AL40" s="114"/>
    </row>
    <row r="41" spans="1:44" ht="28">
      <c r="C41" s="66" t="str">
        <f>FEATURES!A2</f>
        <v>STAINLESS MATERIAL</v>
      </c>
      <c r="D41" s="58">
        <f>VLOOKUP(C41,FEATURES!$A$2:$E$15,3,FALSE)</f>
        <v>15000</v>
      </c>
      <c r="E41" s="58">
        <f>VLOOKUP(C41,FEATURES!$A$2:$E$15,4,)</f>
        <v>0.15</v>
      </c>
      <c r="F41" s="110">
        <f>$I$18</f>
        <v>-1</v>
      </c>
      <c r="G41" s="57">
        <f t="shared" ref="G41:G46" si="12">E41*F41</f>
        <v>-0.15</v>
      </c>
      <c r="AG41" s="114" t="s">
        <v>11</v>
      </c>
      <c r="AH41" s="114" t="s">
        <v>176</v>
      </c>
      <c r="AI41" s="114" t="s">
        <v>177</v>
      </c>
      <c r="AJ41" s="114" t="s">
        <v>178</v>
      </c>
      <c r="AK41" s="114">
        <v>30</v>
      </c>
    </row>
    <row r="42" spans="1:44" ht="34">
      <c r="C42" s="79" t="str">
        <f>FEATURES!A11</f>
        <v>DIGITAL CONTROLS</v>
      </c>
      <c r="D42" s="58">
        <f>VLOOKUP(C42,FEATURES!$A$2:$E$15,3,FALSE)</f>
        <v>45000</v>
      </c>
      <c r="E42" s="58">
        <f>VLOOKUP(C42,FEATURES!$A$2:$E$15,4,)</f>
        <v>0.45</v>
      </c>
      <c r="F42" s="110">
        <f>$I$18</f>
        <v>-1</v>
      </c>
      <c r="G42" s="57">
        <f t="shared" si="12"/>
        <v>-0.45</v>
      </c>
      <c r="I42" s="100" t="s">
        <v>154</v>
      </c>
      <c r="J42" s="101">
        <f>(I18*E47)/4</f>
        <v>-0.15</v>
      </c>
      <c r="AN42" s="90" t="s">
        <v>181</v>
      </c>
      <c r="AO42" s="126"/>
      <c r="AP42" s="126"/>
    </row>
    <row r="43" spans="1:44">
      <c r="C43" s="79"/>
      <c r="D43" s="58" t="e">
        <f>VLOOKUP(C43,FEATURES!$A$2:$E$15,3,FALSE)</f>
        <v>#N/A</v>
      </c>
      <c r="E43" s="58" t="e">
        <f>VLOOKUP(C43,FEATURES!$A$2:$E$15,4,)</f>
        <v>#N/A</v>
      </c>
      <c r="F43" s="110">
        <f>$I$18</f>
        <v>-1</v>
      </c>
      <c r="G43" s="57" t="e">
        <f t="shared" si="12"/>
        <v>#N/A</v>
      </c>
      <c r="AJ43" t="s">
        <v>182</v>
      </c>
      <c r="AK43">
        <f>SUM(AK2:AK41)</f>
        <v>388</v>
      </c>
      <c r="AL43" s="53">
        <v>28</v>
      </c>
      <c r="AM43">
        <v>8</v>
      </c>
      <c r="AN43" s="57">
        <f>AK43*AL43*AM43</f>
        <v>86912</v>
      </c>
      <c r="AO43" s="128">
        <f>AN43/$AP$60</f>
        <v>0.15832811110949183</v>
      </c>
      <c r="AP43" s="88"/>
      <c r="AR43" s="54"/>
    </row>
    <row r="44" spans="1:44">
      <c r="C44" s="67"/>
      <c r="D44" s="58" t="e">
        <f>VLOOKUP(C44,FEATURES!$A$2:$E$15,3,FALSE)</f>
        <v>#N/A</v>
      </c>
      <c r="E44" s="58" t="e">
        <f>VLOOKUP(C44,FEATURES!$A$2:$E$15,4,)</f>
        <v>#N/A</v>
      </c>
      <c r="F44" s="110">
        <f>$I$18</f>
        <v>-1</v>
      </c>
      <c r="G44" s="57" t="e">
        <f t="shared" si="12"/>
        <v>#N/A</v>
      </c>
      <c r="AJ44" t="s">
        <v>183</v>
      </c>
      <c r="AK44">
        <f>AK8+AK34+AK35+AK39+AK40+AK41+AK9</f>
        <v>156</v>
      </c>
      <c r="AL44" s="53">
        <v>12</v>
      </c>
      <c r="AM44">
        <v>8</v>
      </c>
      <c r="AN44" s="57">
        <f>AK44*AL44*AM44</f>
        <v>14976</v>
      </c>
      <c r="AO44" s="128">
        <f t="shared" ref="AO44:AO59" si="13">AN44/$AP$60</f>
        <v>2.7281868924610521E-2</v>
      </c>
      <c r="AP44" s="126"/>
    </row>
    <row r="45" spans="1:44">
      <c r="C45" s="67"/>
      <c r="D45" s="58" t="e">
        <f>VLOOKUP(C45,FEATURES!$A$2:$E$15,3,FALSE)</f>
        <v>#N/A</v>
      </c>
      <c r="E45" s="58" t="e">
        <f>VLOOKUP(C45,FEATURES!$A$2:$E$15,4,)</f>
        <v>#N/A</v>
      </c>
      <c r="F45" s="110">
        <f>$I$18</f>
        <v>-1</v>
      </c>
      <c r="G45" s="57" t="e">
        <f t="shared" si="12"/>
        <v>#N/A</v>
      </c>
      <c r="AJ45" t="s">
        <v>184</v>
      </c>
      <c r="AL45" s="53"/>
      <c r="AN45" s="56">
        <f>(AN43+AN44)*0.5</f>
        <v>50944</v>
      </c>
      <c r="AO45" s="128">
        <f t="shared" si="13"/>
        <v>9.280499001705117E-2</v>
      </c>
      <c r="AP45" s="115"/>
    </row>
    <row r="46" spans="1:44">
      <c r="C46" s="67"/>
      <c r="D46" s="58" t="e">
        <f>VLOOKUP(C46,FEATURES!$A$2:$E$15,3,FALSE)</f>
        <v>#N/A</v>
      </c>
      <c r="E46" s="58" t="e">
        <f>VLOOKUP(C46,FEATURES!$A$2:$E$15,4,)</f>
        <v>#N/A</v>
      </c>
      <c r="F46" s="110">
        <f>$I$18</f>
        <v>-1</v>
      </c>
      <c r="G46" s="57" t="e">
        <f t="shared" si="12"/>
        <v>#N/A</v>
      </c>
      <c r="AL46" s="53"/>
      <c r="AN46" s="54"/>
      <c r="AO46" s="128">
        <f t="shared" si="13"/>
        <v>0</v>
      </c>
      <c r="AP46" s="126"/>
    </row>
    <row r="47" spans="1:44">
      <c r="C47" s="25" t="s">
        <v>133</v>
      </c>
      <c r="D47" s="56">
        <f>D41+D42</f>
        <v>60000</v>
      </c>
      <c r="E47" s="56">
        <f>E41+E42</f>
        <v>0.6</v>
      </c>
      <c r="AJ47" t="s">
        <v>127</v>
      </c>
      <c r="AL47" s="53">
        <v>0.6</v>
      </c>
      <c r="AM47">
        <v>17080</v>
      </c>
      <c r="AN47" s="124">
        <f>AL47*AM47</f>
        <v>10248</v>
      </c>
      <c r="AO47" s="128">
        <f t="shared" si="13"/>
        <v>1.8668842998090851E-2</v>
      </c>
    </row>
    <row r="48" spans="1:44">
      <c r="AJ48" t="s">
        <v>185</v>
      </c>
      <c r="AL48" s="53">
        <v>2.5</v>
      </c>
      <c r="AM48">
        <v>17080</v>
      </c>
      <c r="AN48" s="122">
        <f>AL48*AM48</f>
        <v>42700</v>
      </c>
      <c r="AO48" s="128">
        <f t="shared" si="13"/>
        <v>7.7786845825378551E-2</v>
      </c>
    </row>
    <row r="49" spans="1:65">
      <c r="B49" s="32" t="s">
        <v>139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AJ49" t="s">
        <v>56</v>
      </c>
      <c r="AK49">
        <v>1</v>
      </c>
      <c r="AL49" s="53">
        <f>140/30</f>
        <v>4.666666666666667</v>
      </c>
      <c r="AM49">
        <v>17080</v>
      </c>
      <c r="AN49" s="123">
        <f>AL49*AM49</f>
        <v>79706.666666666672</v>
      </c>
      <c r="AO49" s="128">
        <f t="shared" si="13"/>
        <v>0.14520211220737331</v>
      </c>
    </row>
    <row r="50" spans="1:65">
      <c r="C50" s="52" t="s">
        <v>2</v>
      </c>
      <c r="D50" s="52" t="s">
        <v>134</v>
      </c>
      <c r="E50" s="60" t="s">
        <v>136</v>
      </c>
      <c r="F50" s="60" t="s">
        <v>159</v>
      </c>
      <c r="H50" s="52" t="s">
        <v>135</v>
      </c>
      <c r="I50" s="60" t="s">
        <v>75</v>
      </c>
      <c r="AJ50" t="s">
        <v>65</v>
      </c>
      <c r="AK50">
        <v>0.2</v>
      </c>
      <c r="AL50" s="53">
        <f>370/12</f>
        <v>30.833333333333332</v>
      </c>
      <c r="AM50">
        <v>17080</v>
      </c>
      <c r="AN50" s="123">
        <f>AM50*AK50*AL50</f>
        <v>105326.66666666666</v>
      </c>
      <c r="AO50" s="128">
        <f t="shared" si="13"/>
        <v>0.19187421970260041</v>
      </c>
    </row>
    <row r="51" spans="1:65">
      <c r="A51">
        <v>17</v>
      </c>
      <c r="B51" s="83">
        <f>A51/H4</f>
        <v>1.9101123595505619E-3</v>
      </c>
      <c r="C51" s="55" t="s">
        <v>10</v>
      </c>
      <c r="D51" s="84">
        <f>ROUNDUP(I13*B51,0)+1</f>
        <v>1</v>
      </c>
      <c r="E51" s="89">
        <f>(D51-17)*$H$51</f>
        <v>-16000</v>
      </c>
      <c r="F51" s="64">
        <f>D51*$I$51</f>
        <v>750</v>
      </c>
      <c r="H51" s="58">
        <v>1000</v>
      </c>
      <c r="I51" s="58">
        <v>750</v>
      </c>
      <c r="AJ51" t="s">
        <v>186</v>
      </c>
      <c r="AK51">
        <v>3</v>
      </c>
      <c r="AL51" s="53">
        <v>2300</v>
      </c>
      <c r="AN51" s="124">
        <f>AK51*AL51</f>
        <v>6900</v>
      </c>
      <c r="AO51" s="128">
        <f t="shared" si="13"/>
        <v>1.2569771339463982E-2</v>
      </c>
      <c r="AP51" s="123"/>
      <c r="AQ51" s="123"/>
    </row>
    <row r="52" spans="1:65">
      <c r="A52">
        <v>13</v>
      </c>
      <c r="B52" s="83">
        <f>A52/H5</f>
        <v>3.2274081429990069E-3</v>
      </c>
      <c r="C52" s="55" t="s">
        <v>11</v>
      </c>
      <c r="D52" s="84">
        <f>ROUNDUP(I14*B52,0)</f>
        <v>0</v>
      </c>
      <c r="E52" s="89">
        <f>(D52-13)*$H$51</f>
        <v>-13000</v>
      </c>
      <c r="F52" s="64">
        <f>D52*$I$51</f>
        <v>0</v>
      </c>
      <c r="AJ52" t="s">
        <v>187</v>
      </c>
      <c r="AK52">
        <v>7</v>
      </c>
      <c r="AL52" s="53">
        <v>6000</v>
      </c>
      <c r="AN52" s="124">
        <f>AK52*AL52</f>
        <v>42000</v>
      </c>
      <c r="AO52" s="128">
        <f t="shared" si="13"/>
        <v>7.6511651631519892E-2</v>
      </c>
      <c r="AV52" s="121">
        <v>304</v>
      </c>
      <c r="AW52" s="121">
        <v>2712</v>
      </c>
      <c r="AX52" s="121">
        <v>2000</v>
      </c>
      <c r="AY52" s="121">
        <v>1288</v>
      </c>
      <c r="AZ52" s="121">
        <v>576</v>
      </c>
      <c r="BA52" s="121">
        <v>0</v>
      </c>
      <c r="BB52" s="121">
        <v>2408</v>
      </c>
      <c r="BC52" s="121">
        <v>1696</v>
      </c>
    </row>
    <row r="53" spans="1:65">
      <c r="A53">
        <v>14</v>
      </c>
      <c r="B53" s="83">
        <f>A53/H6</f>
        <v>3.1818181818181819E-3</v>
      </c>
      <c r="C53" s="55" t="s">
        <v>12</v>
      </c>
      <c r="D53" s="84">
        <f>ROUNDUP(I15*B53,0)</f>
        <v>0</v>
      </c>
      <c r="E53" s="89">
        <f>(D53-14)*$H$51</f>
        <v>-14000</v>
      </c>
      <c r="F53" s="64">
        <f>D53*$I$51</f>
        <v>0</v>
      </c>
      <c r="K53" t="s">
        <v>166</v>
      </c>
      <c r="AJ53" t="s">
        <v>188</v>
      </c>
      <c r="AK53" s="117"/>
      <c r="AL53" s="117"/>
      <c r="AM53" s="117"/>
      <c r="AN53" s="125">
        <f>BD55</f>
        <v>7786.8</v>
      </c>
      <c r="AO53" s="128">
        <f t="shared" si="13"/>
        <v>1.4185260212483787E-2</v>
      </c>
      <c r="AP53" s="117"/>
      <c r="AQ53" s="117"/>
      <c r="AR53" s="117"/>
      <c r="AU53" t="s">
        <v>188</v>
      </c>
      <c r="AV53" s="121">
        <v>2875</v>
      </c>
      <c r="AW53" s="121">
        <v>2254</v>
      </c>
      <c r="AX53" s="121">
        <v>1633</v>
      </c>
      <c r="AY53" s="121">
        <v>1012</v>
      </c>
      <c r="AZ53" s="121">
        <v>391</v>
      </c>
      <c r="BA53" s="121">
        <v>2890</v>
      </c>
      <c r="BB53" s="121">
        <v>2269</v>
      </c>
      <c r="BC53" s="121">
        <v>1648</v>
      </c>
    </row>
    <row r="54" spans="1:65">
      <c r="A54">
        <v>0</v>
      </c>
      <c r="B54" s="18">
        <v>6.0000000000000001E-3</v>
      </c>
      <c r="C54" s="55" t="s">
        <v>13</v>
      </c>
      <c r="D54" s="84">
        <f>ROUNDUP(I16*B54,0)</f>
        <v>-1</v>
      </c>
      <c r="E54" s="89">
        <f>D54*$H$51</f>
        <v>-1000</v>
      </c>
      <c r="F54" s="64">
        <f>D54*$I$51</f>
        <v>-750</v>
      </c>
      <c r="G54" s="75"/>
      <c r="K54" t="s">
        <v>11</v>
      </c>
      <c r="AJ54" t="s">
        <v>189</v>
      </c>
      <c r="AK54" s="90"/>
      <c r="AL54" s="53"/>
      <c r="AM54" s="54"/>
      <c r="AN54" s="124">
        <f>BD60</f>
        <v>20214</v>
      </c>
      <c r="AO54" s="128">
        <f t="shared" si="13"/>
        <v>3.6823964906655786E-2</v>
      </c>
      <c r="AV54" s="53">
        <v>0.3</v>
      </c>
      <c r="AW54" s="53">
        <v>0.3</v>
      </c>
      <c r="AX54" s="53">
        <v>0.3</v>
      </c>
      <c r="AY54" s="53">
        <v>0.3</v>
      </c>
      <c r="AZ54" s="53">
        <v>0.3</v>
      </c>
      <c r="BA54" s="53">
        <v>0.3</v>
      </c>
      <c r="BB54" s="53">
        <v>0.3</v>
      </c>
      <c r="BC54" s="53">
        <v>0.3</v>
      </c>
    </row>
    <row r="55" spans="1:65">
      <c r="A55">
        <v>0</v>
      </c>
      <c r="B55" s="18">
        <v>8.0000000000000002E-3</v>
      </c>
      <c r="C55" s="55" t="s">
        <v>14</v>
      </c>
      <c r="D55" s="84">
        <f>ROUNDUP(I17*B55,0)</f>
        <v>0</v>
      </c>
      <c r="E55" s="89">
        <f>D55*$H$51</f>
        <v>0</v>
      </c>
      <c r="F55" s="64">
        <f>D55*$I$51</f>
        <v>0</v>
      </c>
      <c r="G55" s="75"/>
      <c r="K55" t="s">
        <v>167</v>
      </c>
      <c r="AJ55" t="s">
        <v>190</v>
      </c>
      <c r="AK55" s="116"/>
      <c r="AL55" s="53"/>
      <c r="AM55" s="54"/>
      <c r="AN55" s="124">
        <f>BD66</f>
        <v>14372</v>
      </c>
      <c r="AO55" s="128">
        <f t="shared" si="13"/>
        <v>2.6181558505909613E-2</v>
      </c>
      <c r="AV55" s="102">
        <f>(AV52+AV53)*AV54</f>
        <v>953.69999999999993</v>
      </c>
      <c r="AW55" s="102">
        <f t="shared" ref="AW55:BC55" si="14">(AW52+AW53)*AW54</f>
        <v>1489.8</v>
      </c>
      <c r="AX55" s="102">
        <f t="shared" si="14"/>
        <v>1089.8999999999999</v>
      </c>
      <c r="AY55" s="102">
        <f t="shared" si="14"/>
        <v>690</v>
      </c>
      <c r="AZ55" s="102">
        <f t="shared" si="14"/>
        <v>290.09999999999997</v>
      </c>
      <c r="BA55" s="102">
        <f t="shared" si="14"/>
        <v>867</v>
      </c>
      <c r="BB55" s="102">
        <f t="shared" si="14"/>
        <v>1403.1</v>
      </c>
      <c r="BC55" s="102">
        <f t="shared" si="14"/>
        <v>1003.1999999999999</v>
      </c>
      <c r="BD55" s="56">
        <f>SUM(AV55:BC55)</f>
        <v>7786.8</v>
      </c>
    </row>
    <row r="56" spans="1:65">
      <c r="C56" s="25" t="s">
        <v>133</v>
      </c>
      <c r="D56" s="59">
        <f>SUM(D51:D55)</f>
        <v>0</v>
      </c>
      <c r="E56" s="56">
        <f>SUM(E51:E55)</f>
        <v>-44000</v>
      </c>
      <c r="F56" s="56">
        <f>SUM(F51:F55)</f>
        <v>0</v>
      </c>
      <c r="AJ56" t="s">
        <v>191</v>
      </c>
      <c r="AK56" s="116"/>
      <c r="AL56" s="53"/>
      <c r="AM56" s="54"/>
      <c r="AN56" s="124">
        <f>BD71</f>
        <v>21201.600000000002</v>
      </c>
      <c r="AO56" s="128">
        <f t="shared" si="13"/>
        <v>3.8623081743591241E-2</v>
      </c>
    </row>
    <row r="57" spans="1:65">
      <c r="AJ57" t="s">
        <v>192</v>
      </c>
      <c r="AK57" s="116"/>
      <c r="AL57" s="53"/>
      <c r="AM57" s="54"/>
      <c r="AN57" s="124">
        <f>BD76</f>
        <v>21181.200000000001</v>
      </c>
      <c r="AO57" s="128">
        <f t="shared" si="13"/>
        <v>3.8585918941370215E-2</v>
      </c>
      <c r="AU57" t="s">
        <v>189</v>
      </c>
      <c r="AV57" s="121">
        <v>160</v>
      </c>
      <c r="AW57" s="121">
        <v>327</v>
      </c>
      <c r="AX57" s="121">
        <v>194</v>
      </c>
      <c r="AY57" s="121">
        <v>361</v>
      </c>
      <c r="AZ57" s="121">
        <v>228</v>
      </c>
      <c r="BA57" s="121">
        <v>395</v>
      </c>
      <c r="BB57" s="121">
        <v>262</v>
      </c>
      <c r="BC57" s="121">
        <v>429</v>
      </c>
    </row>
    <row r="58" spans="1:65">
      <c r="B58" s="68" t="s">
        <v>84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AJ58" t="s">
        <v>193</v>
      </c>
      <c r="AK58" s="116"/>
      <c r="AL58" s="53"/>
      <c r="AM58" s="54"/>
      <c r="AN58" s="124">
        <f>BD81</f>
        <v>11631.600000000002</v>
      </c>
      <c r="AO58" s="128">
        <f t="shared" si="13"/>
        <v>2.1189355407552068E-2</v>
      </c>
      <c r="AV58" s="121">
        <v>585</v>
      </c>
      <c r="AW58" s="121">
        <v>405</v>
      </c>
      <c r="AX58" s="121">
        <v>225</v>
      </c>
      <c r="AY58" s="121">
        <v>45</v>
      </c>
      <c r="AZ58" s="121">
        <v>177</v>
      </c>
      <c r="BA58" s="121">
        <v>309</v>
      </c>
      <c r="BB58" s="121">
        <v>129</v>
      </c>
      <c r="BC58" s="121">
        <v>261</v>
      </c>
    </row>
    <row r="59" spans="1:65">
      <c r="AJ59" t="s">
        <v>195</v>
      </c>
      <c r="AL59">
        <f>31.39</f>
        <v>31.39</v>
      </c>
      <c r="AM59" s="127">
        <f>SUM(AV90:AV93)</f>
        <v>405</v>
      </c>
      <c r="AN59" s="53">
        <f>AL59*AM59</f>
        <v>12712.95</v>
      </c>
      <c r="AO59" s="128">
        <f t="shared" si="13"/>
        <v>2.315925718116502E-2</v>
      </c>
      <c r="AV59" s="53">
        <v>4.5</v>
      </c>
      <c r="AW59" s="53">
        <v>4.5</v>
      </c>
      <c r="AX59" s="53">
        <v>4.5</v>
      </c>
      <c r="AY59" s="53">
        <v>4.5</v>
      </c>
      <c r="AZ59" s="53">
        <v>4.5</v>
      </c>
      <c r="BA59" s="53">
        <v>4.5</v>
      </c>
      <c r="BB59" s="53">
        <v>4.5</v>
      </c>
      <c r="BC59" s="53">
        <v>4.5</v>
      </c>
    </row>
    <row r="60" spans="1:65" ht="29">
      <c r="C60" s="52" t="s">
        <v>2</v>
      </c>
      <c r="D60" s="52" t="s">
        <v>140</v>
      </c>
      <c r="E60" s="52" t="s">
        <v>141</v>
      </c>
      <c r="F60" s="52" t="s">
        <v>142</v>
      </c>
      <c r="G60" s="52" t="s">
        <v>143</v>
      </c>
      <c r="H60" s="61" t="s">
        <v>144</v>
      </c>
      <c r="J60" s="54"/>
      <c r="AN60" s="54">
        <f>SUM(AN43:AN58)</f>
        <v>536100.53333333333</v>
      </c>
      <c r="AO60" s="54">
        <f>AN60+AN59</f>
        <v>548813.48333333328</v>
      </c>
      <c r="AP60" s="53">
        <v>548936</v>
      </c>
      <c r="AQ60" s="54">
        <f>AO60-AP60</f>
        <v>-122.51666666672099</v>
      </c>
      <c r="AV60" s="102">
        <f>(AV57+AV58)*AV59</f>
        <v>3352.5</v>
      </c>
      <c r="AW60" s="102">
        <f>(AW57+AW58)*AW59</f>
        <v>3294</v>
      </c>
      <c r="AX60" s="102">
        <f>(AX57+AX58)*AX59</f>
        <v>1885.5</v>
      </c>
      <c r="AY60" s="102">
        <f>(AY57+AY58)*AY59</f>
        <v>1827</v>
      </c>
      <c r="AZ60" s="102">
        <f>(AZ57+AZ58)*AZ59</f>
        <v>1822.5</v>
      </c>
      <c r="BA60" s="102">
        <f>(BA57+BA58)*BA59</f>
        <v>3168</v>
      </c>
      <c r="BB60" s="102">
        <f>(BB57+BB58)*BB59</f>
        <v>1759.5</v>
      </c>
      <c r="BC60" s="102">
        <f>(BC57+BC58)*BC59</f>
        <v>3105</v>
      </c>
      <c r="BD60" s="54">
        <f>SUM(AV60:BC60)</f>
        <v>20214</v>
      </c>
    </row>
    <row r="61" spans="1:65">
      <c r="C61" s="55" t="s">
        <v>10</v>
      </c>
      <c r="D61" s="67" t="s">
        <v>65</v>
      </c>
      <c r="E61" s="59">
        <f>IF(D61="A",REPORT!$F$72,IF('DF Q8'!D61="B",REPORT!$F$73,IF('DF Q8'!D61="C",REPORT!$F$74,IF('DF Q8'!D61="D",REPORT!$F$75,"error"))))</f>
        <v>2</v>
      </c>
      <c r="F61" s="58">
        <f>I13*E22</f>
        <v>0</v>
      </c>
      <c r="G61" s="85">
        <f>IF(D61="A",REPORT!$G$72,IF('DF Q8'!D61="B",REPORT!$G$73,IF('DF Q8'!D61="C",REPORT!$G$74,IF('DF Q8'!D61="D",REPORT!$G$75,"error"))))</f>
        <v>7.4999999999999997E-2</v>
      </c>
      <c r="H61" s="88">
        <f>(F61*(1-G61))/4</f>
        <v>0</v>
      </c>
      <c r="I61">
        <f>I13*D22</f>
        <v>0</v>
      </c>
      <c r="J61" s="54">
        <f>I61*0.925</f>
        <v>0</v>
      </c>
      <c r="K61" s="54">
        <f>J61/4</f>
        <v>0</v>
      </c>
      <c r="L61" s="54"/>
      <c r="AN61" s="54">
        <f>AN60/$AM$50</f>
        <v>31.387619047619047</v>
      </c>
      <c r="AP61" s="54">
        <f>AP60/$AM$50</f>
        <v>32.139110070257608</v>
      </c>
    </row>
    <row r="62" spans="1:65">
      <c r="B62" s="90" t="s">
        <v>97</v>
      </c>
      <c r="C62" s="55" t="s">
        <v>11</v>
      </c>
      <c r="D62" s="67" t="s">
        <v>66</v>
      </c>
      <c r="E62" s="59">
        <f>IF(D62="A",REPORT!$F$72,IF('DF Q8'!D62="B",REPORT!$F$73,IF('DF Q8'!D62="C",REPORT!$F$74,IF('DF Q8'!D62="D",REPORT!$F$75,"error"))))</f>
        <v>4</v>
      </c>
      <c r="F62" s="58">
        <f>I14*E23</f>
        <v>0</v>
      </c>
      <c r="G62" s="85">
        <f>IF(D62="A",REPORT!$G$72,IF('DF Q8'!D62="B",REPORT!$G$73,IF('DF Q8'!D62="C",REPORT!$G$74,IF('DF Q8'!D62="D",REPORT!$G$75,"error"))))</f>
        <v>2.5000000000000001E-2</v>
      </c>
      <c r="H62" s="88">
        <f t="shared" ref="H62:H65" si="15">(F62*(1-G62))/4</f>
        <v>0</v>
      </c>
      <c r="I62">
        <f>I14*D23</f>
        <v>0</v>
      </c>
      <c r="J62" s="54">
        <f t="shared" ref="J62:J65" si="16">I62*0.925</f>
        <v>0</v>
      </c>
      <c r="K62" s="54">
        <f t="shared" ref="K62:K65" si="17">J62/4</f>
        <v>0</v>
      </c>
      <c r="L62" s="54"/>
    </row>
    <row r="63" spans="1:65">
      <c r="C63" s="55" t="s">
        <v>12</v>
      </c>
      <c r="D63" s="67" t="s">
        <v>65</v>
      </c>
      <c r="E63" s="59">
        <f>IF(D63="A",REPORT!$F$72,IF('DF Q8'!D63="B",REPORT!$F$73,IF('DF Q8'!D63="C",REPORT!$F$74,IF('DF Q8'!D63="D",REPORT!$F$75,"error"))))</f>
        <v>2</v>
      </c>
      <c r="F63" s="58">
        <f>I15*E24</f>
        <v>0</v>
      </c>
      <c r="G63" s="85">
        <f>IF(D63="A",REPORT!$G$72,IF('DF Q8'!D63="B",REPORT!$G$73,IF('DF Q8'!D63="C",REPORT!$G$74,IF('DF Q8'!D63="D",REPORT!$G$75,"error"))))</f>
        <v>7.4999999999999997E-2</v>
      </c>
      <c r="H63" s="88">
        <f t="shared" si="15"/>
        <v>0</v>
      </c>
      <c r="I63">
        <f>I15*D24</f>
        <v>0</v>
      </c>
      <c r="J63" s="54">
        <f t="shared" si="16"/>
        <v>0</v>
      </c>
      <c r="K63" s="54">
        <f t="shared" si="17"/>
        <v>0</v>
      </c>
      <c r="L63" s="54"/>
      <c r="AU63" t="s">
        <v>190</v>
      </c>
      <c r="AV63" s="121">
        <f>2936+712</f>
        <v>3648</v>
      </c>
      <c r="AW63" s="121">
        <f>2962+712</f>
        <v>3674</v>
      </c>
      <c r="AX63" s="121">
        <f>2988+712</f>
        <v>3700</v>
      </c>
      <c r="AY63" s="121">
        <f>3014+712</f>
        <v>3726</v>
      </c>
      <c r="AZ63" s="121">
        <f>3040+712</f>
        <v>3752</v>
      </c>
      <c r="BA63" s="121">
        <f>3066+576</f>
        <v>3642</v>
      </c>
      <c r="BB63" s="121">
        <f>2956+712</f>
        <v>3668</v>
      </c>
      <c r="BC63" s="121">
        <f>2982+712</f>
        <v>3694</v>
      </c>
      <c r="BD63" s="54"/>
      <c r="BE63" s="54"/>
      <c r="BF63" s="54"/>
      <c r="BG63" s="54"/>
      <c r="BH63" s="54"/>
      <c r="BI63" s="54"/>
      <c r="BJ63" s="54"/>
      <c r="BK63" s="54"/>
    </row>
    <row r="64" spans="1:65">
      <c r="B64" s="90" t="s">
        <v>248</v>
      </c>
      <c r="C64" s="55" t="s">
        <v>13</v>
      </c>
      <c r="D64" s="67" t="s">
        <v>66</v>
      </c>
      <c r="E64" s="59">
        <f>IF(D64="A",REPORT!$F$72,IF('DF Q8'!D64="B",REPORT!$F$73,IF('DF Q8'!D64="C",REPORT!$F$74,IF('DF Q8'!D64="D",REPORT!$F$75,"error"))))</f>
        <v>4</v>
      </c>
      <c r="F64" s="58">
        <f t="shared" ref="F64:F65" si="18">I16*E25</f>
        <v>-98</v>
      </c>
      <c r="G64" s="85">
        <f>IF(D64="A",REPORT!$G$72,IF('DF Q8'!D64="B",REPORT!$G$73,IF('DF Q8'!D64="C",REPORT!$G$74,IF('DF Q8'!D64="D",REPORT!$G$75,"error"))))</f>
        <v>2.5000000000000001E-2</v>
      </c>
      <c r="H64" s="88">
        <f t="shared" si="15"/>
        <v>-23.887499999999999</v>
      </c>
      <c r="I64">
        <f>I16*D25</f>
        <v>-98</v>
      </c>
      <c r="J64" s="54">
        <f t="shared" si="16"/>
        <v>-90.65</v>
      </c>
      <c r="K64" s="54">
        <f t="shared" si="17"/>
        <v>-22.662500000000001</v>
      </c>
      <c r="L64" s="54"/>
      <c r="AV64" s="121">
        <f>6336+621</f>
        <v>6957</v>
      </c>
      <c r="AW64" s="121">
        <f>5861+621</f>
        <v>6482</v>
      </c>
      <c r="AX64" s="121">
        <f>5386+621</f>
        <v>6007</v>
      </c>
      <c r="AY64" s="121">
        <f>4911+621</f>
        <v>5532</v>
      </c>
      <c r="AZ64" s="121">
        <f>4436+621</f>
        <v>5057</v>
      </c>
      <c r="BA64" s="121">
        <f>3961+621</f>
        <v>4582</v>
      </c>
      <c r="BB64" s="121">
        <f>3486+621</f>
        <v>4107</v>
      </c>
      <c r="BC64" s="121">
        <f>3011+621</f>
        <v>3632</v>
      </c>
      <c r="BD64" s="54"/>
      <c r="BE64" s="54"/>
      <c r="BF64" s="54"/>
      <c r="BG64" s="54"/>
      <c r="BH64" s="54"/>
      <c r="BI64" s="54"/>
      <c r="BJ64" s="54"/>
      <c r="BK64" s="54"/>
      <c r="BL64" s="54"/>
      <c r="BM64" s="54"/>
    </row>
    <row r="65" spans="2:65">
      <c r="C65" s="55" t="s">
        <v>14</v>
      </c>
      <c r="D65" s="67" t="s">
        <v>66</v>
      </c>
      <c r="E65" s="59">
        <f>IF(D65="A",REPORT!$F$72,IF('DF Q8'!D65="B",REPORT!$F$73,IF('DF Q8'!D65="C",REPORT!$F$74,IF('DF Q8'!D65="D",REPORT!$F$75,"error"))))</f>
        <v>4</v>
      </c>
      <c r="F65" s="58">
        <f t="shared" si="18"/>
        <v>0</v>
      </c>
      <c r="G65" s="85">
        <f>IF(D65="A",REPORT!$G$72,IF('DF Q8'!D65="B",REPORT!$G$73,IF('DF Q8'!D65="C",REPORT!$G$74,IF('DF Q8'!D65="D",REPORT!$G$75,"error"))))</f>
        <v>2.5000000000000001E-2</v>
      </c>
      <c r="H65" s="88">
        <f t="shared" si="15"/>
        <v>0</v>
      </c>
      <c r="I65">
        <f>I17*D26</f>
        <v>0</v>
      </c>
      <c r="J65" s="54">
        <f t="shared" si="16"/>
        <v>0</v>
      </c>
      <c r="K65" s="54">
        <f t="shared" si="17"/>
        <v>0</v>
      </c>
      <c r="L65" s="54"/>
      <c r="AV65" s="53">
        <v>0.2</v>
      </c>
      <c r="AW65" s="53">
        <v>0.2</v>
      </c>
      <c r="AX65" s="53">
        <v>0.2</v>
      </c>
      <c r="AY65" s="53">
        <v>0.2</v>
      </c>
      <c r="AZ65" s="53">
        <v>0.2</v>
      </c>
      <c r="BA65" s="53">
        <v>0.2</v>
      </c>
      <c r="BB65" s="53">
        <v>0.2</v>
      </c>
      <c r="BC65" s="53">
        <v>0.2</v>
      </c>
    </row>
    <row r="66" spans="2:65">
      <c r="F66" s="54">
        <f>SUM(F61:F65)</f>
        <v>-98</v>
      </c>
      <c r="G66" s="25" t="s">
        <v>133</v>
      </c>
      <c r="H66" s="56">
        <f>SUM(H61:H65)</f>
        <v>-23.887499999999999</v>
      </c>
      <c r="AV66" s="102">
        <f t="shared" ref="AV66:BC66" si="19">(AV63+AV64)*AV65</f>
        <v>2121</v>
      </c>
      <c r="AW66" s="102">
        <f t="shared" si="19"/>
        <v>2031.2</v>
      </c>
      <c r="AX66" s="102">
        <f>(AX63+AX64)*AX65</f>
        <v>1941.4</v>
      </c>
      <c r="AY66" s="102">
        <f t="shared" si="19"/>
        <v>1851.6000000000001</v>
      </c>
      <c r="AZ66" s="102">
        <f t="shared" si="19"/>
        <v>1761.8000000000002</v>
      </c>
      <c r="BA66" s="102">
        <f t="shared" si="19"/>
        <v>1644.8000000000002</v>
      </c>
      <c r="BB66" s="102">
        <f t="shared" si="19"/>
        <v>1555</v>
      </c>
      <c r="BC66" s="102">
        <f t="shared" si="19"/>
        <v>1465.2</v>
      </c>
      <c r="BD66" s="118">
        <f>SUM(AV66:BC66)</f>
        <v>14372</v>
      </c>
      <c r="BE66" s="54"/>
      <c r="BF66" s="54"/>
    </row>
    <row r="67" spans="2:65">
      <c r="C67" s="52" t="s">
        <v>153</v>
      </c>
      <c r="D67" s="52" t="s">
        <v>158</v>
      </c>
    </row>
    <row r="68" spans="2:65">
      <c r="B68" s="32" t="s">
        <v>87</v>
      </c>
      <c r="C68" s="54">
        <f>I37</f>
        <v>27862.5</v>
      </c>
      <c r="D68" s="54">
        <f>C68*8</f>
        <v>222900</v>
      </c>
      <c r="AU68" t="s">
        <v>191</v>
      </c>
      <c r="AV68" s="121">
        <f>1524+665</f>
        <v>2189</v>
      </c>
      <c r="AW68" s="121">
        <f>1503+665</f>
        <v>2168</v>
      </c>
      <c r="AX68" s="121">
        <f>1482+665</f>
        <v>2147</v>
      </c>
      <c r="AY68" s="121">
        <f>1461+665</f>
        <v>2126</v>
      </c>
      <c r="AZ68" s="121">
        <f>1440+665</f>
        <v>2105</v>
      </c>
      <c r="BA68" s="121">
        <f>1419+665</f>
        <v>2084</v>
      </c>
      <c r="BB68" s="121">
        <f>1398+665</f>
        <v>2063</v>
      </c>
      <c r="BC68" s="121">
        <f>1377+665</f>
        <v>2042</v>
      </c>
    </row>
    <row r="69" spans="2:65">
      <c r="B69" s="32" t="s">
        <v>82</v>
      </c>
      <c r="C69" s="54">
        <f>J42</f>
        <v>-0.15</v>
      </c>
      <c r="D69" s="54"/>
      <c r="H69" s="54"/>
      <c r="I69" s="54"/>
      <c r="AV69" s="121">
        <f>4296+900</f>
        <v>5196</v>
      </c>
      <c r="AW69" s="121">
        <f>4100+900</f>
        <v>5000</v>
      </c>
      <c r="AX69" s="121">
        <f>3904+900</f>
        <v>4804</v>
      </c>
      <c r="AY69" s="121">
        <f>3708+900</f>
        <v>4608</v>
      </c>
      <c r="AZ69" s="121">
        <f>3512+900</f>
        <v>4412</v>
      </c>
      <c r="BA69" s="121">
        <f>3316+900</f>
        <v>4216</v>
      </c>
      <c r="BB69" s="121">
        <f>3120+900</f>
        <v>4020</v>
      </c>
      <c r="BC69" s="121">
        <f>2924+900</f>
        <v>3824</v>
      </c>
    </row>
    <row r="70" spans="2:65">
      <c r="B70" s="32" t="s">
        <v>139</v>
      </c>
      <c r="C70" s="54">
        <f>D70/8</f>
        <v>0</v>
      </c>
      <c r="D70" s="54">
        <f>F56</f>
        <v>0</v>
      </c>
      <c r="AV70" s="53">
        <v>0.4</v>
      </c>
      <c r="AW70" s="53">
        <v>0.4</v>
      </c>
      <c r="AX70" s="53">
        <v>0.4</v>
      </c>
      <c r="AY70" s="53">
        <v>0.4</v>
      </c>
      <c r="AZ70" s="53">
        <v>0.4</v>
      </c>
      <c r="BA70" s="53">
        <v>0.4</v>
      </c>
      <c r="BB70" s="53">
        <v>0.4</v>
      </c>
      <c r="BC70" s="53">
        <v>0.4</v>
      </c>
    </row>
    <row r="71" spans="2:65">
      <c r="B71" s="32" t="s">
        <v>74</v>
      </c>
      <c r="D71" s="54">
        <f>E56</f>
        <v>-44000</v>
      </c>
      <c r="AV71" s="102">
        <f>(AV68+AV69)*AV70</f>
        <v>2954</v>
      </c>
      <c r="AW71" s="102">
        <f t="shared" ref="AW71:BB71" si="20">(AW68+AW69)*AW70</f>
        <v>2867.2000000000003</v>
      </c>
      <c r="AX71" s="102">
        <f>(AX68+AX69)*AX70</f>
        <v>2780.4</v>
      </c>
      <c r="AY71" s="102">
        <f t="shared" si="20"/>
        <v>2693.6000000000004</v>
      </c>
      <c r="AZ71" s="102">
        <f t="shared" si="20"/>
        <v>2606.8000000000002</v>
      </c>
      <c r="BA71" s="102">
        <f t="shared" si="20"/>
        <v>2520</v>
      </c>
      <c r="BB71" s="102">
        <f t="shared" si="20"/>
        <v>2433.2000000000003</v>
      </c>
      <c r="BC71" s="102">
        <f>(BC68+BC69)*BC70</f>
        <v>2346.4</v>
      </c>
      <c r="BD71" s="118">
        <f>SUM(AV71:BC71)</f>
        <v>21201.600000000002</v>
      </c>
      <c r="BE71" s="53"/>
      <c r="BF71" s="54"/>
    </row>
    <row r="72" spans="2:65">
      <c r="D72" s="102">
        <f>D68+D70+D71</f>
        <v>178900</v>
      </c>
      <c r="BD72" s="90" t="s">
        <v>194</v>
      </c>
    </row>
    <row r="73" spans="2:65">
      <c r="AU73" t="s">
        <v>192</v>
      </c>
      <c r="AV73" s="121">
        <f>1822+686</f>
        <v>2508</v>
      </c>
      <c r="AW73" s="121">
        <f>1914+686</f>
        <v>2600</v>
      </c>
      <c r="AX73" s="121">
        <f>2006+686</f>
        <v>2692</v>
      </c>
      <c r="AY73" s="121">
        <f>2098+686</f>
        <v>2784</v>
      </c>
      <c r="AZ73" s="121">
        <f>2190+686</f>
        <v>2876</v>
      </c>
      <c r="BA73" s="121">
        <f>2282+686</f>
        <v>2968</v>
      </c>
      <c r="BB73" s="121">
        <f>2374+686</f>
        <v>3060</v>
      </c>
      <c r="BC73" s="121">
        <f>2466+686</f>
        <v>3152</v>
      </c>
      <c r="BD73" s="54"/>
      <c r="BE73" s="54"/>
      <c r="BF73" s="54"/>
      <c r="BG73" s="54"/>
      <c r="BH73" s="54"/>
      <c r="BI73" s="54"/>
      <c r="BJ73" s="54"/>
      <c r="BK73" s="54"/>
      <c r="BL73" s="54"/>
      <c r="BM73" s="54"/>
    </row>
    <row r="74" spans="2:65">
      <c r="AV74" s="121">
        <f>1984+1096</f>
        <v>3080</v>
      </c>
      <c r="AW74" s="121">
        <f>1298+1096</f>
        <v>2394</v>
      </c>
      <c r="AX74" s="121">
        <f>612+1096</f>
        <v>1708</v>
      </c>
      <c r="AY74" s="121">
        <f>1096</f>
        <v>1096</v>
      </c>
      <c r="AZ74" s="121">
        <v>1096</v>
      </c>
      <c r="BA74" s="121">
        <v>1096</v>
      </c>
      <c r="BB74" s="121">
        <v>1096</v>
      </c>
      <c r="BC74" s="121">
        <v>1096</v>
      </c>
      <c r="BD74" s="54"/>
      <c r="BE74" s="54"/>
      <c r="BF74" s="54"/>
      <c r="BG74" s="54"/>
      <c r="BH74" s="54"/>
      <c r="BI74" s="54"/>
      <c r="BJ74" s="54"/>
      <c r="BK74" s="54"/>
    </row>
    <row r="75" spans="2:65">
      <c r="AV75" s="53">
        <v>0.6</v>
      </c>
      <c r="AW75" s="53">
        <v>0.6</v>
      </c>
      <c r="AX75" s="53">
        <v>0.6</v>
      </c>
      <c r="AY75" s="53">
        <v>0.6</v>
      </c>
      <c r="AZ75" s="53">
        <v>0.6</v>
      </c>
      <c r="BA75" s="53">
        <v>0.6</v>
      </c>
      <c r="BB75" s="53">
        <v>0.6</v>
      </c>
      <c r="BC75" s="53">
        <v>0.6</v>
      </c>
    </row>
    <row r="76" spans="2:65">
      <c r="AV76" s="102">
        <f t="shared" ref="AV76:BC76" si="21">(AV73+AV74)*AV75</f>
        <v>3352.7999999999997</v>
      </c>
      <c r="AW76" s="102">
        <f t="shared" si="21"/>
        <v>2996.4</v>
      </c>
      <c r="AX76" s="102">
        <f>(AX73+AX74)*AX75</f>
        <v>2640</v>
      </c>
      <c r="AY76" s="102">
        <f t="shared" si="21"/>
        <v>2328</v>
      </c>
      <c r="AZ76" s="102">
        <f t="shared" si="21"/>
        <v>2383.1999999999998</v>
      </c>
      <c r="BA76" s="102">
        <f t="shared" si="21"/>
        <v>2438.4</v>
      </c>
      <c r="BB76" s="102">
        <f t="shared" si="21"/>
        <v>2493.6</v>
      </c>
      <c r="BC76" s="102">
        <f t="shared" si="21"/>
        <v>2548.7999999999997</v>
      </c>
      <c r="BD76" s="118">
        <f>SUM(AV76:BC76)</f>
        <v>21181.200000000001</v>
      </c>
      <c r="BE76" s="53"/>
      <c r="BF76" s="54"/>
    </row>
    <row r="78" spans="2:65">
      <c r="AU78" t="s">
        <v>193</v>
      </c>
      <c r="AV78" s="121">
        <f>1672+712</f>
        <v>2384</v>
      </c>
      <c r="AW78" s="121">
        <f>1790+712</f>
        <v>2502</v>
      </c>
      <c r="AX78" s="121">
        <f>1908+712</f>
        <v>2620</v>
      </c>
      <c r="AY78" s="121">
        <f>2026+712</f>
        <v>2738</v>
      </c>
      <c r="AZ78" s="121">
        <f>2144+712</f>
        <v>2856</v>
      </c>
      <c r="BA78" s="121">
        <f>2262+712</f>
        <v>2974</v>
      </c>
      <c r="BB78" s="121">
        <f>2380+656</f>
        <v>3036</v>
      </c>
      <c r="BC78" s="121">
        <v>2442</v>
      </c>
    </row>
    <row r="79" spans="2:65">
      <c r="AV79" s="121">
        <f>4824+1130</f>
        <v>5954</v>
      </c>
      <c r="AW79" s="121">
        <f>4172+1130</f>
        <v>5302</v>
      </c>
      <c r="AX79" s="121">
        <f>3520+1130</f>
        <v>4650</v>
      </c>
      <c r="AY79" s="121">
        <f>2942+1130</f>
        <v>4072</v>
      </c>
      <c r="AZ79" s="121">
        <f>2976+1130</f>
        <v>4106</v>
      </c>
      <c r="BA79" s="121">
        <f>3010+1130</f>
        <v>4140</v>
      </c>
      <c r="BB79" s="121">
        <f>3044+1130</f>
        <v>4174</v>
      </c>
      <c r="BC79" s="121">
        <f>3078+1130</f>
        <v>4208</v>
      </c>
    </row>
    <row r="80" spans="2:65">
      <c r="AV80" s="53">
        <v>0.2</v>
      </c>
      <c r="AW80" s="53">
        <v>0.2</v>
      </c>
      <c r="AX80" s="53">
        <v>0.2</v>
      </c>
      <c r="AY80" s="53">
        <v>0.2</v>
      </c>
      <c r="AZ80" s="53">
        <v>0.2</v>
      </c>
      <c r="BA80" s="53">
        <v>0.2</v>
      </c>
      <c r="BB80" s="53">
        <v>0.2</v>
      </c>
      <c r="BC80" s="53">
        <v>0.2</v>
      </c>
    </row>
    <row r="81" spans="48:58">
      <c r="AV81" s="102">
        <f t="shared" ref="AV81:BC81" si="22">(AV78+AV79)*AV80</f>
        <v>1667.6000000000001</v>
      </c>
      <c r="AW81" s="102">
        <f t="shared" si="22"/>
        <v>1560.8000000000002</v>
      </c>
      <c r="AX81" s="102">
        <f>(AX78+AX79)*AX80</f>
        <v>1454</v>
      </c>
      <c r="AY81" s="102">
        <f t="shared" si="22"/>
        <v>1362</v>
      </c>
      <c r="AZ81" s="102">
        <f t="shared" si="22"/>
        <v>1392.4</v>
      </c>
      <c r="BA81" s="102">
        <f t="shared" si="22"/>
        <v>1422.8000000000002</v>
      </c>
      <c r="BB81" s="102">
        <f t="shared" si="22"/>
        <v>1442</v>
      </c>
      <c r="BC81" s="102">
        <f t="shared" si="22"/>
        <v>1330</v>
      </c>
      <c r="BD81" s="118">
        <f>SUM(AV81:BC81)</f>
        <v>11631.600000000002</v>
      </c>
      <c r="BE81" s="53">
        <v>11632</v>
      </c>
      <c r="BF81" s="54"/>
    </row>
    <row r="83" spans="48:58">
      <c r="AV83" s="54">
        <f>AV55+AV60+AV66+AV71+AV76+AV81</f>
        <v>14401.6</v>
      </c>
      <c r="AW83" s="54">
        <f>AW55+AW60+AW66+AW71+AW76+AW81</f>
        <v>14239.400000000001</v>
      </c>
      <c r="AX83" s="54">
        <f>AX55+AX60+AX66+AX71+AX76+AX81</f>
        <v>11791.199999999999</v>
      </c>
      <c r="AY83" s="54">
        <f>AY55+AY60+AY66+AY71+AY76+AY81</f>
        <v>10752.2</v>
      </c>
      <c r="AZ83" s="54">
        <f>AZ55+AZ60+AZ66+AZ71+AZ76+AZ81</f>
        <v>10256.800000000001</v>
      </c>
      <c r="BA83" s="54">
        <f>BA55+BA60+BA66+BA71+BA76+BA81</f>
        <v>12061</v>
      </c>
      <c r="BB83" s="54">
        <f>BB55+BB60+BB66+BB71+BB76+BB81</f>
        <v>11086.400000000001</v>
      </c>
      <c r="BC83" s="54">
        <f>BC55+BC60+BC66+BC71+BC76+BC81</f>
        <v>11798.599999999999</v>
      </c>
      <c r="BD83" s="54">
        <f>BD55+BD60+BD66+BD71+BD76+BD81</f>
        <v>96387.200000000012</v>
      </c>
    </row>
    <row r="86" spans="48:58">
      <c r="AV86" s="119">
        <v>14402</v>
      </c>
      <c r="AW86" s="119">
        <v>14239</v>
      </c>
      <c r="AX86" s="119">
        <v>11791</v>
      </c>
      <c r="AY86" s="119">
        <v>10752</v>
      </c>
      <c r="AZ86" s="119">
        <v>10257</v>
      </c>
      <c r="BA86" s="119">
        <v>12061</v>
      </c>
      <c r="BB86" s="119">
        <v>11086</v>
      </c>
      <c r="BC86" s="119">
        <v>11799</v>
      </c>
      <c r="BD86" s="120">
        <f>SUM(AV86:BC86)</f>
        <v>96387</v>
      </c>
    </row>
    <row r="87" spans="48:58">
      <c r="BD87" s="38"/>
    </row>
    <row r="90" spans="48:58">
      <c r="AV90" s="114">
        <v>103</v>
      </c>
    </row>
    <row r="91" spans="48:58">
      <c r="AV91" s="114">
        <v>29</v>
      </c>
    </row>
    <row r="92" spans="48:58">
      <c r="AV92" s="114">
        <v>115</v>
      </c>
    </row>
    <row r="93" spans="48:58">
      <c r="AV93" s="114">
        <v>158</v>
      </c>
    </row>
    <row r="94" spans="48:58">
      <c r="AV94">
        <f>SUM(AV90:AV93)</f>
        <v>405</v>
      </c>
      <c r="AW94" s="54">
        <f>AQ60/AV94</f>
        <v>-0.30251028806597774</v>
      </c>
    </row>
  </sheetData>
  <mergeCells count="2">
    <mergeCell ref="K2:S2"/>
    <mergeCell ref="V2:AB2"/>
  </mergeCells>
  <conditionalFormatting sqref="M13:M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43:AO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618A-E166-0445-83CC-C34161A9D6D3}">
  <dimension ref="D15:X77"/>
  <sheetViews>
    <sheetView tabSelected="1" topLeftCell="B40" workbookViewId="0">
      <selection activeCell="M69" sqref="M69:M70"/>
    </sheetView>
  </sheetViews>
  <sheetFormatPr baseColWidth="10" defaultRowHeight="16"/>
  <sheetData>
    <row r="15" spans="5:11">
      <c r="E15" s="70">
        <v>1800</v>
      </c>
      <c r="F15" s="70">
        <v>1900</v>
      </c>
      <c r="G15" s="71">
        <v>2700</v>
      </c>
      <c r="H15" s="70">
        <v>2800</v>
      </c>
      <c r="I15" s="70">
        <v>2900</v>
      </c>
      <c r="J15" s="72">
        <v>4028</v>
      </c>
      <c r="K15" s="129">
        <f>'DF Q7'!M24</f>
        <v>62.035000000000011</v>
      </c>
    </row>
    <row r="16" spans="5:11">
      <c r="E16" s="76">
        <f>E15*7</f>
        <v>12600</v>
      </c>
      <c r="F16" s="76">
        <f t="shared" ref="F16:J16" si="0">F15*7</f>
        <v>13300</v>
      </c>
      <c r="G16" s="76">
        <f t="shared" si="0"/>
        <v>18900</v>
      </c>
      <c r="H16" s="76">
        <f t="shared" si="0"/>
        <v>19600</v>
      </c>
      <c r="I16" s="76">
        <f t="shared" si="0"/>
        <v>20300</v>
      </c>
      <c r="J16" s="76">
        <f t="shared" si="0"/>
        <v>28196</v>
      </c>
      <c r="K16">
        <v>25290</v>
      </c>
    </row>
    <row r="17" spans="4:4">
      <c r="D17" t="s">
        <v>11</v>
      </c>
    </row>
    <row r="43" spans="6:24">
      <c r="G43" t="s">
        <v>249</v>
      </c>
      <c r="H43" t="s">
        <v>250</v>
      </c>
      <c r="I43" t="s">
        <v>251</v>
      </c>
    </row>
    <row r="44" spans="6:24">
      <c r="F44" s="7" t="s">
        <v>10</v>
      </c>
      <c r="G44">
        <v>1</v>
      </c>
      <c r="H44" t="s">
        <v>56</v>
      </c>
      <c r="I44" s="76">
        <f>Q46*7</f>
        <v>28700</v>
      </c>
    </row>
    <row r="45" spans="6:24">
      <c r="F45" s="7" t="s">
        <v>10</v>
      </c>
      <c r="G45">
        <v>2</v>
      </c>
      <c r="H45" t="s">
        <v>65</v>
      </c>
      <c r="I45" s="76">
        <f>R46*7</f>
        <v>25200</v>
      </c>
      <c r="Q45" s="24">
        <v>1</v>
      </c>
      <c r="R45" s="24">
        <v>2</v>
      </c>
      <c r="S45" s="69">
        <v>3</v>
      </c>
      <c r="T45" s="24">
        <v>4</v>
      </c>
      <c r="U45" s="24">
        <v>5</v>
      </c>
      <c r="V45" s="24">
        <v>6</v>
      </c>
      <c r="W45" s="24">
        <v>7</v>
      </c>
      <c r="X45" s="93">
        <v>1</v>
      </c>
    </row>
    <row r="46" spans="6:24">
      <c r="F46" s="7" t="s">
        <v>10</v>
      </c>
      <c r="G46">
        <v>3</v>
      </c>
      <c r="H46" t="s">
        <v>66</v>
      </c>
      <c r="I46" s="76">
        <f>S46*7</f>
        <v>46200</v>
      </c>
      <c r="P46" s="7" t="s">
        <v>10</v>
      </c>
      <c r="Q46" s="70">
        <v>4100</v>
      </c>
      <c r="R46" s="70">
        <v>3600</v>
      </c>
      <c r="S46" s="71">
        <v>6600</v>
      </c>
      <c r="T46" s="70">
        <v>6000</v>
      </c>
      <c r="U46" s="70">
        <v>5100</v>
      </c>
      <c r="V46" s="72">
        <v>8900</v>
      </c>
      <c r="W46" s="129">
        <v>7792</v>
      </c>
      <c r="X46" s="142">
        <v>0.14099999999999999</v>
      </c>
    </row>
    <row r="47" spans="6:24">
      <c r="F47" s="7" t="s">
        <v>10</v>
      </c>
      <c r="G47">
        <v>4</v>
      </c>
      <c r="H47" t="s">
        <v>56</v>
      </c>
      <c r="I47" s="76">
        <f>T46*7</f>
        <v>42000</v>
      </c>
      <c r="P47" s="7" t="s">
        <v>11</v>
      </c>
      <c r="Q47" s="70">
        <v>1800</v>
      </c>
      <c r="R47" s="70">
        <v>1900</v>
      </c>
      <c r="S47" s="71">
        <v>2700</v>
      </c>
      <c r="T47" s="70">
        <v>2800</v>
      </c>
      <c r="U47" s="70">
        <v>2900</v>
      </c>
      <c r="V47" s="72">
        <v>4028</v>
      </c>
      <c r="W47" s="129">
        <v>3948</v>
      </c>
      <c r="X47" s="142">
        <v>0.14099999999999999</v>
      </c>
    </row>
    <row r="48" spans="6:24">
      <c r="F48" s="7" t="s">
        <v>10</v>
      </c>
      <c r="G48">
        <v>5</v>
      </c>
      <c r="H48" t="s">
        <v>65</v>
      </c>
      <c r="I48" s="76">
        <f>U46*7</f>
        <v>35700</v>
      </c>
      <c r="P48" s="7" t="s">
        <v>12</v>
      </c>
      <c r="Q48" s="70">
        <v>700</v>
      </c>
      <c r="R48" s="70">
        <v>1200</v>
      </c>
      <c r="S48" s="71">
        <v>2600</v>
      </c>
      <c r="T48" s="70">
        <v>2700</v>
      </c>
      <c r="U48" s="70">
        <v>2700</v>
      </c>
      <c r="V48" s="72">
        <v>4400</v>
      </c>
      <c r="W48" s="129">
        <v>3868</v>
      </c>
      <c r="X48" s="142">
        <v>0.14299999999999999</v>
      </c>
    </row>
    <row r="49" spans="6:24">
      <c r="F49" s="7" t="s">
        <v>10</v>
      </c>
      <c r="G49">
        <v>6</v>
      </c>
      <c r="H49" t="s">
        <v>66</v>
      </c>
      <c r="I49" s="76">
        <f>V46*7</f>
        <v>62300</v>
      </c>
      <c r="P49" s="7" t="s">
        <v>13</v>
      </c>
      <c r="Q49" s="59"/>
      <c r="R49" s="59"/>
      <c r="S49" s="73"/>
      <c r="T49" s="59"/>
      <c r="U49" s="59"/>
      <c r="V49" s="73"/>
      <c r="W49" s="129">
        <v>788</v>
      </c>
      <c r="X49" s="142">
        <v>0.13400000000000001</v>
      </c>
    </row>
    <row r="50" spans="6:24">
      <c r="F50" s="7" t="s">
        <v>10</v>
      </c>
      <c r="G50">
        <v>7</v>
      </c>
      <c r="H50" t="s">
        <v>56</v>
      </c>
      <c r="I50" s="76">
        <f>(W46*$X$45)/X46</f>
        <v>55262.411347517736</v>
      </c>
      <c r="P50" s="7" t="s">
        <v>14</v>
      </c>
      <c r="Q50" s="59"/>
      <c r="R50" s="59"/>
      <c r="S50" s="73"/>
      <c r="T50" s="59"/>
      <c r="U50" s="59"/>
      <c r="V50" s="73"/>
      <c r="W50" s="129">
        <v>684</v>
      </c>
      <c r="X50" s="142">
        <v>0.153</v>
      </c>
    </row>
    <row r="51" spans="6:24">
      <c r="F51" s="7" t="s">
        <v>11</v>
      </c>
      <c r="G51">
        <v>1</v>
      </c>
      <c r="H51" t="s">
        <v>56</v>
      </c>
      <c r="I51" s="76">
        <f>Q47*7</f>
        <v>12600</v>
      </c>
    </row>
    <row r="52" spans="6:24">
      <c r="F52" s="7" t="s">
        <v>11</v>
      </c>
      <c r="G52">
        <v>2</v>
      </c>
      <c r="H52" t="s">
        <v>65</v>
      </c>
      <c r="I52" s="76">
        <f>R47*7</f>
        <v>13300</v>
      </c>
    </row>
    <row r="53" spans="6:24">
      <c r="F53" s="7" t="s">
        <v>11</v>
      </c>
      <c r="G53">
        <v>3</v>
      </c>
      <c r="H53" t="s">
        <v>66</v>
      </c>
      <c r="I53" s="76">
        <f>S47*7</f>
        <v>18900</v>
      </c>
    </row>
    <row r="54" spans="6:24">
      <c r="F54" s="7" t="s">
        <v>11</v>
      </c>
      <c r="G54">
        <v>4</v>
      </c>
      <c r="H54" t="s">
        <v>56</v>
      </c>
      <c r="I54" s="76">
        <f>T47*7</f>
        <v>19600</v>
      </c>
    </row>
    <row r="55" spans="6:24">
      <c r="F55" s="7" t="s">
        <v>11</v>
      </c>
      <c r="G55">
        <v>5</v>
      </c>
      <c r="H55" t="s">
        <v>65</v>
      </c>
      <c r="I55" s="76">
        <f>U47*7</f>
        <v>20300</v>
      </c>
    </row>
    <row r="56" spans="6:24">
      <c r="F56" s="7" t="s">
        <v>11</v>
      </c>
      <c r="G56">
        <v>6</v>
      </c>
      <c r="H56" t="s">
        <v>66</v>
      </c>
      <c r="I56" s="76">
        <f>V47*7</f>
        <v>28196</v>
      </c>
    </row>
    <row r="57" spans="6:24">
      <c r="F57" s="7" t="s">
        <v>11</v>
      </c>
      <c r="G57">
        <v>7</v>
      </c>
      <c r="H57" t="s">
        <v>56</v>
      </c>
      <c r="I57" s="76">
        <f>(W47*$X$45)/X47</f>
        <v>28000.000000000004</v>
      </c>
    </row>
    <row r="58" spans="6:24">
      <c r="F58" s="7" t="s">
        <v>12</v>
      </c>
      <c r="G58">
        <v>1</v>
      </c>
      <c r="H58" t="s">
        <v>56</v>
      </c>
      <c r="I58" s="76">
        <f>Q48*7</f>
        <v>4900</v>
      </c>
    </row>
    <row r="59" spans="6:24">
      <c r="F59" s="7" t="s">
        <v>12</v>
      </c>
      <c r="G59">
        <v>2</v>
      </c>
      <c r="H59" t="s">
        <v>65</v>
      </c>
      <c r="I59" s="76">
        <f>R48*7</f>
        <v>8400</v>
      </c>
    </row>
    <row r="60" spans="6:24">
      <c r="F60" s="7" t="s">
        <v>12</v>
      </c>
      <c r="G60">
        <v>3</v>
      </c>
      <c r="H60" t="s">
        <v>66</v>
      </c>
      <c r="I60" s="76">
        <f>S48*7</f>
        <v>18200</v>
      </c>
    </row>
    <row r="61" spans="6:24">
      <c r="F61" s="7" t="s">
        <v>12</v>
      </c>
      <c r="G61">
        <v>4</v>
      </c>
      <c r="H61" t="s">
        <v>56</v>
      </c>
      <c r="I61" s="76">
        <f>T48*7</f>
        <v>18900</v>
      </c>
    </row>
    <row r="62" spans="6:24">
      <c r="F62" s="7" t="s">
        <v>12</v>
      </c>
      <c r="G62">
        <v>5</v>
      </c>
      <c r="H62" t="s">
        <v>65</v>
      </c>
      <c r="I62" s="76">
        <f>U48*8</f>
        <v>21600</v>
      </c>
    </row>
    <row r="63" spans="6:24">
      <c r="F63" s="7" t="s">
        <v>12</v>
      </c>
      <c r="G63">
        <v>6</v>
      </c>
      <c r="H63" t="s">
        <v>66</v>
      </c>
      <c r="I63" s="76">
        <f>V48*7</f>
        <v>30800</v>
      </c>
    </row>
    <row r="64" spans="6:24">
      <c r="F64" s="7" t="s">
        <v>12</v>
      </c>
      <c r="G64">
        <v>7</v>
      </c>
      <c r="H64" t="s">
        <v>56</v>
      </c>
      <c r="I64" s="76">
        <f>(W48*$X$45)/X48</f>
        <v>27048.95104895105</v>
      </c>
    </row>
    <row r="65" spans="6:9">
      <c r="F65" s="7" t="s">
        <v>13</v>
      </c>
      <c r="G65">
        <v>7</v>
      </c>
      <c r="H65" t="s">
        <v>56</v>
      </c>
      <c r="I65" s="76">
        <f>(W49*$X$45)/X49</f>
        <v>5880.5970149253726</v>
      </c>
    </row>
    <row r="66" spans="6:9">
      <c r="F66" s="7" t="s">
        <v>14</v>
      </c>
      <c r="G66">
        <v>7</v>
      </c>
      <c r="H66" t="s">
        <v>56</v>
      </c>
      <c r="I66" s="76">
        <f>(W50*$X$45)/X50</f>
        <v>4470.588235294118</v>
      </c>
    </row>
    <row r="67" spans="6:9">
      <c r="F67" s="7"/>
    </row>
    <row r="68" spans="6:9">
      <c r="F68" s="7"/>
    </row>
    <row r="69" spans="6:9">
      <c r="F69" s="7"/>
    </row>
    <row r="70" spans="6:9">
      <c r="F70" s="7"/>
    </row>
    <row r="71" spans="6:9">
      <c r="F71" s="7"/>
    </row>
    <row r="72" spans="6:9">
      <c r="F72" s="7"/>
    </row>
    <row r="73" spans="6:9">
      <c r="F73" s="7"/>
    </row>
    <row r="74" spans="6:9">
      <c r="F74" s="7"/>
    </row>
    <row r="75" spans="6:9">
      <c r="F75" s="7"/>
    </row>
    <row r="76" spans="6:9">
      <c r="F76" s="7"/>
    </row>
    <row r="77" spans="6:9">
      <c r="F77" s="7"/>
    </row>
  </sheetData>
  <conditionalFormatting sqref="X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EXHIBITS</vt:lpstr>
      <vt:lpstr>FEATURES</vt:lpstr>
      <vt:lpstr>REPORT</vt:lpstr>
      <vt:lpstr>DF Q7</vt:lpstr>
      <vt:lpstr>REPORT 8</vt:lpstr>
      <vt:lpstr>DF Q8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Viridiana Esquivel Cavazos</dc:creator>
  <cp:lastModifiedBy>Alejandra Viridiana Esquivel Cavazos</cp:lastModifiedBy>
  <dcterms:created xsi:type="dcterms:W3CDTF">2026-01-19T15:08:32Z</dcterms:created>
  <dcterms:modified xsi:type="dcterms:W3CDTF">2026-01-20T18:34:34Z</dcterms:modified>
</cp:coreProperties>
</file>