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Marketing/"/>
    </mc:Choice>
  </mc:AlternateContent>
  <xr:revisionPtr revIDLastSave="6" documentId="8_{9D71A1DC-30E0-4944-9368-052DCF0EDF89}" xr6:coauthVersionLast="47" xr6:coauthVersionMax="47" xr10:uidLastSave="{7397D477-7F39-455A-9F6C-663F3611141E}"/>
  <bookViews>
    <workbookView xWindow="-108" yWindow="-108" windowWidth="23256" windowHeight="12456" xr2:uid="{DD248430-E1E1-4301-A005-AFE5B8A20DF6}"/>
  </bookViews>
  <sheets>
    <sheet name="ForecastOutput" sheetId="1" r:id="rId1"/>
  </sheets>
  <calcPr calcId="0"/>
</workbook>
</file>

<file path=xl/calcChain.xml><?xml version="1.0" encoding="utf-8"?>
<calcChain xmlns="http://schemas.openxmlformats.org/spreadsheetml/2006/main">
  <c r="I24" i="1" l="1"/>
  <c r="I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<sst xmlns="http://schemas.openxmlformats.org/spreadsheetml/2006/main" count="99" uniqueCount="38">
  <si>
    <t>Region</t>
  </si>
  <si>
    <t>Model</t>
  </si>
  <si>
    <t>Period</t>
  </si>
  <si>
    <t>Season</t>
  </si>
  <si>
    <t>Forecast_Sales</t>
  </si>
  <si>
    <t>ColdStart_Forecast</t>
  </si>
  <si>
    <t>Forecast_Sales_Final</t>
  </si>
  <si>
    <t>Center</t>
  </si>
  <si>
    <t>holt_winters</t>
  </si>
  <si>
    <t>C</t>
  </si>
  <si>
    <t>71293.86149317175</t>
  </si>
  <si>
    <t>A</t>
  </si>
  <si>
    <t>62518.86566167048</t>
  </si>
  <si>
    <t>B</t>
  </si>
  <si>
    <t>48542.536915063094</t>
  </si>
  <si>
    <t>83591.30915120021</t>
  </si>
  <si>
    <t>East</t>
  </si>
  <si>
    <t>11474.673606787885</t>
  </si>
  <si>
    <t>16013.397307529814</t>
  </si>
  <si>
    <t>15392.439489715878</t>
  </si>
  <si>
    <t>20824.885683643923</t>
  </si>
  <si>
    <t>North</t>
  </si>
  <si>
    <t>ridge_season_trend</t>
  </si>
  <si>
    <t>40198.965083501724</t>
  </si>
  <si>
    <t>40058.109889678526</t>
  </si>
  <si>
    <t>43845.786958633755</t>
  </si>
  <si>
    <t>51534.943060964404</t>
  </si>
  <si>
    <t>South</t>
  </si>
  <si>
    <t>8489.404444506916</t>
  </si>
  <si>
    <t>11847.32663714116</t>
  </si>
  <si>
    <t>11387.918183441652</t>
  </si>
  <si>
    <t>15407.050617500257</t>
  </si>
  <si>
    <t>West</t>
  </si>
  <si>
    <t>35233.405740528135</t>
  </si>
  <si>
    <t>36540.06176808267</t>
  </si>
  <si>
    <t>38384.712514351326</t>
  </si>
  <si>
    <t>Our sales</t>
  </si>
  <si>
    <t>por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</si>
</sst>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51E8-42EB-40C8-A800-E58BFD210842}">
  <dimension ref="A1:I24"/>
  <sheetViews>
    <sheetView tabSelected="1" workbookViewId="0">
      <selection activeCell="H25" sqref="H2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36</v>
      </c>
    </row>
    <row r="2" spans="1:9" x14ac:dyDescent="0.3">
      <c r="A2" t="s">
        <v>7</v>
      </c>
      <c r="B2" t="s">
        <v>8</v>
      </c>
      <c r="C2">
        <v>9</v>
      </c>
      <c r="D2" t="s">
        <v>9</v>
      </c>
      <c r="E2" s="1" t="s">
        <v>10</v>
      </c>
      <c r="G2" s="1" t="s">
        <v>10</v>
      </c>
      <c r="I2">
        <f>G2*0.14</f>
        <v>9981.1406090440396</v>
      </c>
    </row>
    <row r="3" spans="1:9" x14ac:dyDescent="0.3">
      <c r="A3" t="s">
        <v>7</v>
      </c>
      <c r="B3" t="s">
        <v>8</v>
      </c>
      <c r="C3">
        <v>10</v>
      </c>
      <c r="D3" t="s">
        <v>11</v>
      </c>
      <c r="E3" s="1" t="s">
        <v>12</v>
      </c>
      <c r="G3" s="1" t="s">
        <v>12</v>
      </c>
      <c r="I3">
        <f t="shared" ref="I3:I21" si="0">G3*0.14</f>
        <v>8752.6411926338569</v>
      </c>
    </row>
    <row r="4" spans="1:9" x14ac:dyDescent="0.3">
      <c r="A4" t="s">
        <v>7</v>
      </c>
      <c r="B4" t="s">
        <v>8</v>
      </c>
      <c r="C4">
        <v>11</v>
      </c>
      <c r="D4" t="s">
        <v>13</v>
      </c>
      <c r="E4" s="1" t="s">
        <v>14</v>
      </c>
      <c r="G4" s="1" t="s">
        <v>14</v>
      </c>
      <c r="I4">
        <f t="shared" si="0"/>
        <v>6795.9551681088205</v>
      </c>
    </row>
    <row r="5" spans="1:9" x14ac:dyDescent="0.3">
      <c r="A5" t="s">
        <v>7</v>
      </c>
      <c r="B5" t="s">
        <v>8</v>
      </c>
      <c r="C5">
        <v>12</v>
      </c>
      <c r="D5" t="s">
        <v>9</v>
      </c>
      <c r="E5" s="1" t="s">
        <v>15</v>
      </c>
      <c r="G5" s="1" t="s">
        <v>15</v>
      </c>
      <c r="I5">
        <f t="shared" si="0"/>
        <v>11702.783281168029</v>
      </c>
    </row>
    <row r="6" spans="1:9" x14ac:dyDescent="0.3">
      <c r="A6" t="s">
        <v>16</v>
      </c>
      <c r="C6">
        <v>9</v>
      </c>
      <c r="D6" t="s">
        <v>9</v>
      </c>
      <c r="E6">
        <v>7922</v>
      </c>
      <c r="F6" s="1" t="s">
        <v>17</v>
      </c>
      <c r="G6" s="1" t="s">
        <v>17</v>
      </c>
      <c r="I6">
        <f t="shared" si="0"/>
        <v>1606.454304950292</v>
      </c>
    </row>
    <row r="7" spans="1:9" x14ac:dyDescent="0.3">
      <c r="A7" t="s">
        <v>16</v>
      </c>
      <c r="C7">
        <v>10</v>
      </c>
      <c r="D7" t="s">
        <v>11</v>
      </c>
      <c r="E7">
        <v>7922</v>
      </c>
      <c r="F7" s="1" t="s">
        <v>18</v>
      </c>
      <c r="G7" s="1" t="s">
        <v>18</v>
      </c>
      <c r="I7">
        <f t="shared" si="0"/>
        <v>2241.8756230541721</v>
      </c>
    </row>
    <row r="8" spans="1:9" x14ac:dyDescent="0.3">
      <c r="A8" t="s">
        <v>16</v>
      </c>
      <c r="C8">
        <v>11</v>
      </c>
      <c r="D8" t="s">
        <v>13</v>
      </c>
      <c r="E8">
        <v>7922</v>
      </c>
      <c r="F8" s="1" t="s">
        <v>19</v>
      </c>
      <c r="G8" s="1" t="s">
        <v>19</v>
      </c>
      <c r="I8">
        <f t="shared" si="0"/>
        <v>2154.9415285602122</v>
      </c>
    </row>
    <row r="9" spans="1:9" x14ac:dyDescent="0.3">
      <c r="A9" t="s">
        <v>16</v>
      </c>
      <c r="C9">
        <v>12</v>
      </c>
      <c r="D9" t="s">
        <v>9</v>
      </c>
      <c r="E9">
        <v>7922</v>
      </c>
      <c r="F9" s="1" t="s">
        <v>20</v>
      </c>
      <c r="G9" s="1" t="s">
        <v>20</v>
      </c>
      <c r="I9">
        <f t="shared" si="0"/>
        <v>2915.4839957101462</v>
      </c>
    </row>
    <row r="10" spans="1:9" x14ac:dyDescent="0.3">
      <c r="A10" t="s">
        <v>21</v>
      </c>
      <c r="B10" t="s">
        <v>22</v>
      </c>
      <c r="C10">
        <v>9</v>
      </c>
      <c r="D10" t="s">
        <v>9</v>
      </c>
      <c r="E10" s="1" t="s">
        <v>23</v>
      </c>
      <c r="G10" s="1" t="s">
        <v>23</v>
      </c>
      <c r="I10">
        <f t="shared" si="0"/>
        <v>5627.855111690239</v>
      </c>
    </row>
    <row r="11" spans="1:9" x14ac:dyDescent="0.3">
      <c r="A11" t="s">
        <v>21</v>
      </c>
      <c r="B11" t="s">
        <v>22</v>
      </c>
      <c r="C11">
        <v>10</v>
      </c>
      <c r="D11" t="s">
        <v>11</v>
      </c>
      <c r="E11" s="1" t="s">
        <v>24</v>
      </c>
      <c r="G11" s="1" t="s">
        <v>24</v>
      </c>
      <c r="I11">
        <f t="shared" si="0"/>
        <v>5608.1353845549902</v>
      </c>
    </row>
    <row r="12" spans="1:9" x14ac:dyDescent="0.3">
      <c r="A12" t="s">
        <v>21</v>
      </c>
      <c r="B12" t="s">
        <v>22</v>
      </c>
      <c r="C12">
        <v>11</v>
      </c>
      <c r="D12" t="s">
        <v>13</v>
      </c>
      <c r="E12" s="1" t="s">
        <v>25</v>
      </c>
      <c r="G12" s="1" t="s">
        <v>25</v>
      </c>
      <c r="I12">
        <f t="shared" si="0"/>
        <v>6138.4101742087178</v>
      </c>
    </row>
    <row r="13" spans="1:9" x14ac:dyDescent="0.3">
      <c r="A13" t="s">
        <v>21</v>
      </c>
      <c r="B13" t="s">
        <v>22</v>
      </c>
      <c r="C13">
        <v>12</v>
      </c>
      <c r="D13" t="s">
        <v>9</v>
      </c>
      <c r="E13" s="1" t="s">
        <v>26</v>
      </c>
      <c r="G13" s="1" t="s">
        <v>26</v>
      </c>
      <c r="I13">
        <f t="shared" si="0"/>
        <v>7214.8920285350159</v>
      </c>
    </row>
    <row r="14" spans="1:9" x14ac:dyDescent="0.3">
      <c r="A14" t="s">
        <v>27</v>
      </c>
      <c r="C14">
        <v>9</v>
      </c>
      <c r="D14" t="s">
        <v>9</v>
      </c>
      <c r="E14">
        <v>5861</v>
      </c>
      <c r="F14" s="1" t="s">
        <v>28</v>
      </c>
      <c r="G14" s="1" t="s">
        <v>28</v>
      </c>
      <c r="I14">
        <f t="shared" si="0"/>
        <v>1188.5166222309676</v>
      </c>
    </row>
    <row r="15" spans="1:9" x14ac:dyDescent="0.3">
      <c r="A15" t="s">
        <v>27</v>
      </c>
      <c r="C15">
        <v>10</v>
      </c>
      <c r="D15" t="s">
        <v>11</v>
      </c>
      <c r="E15">
        <v>5861</v>
      </c>
      <c r="F15" s="1" t="s">
        <v>29</v>
      </c>
      <c r="G15" s="1" t="s">
        <v>29</v>
      </c>
      <c r="I15">
        <f t="shared" si="0"/>
        <v>1658.625729199754</v>
      </c>
    </row>
    <row r="16" spans="1:9" x14ac:dyDescent="0.3">
      <c r="A16" t="s">
        <v>27</v>
      </c>
      <c r="C16">
        <v>11</v>
      </c>
      <c r="D16" t="s">
        <v>13</v>
      </c>
      <c r="E16">
        <v>5861</v>
      </c>
      <c r="F16" s="1" t="s">
        <v>30</v>
      </c>
      <c r="G16" s="1" t="s">
        <v>30</v>
      </c>
      <c r="I16">
        <f t="shared" si="0"/>
        <v>1594.3085456818242</v>
      </c>
    </row>
    <row r="17" spans="1:9" x14ac:dyDescent="0.3">
      <c r="A17" t="s">
        <v>27</v>
      </c>
      <c r="C17">
        <v>12</v>
      </c>
      <c r="D17" t="s">
        <v>9</v>
      </c>
      <c r="E17">
        <v>5861</v>
      </c>
      <c r="F17" s="1" t="s">
        <v>31</v>
      </c>
      <c r="G17" s="1" t="s">
        <v>31</v>
      </c>
      <c r="I17">
        <f t="shared" si="0"/>
        <v>2156.9870864500281</v>
      </c>
    </row>
    <row r="18" spans="1:9" x14ac:dyDescent="0.3">
      <c r="A18" t="s">
        <v>32</v>
      </c>
      <c r="B18" t="s">
        <v>22</v>
      </c>
      <c r="C18">
        <v>9</v>
      </c>
      <c r="D18" t="s">
        <v>9</v>
      </c>
      <c r="E18" s="1" t="s">
        <v>33</v>
      </c>
      <c r="G18" s="1" t="s">
        <v>33</v>
      </c>
      <c r="I18">
        <f t="shared" si="0"/>
        <v>4932.676803673934</v>
      </c>
    </row>
    <row r="19" spans="1:9" x14ac:dyDescent="0.3">
      <c r="A19" t="s">
        <v>32</v>
      </c>
      <c r="B19" t="s">
        <v>22</v>
      </c>
      <c r="C19">
        <v>10</v>
      </c>
      <c r="D19" t="s">
        <v>11</v>
      </c>
      <c r="E19" s="1" t="s">
        <v>34</v>
      </c>
      <c r="G19" s="1" t="s">
        <v>34</v>
      </c>
      <c r="I19">
        <f t="shared" si="0"/>
        <v>5115.6086475315651</v>
      </c>
    </row>
    <row r="20" spans="1:9" x14ac:dyDescent="0.3">
      <c r="A20" t="s">
        <v>32</v>
      </c>
      <c r="B20" t="s">
        <v>22</v>
      </c>
      <c r="C20">
        <v>11</v>
      </c>
      <c r="D20" t="s">
        <v>13</v>
      </c>
      <c r="E20" s="1" t="s">
        <v>35</v>
      </c>
      <c r="G20" s="1" t="s">
        <v>35</v>
      </c>
      <c r="I20">
        <f t="shared" si="0"/>
        <v>5373.8597520091816</v>
      </c>
    </row>
    <row r="21" spans="1:9" x14ac:dyDescent="0.3">
      <c r="A21" t="s">
        <v>32</v>
      </c>
      <c r="B21" t="s">
        <v>22</v>
      </c>
      <c r="C21">
        <v>12</v>
      </c>
      <c r="D21" t="s">
        <v>9</v>
      </c>
      <c r="E21">
        <v>43440.214695752002</v>
      </c>
      <c r="G21">
        <v>43440.214695752002</v>
      </c>
      <c r="I21">
        <f t="shared" si="0"/>
        <v>6081.6300574052811</v>
      </c>
    </row>
    <row r="22" spans="1:9" x14ac:dyDescent="0.3">
      <c r="I22">
        <f>+SUM(I2:I21)</f>
        <v>98842.781646401068</v>
      </c>
    </row>
    <row r="24" spans="1:9" x14ac:dyDescent="0.3">
      <c r="H24" t="s">
        <v>37</v>
      </c>
      <c r="I24">
        <f>+I22/4</f>
        <v>24710.695411600267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ForecastOutput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Daniel Quiroga Villalobos</cp:lastModifiedBy>
  <dcterms:created xsi:type="dcterms:W3CDTF">2026-01-21T14:50:07Z</dcterms:created>
  <dcterms:modified xsi:type="dcterms:W3CDTF">2026-01-21T14:51:44Z</dcterms:modified>
</cp:coreProperties>
</file>