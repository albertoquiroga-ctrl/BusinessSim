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Marketing/"/>
    </mc:Choice>
  </mc:AlternateContent>
  <xr:revisionPtr revIDLastSave="21" documentId="8_{9D71A1DC-30E0-4944-9368-052DCF0EDF89}" xr6:coauthVersionLast="47" xr6:coauthVersionMax="47" xr10:uidLastSave="{D899DBD1-F3B6-4653-B944-BB8731D1A0F2}"/>
  <bookViews>
    <workbookView xWindow="-108" yWindow="-108" windowWidth="23256" windowHeight="12456" xr2:uid="{DD248430-E1E1-4301-A005-AFE5B8A20DF6}"/>
  </bookViews>
  <sheets>
    <sheet name="ForecastOutpu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1" l="1"/>
  <c r="O28" i="1"/>
  <c r="N28" i="1"/>
  <c r="O26" i="1"/>
  <c r="N26" i="1"/>
  <c r="K2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I22" i="1" s="1"/>
  <c r="I24" i="1" s="1"/>
</calcChain>
</file>

<file path=xl/sharedStrings.xml><?xml version="1.0" encoding="utf-8"?>
<sst xmlns="http://schemas.openxmlformats.org/spreadsheetml/2006/main" count="100" uniqueCount="39">
  <si>
    <t>Region</t>
  </si>
  <si>
    <t>Model</t>
  </si>
  <si>
    <t>Period</t>
  </si>
  <si>
    <t>Season</t>
  </si>
  <si>
    <t>Forecast_Sales</t>
  </si>
  <si>
    <t>ColdStart_Forecast</t>
  </si>
  <si>
    <t>Forecast_Sales_Final</t>
  </si>
  <si>
    <t>Center</t>
  </si>
  <si>
    <t>holt_winters</t>
  </si>
  <si>
    <t>C</t>
  </si>
  <si>
    <t>71293.86149317175</t>
  </si>
  <si>
    <t>A</t>
  </si>
  <si>
    <t>62518.86566167048</t>
  </si>
  <si>
    <t>B</t>
  </si>
  <si>
    <t>48542.536915063094</t>
  </si>
  <si>
    <t>83591.30915120021</t>
  </si>
  <si>
    <t>East</t>
  </si>
  <si>
    <t>11474.673606787885</t>
  </si>
  <si>
    <t>16013.397307529814</t>
  </si>
  <si>
    <t>15392.439489715878</t>
  </si>
  <si>
    <t>20824.885683643923</t>
  </si>
  <si>
    <t>North</t>
  </si>
  <si>
    <t>ridge_season_trend</t>
  </si>
  <si>
    <t>40198.965083501724</t>
  </si>
  <si>
    <t>40058.109889678526</t>
  </si>
  <si>
    <t>43845.786958633755</t>
  </si>
  <si>
    <t>51534.943060964404</t>
  </si>
  <si>
    <t>South</t>
  </si>
  <si>
    <t>8489.404444506916</t>
  </si>
  <si>
    <t>11847.32663714116</t>
  </si>
  <si>
    <t>11387.918183441652</t>
  </si>
  <si>
    <t>15407.050617500257</t>
  </si>
  <si>
    <t>West</t>
  </si>
  <si>
    <t>35233.405740528135</t>
  </si>
  <si>
    <t>36540.06176808267</t>
  </si>
  <si>
    <t>38384.712514351326</t>
  </si>
  <si>
    <t>Our sales</t>
  </si>
  <si>
    <t>por periodo</t>
  </si>
  <si>
    <t>Columna1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</si>
</sst>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quotePrefix="1"/>
    <xf numFmtId="2" fontId="0" fillId="0" borderId="0" xfId="42" applyNumberFormat="1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2E54D6-0C6E-41CE-96A6-82D6407B52C3}" name="Tabla1" displayName="Tabla1" ref="A1:I21" totalsRowShown="0">
  <autoFilter ref="A1:I21" xr:uid="{2E2E54D6-0C6E-41CE-96A6-82D6407B52C3}">
    <filterColumn colId="2">
      <filters>
        <filter val="9"/>
      </filters>
    </filterColumn>
  </autoFilter>
  <tableColumns count="9">
    <tableColumn id="1" xr3:uid="{497CDC21-2362-4948-907E-F29A27EFA145}" name="Region"/>
    <tableColumn id="2" xr3:uid="{C3488C69-6D66-4132-94E9-A7C88B527A63}" name="Model"/>
    <tableColumn id="3" xr3:uid="{9D78044A-A094-408F-89F3-D7A672C6AF63}" name="Period"/>
    <tableColumn id="4" xr3:uid="{FA41B3A6-6685-4788-AA86-530B6C5D0EA7}" name="Season"/>
    <tableColumn id="5" xr3:uid="{37863176-1944-4D07-BB7B-3735C15C6D08}" name="Forecast_Sales"/>
    <tableColumn id="6" xr3:uid="{FD8C1791-2C8E-4D43-86C8-A6509E7522C7}" name="ColdStart_Forecast"/>
    <tableColumn id="7" xr3:uid="{08AC0726-044E-4FEA-A328-6555272A568B}" name="Forecast_Sales_Final"/>
    <tableColumn id="8" xr3:uid="{74CDCECD-5236-4EA3-8597-9714A52814E0}" name="Columna1"/>
    <tableColumn id="9" xr3:uid="{7C59A30C-9CDC-41B7-9EFA-E796268ABC50}" name="Our sales">
      <calculatedColumnFormula>G2*0.14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A51E8-42EB-40C8-A800-E58BFD210842}">
  <dimension ref="A1:R28"/>
  <sheetViews>
    <sheetView tabSelected="1" workbookViewId="0">
      <selection activeCell="R27" sqref="R27"/>
    </sheetView>
  </sheetViews>
  <sheetFormatPr baseColWidth="10" defaultRowHeight="14.4" x14ac:dyDescent="0.3"/>
  <cols>
    <col min="2" max="2" width="0" hidden="1" customWidth="1"/>
    <col min="4" max="4" width="0" hidden="1" customWidth="1"/>
    <col min="5" max="5" width="15.109375" hidden="1" customWidth="1"/>
    <col min="6" max="6" width="18.21875" hidden="1" customWidth="1"/>
    <col min="7" max="7" width="19.77734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38</v>
      </c>
      <c r="I1" t="s">
        <v>36</v>
      </c>
    </row>
    <row r="2" spans="1:9" x14ac:dyDescent="0.3">
      <c r="A2" t="s">
        <v>7</v>
      </c>
      <c r="B2" t="s">
        <v>8</v>
      </c>
      <c r="C2">
        <v>9</v>
      </c>
      <c r="D2" t="s">
        <v>9</v>
      </c>
      <c r="E2" s="1" t="s">
        <v>10</v>
      </c>
      <c r="G2" s="1" t="s">
        <v>10</v>
      </c>
      <c r="I2">
        <f>G2*0.14</f>
        <v>9981.1406090440396</v>
      </c>
    </row>
    <row r="3" spans="1:9" hidden="1" x14ac:dyDescent="0.3">
      <c r="A3" t="s">
        <v>7</v>
      </c>
      <c r="B3" t="s">
        <v>8</v>
      </c>
      <c r="C3">
        <v>10</v>
      </c>
      <c r="D3" t="s">
        <v>11</v>
      </c>
      <c r="E3" s="1" t="s">
        <v>12</v>
      </c>
      <c r="G3" s="1" t="s">
        <v>12</v>
      </c>
      <c r="I3">
        <f t="shared" ref="I3:I21" si="0">G3*0.14</f>
        <v>8752.6411926338569</v>
      </c>
    </row>
    <row r="4" spans="1:9" hidden="1" x14ac:dyDescent="0.3">
      <c r="A4" t="s">
        <v>7</v>
      </c>
      <c r="B4" t="s">
        <v>8</v>
      </c>
      <c r="C4">
        <v>11</v>
      </c>
      <c r="D4" t="s">
        <v>13</v>
      </c>
      <c r="E4" s="1" t="s">
        <v>14</v>
      </c>
      <c r="G4" s="1" t="s">
        <v>14</v>
      </c>
      <c r="I4">
        <f t="shared" si="0"/>
        <v>6795.9551681088205</v>
      </c>
    </row>
    <row r="5" spans="1:9" hidden="1" x14ac:dyDescent="0.3">
      <c r="A5" t="s">
        <v>7</v>
      </c>
      <c r="B5" t="s">
        <v>8</v>
      </c>
      <c r="C5">
        <v>12</v>
      </c>
      <c r="D5" t="s">
        <v>9</v>
      </c>
      <c r="E5" s="1" t="s">
        <v>15</v>
      </c>
      <c r="G5" s="1" t="s">
        <v>15</v>
      </c>
      <c r="I5">
        <f t="shared" si="0"/>
        <v>11702.783281168029</v>
      </c>
    </row>
    <row r="6" spans="1:9" x14ac:dyDescent="0.3">
      <c r="A6" t="s">
        <v>16</v>
      </c>
      <c r="C6">
        <v>9</v>
      </c>
      <c r="D6" t="s">
        <v>9</v>
      </c>
      <c r="E6">
        <v>7922</v>
      </c>
      <c r="F6" s="1" t="s">
        <v>17</v>
      </c>
      <c r="G6" s="1" t="s">
        <v>17</v>
      </c>
      <c r="I6">
        <f t="shared" si="0"/>
        <v>1606.454304950292</v>
      </c>
    </row>
    <row r="7" spans="1:9" hidden="1" x14ac:dyDescent="0.3">
      <c r="A7" t="s">
        <v>16</v>
      </c>
      <c r="C7">
        <v>10</v>
      </c>
      <c r="D7" t="s">
        <v>11</v>
      </c>
      <c r="E7">
        <v>7922</v>
      </c>
      <c r="F7" s="1" t="s">
        <v>18</v>
      </c>
      <c r="G7" s="1" t="s">
        <v>18</v>
      </c>
      <c r="I7">
        <f t="shared" si="0"/>
        <v>2241.8756230541721</v>
      </c>
    </row>
    <row r="8" spans="1:9" hidden="1" x14ac:dyDescent="0.3">
      <c r="A8" t="s">
        <v>16</v>
      </c>
      <c r="C8">
        <v>11</v>
      </c>
      <c r="D8" t="s">
        <v>13</v>
      </c>
      <c r="E8">
        <v>7922</v>
      </c>
      <c r="F8" s="1" t="s">
        <v>19</v>
      </c>
      <c r="G8" s="1" t="s">
        <v>19</v>
      </c>
      <c r="I8">
        <f t="shared" si="0"/>
        <v>2154.9415285602122</v>
      </c>
    </row>
    <row r="9" spans="1:9" hidden="1" x14ac:dyDescent="0.3">
      <c r="A9" t="s">
        <v>16</v>
      </c>
      <c r="C9">
        <v>12</v>
      </c>
      <c r="D9" t="s">
        <v>9</v>
      </c>
      <c r="E9">
        <v>7922</v>
      </c>
      <c r="F9" s="1" t="s">
        <v>20</v>
      </c>
      <c r="G9" s="1" t="s">
        <v>20</v>
      </c>
      <c r="I9">
        <f t="shared" si="0"/>
        <v>2915.4839957101462</v>
      </c>
    </row>
    <row r="10" spans="1:9" x14ac:dyDescent="0.3">
      <c r="A10" t="s">
        <v>21</v>
      </c>
      <c r="B10" t="s">
        <v>22</v>
      </c>
      <c r="C10">
        <v>9</v>
      </c>
      <c r="D10" t="s">
        <v>9</v>
      </c>
      <c r="E10" s="1" t="s">
        <v>23</v>
      </c>
      <c r="G10" s="1" t="s">
        <v>23</v>
      </c>
      <c r="I10">
        <f t="shared" si="0"/>
        <v>5627.855111690239</v>
      </c>
    </row>
    <row r="11" spans="1:9" hidden="1" x14ac:dyDescent="0.3">
      <c r="A11" t="s">
        <v>21</v>
      </c>
      <c r="B11" t="s">
        <v>22</v>
      </c>
      <c r="C11">
        <v>10</v>
      </c>
      <c r="D11" t="s">
        <v>11</v>
      </c>
      <c r="E11" s="1" t="s">
        <v>24</v>
      </c>
      <c r="G11" s="1" t="s">
        <v>24</v>
      </c>
      <c r="I11">
        <f t="shared" si="0"/>
        <v>5608.1353845549902</v>
      </c>
    </row>
    <row r="12" spans="1:9" hidden="1" x14ac:dyDescent="0.3">
      <c r="A12" t="s">
        <v>21</v>
      </c>
      <c r="B12" t="s">
        <v>22</v>
      </c>
      <c r="C12">
        <v>11</v>
      </c>
      <c r="D12" t="s">
        <v>13</v>
      </c>
      <c r="E12" s="1" t="s">
        <v>25</v>
      </c>
      <c r="G12" s="1" t="s">
        <v>25</v>
      </c>
      <c r="I12">
        <f t="shared" si="0"/>
        <v>6138.4101742087178</v>
      </c>
    </row>
    <row r="13" spans="1:9" hidden="1" x14ac:dyDescent="0.3">
      <c r="A13" t="s">
        <v>21</v>
      </c>
      <c r="B13" t="s">
        <v>22</v>
      </c>
      <c r="C13">
        <v>12</v>
      </c>
      <c r="D13" t="s">
        <v>9</v>
      </c>
      <c r="E13" s="1" t="s">
        <v>26</v>
      </c>
      <c r="G13" s="1" t="s">
        <v>26</v>
      </c>
      <c r="I13">
        <f t="shared" si="0"/>
        <v>7214.8920285350159</v>
      </c>
    </row>
    <row r="14" spans="1:9" x14ac:dyDescent="0.3">
      <c r="A14" t="s">
        <v>27</v>
      </c>
      <c r="C14">
        <v>9</v>
      </c>
      <c r="D14" t="s">
        <v>9</v>
      </c>
      <c r="E14">
        <v>5861</v>
      </c>
      <c r="F14" s="1" t="s">
        <v>28</v>
      </c>
      <c r="G14" s="1" t="s">
        <v>28</v>
      </c>
      <c r="I14">
        <f t="shared" si="0"/>
        <v>1188.5166222309676</v>
      </c>
    </row>
    <row r="15" spans="1:9" hidden="1" x14ac:dyDescent="0.3">
      <c r="A15" t="s">
        <v>27</v>
      </c>
      <c r="C15">
        <v>10</v>
      </c>
      <c r="D15" t="s">
        <v>11</v>
      </c>
      <c r="E15">
        <v>5861</v>
      </c>
      <c r="F15" s="1" t="s">
        <v>29</v>
      </c>
      <c r="G15" s="1" t="s">
        <v>29</v>
      </c>
      <c r="I15">
        <f t="shared" si="0"/>
        <v>1658.625729199754</v>
      </c>
    </row>
    <row r="16" spans="1:9" hidden="1" x14ac:dyDescent="0.3">
      <c r="A16" t="s">
        <v>27</v>
      </c>
      <c r="C16">
        <v>11</v>
      </c>
      <c r="D16" t="s">
        <v>13</v>
      </c>
      <c r="E16">
        <v>5861</v>
      </c>
      <c r="F16" s="1" t="s">
        <v>30</v>
      </c>
      <c r="G16" s="1" t="s">
        <v>30</v>
      </c>
      <c r="I16">
        <f t="shared" si="0"/>
        <v>1594.3085456818242</v>
      </c>
    </row>
    <row r="17" spans="1:18" hidden="1" x14ac:dyDescent="0.3">
      <c r="A17" t="s">
        <v>27</v>
      </c>
      <c r="C17">
        <v>12</v>
      </c>
      <c r="D17" t="s">
        <v>9</v>
      </c>
      <c r="E17">
        <v>5861</v>
      </c>
      <c r="F17" s="1" t="s">
        <v>31</v>
      </c>
      <c r="G17" s="1" t="s">
        <v>31</v>
      </c>
      <c r="I17">
        <f t="shared" si="0"/>
        <v>2156.9870864500281</v>
      </c>
    </row>
    <row r="18" spans="1:18" x14ac:dyDescent="0.3">
      <c r="A18" t="s">
        <v>32</v>
      </c>
      <c r="B18" t="s">
        <v>22</v>
      </c>
      <c r="C18">
        <v>9</v>
      </c>
      <c r="D18" t="s">
        <v>9</v>
      </c>
      <c r="E18" s="1" t="s">
        <v>33</v>
      </c>
      <c r="G18" s="1" t="s">
        <v>33</v>
      </c>
      <c r="I18">
        <f t="shared" si="0"/>
        <v>4932.676803673934</v>
      </c>
    </row>
    <row r="19" spans="1:18" hidden="1" x14ac:dyDescent="0.3">
      <c r="A19" t="s">
        <v>32</v>
      </c>
      <c r="B19" t="s">
        <v>22</v>
      </c>
      <c r="C19">
        <v>10</v>
      </c>
      <c r="D19" t="s">
        <v>11</v>
      </c>
      <c r="E19" s="1" t="s">
        <v>34</v>
      </c>
      <c r="G19" s="1" t="s">
        <v>34</v>
      </c>
      <c r="I19">
        <f t="shared" si="0"/>
        <v>5115.6086475315651</v>
      </c>
    </row>
    <row r="20" spans="1:18" hidden="1" x14ac:dyDescent="0.3">
      <c r="A20" t="s">
        <v>32</v>
      </c>
      <c r="B20" t="s">
        <v>22</v>
      </c>
      <c r="C20">
        <v>11</v>
      </c>
      <c r="D20" t="s">
        <v>13</v>
      </c>
      <c r="E20" s="1" t="s">
        <v>35</v>
      </c>
      <c r="G20" s="1" t="s">
        <v>35</v>
      </c>
      <c r="I20">
        <f t="shared" si="0"/>
        <v>5373.8597520091816</v>
      </c>
    </row>
    <row r="21" spans="1:18" hidden="1" x14ac:dyDescent="0.3">
      <c r="A21" t="s">
        <v>32</v>
      </c>
      <c r="B21" t="s">
        <v>22</v>
      </c>
      <c r="C21">
        <v>12</v>
      </c>
      <c r="D21" t="s">
        <v>9</v>
      </c>
      <c r="E21">
        <v>43440.214695752002</v>
      </c>
      <c r="G21">
        <v>43440.214695752002</v>
      </c>
      <c r="I21">
        <f t="shared" si="0"/>
        <v>6081.6300574052811</v>
      </c>
    </row>
    <row r="22" spans="1:18" x14ac:dyDescent="0.3">
      <c r="I22">
        <f>+SUM(I2:I21)</f>
        <v>98842.781646401068</v>
      </c>
    </row>
    <row r="24" spans="1:18" x14ac:dyDescent="0.3">
      <c r="H24" t="s">
        <v>37</v>
      </c>
      <c r="I24">
        <f>+I22/4</f>
        <v>24710.695411600267</v>
      </c>
      <c r="R24">
        <v>23384</v>
      </c>
    </row>
    <row r="25" spans="1:18" x14ac:dyDescent="0.3">
      <c r="K25" s="2">
        <f>+I2+I6+I10+I14+I18</f>
        <v>23336.643451589473</v>
      </c>
    </row>
    <row r="26" spans="1:18" x14ac:dyDescent="0.3">
      <c r="N26">
        <f>22500*0.8</f>
        <v>18000</v>
      </c>
      <c r="O26">
        <f>+N26*1.2</f>
        <v>21600</v>
      </c>
      <c r="R26">
        <f>+R24/1.2</f>
        <v>19486.666666666668</v>
      </c>
    </row>
    <row r="28" spans="1:18" x14ac:dyDescent="0.3">
      <c r="N28">
        <f>22500/1.2</f>
        <v>18750</v>
      </c>
      <c r="O28">
        <f>+N28*1.2</f>
        <v>22500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Daniel Quiroga Villalobos</cp:lastModifiedBy>
  <dcterms:created xsi:type="dcterms:W3CDTF">2026-01-21T14:50:07Z</dcterms:created>
  <dcterms:modified xsi:type="dcterms:W3CDTF">2026-01-21T16:00:36Z</dcterms:modified>
</cp:coreProperties>
</file>