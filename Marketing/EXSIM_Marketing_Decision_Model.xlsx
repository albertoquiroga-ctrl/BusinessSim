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_MarketReport" sheetId="1" state="visible" r:id="rId3"/>
    <sheet name="INPUT_SalesAdmin" sheetId="2" state="visible" r:id="rId4"/>
    <sheet name="INPUT_Inventory" sheetId="3" state="visible" r:id="rId5"/>
    <sheet name="MASTER_Table" sheetId="4" state="visible" r:id="rId6"/>
    <sheet name="KPI_Dashboard" sheetId="5" state="visible" r:id="rId7"/>
    <sheet name="Decision_Panel" sheetId="6" state="visible" r:id="rId8"/>
    <sheet name="Scenario_Compare" sheetId="7" state="visible" r:id="rId9"/>
    <sheet name="Data_Dictionary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<sst xmlns="http://schemas.openxmlformats.org/spreadsheetml/2006/main" count="496" uniqueCount="227">
  <si>
    <t xml:space="preserve">MARKET REPORT DATA - INPUT MANUAL</t>
  </si>
  <si>
    <t xml:space="preserve">Instrucciones: Copiar datos del Market Report por periodo. Celdas azules = input manual.</t>
  </si>
  <si>
    <t xml:space="preserve">Period</t>
  </si>
  <si>
    <t xml:space="preserve">Region</t>
  </si>
  <si>
    <t xml:space="preserve">Segment</t>
  </si>
  <si>
    <t xml:space="preserve">Company</t>
  </si>
  <si>
    <t xml:space="preserve">Price</t>
  </si>
  <si>
    <t xml:space="preserve">Product_Awareness</t>
  </si>
  <si>
    <t xml:space="preserve">Promo_Impact</t>
  </si>
  <si>
    <t xml:space="preserve">Market_Share_%</t>
  </si>
  <si>
    <t xml:space="preserve">Units_Sold</t>
  </si>
  <si>
    <t xml:space="preserve">Notes</t>
  </si>
  <si>
    <t xml:space="preserve">Center</t>
  </si>
  <si>
    <t xml:space="preserve">High</t>
  </si>
  <si>
    <t xml:space="preserve">MyCompany</t>
  </si>
  <si>
    <t xml:space="preserve">Comp_A</t>
  </si>
  <si>
    <t xml:space="preserve">Comp_B</t>
  </si>
  <si>
    <t xml:space="preserve">Comp_C</t>
  </si>
  <si>
    <t xml:space="preserve">Comp_D</t>
  </si>
  <si>
    <t xml:space="preserve">Low</t>
  </si>
  <si>
    <t xml:space="preserve">West</t>
  </si>
  <si>
    <t xml:space="preserve">SALES &amp; ADMINISTRATION EXPENSE REPORT - INPUT MANUAL</t>
  </si>
  <si>
    <t xml:space="preserve">Brand</t>
  </si>
  <si>
    <t xml:space="preserve">Units</t>
  </si>
  <si>
    <t xml:space="preserve">Local_Price</t>
  </si>
  <si>
    <t xml:space="preserve">Gross_Sales</t>
  </si>
  <si>
    <t xml:space="preserve">Discount_%</t>
  </si>
  <si>
    <t xml:space="preserve">Net_Sales</t>
  </si>
  <si>
    <t xml:space="preserve">TV_Ads_$</t>
  </si>
  <si>
    <t xml:space="preserve">Radio_Ads_$</t>
  </si>
  <si>
    <t xml:space="preserve">Salespeople_#</t>
  </si>
  <si>
    <t xml:space="preserve">Salespeople_Salary_$</t>
  </si>
  <si>
    <t xml:space="preserve">Admin_Expenses_$</t>
  </si>
  <si>
    <t xml:space="preserve">A</t>
  </si>
  <si>
    <t xml:space="preserve">FINISHED GOODS INVENTORY &amp; LOST SALES - INPUT MANUAL</t>
  </si>
  <si>
    <t xml:space="preserve">FG_Initial</t>
  </si>
  <si>
    <t xml:space="preserve">Production</t>
  </si>
  <si>
    <t xml:space="preserve">Receptions</t>
  </si>
  <si>
    <t xml:space="preserve">Shipments_Out</t>
  </si>
  <si>
    <t xml:space="preserve">Sales</t>
  </si>
  <si>
    <t xml:space="preserve">FG_Final</t>
  </si>
  <si>
    <t xml:space="preserve">Thrown_Away</t>
  </si>
  <si>
    <t xml:space="preserve">Lost_Sales_Units</t>
  </si>
  <si>
    <t xml:space="preserve">Salespeople_Quit</t>
  </si>
  <si>
    <t xml:space="preserve">CONSOLIDATED MASTER TABLE - KPIs BY PERIOD &amp; REGION</t>
  </si>
  <si>
    <t xml:space="preserve">Las fórmulas calculan KPIs automáticamente desde los inputs. Negro = fórmula, Verde = link a otra hoja.</t>
  </si>
  <si>
    <t xml:space="preserve">MyPrice</t>
  </si>
  <si>
    <t xml:space="preserve">AvgCompPrice</t>
  </si>
  <si>
    <t xml:space="preserve">Price_Index</t>
  </si>
  <si>
    <t xml:space="preserve">MyAwareness</t>
  </si>
  <si>
    <t xml:space="preserve">MaxCompAwareness</t>
  </si>
  <si>
    <t xml:space="preserve">Awareness_Gap</t>
  </si>
  <si>
    <t xml:space="preserve">MyPromo</t>
  </si>
  <si>
    <t xml:space="preserve">MaxCompPromo</t>
  </si>
  <si>
    <t xml:space="preserve">Promo_Gap</t>
  </si>
  <si>
    <t xml:space="preserve">MyShare_%</t>
  </si>
  <si>
    <t xml:space="preserve">Lost_Sales_%</t>
  </si>
  <si>
    <t xml:space="preserve">TV_Ads</t>
  </si>
  <si>
    <t xml:space="preserve">Radio_Ads</t>
  </si>
  <si>
    <t xml:space="preserve">Total_Ads</t>
  </si>
  <si>
    <t xml:space="preserve">Sellers</t>
  </si>
  <si>
    <t xml:space="preserve">Seller_Cost</t>
  </si>
  <si>
    <t xml:space="preserve">S&amp;A_Total</t>
  </si>
  <si>
    <t xml:space="preserve">S&amp;A_%_NetSales</t>
  </si>
  <si>
    <t xml:space="preserve">Comm_Spend_per_Unit</t>
  </si>
  <si>
    <t xml:space="preserve">KPI DASHBOARD - ANÁLISIS Y ROI OBSERVADO</t>
  </si>
  <si>
    <t xml:space="preserve">MÉTRICAS CLAVE POR REGIÓN Y PERIODO</t>
  </si>
  <si>
    <t xml:space="preserve">Metric</t>
  </si>
  <si>
    <t xml:space="preserve">P6_Center</t>
  </si>
  <si>
    <t xml:space="preserve">P6_West</t>
  </si>
  <si>
    <t xml:space="preserve">P7_Center</t>
  </si>
  <si>
    <t xml:space="preserve">P7_West</t>
  </si>
  <si>
    <t xml:space="preserve">Δ_Center</t>
  </si>
  <si>
    <t xml:space="preserve">Δ_West</t>
  </si>
  <si>
    <t xml:space="preserve">Market Share %</t>
  </si>
  <si>
    <t xml:space="preserve">Awareness</t>
  </si>
  <si>
    <t xml:space="preserve">Promo Impact</t>
  </si>
  <si>
    <t xml:space="preserve">Units Sold</t>
  </si>
  <si>
    <t xml:space="preserve">Net Sales</t>
  </si>
  <si>
    <t xml:space="preserve">Lost Sales %</t>
  </si>
  <si>
    <t xml:space="preserve">S&amp;A % Net Sales</t>
  </si>
  <si>
    <t xml:space="preserve">Comm Spend/Unit</t>
  </si>
  <si>
    <t xml:space="preserve">ROI OBSERVADO (Delta periodo a periodo)</t>
  </si>
  <si>
    <t xml:space="preserve">ROI Metric</t>
  </si>
  <si>
    <t xml:space="preserve">Interpretación</t>
  </si>
  <si>
    <t xml:space="preserve">ROI Awareness per $Ads</t>
  </si>
  <si>
    <t xml:space="preserve">pts Awareness por cada $1,000 ads</t>
  </si>
  <si>
    <t xml:space="preserve">ROI Share per $Ads</t>
  </si>
  <si>
    <t xml:space="preserve">pts Share por cada $1,000 ads</t>
  </si>
  <si>
    <t xml:space="preserve">ROI Units per Seller</t>
  </si>
  <si>
    <t xml:space="preserve">ΔUnits / #Sellers actual</t>
  </si>
  <si>
    <t xml:space="preserve">Elasticidad Precio</t>
  </si>
  <si>
    <t xml:space="preserve">%ΔUnits / %ΔPrecio (negativo=normal)</t>
  </si>
  <si>
    <t xml:space="preserve">ALERTAS Y GUARDRAILS</t>
  </si>
  <si>
    <t xml:space="preserve">Lost Sales Alert</t>
  </si>
  <si>
    <t xml:space="preserve">S&amp;A Overspend Alert</t>
  </si>
  <si>
    <t xml:space="preserve">Sellers Quit Alert</t>
  </si>
  <si>
    <t xml:space="preserve">Status</t>
  </si>
  <si>
    <t xml:space="preserve">PANEL DE DECISIONES - PERIODO SIGUIENTE</t>
  </si>
  <si>
    <t xml:space="preserve">Celdas AZULES = editar. El panel calcula presupuesto y riesgos automáticamente.</t>
  </si>
  <si>
    <t xml:space="preserve">PARÁMETROS GLOBALES</t>
  </si>
  <si>
    <t xml:space="preserve">Periodo a planear:</t>
  </si>
  <si>
    <t xml:space="preserve">TV Spot Cost:</t>
  </si>
  <si>
    <t xml:space="preserve">Radio Spot Cost:</t>
  </si>
  <si>
    <t xml:space="preserve">Seller Hiring Cost:</t>
  </si>
  <si>
    <t xml:space="preserve">Seller Salary/Period:</t>
  </si>
  <si>
    <t xml:space="preserve">Umbral S&amp;A % (alerta):</t>
  </si>
  <si>
    <t xml:space="preserve">Umbral Lost Sales % (alerta):</t>
  </si>
  <si>
    <t xml:space="preserve">DECISIONES POR REGIÓN</t>
  </si>
  <si>
    <t xml:space="preserve">Price_Prop</t>
  </si>
  <si>
    <t xml:space="preserve">TV_Spots</t>
  </si>
  <si>
    <t xml:space="preserve">Radio_Spots</t>
  </si>
  <si>
    <t xml:space="preserve">Brand_Focus_%</t>
  </si>
  <si>
    <t xml:space="preserve">Sellers_Prop</t>
  </si>
  <si>
    <t xml:space="preserve">Forecast_Units</t>
  </si>
  <si>
    <t xml:space="preserve">Mejora_1</t>
  </si>
  <si>
    <t xml:space="preserve">Mejora_2</t>
  </si>
  <si>
    <t xml:space="preserve">Mejora_3</t>
  </si>
  <si>
    <t xml:space="preserve">No</t>
  </si>
  <si>
    <t xml:space="preserve">North</t>
  </si>
  <si>
    <t xml:space="preserve">East</t>
  </si>
  <si>
    <t xml:space="preserve">South</t>
  </si>
  <si>
    <t xml:space="preserve">CÁLCULOS DE PRESUPUESTO</t>
  </si>
  <si>
    <t xml:space="preserve">TV_Cost</t>
  </si>
  <si>
    <t xml:space="preserve">Radio_Cost</t>
  </si>
  <si>
    <t xml:space="preserve">Total_Comm</t>
  </si>
  <si>
    <t xml:space="preserve">vs_P7</t>
  </si>
  <si>
    <t xml:space="preserve">Forecast_Revenue</t>
  </si>
  <si>
    <t xml:space="preserve">Est_S&amp;A_%</t>
  </si>
  <si>
    <t xml:space="preserve">N/A (nuevo)</t>
  </si>
  <si>
    <t xml:space="preserve">TOTAL</t>
  </si>
  <si>
    <t xml:space="preserve">VALIDACIÓN Y ALERTAS</t>
  </si>
  <si>
    <t xml:space="preserve">Price vs P7</t>
  </si>
  <si>
    <t xml:space="preserve">Ads vs P7</t>
  </si>
  <si>
    <t xml:space="preserve">Sellers vs P7</t>
  </si>
  <si>
    <t xml:space="preserve">S&amp;A % Alert</t>
  </si>
  <si>
    <t xml:space="preserve">Recommendation</t>
  </si>
  <si>
    <t xml:space="preserve">N/A</t>
  </si>
  <si>
    <t xml:space="preserve">COMPARACIÓN DE ESCENARIOS</t>
  </si>
  <si>
    <t xml:space="preserve">Modifica los valores en Plan A y Plan B para comparar estrategias alternativas.</t>
  </si>
  <si>
    <t xml:space="preserve">Variable</t>
  </si>
  <si>
    <t xml:space="preserve">BASE (P7)</t>
  </si>
  <si>
    <t xml:space="preserve">PLAN_A</t>
  </si>
  <si>
    <t xml:space="preserve">PLAN_B</t>
  </si>
  <si>
    <t xml:space="preserve">Δ_A_vs_Base</t>
  </si>
  <si>
    <t xml:space="preserve">Δ_B_vs_Base</t>
  </si>
  <si>
    <t xml:space="preserve">Forecast</t>
  </si>
  <si>
    <t xml:space="preserve">ESTIMACIÓN DE RESULTADOS POR ESCENARIO</t>
  </si>
  <si>
    <t xml:space="preserve">BASE</t>
  </si>
  <si>
    <t xml:space="preserve">Est_Revenue</t>
  </si>
  <si>
    <t xml:space="preserve">Est_Ads_Cost</t>
  </si>
  <si>
    <t xml:space="preserve">Est_Seller_Cost</t>
  </si>
  <si>
    <t xml:space="preserve">Est_Total_Comm</t>
  </si>
  <si>
    <t xml:space="preserve">DICCIONARIO DE DATOS E INSTRUCCIONES</t>
  </si>
  <si>
    <t xml:space="preserve">INSTRUCCIONES DE USO</t>
  </si>
  <si>
    <t xml:space="preserve">1. Después de cada periodo simulado, actualizar las 3 hojas INPUT con datos de los reportes EXSIM.</t>
  </si>
  <si>
    <t xml:space="preserve">2. INPUT_MarketReport: Copiar datos del Market Report (precio, awareness, promo, share por empresa).</t>
  </si>
  <si>
    <t xml:space="preserve">3. INPUT_SalesAdmin: Copiar datos del Sales &amp; Administration Report (unidades, ventas, gastos).</t>
  </si>
  <si>
    <t xml:space="preserve">4. INPUT_Inventory: Copiar datos del Finished Goods Inventory (stock, lost sales, vendedores que renunciaron).</t>
  </si>
  <si>
    <t xml:space="preserve">5. MASTER_Table se actualiza automáticamente con fórmulas.</t>
  </si>
  <si>
    <t xml:space="preserve">6. KPI_Dashboard muestra métricas clave y alertas.</t>
  </si>
  <si>
    <t xml:space="preserve">7. Decision_Panel: Editar celdas amarillas para planear el siguiente periodo.</t>
  </si>
  <si>
    <t xml:space="preserve">8. Scenario_Compare: Comparar hasta 3 escenarios alternativos.</t>
  </si>
  <si>
    <t xml:space="preserve">CÓDIGO DE COLORES:</t>
  </si>
  <si>
    <t xml:space="preserve">- Azul: Inputs manuales (datos de reportes)</t>
  </si>
  <si>
    <t xml:space="preserve">- Negro: Fórmulas calculadas</t>
  </si>
  <si>
    <t xml:space="preserve">- Verde: Links a otras hojas</t>
  </si>
  <si>
    <t xml:space="preserve">- Amarillo: Celdas editables para decisiones</t>
  </si>
  <si>
    <t xml:space="preserve">- Rojo: Alertas críticas</t>
  </si>
  <si>
    <t xml:space="preserve">DEFINICIÓN DE COLUMNAS</t>
  </si>
  <si>
    <t xml:space="preserve">Hoja</t>
  </si>
  <si>
    <t xml:space="preserve">Columna</t>
  </si>
  <si>
    <t xml:space="preserve">Descripción</t>
  </si>
  <si>
    <t xml:space="preserve">Fuente en EXSIM</t>
  </si>
  <si>
    <t xml:space="preserve">Tipo</t>
  </si>
  <si>
    <t xml:space="preserve">INPUT_MarketReport</t>
  </si>
  <si>
    <t xml:space="preserve">Precio de venta al cliente final</t>
  </si>
  <si>
    <t xml:space="preserve">Market Report &gt; Price</t>
  </si>
  <si>
    <t xml:space="preserve">Input</t>
  </si>
  <si>
    <t xml:space="preserve">% de conocimiento de producto (0-100)</t>
  </si>
  <si>
    <t xml:space="preserve">Market Report &gt; Product Awareness</t>
  </si>
  <si>
    <t xml:space="preserve">Impacto promocional salesforce (0-1)</t>
  </si>
  <si>
    <t xml:space="preserve">Market Report &gt; Evaluation of Promotional Impact</t>
  </si>
  <si>
    <t xml:space="preserve">Cuota de mercado en la región (%)</t>
  </si>
  <si>
    <t xml:space="preserve">Market Report &gt; Market Share Per Region</t>
  </si>
  <si>
    <t xml:space="preserve">INPUT_SalesAdmin</t>
  </si>
  <si>
    <t xml:space="preserve">Unidades vendidas en el periodo</t>
  </si>
  <si>
    <t xml:space="preserve">Sales Report &gt; Sales &gt; Units</t>
  </si>
  <si>
    <t xml:space="preserve">Ventas netas después de descuentos</t>
  </si>
  <si>
    <t xml:space="preserve">Sales Report &gt; Sales &gt; Net Sales</t>
  </si>
  <si>
    <t xml:space="preserve">Gasto en publicidad de TV</t>
  </si>
  <si>
    <t xml:space="preserve">S&amp;A Expenses &gt; TV Advertisement</t>
  </si>
  <si>
    <t xml:space="preserve">Gasto en publicidad de Radio</t>
  </si>
  <si>
    <t xml:space="preserve">S&amp;A Expenses &gt; Radio Advertisement</t>
  </si>
  <si>
    <t xml:space="preserve">INPUT_Inventory</t>
  </si>
  <si>
    <t xml:space="preserve">Unidades de demanda no satisfecha</t>
  </si>
  <si>
    <t xml:space="preserve">Finished Goods Inventory &gt; (Demanda - Sales)</t>
  </si>
  <si>
    <t xml:space="preserve">Vendedores que renunciaron por stockout</t>
  </si>
  <si>
    <t xml:space="preserve">Simulation Messages o cálculo</t>
  </si>
  <si>
    <t xml:space="preserve">MASTER_Table</t>
  </si>
  <si>
    <t xml:space="preserve">Tu precio / Promedio competidores</t>
  </si>
  <si>
    <t xml:space="preserve">Calculado</t>
  </si>
  <si>
    <t xml:space="preserve">Fórmula</t>
  </si>
  <si>
    <t xml:space="preserve">Tu awareness - Max competidor</t>
  </si>
  <si>
    <t xml:space="preserve">Lost Sales / (Units + Lost Sales)</t>
  </si>
  <si>
    <t xml:space="preserve">Total S&amp;A / Net Sales</t>
  </si>
  <si>
    <t xml:space="preserve">KPI_Dashboard</t>
  </si>
  <si>
    <t xml:space="preserve">ROI_Awareness_per_$</t>
  </si>
  <si>
    <t xml:space="preserve">ΔAwareness / ΔAds_Spend (x1000)</t>
  </si>
  <si>
    <t xml:space="preserve">Elasticidad_Precio</t>
  </si>
  <si>
    <t xml:space="preserve">%ΔUnits / %ΔPrecio</t>
  </si>
  <si>
    <t xml:space="preserve">GUARDRAILS Y UMBRALES</t>
  </si>
  <si>
    <t xml:space="preserve">Condición</t>
  </si>
  <si>
    <t xml:space="preserve">Nivel</t>
  </si>
  <si>
    <t xml:space="preserve">Acción Recomendada</t>
  </si>
  <si>
    <t xml:space="preserve">Lost Sales % &gt; 3%</t>
  </si>
  <si>
    <t xml:space="preserve">🔴 ROJO</t>
  </si>
  <si>
    <t xml:space="preserve">NO aumentar ads/sellers en esa región. Resolver stockout primero.</t>
  </si>
  <si>
    <t xml:space="preserve">Lost Sales % &gt; 0%</t>
  </si>
  <si>
    <t xml:space="preserve">🟡 AMARILLO</t>
  </si>
  <si>
    <t xml:space="preserve">Precaución. Coordinar con operaciones para evitar recurrencia.</t>
  </si>
  <si>
    <t xml:space="preserve">S&amp;A % Net Sales &gt; 35%</t>
  </si>
  <si>
    <t xml:space="preserve">Gasto comercial excesivo. Reducir o mejorar conversión.</t>
  </si>
  <si>
    <t xml:space="preserve">S&amp;A % Net Sales &gt; 28%</t>
  </si>
  <si>
    <t xml:space="preserve">Gasto alto. Monitorear ROI de inversiones.</t>
  </si>
  <si>
    <t xml:space="preserve">Salespeople Quit &gt; 0</t>
  </si>
  <si>
    <t xml:space="preserve">Stockout causó renuncias. Impacto en promo de siguiente periodo.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</si>
</sst>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FF0000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3366FF"/>
      </patternFill>
    </fill>
    <fill>
      <patternFill patternType="solid">
        <fgColor rgb="FFF2F2F2"/>
        <bgColor rgb="FFDBEEF3"/>
      </patternFill>
    </fill>
    <fill>
      <patternFill patternType="solid">
        <fgColor rgb="FFFFFF00"/>
        <bgColor rgb="FFFFFF00"/>
      </patternFill>
    </fill>
    <fill>
      <patternFill patternType="solid">
        <fgColor rgb="FFDBEEF3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4F81BD"/>
      <rgbColor rgb="FF9999FF"/>
      <rgbColor rgb="FF993366"/>
      <rgbColor rgb="FFF2F2F2"/>
      <rgbColor rgb="FFDBEE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5" hidden="false" customHeight="false" outlineLevel="0" collapsed="false">
      <c r="A3" s="2" t="s">
        <v>1</v>
      </c>
    </row>
    <row r="5" customFormat="false" ht="28.35" hidden="false" customHeight="false" outlineLevel="0" collapsed="false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  <c r="J5" s="3" t="s">
        <v>11</v>
      </c>
    </row>
    <row r="6" customFormat="false" ht="15" hidden="false" customHeight="false" outlineLevel="0" collapsed="false">
      <c r="A6" s="4" t="n">
        <v>6</v>
      </c>
      <c r="B6" s="4" t="s">
        <v>12</v>
      </c>
      <c r="C6" s="4" t="s">
        <v>13</v>
      </c>
      <c r="D6" s="4" t="s">
        <v>14</v>
      </c>
      <c r="E6" s="4" t="n">
        <v>68</v>
      </c>
      <c r="F6" s="4" t="n">
        <v>65</v>
      </c>
      <c r="G6" s="4" t="n">
        <v>0.25</v>
      </c>
      <c r="H6" s="4" t="n">
        <v>20</v>
      </c>
      <c r="I6" s="4" t="n">
        <v>1800</v>
      </c>
      <c r="J6" s="4"/>
    </row>
    <row r="7" customFormat="false" ht="15" hidden="false" customHeight="false" outlineLevel="0" collapsed="false">
      <c r="A7" s="4" t="n">
        <v>6</v>
      </c>
      <c r="B7" s="4" t="s">
        <v>12</v>
      </c>
      <c r="C7" s="4" t="s">
        <v>13</v>
      </c>
      <c r="D7" s="4" t="s">
        <v>15</v>
      </c>
      <c r="E7" s="4" t="n">
        <v>68</v>
      </c>
      <c r="F7" s="4" t="n">
        <v>60</v>
      </c>
      <c r="G7" s="4" t="n">
        <v>0.2</v>
      </c>
      <c r="H7" s="4" t="n">
        <v>20</v>
      </c>
      <c r="I7" s="4" t="n">
        <v>1800</v>
      </c>
      <c r="J7" s="4"/>
    </row>
    <row r="8" customFormat="false" ht="15" hidden="false" customHeight="false" outlineLevel="0" collapsed="false">
      <c r="A8" s="4" t="n">
        <v>6</v>
      </c>
      <c r="B8" s="4" t="s">
        <v>12</v>
      </c>
      <c r="C8" s="4" t="s">
        <v>13</v>
      </c>
      <c r="D8" s="4" t="s">
        <v>16</v>
      </c>
      <c r="E8" s="4" t="n">
        <v>68</v>
      </c>
      <c r="F8" s="4" t="n">
        <v>60</v>
      </c>
      <c r="G8" s="4" t="n">
        <v>0.2</v>
      </c>
      <c r="H8" s="4" t="n">
        <v>20</v>
      </c>
      <c r="I8" s="4" t="n">
        <v>1800</v>
      </c>
      <c r="J8" s="4"/>
    </row>
    <row r="9" customFormat="false" ht="15" hidden="false" customHeight="false" outlineLevel="0" collapsed="false">
      <c r="A9" s="4" t="n">
        <v>6</v>
      </c>
      <c r="B9" s="4" t="s">
        <v>12</v>
      </c>
      <c r="C9" s="4" t="s">
        <v>13</v>
      </c>
      <c r="D9" s="4" t="s">
        <v>17</v>
      </c>
      <c r="E9" s="4" t="n">
        <v>68</v>
      </c>
      <c r="F9" s="4" t="n">
        <v>60</v>
      </c>
      <c r="G9" s="4" t="n">
        <v>0.2</v>
      </c>
      <c r="H9" s="4" t="n">
        <v>20</v>
      </c>
      <c r="I9" s="4" t="n">
        <v>1800</v>
      </c>
      <c r="J9" s="4"/>
    </row>
    <row r="10" customFormat="false" ht="15" hidden="false" customHeight="false" outlineLevel="0" collapsed="false">
      <c r="A10" s="4" t="n">
        <v>6</v>
      </c>
      <c r="B10" s="4" t="s">
        <v>12</v>
      </c>
      <c r="C10" s="4" t="s">
        <v>13</v>
      </c>
      <c r="D10" s="4" t="s">
        <v>18</v>
      </c>
      <c r="E10" s="4" t="n">
        <v>68</v>
      </c>
      <c r="F10" s="4" t="n">
        <v>60</v>
      </c>
      <c r="G10" s="4" t="n">
        <v>0.2</v>
      </c>
      <c r="H10" s="4" t="n">
        <v>20</v>
      </c>
      <c r="I10" s="4" t="n">
        <v>1800</v>
      </c>
      <c r="J10" s="4"/>
    </row>
    <row r="11" customFormat="false" ht="15" hidden="false" customHeight="false" outlineLevel="0" collapsed="false">
      <c r="A11" s="4" t="n">
        <v>6</v>
      </c>
      <c r="B11" s="4" t="s">
        <v>12</v>
      </c>
      <c r="C11" s="4" t="s">
        <v>19</v>
      </c>
      <c r="D11" s="4" t="s">
        <v>14</v>
      </c>
      <c r="E11" s="4" t="n">
        <v>68</v>
      </c>
      <c r="F11" s="4" t="n">
        <v>65</v>
      </c>
      <c r="G11" s="4" t="n">
        <v>0.25</v>
      </c>
      <c r="H11" s="4" t="n">
        <v>20</v>
      </c>
      <c r="I11" s="4" t="n">
        <v>2200</v>
      </c>
      <c r="J11" s="4"/>
    </row>
    <row r="12" customFormat="false" ht="15" hidden="false" customHeight="false" outlineLevel="0" collapsed="false">
      <c r="A12" s="4" t="n">
        <v>6</v>
      </c>
      <c r="B12" s="4" t="s">
        <v>12</v>
      </c>
      <c r="C12" s="4" t="s">
        <v>19</v>
      </c>
      <c r="D12" s="4" t="s">
        <v>15</v>
      </c>
      <c r="E12" s="4" t="n">
        <v>68</v>
      </c>
      <c r="F12" s="4" t="n">
        <v>60</v>
      </c>
      <c r="G12" s="4" t="n">
        <v>0.2</v>
      </c>
      <c r="H12" s="4" t="n">
        <v>20</v>
      </c>
      <c r="I12" s="4" t="n">
        <v>2200</v>
      </c>
      <c r="J12" s="4"/>
    </row>
    <row r="13" customFormat="false" ht="15" hidden="false" customHeight="false" outlineLevel="0" collapsed="false">
      <c r="A13" s="4" t="n">
        <v>6</v>
      </c>
      <c r="B13" s="4" t="s">
        <v>12</v>
      </c>
      <c r="C13" s="4" t="s">
        <v>19</v>
      </c>
      <c r="D13" s="4" t="s">
        <v>16</v>
      </c>
      <c r="E13" s="4" t="n">
        <v>68</v>
      </c>
      <c r="F13" s="4" t="n">
        <v>60</v>
      </c>
      <c r="G13" s="4" t="n">
        <v>0.2</v>
      </c>
      <c r="H13" s="4" t="n">
        <v>20</v>
      </c>
      <c r="I13" s="4" t="n">
        <v>2200</v>
      </c>
      <c r="J13" s="4"/>
    </row>
    <row r="14" customFormat="false" ht="15" hidden="false" customHeight="false" outlineLevel="0" collapsed="false">
      <c r="A14" s="4" t="n">
        <v>6</v>
      </c>
      <c r="B14" s="4" t="s">
        <v>12</v>
      </c>
      <c r="C14" s="4" t="s">
        <v>19</v>
      </c>
      <c r="D14" s="4" t="s">
        <v>17</v>
      </c>
      <c r="E14" s="4" t="n">
        <v>68</v>
      </c>
      <c r="F14" s="4" t="n">
        <v>60</v>
      </c>
      <c r="G14" s="4" t="n">
        <v>0.2</v>
      </c>
      <c r="H14" s="4" t="n">
        <v>20</v>
      </c>
      <c r="I14" s="4" t="n">
        <v>2200</v>
      </c>
      <c r="J14" s="4"/>
    </row>
    <row r="15" customFormat="false" ht="15" hidden="false" customHeight="false" outlineLevel="0" collapsed="false">
      <c r="A15" s="4" t="n">
        <v>6</v>
      </c>
      <c r="B15" s="4" t="s">
        <v>12</v>
      </c>
      <c r="C15" s="4" t="s">
        <v>19</v>
      </c>
      <c r="D15" s="4" t="s">
        <v>18</v>
      </c>
      <c r="E15" s="4" t="n">
        <v>68</v>
      </c>
      <c r="F15" s="4" t="n">
        <v>60</v>
      </c>
      <c r="G15" s="4" t="n">
        <v>0.2</v>
      </c>
      <c r="H15" s="4" t="n">
        <v>20</v>
      </c>
      <c r="I15" s="4" t="n">
        <v>2200</v>
      </c>
      <c r="J15" s="4"/>
    </row>
    <row r="16" customFormat="false" ht="15" hidden="false" customHeight="false" outlineLevel="0" collapsed="false">
      <c r="A16" s="4" t="n">
        <v>6</v>
      </c>
      <c r="B16" s="4" t="s">
        <v>20</v>
      </c>
      <c r="C16" s="4" t="s">
        <v>13</v>
      </c>
      <c r="D16" s="4" t="s">
        <v>14</v>
      </c>
      <c r="E16" s="4" t="n">
        <v>68</v>
      </c>
      <c r="F16" s="4" t="n">
        <v>65</v>
      </c>
      <c r="G16" s="4" t="n">
        <v>0.25</v>
      </c>
      <c r="H16" s="4" t="n">
        <v>20</v>
      </c>
      <c r="I16" s="4" t="n">
        <v>1800</v>
      </c>
      <c r="J16" s="4"/>
    </row>
    <row r="17" customFormat="false" ht="15" hidden="false" customHeight="false" outlineLevel="0" collapsed="false">
      <c r="A17" s="4" t="n">
        <v>6</v>
      </c>
      <c r="B17" s="4" t="s">
        <v>20</v>
      </c>
      <c r="C17" s="4" t="s">
        <v>13</v>
      </c>
      <c r="D17" s="4" t="s">
        <v>15</v>
      </c>
      <c r="E17" s="4" t="n">
        <v>68</v>
      </c>
      <c r="F17" s="4" t="n">
        <v>60</v>
      </c>
      <c r="G17" s="4" t="n">
        <v>0.2</v>
      </c>
      <c r="H17" s="4" t="n">
        <v>20</v>
      </c>
      <c r="I17" s="4" t="n">
        <v>1800</v>
      </c>
      <c r="J17" s="4"/>
    </row>
    <row r="18" customFormat="false" ht="15" hidden="false" customHeight="false" outlineLevel="0" collapsed="false">
      <c r="A18" s="4" t="n">
        <v>6</v>
      </c>
      <c r="B18" s="4" t="s">
        <v>20</v>
      </c>
      <c r="C18" s="4" t="s">
        <v>13</v>
      </c>
      <c r="D18" s="4" t="s">
        <v>16</v>
      </c>
      <c r="E18" s="4" t="n">
        <v>68</v>
      </c>
      <c r="F18" s="4" t="n">
        <v>60</v>
      </c>
      <c r="G18" s="4" t="n">
        <v>0.2</v>
      </c>
      <c r="H18" s="4" t="n">
        <v>20</v>
      </c>
      <c r="I18" s="4" t="n">
        <v>1800</v>
      </c>
      <c r="J18" s="4"/>
    </row>
    <row r="19" customFormat="false" ht="15" hidden="false" customHeight="false" outlineLevel="0" collapsed="false">
      <c r="A19" s="4" t="n">
        <v>6</v>
      </c>
      <c r="B19" s="4" t="s">
        <v>20</v>
      </c>
      <c r="C19" s="4" t="s">
        <v>13</v>
      </c>
      <c r="D19" s="4" t="s">
        <v>17</v>
      </c>
      <c r="E19" s="4" t="n">
        <v>68</v>
      </c>
      <c r="F19" s="4" t="n">
        <v>60</v>
      </c>
      <c r="G19" s="4" t="n">
        <v>0.2</v>
      </c>
      <c r="H19" s="4" t="n">
        <v>20</v>
      </c>
      <c r="I19" s="4" t="n">
        <v>1800</v>
      </c>
      <c r="J19" s="4"/>
    </row>
    <row r="20" customFormat="false" ht="15" hidden="false" customHeight="false" outlineLevel="0" collapsed="false">
      <c r="A20" s="4" t="n">
        <v>6</v>
      </c>
      <c r="B20" s="4" t="s">
        <v>20</v>
      </c>
      <c r="C20" s="4" t="s">
        <v>13</v>
      </c>
      <c r="D20" s="4" t="s">
        <v>18</v>
      </c>
      <c r="E20" s="4" t="n">
        <v>68</v>
      </c>
      <c r="F20" s="4" t="n">
        <v>60</v>
      </c>
      <c r="G20" s="4" t="n">
        <v>0.2</v>
      </c>
      <c r="H20" s="4" t="n">
        <v>20</v>
      </c>
      <c r="I20" s="4" t="n">
        <v>1800</v>
      </c>
      <c r="J20" s="4"/>
    </row>
    <row r="21" customFormat="false" ht="15" hidden="false" customHeight="false" outlineLevel="0" collapsed="false">
      <c r="A21" s="4" t="n">
        <v>6</v>
      </c>
      <c r="B21" s="4" t="s">
        <v>20</v>
      </c>
      <c r="C21" s="4" t="s">
        <v>19</v>
      </c>
      <c r="D21" s="4" t="s">
        <v>14</v>
      </c>
      <c r="E21" s="4" t="n">
        <v>68</v>
      </c>
      <c r="F21" s="4" t="n">
        <v>65</v>
      </c>
      <c r="G21" s="4" t="n">
        <v>0.25</v>
      </c>
      <c r="H21" s="4" t="n">
        <v>20</v>
      </c>
      <c r="I21" s="4" t="n">
        <v>2200</v>
      </c>
      <c r="J21" s="4"/>
    </row>
    <row r="22" customFormat="false" ht="15" hidden="false" customHeight="false" outlineLevel="0" collapsed="false">
      <c r="A22" s="4" t="n">
        <v>6</v>
      </c>
      <c r="B22" s="4" t="s">
        <v>20</v>
      </c>
      <c r="C22" s="4" t="s">
        <v>19</v>
      </c>
      <c r="D22" s="4" t="s">
        <v>15</v>
      </c>
      <c r="E22" s="4" t="n">
        <v>68</v>
      </c>
      <c r="F22" s="4" t="n">
        <v>60</v>
      </c>
      <c r="G22" s="4" t="n">
        <v>0.2</v>
      </c>
      <c r="H22" s="4" t="n">
        <v>20</v>
      </c>
      <c r="I22" s="4" t="n">
        <v>2200</v>
      </c>
      <c r="J22" s="4"/>
    </row>
    <row r="23" customFormat="false" ht="15" hidden="false" customHeight="false" outlineLevel="0" collapsed="false">
      <c r="A23" s="4" t="n">
        <v>6</v>
      </c>
      <c r="B23" s="4" t="s">
        <v>20</v>
      </c>
      <c r="C23" s="4" t="s">
        <v>19</v>
      </c>
      <c r="D23" s="4" t="s">
        <v>16</v>
      </c>
      <c r="E23" s="4" t="n">
        <v>68</v>
      </c>
      <c r="F23" s="4" t="n">
        <v>60</v>
      </c>
      <c r="G23" s="4" t="n">
        <v>0.2</v>
      </c>
      <c r="H23" s="4" t="n">
        <v>20</v>
      </c>
      <c r="I23" s="4" t="n">
        <v>2200</v>
      </c>
      <c r="J23" s="4"/>
    </row>
    <row r="24" customFormat="false" ht="15" hidden="false" customHeight="false" outlineLevel="0" collapsed="false">
      <c r="A24" s="4" t="n">
        <v>6</v>
      </c>
      <c r="B24" s="4" t="s">
        <v>20</v>
      </c>
      <c r="C24" s="4" t="s">
        <v>19</v>
      </c>
      <c r="D24" s="4" t="s">
        <v>17</v>
      </c>
      <c r="E24" s="4" t="n">
        <v>68</v>
      </c>
      <c r="F24" s="4" t="n">
        <v>60</v>
      </c>
      <c r="G24" s="4" t="n">
        <v>0.2</v>
      </c>
      <c r="H24" s="4" t="n">
        <v>20</v>
      </c>
      <c r="I24" s="4" t="n">
        <v>2200</v>
      </c>
      <c r="J24" s="4"/>
    </row>
    <row r="25" customFormat="false" ht="15" hidden="false" customHeight="false" outlineLevel="0" collapsed="false">
      <c r="A25" s="4" t="n">
        <v>6</v>
      </c>
      <c r="B25" s="4" t="s">
        <v>20</v>
      </c>
      <c r="C25" s="4" t="s">
        <v>19</v>
      </c>
      <c r="D25" s="4" t="s">
        <v>18</v>
      </c>
      <c r="E25" s="4" t="n">
        <v>68</v>
      </c>
      <c r="F25" s="4" t="n">
        <v>60</v>
      </c>
      <c r="G25" s="4" t="n">
        <v>0.2</v>
      </c>
      <c r="H25" s="4" t="n">
        <v>20</v>
      </c>
      <c r="I25" s="4" t="n">
        <v>2200</v>
      </c>
      <c r="J25" s="4"/>
    </row>
    <row r="26" customFormat="false" ht="15" hidden="false" customHeight="false" outlineLevel="0" collapsed="false">
      <c r="A26" s="4" t="n">
        <v>7</v>
      </c>
      <c r="B26" s="4" t="s">
        <v>12</v>
      </c>
      <c r="C26" s="4" t="s">
        <v>13</v>
      </c>
      <c r="D26" s="4" t="s">
        <v>14</v>
      </c>
      <c r="E26" s="4" t="n">
        <v>70</v>
      </c>
      <c r="F26" s="4" t="n">
        <v>68</v>
      </c>
      <c r="G26" s="4" t="n">
        <v>0.28</v>
      </c>
      <c r="H26" s="4" t="n">
        <v>22</v>
      </c>
      <c r="I26" s="4" t="n">
        <v>1900</v>
      </c>
      <c r="J26" s="4"/>
    </row>
    <row r="27" customFormat="false" ht="15" hidden="false" customHeight="false" outlineLevel="0" collapsed="false">
      <c r="A27" s="4" t="n">
        <v>7</v>
      </c>
      <c r="B27" s="4" t="s">
        <v>12</v>
      </c>
      <c r="C27" s="4" t="s">
        <v>13</v>
      </c>
      <c r="D27" s="4" t="s">
        <v>15</v>
      </c>
      <c r="E27" s="4" t="n">
        <v>70</v>
      </c>
      <c r="F27" s="4" t="n">
        <v>62</v>
      </c>
      <c r="G27" s="4" t="n">
        <v>0.22</v>
      </c>
      <c r="H27" s="4" t="n">
        <v>19.5</v>
      </c>
      <c r="I27" s="4" t="n">
        <v>1900</v>
      </c>
      <c r="J27" s="4"/>
    </row>
    <row r="28" customFormat="false" ht="15" hidden="false" customHeight="false" outlineLevel="0" collapsed="false">
      <c r="A28" s="4" t="n">
        <v>7</v>
      </c>
      <c r="B28" s="4" t="s">
        <v>12</v>
      </c>
      <c r="C28" s="4" t="s">
        <v>13</v>
      </c>
      <c r="D28" s="4" t="s">
        <v>16</v>
      </c>
      <c r="E28" s="4" t="n">
        <v>70</v>
      </c>
      <c r="F28" s="4" t="n">
        <v>62</v>
      </c>
      <c r="G28" s="4" t="n">
        <v>0.22</v>
      </c>
      <c r="H28" s="4" t="n">
        <v>19.5</v>
      </c>
      <c r="I28" s="4" t="n">
        <v>1900</v>
      </c>
      <c r="J28" s="4"/>
    </row>
    <row r="29" customFormat="false" ht="15" hidden="false" customHeight="false" outlineLevel="0" collapsed="false">
      <c r="A29" s="4" t="n">
        <v>7</v>
      </c>
      <c r="B29" s="4" t="s">
        <v>12</v>
      </c>
      <c r="C29" s="4" t="s">
        <v>13</v>
      </c>
      <c r="D29" s="4" t="s">
        <v>17</v>
      </c>
      <c r="E29" s="4" t="n">
        <v>70</v>
      </c>
      <c r="F29" s="4" t="n">
        <v>62</v>
      </c>
      <c r="G29" s="4" t="n">
        <v>0.22</v>
      </c>
      <c r="H29" s="4" t="n">
        <v>19.5</v>
      </c>
      <c r="I29" s="4" t="n">
        <v>1900</v>
      </c>
      <c r="J29" s="4"/>
    </row>
    <row r="30" customFormat="false" ht="15" hidden="false" customHeight="false" outlineLevel="0" collapsed="false">
      <c r="A30" s="4" t="n">
        <v>7</v>
      </c>
      <c r="B30" s="4" t="s">
        <v>12</v>
      </c>
      <c r="C30" s="4" t="s">
        <v>13</v>
      </c>
      <c r="D30" s="4" t="s">
        <v>18</v>
      </c>
      <c r="E30" s="4" t="n">
        <v>70</v>
      </c>
      <c r="F30" s="4" t="n">
        <v>62</v>
      </c>
      <c r="G30" s="4" t="n">
        <v>0.22</v>
      </c>
      <c r="H30" s="4" t="n">
        <v>19.5</v>
      </c>
      <c r="I30" s="4" t="n">
        <v>1900</v>
      </c>
      <c r="J30" s="4"/>
    </row>
    <row r="31" customFormat="false" ht="15" hidden="false" customHeight="false" outlineLevel="0" collapsed="false">
      <c r="A31" s="4" t="n">
        <v>7</v>
      </c>
      <c r="B31" s="4" t="s">
        <v>12</v>
      </c>
      <c r="C31" s="4" t="s">
        <v>19</v>
      </c>
      <c r="D31" s="4" t="s">
        <v>14</v>
      </c>
      <c r="E31" s="4" t="n">
        <v>70</v>
      </c>
      <c r="F31" s="4" t="n">
        <v>68</v>
      </c>
      <c r="G31" s="4" t="n">
        <v>0.28</v>
      </c>
      <c r="H31" s="4" t="n">
        <v>22</v>
      </c>
      <c r="I31" s="4" t="n">
        <v>2400</v>
      </c>
      <c r="J31" s="4"/>
    </row>
    <row r="32" customFormat="false" ht="15" hidden="false" customHeight="false" outlineLevel="0" collapsed="false">
      <c r="A32" s="4" t="n">
        <v>7</v>
      </c>
      <c r="B32" s="4" t="s">
        <v>12</v>
      </c>
      <c r="C32" s="4" t="s">
        <v>19</v>
      </c>
      <c r="D32" s="4" t="s">
        <v>15</v>
      </c>
      <c r="E32" s="4" t="n">
        <v>70</v>
      </c>
      <c r="F32" s="4" t="n">
        <v>62</v>
      </c>
      <c r="G32" s="4" t="n">
        <v>0.22</v>
      </c>
      <c r="H32" s="4" t="n">
        <v>19.5</v>
      </c>
      <c r="I32" s="4" t="n">
        <v>2400</v>
      </c>
      <c r="J32" s="4"/>
    </row>
    <row r="33" customFormat="false" ht="15" hidden="false" customHeight="false" outlineLevel="0" collapsed="false">
      <c r="A33" s="4" t="n">
        <v>7</v>
      </c>
      <c r="B33" s="4" t="s">
        <v>12</v>
      </c>
      <c r="C33" s="4" t="s">
        <v>19</v>
      </c>
      <c r="D33" s="4" t="s">
        <v>16</v>
      </c>
      <c r="E33" s="4" t="n">
        <v>70</v>
      </c>
      <c r="F33" s="4" t="n">
        <v>62</v>
      </c>
      <c r="G33" s="4" t="n">
        <v>0.22</v>
      </c>
      <c r="H33" s="4" t="n">
        <v>19.5</v>
      </c>
      <c r="I33" s="4" t="n">
        <v>2400</v>
      </c>
      <c r="J33" s="4"/>
    </row>
    <row r="34" customFormat="false" ht="15" hidden="false" customHeight="false" outlineLevel="0" collapsed="false">
      <c r="A34" s="4" t="n">
        <v>7</v>
      </c>
      <c r="B34" s="4" t="s">
        <v>12</v>
      </c>
      <c r="C34" s="4" t="s">
        <v>19</v>
      </c>
      <c r="D34" s="4" t="s">
        <v>17</v>
      </c>
      <c r="E34" s="4" t="n">
        <v>70</v>
      </c>
      <c r="F34" s="4" t="n">
        <v>62</v>
      </c>
      <c r="G34" s="4" t="n">
        <v>0.22</v>
      </c>
      <c r="H34" s="4" t="n">
        <v>19.5</v>
      </c>
      <c r="I34" s="4" t="n">
        <v>2400</v>
      </c>
      <c r="J34" s="4"/>
    </row>
    <row r="35" customFormat="false" ht="15" hidden="false" customHeight="false" outlineLevel="0" collapsed="false">
      <c r="A35" s="4" t="n">
        <v>7</v>
      </c>
      <c r="B35" s="4" t="s">
        <v>12</v>
      </c>
      <c r="C35" s="4" t="s">
        <v>19</v>
      </c>
      <c r="D35" s="4" t="s">
        <v>18</v>
      </c>
      <c r="E35" s="4" t="n">
        <v>70</v>
      </c>
      <c r="F35" s="4" t="n">
        <v>62</v>
      </c>
      <c r="G35" s="4" t="n">
        <v>0.22</v>
      </c>
      <c r="H35" s="4" t="n">
        <v>19.5</v>
      </c>
      <c r="I35" s="4" t="n">
        <v>2400</v>
      </c>
      <c r="J35" s="4"/>
    </row>
    <row r="36" customFormat="false" ht="15" hidden="false" customHeight="false" outlineLevel="0" collapsed="false">
      <c r="A36" s="4" t="n">
        <v>7</v>
      </c>
      <c r="B36" s="4" t="s">
        <v>20</v>
      </c>
      <c r="C36" s="4" t="s">
        <v>13</v>
      </c>
      <c r="D36" s="4" t="s">
        <v>14</v>
      </c>
      <c r="E36" s="4" t="n">
        <v>70</v>
      </c>
      <c r="F36" s="4" t="n">
        <v>68</v>
      </c>
      <c r="G36" s="4" t="n">
        <v>0.28</v>
      </c>
      <c r="H36" s="4" t="n">
        <v>22</v>
      </c>
      <c r="I36" s="4" t="n">
        <v>1900</v>
      </c>
      <c r="J36" s="4"/>
    </row>
    <row r="37" customFormat="false" ht="15" hidden="false" customHeight="false" outlineLevel="0" collapsed="false">
      <c r="A37" s="4" t="n">
        <v>7</v>
      </c>
      <c r="B37" s="4" t="s">
        <v>20</v>
      </c>
      <c r="C37" s="4" t="s">
        <v>13</v>
      </c>
      <c r="D37" s="4" t="s">
        <v>15</v>
      </c>
      <c r="E37" s="4" t="n">
        <v>70</v>
      </c>
      <c r="F37" s="4" t="n">
        <v>62</v>
      </c>
      <c r="G37" s="4" t="n">
        <v>0.22</v>
      </c>
      <c r="H37" s="4" t="n">
        <v>19.5</v>
      </c>
      <c r="I37" s="4" t="n">
        <v>1900</v>
      </c>
      <c r="J37" s="4"/>
    </row>
    <row r="38" customFormat="false" ht="15" hidden="false" customHeight="false" outlineLevel="0" collapsed="false">
      <c r="A38" s="4" t="n">
        <v>7</v>
      </c>
      <c r="B38" s="4" t="s">
        <v>20</v>
      </c>
      <c r="C38" s="4" t="s">
        <v>13</v>
      </c>
      <c r="D38" s="4" t="s">
        <v>16</v>
      </c>
      <c r="E38" s="4" t="n">
        <v>70</v>
      </c>
      <c r="F38" s="4" t="n">
        <v>62</v>
      </c>
      <c r="G38" s="4" t="n">
        <v>0.22</v>
      </c>
      <c r="H38" s="4" t="n">
        <v>19.5</v>
      </c>
      <c r="I38" s="4" t="n">
        <v>1900</v>
      </c>
      <c r="J38" s="4"/>
    </row>
    <row r="39" customFormat="false" ht="15" hidden="false" customHeight="false" outlineLevel="0" collapsed="false">
      <c r="A39" s="4" t="n">
        <v>7</v>
      </c>
      <c r="B39" s="4" t="s">
        <v>20</v>
      </c>
      <c r="C39" s="4" t="s">
        <v>13</v>
      </c>
      <c r="D39" s="4" t="s">
        <v>17</v>
      </c>
      <c r="E39" s="4" t="n">
        <v>70</v>
      </c>
      <c r="F39" s="4" t="n">
        <v>62</v>
      </c>
      <c r="G39" s="4" t="n">
        <v>0.22</v>
      </c>
      <c r="H39" s="4" t="n">
        <v>19.5</v>
      </c>
      <c r="I39" s="4" t="n">
        <v>1900</v>
      </c>
      <c r="J39" s="4"/>
    </row>
    <row r="40" customFormat="false" ht="15" hidden="false" customHeight="false" outlineLevel="0" collapsed="false">
      <c r="A40" s="4" t="n">
        <v>7</v>
      </c>
      <c r="B40" s="4" t="s">
        <v>20</v>
      </c>
      <c r="C40" s="4" t="s">
        <v>13</v>
      </c>
      <c r="D40" s="4" t="s">
        <v>18</v>
      </c>
      <c r="E40" s="4" t="n">
        <v>70</v>
      </c>
      <c r="F40" s="4" t="n">
        <v>62</v>
      </c>
      <c r="G40" s="4" t="n">
        <v>0.22</v>
      </c>
      <c r="H40" s="4" t="n">
        <v>19.5</v>
      </c>
      <c r="I40" s="4" t="n">
        <v>1900</v>
      </c>
      <c r="J40" s="4"/>
    </row>
    <row r="41" customFormat="false" ht="15" hidden="false" customHeight="false" outlineLevel="0" collapsed="false">
      <c r="A41" s="4" t="n">
        <v>7</v>
      </c>
      <c r="B41" s="4" t="s">
        <v>20</v>
      </c>
      <c r="C41" s="4" t="s">
        <v>19</v>
      </c>
      <c r="D41" s="4" t="s">
        <v>14</v>
      </c>
      <c r="E41" s="4" t="n">
        <v>70</v>
      </c>
      <c r="F41" s="4" t="n">
        <v>68</v>
      </c>
      <c r="G41" s="4" t="n">
        <v>0.28</v>
      </c>
      <c r="H41" s="4" t="n">
        <v>22</v>
      </c>
      <c r="I41" s="4" t="n">
        <v>2400</v>
      </c>
      <c r="J41" s="4"/>
    </row>
    <row r="42" customFormat="false" ht="15" hidden="false" customHeight="false" outlineLevel="0" collapsed="false">
      <c r="A42" s="4" t="n">
        <v>7</v>
      </c>
      <c r="B42" s="4" t="s">
        <v>20</v>
      </c>
      <c r="C42" s="4" t="s">
        <v>19</v>
      </c>
      <c r="D42" s="4" t="s">
        <v>15</v>
      </c>
      <c r="E42" s="4" t="n">
        <v>70</v>
      </c>
      <c r="F42" s="4" t="n">
        <v>62</v>
      </c>
      <c r="G42" s="4" t="n">
        <v>0.22</v>
      </c>
      <c r="H42" s="4" t="n">
        <v>19.5</v>
      </c>
      <c r="I42" s="4" t="n">
        <v>2400</v>
      </c>
      <c r="J42" s="4"/>
    </row>
    <row r="43" customFormat="false" ht="15" hidden="false" customHeight="false" outlineLevel="0" collapsed="false">
      <c r="A43" s="4" t="n">
        <v>7</v>
      </c>
      <c r="B43" s="4" t="s">
        <v>20</v>
      </c>
      <c r="C43" s="4" t="s">
        <v>19</v>
      </c>
      <c r="D43" s="4" t="s">
        <v>16</v>
      </c>
      <c r="E43" s="4" t="n">
        <v>70</v>
      </c>
      <c r="F43" s="4" t="n">
        <v>62</v>
      </c>
      <c r="G43" s="4" t="n">
        <v>0.22</v>
      </c>
      <c r="H43" s="4" t="n">
        <v>19.5</v>
      </c>
      <c r="I43" s="4" t="n">
        <v>2400</v>
      </c>
      <c r="J43" s="4"/>
    </row>
    <row r="44" customFormat="false" ht="15" hidden="false" customHeight="false" outlineLevel="0" collapsed="false">
      <c r="A44" s="4" t="n">
        <v>7</v>
      </c>
      <c r="B44" s="4" t="s">
        <v>20</v>
      </c>
      <c r="C44" s="4" t="s">
        <v>19</v>
      </c>
      <c r="D44" s="4" t="s">
        <v>17</v>
      </c>
      <c r="E44" s="4" t="n">
        <v>70</v>
      </c>
      <c r="F44" s="4" t="n">
        <v>62</v>
      </c>
      <c r="G44" s="4" t="n">
        <v>0.22</v>
      </c>
      <c r="H44" s="4" t="n">
        <v>19.5</v>
      </c>
      <c r="I44" s="4" t="n">
        <v>2400</v>
      </c>
      <c r="J44" s="4"/>
    </row>
    <row r="45" customFormat="false" ht="15" hidden="false" customHeight="false" outlineLevel="0" collapsed="false">
      <c r="A45" s="4" t="n">
        <v>7</v>
      </c>
      <c r="B45" s="4" t="s">
        <v>20</v>
      </c>
      <c r="C45" s="4" t="s">
        <v>19</v>
      </c>
      <c r="D45" s="4" t="s">
        <v>18</v>
      </c>
      <c r="E45" s="4" t="n">
        <v>70</v>
      </c>
      <c r="F45" s="4" t="n">
        <v>62</v>
      </c>
      <c r="G45" s="4" t="n">
        <v>0.22</v>
      </c>
      <c r="H45" s="4" t="n">
        <v>19.5</v>
      </c>
      <c r="I45" s="4" t="n">
        <v>2400</v>
      </c>
      <c r="J45" s="4"/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18"/>
    <col collapsed="false" customWidth="true" hidden="false" outlineLevel="0" max="13" min="13" style="0" width="16"/>
  </cols>
  <sheetData>
    <row r="1" customFormat="false" ht="17.35" hidden="false" customHeight="false" outlineLevel="0" collapsed="false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customFormat="false" ht="28.35" hidden="false" customHeight="false" outlineLevel="0" collapsed="false">
      <c r="A4" s="3" t="s">
        <v>2</v>
      </c>
      <c r="B4" s="3" t="s">
        <v>3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  <c r="M4" s="3" t="s">
        <v>32</v>
      </c>
    </row>
    <row r="5" customFormat="false" ht="15" hidden="false" customHeight="false" outlineLevel="0" collapsed="false">
      <c r="A5" s="4" t="n">
        <v>6</v>
      </c>
      <c r="B5" s="4" t="s">
        <v>12</v>
      </c>
      <c r="C5" s="4" t="s">
        <v>33</v>
      </c>
      <c r="D5" s="4" t="n">
        <v>4000</v>
      </c>
      <c r="E5" s="4" t="n">
        <v>68</v>
      </c>
      <c r="F5" s="4" t="n">
        <v>272000</v>
      </c>
      <c r="G5" s="4" t="n">
        <v>7.5</v>
      </c>
      <c r="H5" s="4" t="n">
        <v>251600</v>
      </c>
      <c r="I5" s="4" t="n">
        <v>52500</v>
      </c>
      <c r="J5" s="4" t="n">
        <v>17700</v>
      </c>
      <c r="K5" s="4" t="n">
        <v>17</v>
      </c>
      <c r="L5" s="4" t="n">
        <v>12750</v>
      </c>
      <c r="M5" s="4" t="n">
        <v>30000</v>
      </c>
    </row>
    <row r="6" customFormat="false" ht="15" hidden="false" customHeight="false" outlineLevel="0" collapsed="false">
      <c r="A6" s="4" t="n">
        <v>6</v>
      </c>
      <c r="B6" s="4" t="s">
        <v>20</v>
      </c>
      <c r="C6" s="4" t="s">
        <v>33</v>
      </c>
      <c r="D6" s="4" t="n">
        <v>2000</v>
      </c>
      <c r="E6" s="4" t="n">
        <v>68</v>
      </c>
      <c r="F6" s="4" t="n">
        <v>136000</v>
      </c>
      <c r="G6" s="4" t="n">
        <v>7.5</v>
      </c>
      <c r="H6" s="4" t="n">
        <v>125800</v>
      </c>
      <c r="I6" s="4" t="n">
        <v>52500</v>
      </c>
      <c r="J6" s="4" t="n">
        <v>17700</v>
      </c>
      <c r="K6" s="4" t="n">
        <v>8</v>
      </c>
      <c r="L6" s="4" t="n">
        <v>6000</v>
      </c>
      <c r="M6" s="4" t="n">
        <v>30000</v>
      </c>
    </row>
    <row r="7" customFormat="false" ht="15" hidden="false" customHeight="false" outlineLevel="0" collapsed="false">
      <c r="A7" s="4" t="n">
        <v>7</v>
      </c>
      <c r="B7" s="4" t="s">
        <v>12</v>
      </c>
      <c r="C7" s="4" t="s">
        <v>33</v>
      </c>
      <c r="D7" s="4" t="n">
        <v>4000</v>
      </c>
      <c r="E7" s="4" t="n">
        <v>68</v>
      </c>
      <c r="F7" s="4" t="n">
        <v>272000</v>
      </c>
      <c r="G7" s="4" t="n">
        <v>7.5</v>
      </c>
      <c r="H7" s="4" t="n">
        <v>251600</v>
      </c>
      <c r="I7" s="4" t="n">
        <v>52500</v>
      </c>
      <c r="J7" s="4" t="n">
        <v>19500</v>
      </c>
      <c r="K7" s="4" t="n">
        <v>17</v>
      </c>
      <c r="L7" s="4" t="n">
        <v>12750</v>
      </c>
      <c r="M7" s="4" t="n">
        <v>30000</v>
      </c>
    </row>
    <row r="8" customFormat="false" ht="15" hidden="false" customHeight="false" outlineLevel="0" collapsed="false">
      <c r="A8" s="4" t="n">
        <v>7</v>
      </c>
      <c r="B8" s="4" t="s">
        <v>20</v>
      </c>
      <c r="C8" s="4" t="s">
        <v>33</v>
      </c>
      <c r="D8" s="4" t="n">
        <v>2000</v>
      </c>
      <c r="E8" s="4" t="n">
        <v>68</v>
      </c>
      <c r="F8" s="4" t="n">
        <v>136000</v>
      </c>
      <c r="G8" s="4" t="n">
        <v>7.5</v>
      </c>
      <c r="H8" s="4" t="n">
        <v>125800</v>
      </c>
      <c r="I8" s="4" t="n">
        <v>52500</v>
      </c>
      <c r="J8" s="4" t="n">
        <v>19500</v>
      </c>
      <c r="K8" s="4" t="n">
        <v>8</v>
      </c>
      <c r="L8" s="4" t="n">
        <v>6000</v>
      </c>
      <c r="M8" s="4" t="n">
        <v>30000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2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1" min="10" style="0" width="16"/>
  </cols>
  <sheetData>
    <row r="1" customFormat="false" ht="17.35" hidden="false" customHeight="false" outlineLevel="0" collapsed="false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4" customFormat="false" ht="28.35" hidden="false" customHeight="false" outlineLevel="0" collapsed="false">
      <c r="A4" s="3" t="s">
        <v>2</v>
      </c>
      <c r="B4" s="3" t="s">
        <v>3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</row>
    <row r="5" customFormat="false" ht="15" hidden="false" customHeight="false" outlineLevel="0" collapsed="false">
      <c r="A5" s="4" t="n">
        <v>6</v>
      </c>
      <c r="B5" s="4" t="s">
        <v>12</v>
      </c>
      <c r="C5" s="4" t="n">
        <v>3862</v>
      </c>
      <c r="D5" s="4" t="n">
        <v>11052</v>
      </c>
      <c r="E5" s="4" t="n">
        <v>0</v>
      </c>
      <c r="F5" s="4" t="n">
        <v>4277</v>
      </c>
      <c r="G5" s="4" t="n">
        <v>8900</v>
      </c>
      <c r="H5" s="4" t="n">
        <v>1737</v>
      </c>
      <c r="I5" s="4" t="n">
        <v>0</v>
      </c>
      <c r="J5" s="4" t="n">
        <v>0</v>
      </c>
      <c r="K5" s="4" t="n">
        <v>0</v>
      </c>
    </row>
    <row r="6" customFormat="false" ht="15" hidden="false" customHeight="false" outlineLevel="0" collapsed="false">
      <c r="A6" s="4" t="n">
        <v>6</v>
      </c>
      <c r="B6" s="4" t="s">
        <v>20</v>
      </c>
      <c r="C6" s="4" t="n">
        <v>1816</v>
      </c>
      <c r="D6" s="4" t="n">
        <v>2940</v>
      </c>
      <c r="E6" s="4" t="n">
        <v>0</v>
      </c>
      <c r="F6" s="4" t="n">
        <v>0</v>
      </c>
      <c r="G6" s="4" t="n">
        <v>4028</v>
      </c>
      <c r="H6" s="4" t="n">
        <v>1299</v>
      </c>
      <c r="I6" s="4" t="n">
        <v>0</v>
      </c>
      <c r="J6" s="4" t="n">
        <v>0</v>
      </c>
      <c r="K6" s="4" t="n">
        <v>0</v>
      </c>
    </row>
    <row r="7" customFormat="false" ht="15" hidden="false" customHeight="false" outlineLevel="0" collapsed="false">
      <c r="A7" s="4" t="n">
        <v>7</v>
      </c>
      <c r="B7" s="4" t="s">
        <v>12</v>
      </c>
      <c r="C7" s="4" t="n">
        <v>3862</v>
      </c>
      <c r="D7" s="4" t="n">
        <v>11052</v>
      </c>
      <c r="E7" s="4" t="n">
        <v>0</v>
      </c>
      <c r="F7" s="4" t="n">
        <v>4277</v>
      </c>
      <c r="G7" s="4" t="n">
        <v>8900</v>
      </c>
      <c r="H7" s="4" t="n">
        <v>1737</v>
      </c>
      <c r="I7" s="4" t="n">
        <v>0</v>
      </c>
      <c r="J7" s="4" t="n">
        <v>150</v>
      </c>
      <c r="K7" s="4" t="n">
        <v>1</v>
      </c>
    </row>
    <row r="8" customFormat="false" ht="15" hidden="false" customHeight="false" outlineLevel="0" collapsed="false">
      <c r="A8" s="4" t="n">
        <v>7</v>
      </c>
      <c r="B8" s="4" t="s">
        <v>20</v>
      </c>
      <c r="C8" s="4" t="n">
        <v>1816</v>
      </c>
      <c r="D8" s="4" t="n">
        <v>2940</v>
      </c>
      <c r="E8" s="4" t="n">
        <v>0</v>
      </c>
      <c r="F8" s="4" t="n">
        <v>0</v>
      </c>
      <c r="G8" s="4" t="n">
        <v>4028</v>
      </c>
      <c r="H8" s="4" t="n">
        <v>1299</v>
      </c>
      <c r="I8" s="4" t="n">
        <v>0</v>
      </c>
      <c r="J8" s="4" t="n">
        <v>0</v>
      </c>
      <c r="K8" s="4" t="n">
        <v>0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4" min="1" style="0" width="14"/>
  </cols>
  <sheetData>
    <row r="1" customFormat="false" ht="17.35" hidden="false" customHeight="false" outlineLevel="0" collapsed="false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3" customFormat="false" ht="15" hidden="false" customHeight="false" outlineLevel="0" collapsed="false">
      <c r="A3" s="2" t="s">
        <v>45</v>
      </c>
    </row>
    <row r="5" customFormat="false" ht="28.35" hidden="false" customHeight="false" outlineLevel="0" collapsed="false">
      <c r="A5" s="3" t="s">
        <v>2</v>
      </c>
      <c r="B5" s="3" t="s">
        <v>3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54</v>
      </c>
      <c r="L5" s="3" t="s">
        <v>55</v>
      </c>
      <c r="M5" s="3" t="s">
        <v>10</v>
      </c>
      <c r="N5" s="3" t="s">
        <v>27</v>
      </c>
      <c r="O5" s="3" t="s">
        <v>42</v>
      </c>
      <c r="P5" s="3" t="s">
        <v>56</v>
      </c>
      <c r="Q5" s="3" t="s">
        <v>57</v>
      </c>
      <c r="R5" s="3" t="s">
        <v>58</v>
      </c>
      <c r="S5" s="3" t="s">
        <v>59</v>
      </c>
      <c r="T5" s="3" t="s">
        <v>60</v>
      </c>
      <c r="U5" s="3" t="s">
        <v>61</v>
      </c>
      <c r="V5" s="3" t="s">
        <v>62</v>
      </c>
      <c r="W5" s="3" t="s">
        <v>63</v>
      </c>
      <c r="X5" s="3" t="s">
        <v>64</v>
      </c>
    </row>
    <row r="6" customFormat="false" ht="15" hidden="false" customHeight="false" outlineLevel="0" collapsed="false">
      <c r="A6" s="5" t="n">
        <v>6</v>
      </c>
      <c r="B6" s="5" t="s">
        <v>12</v>
      </c>
      <c r="C6" s="6" t="n">
        <f aca="false">SUMIFS(INPUT_MarketReport!E:E,INPUT_MarketReport!A:A,A6,INPUT_MarketReport!B:B,B6,INPUT_MarketReport!D:D,"MyCompany")/2</f>
        <v>68</v>
      </c>
      <c r="D6" s="6" t="n">
        <f aca="false">AVERAGEIFS(INPUT_MarketReport!E:E,INPUT_MarketReport!A:A,A6,INPUT_MarketReport!B:B,B6,INPUT_MarketReport!D:D,"&lt;&gt;MyCompany")/2</f>
        <v>34</v>
      </c>
      <c r="E6" s="7" t="n">
        <f aca="false">IF(D6=0,"-",C6/D6)</f>
        <v>2</v>
      </c>
      <c r="F6" s="6" t="n">
        <f aca="false">AVERAGEIFS(INPUT_MarketReport!F:F,INPUT_MarketReport!A:A,A6,INPUT_MarketReport!B:B,B6,INPUT_MarketReport!D:D,"MyCompany")</f>
        <v>65</v>
      </c>
      <c r="G6" s="6" t="n">
        <f aca="false">MAX(IF((INPUT_MarketReport!A$6:A$100=A6)*(INPUT_MarketReport!B$6:B$100=B6)*(INPUT_MarketReport!D$6:D$100&lt;&gt;"MyCompany"),INPUT_MarketReport!F$6:F$100,0))</f>
        <v>0</v>
      </c>
      <c r="H6" s="7" t="n">
        <f aca="false">F6-G6</f>
        <v>65</v>
      </c>
      <c r="I6" s="6" t="n">
        <f aca="false">AVERAGEIFS(INPUT_MarketReport!G:G,INPUT_MarketReport!A:A,A6,INPUT_MarketReport!B:B,B6,INPUT_MarketReport!D:D,"MyCompany")</f>
        <v>0.25</v>
      </c>
      <c r="J6" s="6" t="n">
        <f aca="false">MAX(IF((INPUT_MarketReport!A$6:A$100=A6)*(INPUT_MarketReport!B$6:B$100=B6)*(INPUT_MarketReport!D$6:D$100&lt;&gt;"MyCompany"),INPUT_MarketReport!G$6:G$100,0))</f>
        <v>0</v>
      </c>
      <c r="K6" s="7" t="n">
        <f aca="false">I6-J6</f>
        <v>0.25</v>
      </c>
      <c r="L6" s="6" t="n">
        <f aca="false">AVERAGEIFS(INPUT_MarketReport!H:H,INPUT_MarketReport!A:A,A6,INPUT_MarketReport!B:B,B6,INPUT_MarketReport!D:D,"MyCompany")</f>
        <v>20</v>
      </c>
      <c r="M6" s="6" t="n">
        <f aca="false">SUMIFS(INPUT_SalesAdmin!D:D,INPUT_SalesAdmin!A:A,A6,INPUT_SalesAdmin!B:B,B6)</f>
        <v>4000</v>
      </c>
      <c r="N6" s="6" t="n">
        <f aca="false">SUMIFS(INPUT_SalesAdmin!H:H,INPUT_SalesAdmin!A:A,A6,INPUT_SalesAdmin!B:B,B6)</f>
        <v>251600</v>
      </c>
      <c r="O6" s="6" t="n">
        <f aca="false">SUMIFS(INPUT_Inventory!J:J,INPUT_Inventory!A:A,A6,INPUT_Inventory!B:B,B6)</f>
        <v>0</v>
      </c>
      <c r="P6" s="7" t="n">
        <f aca="false">IF((M6+O6)=0,0,O6/(M6+O6))</f>
        <v>0</v>
      </c>
      <c r="Q6" s="6" t="n">
        <f aca="false">SUMIFS(INPUT_SalesAdmin!I:I,INPUT_SalesAdmin!A:A,A6,INPUT_SalesAdmin!B:B,B6)</f>
        <v>52500</v>
      </c>
      <c r="R6" s="6" t="n">
        <f aca="false">SUMIFS(INPUT_SalesAdmin!J:J,INPUT_SalesAdmin!A:A,A6,INPUT_SalesAdmin!B:B,B6)</f>
        <v>17700</v>
      </c>
      <c r="S6" s="7" t="n">
        <f aca="false">Q6+R6</f>
        <v>70200</v>
      </c>
      <c r="T6" s="6" t="n">
        <f aca="false">SUMIFS(INPUT_SalesAdmin!K:K,INPUT_SalesAdmin!A:A,A6,INPUT_SalesAdmin!B:B,B6)</f>
        <v>17</v>
      </c>
      <c r="U6" s="6" t="n">
        <f aca="false">SUMIFS(INPUT_SalesAdmin!L:L,INPUT_SalesAdmin!A:A,A6,INPUT_SalesAdmin!B:B,B6)</f>
        <v>12750</v>
      </c>
      <c r="V6" s="7" t="n">
        <f aca="false">S6+U6+SUMIFS(INPUT_SalesAdmin!M:M,INPUT_SalesAdmin!A:A,A6,INPUT_SalesAdmin!B:B,B6)</f>
        <v>112950</v>
      </c>
      <c r="W6" s="7" t="n">
        <f aca="false">IF(N6=0,0,V6/N6)</f>
        <v>0.448926868044515</v>
      </c>
      <c r="X6" s="7" t="n">
        <f aca="false">IF(M6=0,0,(S6+U6)/M6)</f>
        <v>20.7375</v>
      </c>
    </row>
    <row r="7" customFormat="false" ht="15" hidden="false" customHeight="false" outlineLevel="0" collapsed="false">
      <c r="A7" s="5" t="n">
        <v>6</v>
      </c>
      <c r="B7" s="5" t="s">
        <v>20</v>
      </c>
      <c r="C7" s="6" t="n">
        <f aca="false">SUMIFS(INPUT_MarketReport!E:E,INPUT_MarketReport!A:A,A7,INPUT_MarketReport!B:B,B7,INPUT_MarketReport!D:D,"MyCompany")/2</f>
        <v>68</v>
      </c>
      <c r="D7" s="6" t="n">
        <f aca="false">AVERAGEIFS(INPUT_MarketReport!E:E,INPUT_MarketReport!A:A,A7,INPUT_MarketReport!B:B,B7,INPUT_MarketReport!D:D,"&lt;&gt;MyCompany")/2</f>
        <v>34</v>
      </c>
      <c r="E7" s="7" t="n">
        <f aca="false">IF(D7=0,"-",C7/D7)</f>
        <v>2</v>
      </c>
      <c r="F7" s="6" t="n">
        <f aca="false">AVERAGEIFS(INPUT_MarketReport!F:F,INPUT_MarketReport!A:A,A7,INPUT_MarketReport!B:B,B7,INPUT_MarketReport!D:D,"MyCompany")</f>
        <v>65</v>
      </c>
      <c r="G7" s="6" t="n">
        <f aca="false">MAX(IF((INPUT_MarketReport!A$6:A$100=A7)*(INPUT_MarketReport!B$6:B$100=B7)*(INPUT_MarketReport!D$6:D$100&lt;&gt;"MyCompany"),INPUT_MarketReport!F$6:F$100,0))</f>
        <v>0</v>
      </c>
      <c r="H7" s="7" t="n">
        <f aca="false">F7-G7</f>
        <v>65</v>
      </c>
      <c r="I7" s="6" t="n">
        <f aca="false">AVERAGEIFS(INPUT_MarketReport!G:G,INPUT_MarketReport!A:A,A7,INPUT_MarketReport!B:B,B7,INPUT_MarketReport!D:D,"MyCompany")</f>
        <v>0.25</v>
      </c>
      <c r="J7" s="6" t="n">
        <f aca="false">MAX(IF((INPUT_MarketReport!A$6:A$100=A7)*(INPUT_MarketReport!B$6:B$100=B7)*(INPUT_MarketReport!D$6:D$100&lt;&gt;"MyCompany"),INPUT_MarketReport!G$6:G$100,0))</f>
        <v>0</v>
      </c>
      <c r="K7" s="7" t="n">
        <f aca="false">I7-J7</f>
        <v>0.25</v>
      </c>
      <c r="L7" s="6" t="n">
        <f aca="false">AVERAGEIFS(INPUT_MarketReport!H:H,INPUT_MarketReport!A:A,A7,INPUT_MarketReport!B:B,B7,INPUT_MarketReport!D:D,"MyCompany")</f>
        <v>20</v>
      </c>
      <c r="M7" s="6" t="n">
        <f aca="false">SUMIFS(INPUT_SalesAdmin!D:D,INPUT_SalesAdmin!A:A,A7,INPUT_SalesAdmin!B:B,B7)</f>
        <v>2000</v>
      </c>
      <c r="N7" s="6" t="n">
        <f aca="false">SUMIFS(INPUT_SalesAdmin!H:H,INPUT_SalesAdmin!A:A,A7,INPUT_SalesAdmin!B:B,B7)</f>
        <v>125800</v>
      </c>
      <c r="O7" s="6" t="n">
        <f aca="false">SUMIFS(INPUT_Inventory!J:J,INPUT_Inventory!A:A,A7,INPUT_Inventory!B:B,B7)</f>
        <v>0</v>
      </c>
      <c r="P7" s="7" t="n">
        <f aca="false">IF((M7+O7)=0,0,O7/(M7+O7))</f>
        <v>0</v>
      </c>
      <c r="Q7" s="6" t="n">
        <f aca="false">SUMIFS(INPUT_SalesAdmin!I:I,INPUT_SalesAdmin!A:A,A7,INPUT_SalesAdmin!B:B,B7)</f>
        <v>52500</v>
      </c>
      <c r="R7" s="6" t="n">
        <f aca="false">SUMIFS(INPUT_SalesAdmin!J:J,INPUT_SalesAdmin!A:A,A7,INPUT_SalesAdmin!B:B,B7)</f>
        <v>17700</v>
      </c>
      <c r="S7" s="7" t="n">
        <f aca="false">Q7+R7</f>
        <v>70200</v>
      </c>
      <c r="T7" s="6" t="n">
        <f aca="false">SUMIFS(INPUT_SalesAdmin!K:K,INPUT_SalesAdmin!A:A,A7,INPUT_SalesAdmin!B:B,B7)</f>
        <v>8</v>
      </c>
      <c r="U7" s="6" t="n">
        <f aca="false">SUMIFS(INPUT_SalesAdmin!L:L,INPUT_SalesAdmin!A:A,A7,INPUT_SalesAdmin!B:B,B7)</f>
        <v>6000</v>
      </c>
      <c r="V7" s="7" t="n">
        <f aca="false">S7+U7+SUMIFS(INPUT_SalesAdmin!M:M,INPUT_SalesAdmin!A:A,A7,INPUT_SalesAdmin!B:B,B7)</f>
        <v>106200</v>
      </c>
      <c r="W7" s="7" t="n">
        <f aca="false">IF(N7=0,0,V7/N7)</f>
        <v>0.844197138314785</v>
      </c>
      <c r="X7" s="7" t="n">
        <f aca="false">IF(M7=0,0,(S7+U7)/M7)</f>
        <v>38.1</v>
      </c>
    </row>
    <row r="8" customFormat="false" ht="15" hidden="false" customHeight="false" outlineLevel="0" collapsed="false">
      <c r="A8" s="5" t="n">
        <v>7</v>
      </c>
      <c r="B8" s="5" t="s">
        <v>12</v>
      </c>
      <c r="C8" s="6" t="n">
        <f aca="false">SUMIFS(INPUT_MarketReport!E:E,INPUT_MarketReport!A:A,A8,INPUT_MarketReport!B:B,B8,INPUT_MarketReport!D:D,"MyCompany")/2</f>
        <v>70</v>
      </c>
      <c r="D8" s="6" t="n">
        <f aca="false">AVERAGEIFS(INPUT_MarketReport!E:E,INPUT_MarketReport!A:A,A8,INPUT_MarketReport!B:B,B8,INPUT_MarketReport!D:D,"&lt;&gt;MyCompany")/2</f>
        <v>35</v>
      </c>
      <c r="E8" s="7" t="n">
        <f aca="false">IF(D8=0,"-",C8/D8)</f>
        <v>2</v>
      </c>
      <c r="F8" s="6" t="n">
        <f aca="false">AVERAGEIFS(INPUT_MarketReport!F:F,INPUT_MarketReport!A:A,A8,INPUT_MarketReport!B:B,B8,INPUT_MarketReport!D:D,"MyCompany")</f>
        <v>68</v>
      </c>
      <c r="G8" s="6" t="n">
        <f aca="false">MAX(IF((INPUT_MarketReport!A$6:A$100=A8)*(INPUT_MarketReport!B$6:B$100=B8)*(INPUT_MarketReport!D$6:D$100&lt;&gt;"MyCompany"),INPUT_MarketReport!F$6:F$100,0))</f>
        <v>0</v>
      </c>
      <c r="H8" s="7" t="n">
        <f aca="false">F8-G8</f>
        <v>68</v>
      </c>
      <c r="I8" s="6" t="n">
        <f aca="false">AVERAGEIFS(INPUT_MarketReport!G:G,INPUT_MarketReport!A:A,A8,INPUT_MarketReport!B:B,B8,INPUT_MarketReport!D:D,"MyCompany")</f>
        <v>0.28</v>
      </c>
      <c r="J8" s="6" t="n">
        <f aca="false">MAX(IF((INPUT_MarketReport!A$6:A$100=A8)*(INPUT_MarketReport!B$6:B$100=B8)*(INPUT_MarketReport!D$6:D$100&lt;&gt;"MyCompany"),INPUT_MarketReport!G$6:G$100,0))</f>
        <v>0</v>
      </c>
      <c r="K8" s="7" t="n">
        <f aca="false">I8-J8</f>
        <v>0.28</v>
      </c>
      <c r="L8" s="6" t="n">
        <f aca="false">AVERAGEIFS(INPUT_MarketReport!H:H,INPUT_MarketReport!A:A,A8,INPUT_MarketReport!B:B,B8,INPUT_MarketReport!D:D,"MyCompany")</f>
        <v>22</v>
      </c>
      <c r="M8" s="6" t="n">
        <f aca="false">SUMIFS(INPUT_SalesAdmin!D:D,INPUT_SalesAdmin!A:A,A8,INPUT_SalesAdmin!B:B,B8)</f>
        <v>4000</v>
      </c>
      <c r="N8" s="6" t="n">
        <f aca="false">SUMIFS(INPUT_SalesAdmin!H:H,INPUT_SalesAdmin!A:A,A8,INPUT_SalesAdmin!B:B,B8)</f>
        <v>251600</v>
      </c>
      <c r="O8" s="6" t="n">
        <f aca="false">SUMIFS(INPUT_Inventory!J:J,INPUT_Inventory!A:A,A8,INPUT_Inventory!B:B,B8)</f>
        <v>150</v>
      </c>
      <c r="P8" s="7" t="n">
        <f aca="false">IF((M8+O8)=0,0,O8/(M8+O8))</f>
        <v>0.036144578313253</v>
      </c>
      <c r="Q8" s="6" t="n">
        <f aca="false">SUMIFS(INPUT_SalesAdmin!I:I,INPUT_SalesAdmin!A:A,A8,INPUT_SalesAdmin!B:B,B8)</f>
        <v>52500</v>
      </c>
      <c r="R8" s="6" t="n">
        <f aca="false">SUMIFS(INPUT_SalesAdmin!J:J,INPUT_SalesAdmin!A:A,A8,INPUT_SalesAdmin!B:B,B8)</f>
        <v>19500</v>
      </c>
      <c r="S8" s="7" t="n">
        <f aca="false">Q8+R8</f>
        <v>72000</v>
      </c>
      <c r="T8" s="6" t="n">
        <f aca="false">SUMIFS(INPUT_SalesAdmin!K:K,INPUT_SalesAdmin!A:A,A8,INPUT_SalesAdmin!B:B,B8)</f>
        <v>17</v>
      </c>
      <c r="U8" s="6" t="n">
        <f aca="false">SUMIFS(INPUT_SalesAdmin!L:L,INPUT_SalesAdmin!A:A,A8,INPUT_SalesAdmin!B:B,B8)</f>
        <v>12750</v>
      </c>
      <c r="V8" s="7" t="n">
        <f aca="false">S8+U8+SUMIFS(INPUT_SalesAdmin!M:M,INPUT_SalesAdmin!A:A,A8,INPUT_SalesAdmin!B:B,B8)</f>
        <v>114750</v>
      </c>
      <c r="W8" s="7" t="n">
        <f aca="false">IF(N8=0,0,V8/N8)</f>
        <v>0.456081081081081</v>
      </c>
      <c r="X8" s="7" t="n">
        <f aca="false">IF(M8=0,0,(S8+U8)/M8)</f>
        <v>21.1875</v>
      </c>
    </row>
    <row r="9" customFormat="false" ht="15" hidden="false" customHeight="false" outlineLevel="0" collapsed="false">
      <c r="A9" s="5" t="n">
        <v>7</v>
      </c>
      <c r="B9" s="5" t="s">
        <v>20</v>
      </c>
      <c r="C9" s="6" t="n">
        <f aca="false">SUMIFS(INPUT_MarketReport!E:E,INPUT_MarketReport!A:A,A9,INPUT_MarketReport!B:B,B9,INPUT_MarketReport!D:D,"MyCompany")/2</f>
        <v>70</v>
      </c>
      <c r="D9" s="6" t="n">
        <f aca="false">AVERAGEIFS(INPUT_MarketReport!E:E,INPUT_MarketReport!A:A,A9,INPUT_MarketReport!B:B,B9,INPUT_MarketReport!D:D,"&lt;&gt;MyCompany")/2</f>
        <v>35</v>
      </c>
      <c r="E9" s="7" t="n">
        <f aca="false">IF(D9=0,"-",C9/D9)</f>
        <v>2</v>
      </c>
      <c r="F9" s="6" t="n">
        <f aca="false">AVERAGEIFS(INPUT_MarketReport!F:F,INPUT_MarketReport!A:A,A9,INPUT_MarketReport!B:B,B9,INPUT_MarketReport!D:D,"MyCompany")</f>
        <v>68</v>
      </c>
      <c r="G9" s="6" t="n">
        <f aca="false">MAX(IF((INPUT_MarketReport!A$6:A$100=A9)*(INPUT_MarketReport!B$6:B$100=B9)*(INPUT_MarketReport!D$6:D$100&lt;&gt;"MyCompany"),INPUT_MarketReport!F$6:F$100,0))</f>
        <v>0</v>
      </c>
      <c r="H9" s="7" t="n">
        <f aca="false">F9-G9</f>
        <v>68</v>
      </c>
      <c r="I9" s="6" t="n">
        <f aca="false">AVERAGEIFS(INPUT_MarketReport!G:G,INPUT_MarketReport!A:A,A9,INPUT_MarketReport!B:B,B9,INPUT_MarketReport!D:D,"MyCompany")</f>
        <v>0.28</v>
      </c>
      <c r="J9" s="6" t="n">
        <f aca="false">MAX(IF((INPUT_MarketReport!A$6:A$100=A9)*(INPUT_MarketReport!B$6:B$100=B9)*(INPUT_MarketReport!D$6:D$100&lt;&gt;"MyCompany"),INPUT_MarketReport!G$6:G$100,0))</f>
        <v>0</v>
      </c>
      <c r="K9" s="7" t="n">
        <f aca="false">I9-J9</f>
        <v>0.28</v>
      </c>
      <c r="L9" s="6" t="n">
        <f aca="false">AVERAGEIFS(INPUT_MarketReport!H:H,INPUT_MarketReport!A:A,A9,INPUT_MarketReport!B:B,B9,INPUT_MarketReport!D:D,"MyCompany")</f>
        <v>22</v>
      </c>
      <c r="M9" s="6" t="n">
        <f aca="false">SUMIFS(INPUT_SalesAdmin!D:D,INPUT_SalesAdmin!A:A,A9,INPUT_SalesAdmin!B:B,B9)</f>
        <v>2000</v>
      </c>
      <c r="N9" s="6" t="n">
        <f aca="false">SUMIFS(INPUT_SalesAdmin!H:H,INPUT_SalesAdmin!A:A,A9,INPUT_SalesAdmin!B:B,B9)</f>
        <v>125800</v>
      </c>
      <c r="O9" s="6" t="n">
        <f aca="false">SUMIFS(INPUT_Inventory!J:J,INPUT_Inventory!A:A,A9,INPUT_Inventory!B:B,B9)</f>
        <v>0</v>
      </c>
      <c r="P9" s="7" t="n">
        <f aca="false">IF((M9+O9)=0,0,O9/(M9+O9))</f>
        <v>0</v>
      </c>
      <c r="Q9" s="6" t="n">
        <f aca="false">SUMIFS(INPUT_SalesAdmin!I:I,INPUT_SalesAdmin!A:A,A9,INPUT_SalesAdmin!B:B,B9)</f>
        <v>52500</v>
      </c>
      <c r="R9" s="6" t="n">
        <f aca="false">SUMIFS(INPUT_SalesAdmin!J:J,INPUT_SalesAdmin!A:A,A9,INPUT_SalesAdmin!B:B,B9)</f>
        <v>19500</v>
      </c>
      <c r="S9" s="7" t="n">
        <f aca="false">Q9+R9</f>
        <v>72000</v>
      </c>
      <c r="T9" s="6" t="n">
        <f aca="false">SUMIFS(INPUT_SalesAdmin!K:K,INPUT_SalesAdmin!A:A,A9,INPUT_SalesAdmin!B:B,B9)</f>
        <v>8</v>
      </c>
      <c r="U9" s="6" t="n">
        <f aca="false">SUMIFS(INPUT_SalesAdmin!L:L,INPUT_SalesAdmin!A:A,A9,INPUT_SalesAdmin!B:B,B9)</f>
        <v>6000</v>
      </c>
      <c r="V9" s="7" t="n">
        <f aca="false">S9+U9+SUMIFS(INPUT_SalesAdmin!M:M,INPUT_SalesAdmin!A:A,A9,INPUT_SalesAdmin!B:B,B9)</f>
        <v>108000</v>
      </c>
      <c r="W9" s="7" t="n">
        <f aca="false">IF(N9=0,0,V9/N9)</f>
        <v>0.858505564387917</v>
      </c>
      <c r="X9" s="7" t="n">
        <f aca="false">IF(M9=0,0,(S9+U9)/M9)</f>
        <v>39</v>
      </c>
    </row>
  </sheetData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8"/>
    <col collapsed="false" customWidth="true" hidden="false" outlineLevel="0" max="5" min="4" style="0" width="22"/>
    <col collapsed="false" customWidth="true" hidden="false" outlineLevel="0" max="7" min="6" style="0" width="14"/>
  </cols>
  <sheetData>
    <row r="1" customFormat="false" ht="17.35" hidden="false" customHeight="fals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15" hidden="false" customHeight="false" outlineLevel="0" collapsed="false">
      <c r="A3" s="8" t="s">
        <v>66</v>
      </c>
    </row>
    <row r="5" customFormat="false" ht="15" hidden="false" customHeight="false" outlineLevel="0" collapsed="false">
      <c r="A5" s="3" t="s">
        <v>67</v>
      </c>
      <c r="B5" s="3" t="s">
        <v>68</v>
      </c>
      <c r="C5" s="3" t="s">
        <v>69</v>
      </c>
      <c r="D5" s="3" t="s">
        <v>70</v>
      </c>
      <c r="E5" s="3" t="s">
        <v>71</v>
      </c>
      <c r="F5" s="3" t="s">
        <v>72</v>
      </c>
      <c r="G5" s="3" t="s">
        <v>73</v>
      </c>
    </row>
    <row r="6" customFormat="false" ht="15" hidden="false" customHeight="false" outlineLevel="0" collapsed="false">
      <c r="A6" s="5" t="s">
        <v>74</v>
      </c>
      <c r="B6" s="6" t="n">
        <f aca="false">MASTER_Table!L6</f>
        <v>20</v>
      </c>
      <c r="C6" s="6" t="n">
        <f aca="false">MASTER_Table!L7</f>
        <v>20</v>
      </c>
      <c r="D6" s="6" t="n">
        <f aca="false">MASTER_Table!L8</f>
        <v>22</v>
      </c>
      <c r="E6" s="6" t="n">
        <f aca="false">MASTER_Table!L9</f>
        <v>22</v>
      </c>
      <c r="F6" s="7" t="n">
        <f aca="false">D6-B6</f>
        <v>2</v>
      </c>
      <c r="G6" s="7" t="n">
        <f aca="false">E6-C6</f>
        <v>2</v>
      </c>
    </row>
    <row r="7" customFormat="false" ht="15" hidden="false" customHeight="false" outlineLevel="0" collapsed="false">
      <c r="A7" s="5" t="s">
        <v>75</v>
      </c>
      <c r="B7" s="6" t="n">
        <f aca="false">MASTER_Table!F6</f>
        <v>65</v>
      </c>
      <c r="C7" s="6" t="n">
        <f aca="false">MASTER_Table!F7</f>
        <v>65</v>
      </c>
      <c r="D7" s="6" t="n">
        <f aca="false">MASTER_Table!F8</f>
        <v>68</v>
      </c>
      <c r="E7" s="6" t="n">
        <f aca="false">MASTER_Table!F9</f>
        <v>68</v>
      </c>
      <c r="F7" s="7" t="n">
        <f aca="false">D7-B7</f>
        <v>3</v>
      </c>
      <c r="G7" s="7" t="n">
        <f aca="false">E7-C7</f>
        <v>3</v>
      </c>
    </row>
    <row r="8" customFormat="false" ht="15" hidden="false" customHeight="false" outlineLevel="0" collapsed="false">
      <c r="A8" s="5" t="s">
        <v>76</v>
      </c>
      <c r="B8" s="6" t="n">
        <f aca="false">MASTER_Table!I6</f>
        <v>0.25</v>
      </c>
      <c r="C8" s="6" t="n">
        <f aca="false">MASTER_Table!I7</f>
        <v>0.25</v>
      </c>
      <c r="D8" s="6" t="n">
        <f aca="false">MASTER_Table!I8</f>
        <v>0.28</v>
      </c>
      <c r="E8" s="6" t="n">
        <f aca="false">MASTER_Table!I9</f>
        <v>0.28</v>
      </c>
      <c r="F8" s="7" t="n">
        <f aca="false">D8-B8</f>
        <v>0.03</v>
      </c>
      <c r="G8" s="7" t="n">
        <f aca="false">E8-C8</f>
        <v>0.03</v>
      </c>
    </row>
    <row r="9" customFormat="false" ht="15" hidden="false" customHeight="false" outlineLevel="0" collapsed="false">
      <c r="A9" s="5" t="s">
        <v>6</v>
      </c>
      <c r="B9" s="6" t="n">
        <f aca="false">MASTER_Table!C6</f>
        <v>68</v>
      </c>
      <c r="C9" s="6" t="n">
        <f aca="false">MASTER_Table!C7</f>
        <v>68</v>
      </c>
      <c r="D9" s="6" t="n">
        <f aca="false">MASTER_Table!C8</f>
        <v>70</v>
      </c>
      <c r="E9" s="6" t="n">
        <f aca="false">MASTER_Table!C9</f>
        <v>70</v>
      </c>
      <c r="F9" s="7" t="n">
        <f aca="false">D9-B9</f>
        <v>2</v>
      </c>
      <c r="G9" s="7" t="n">
        <f aca="false">E9-C9</f>
        <v>2</v>
      </c>
    </row>
    <row r="10" customFormat="false" ht="15" hidden="false" customHeight="false" outlineLevel="0" collapsed="false">
      <c r="A10" s="5" t="s">
        <v>77</v>
      </c>
      <c r="B10" s="6" t="n">
        <f aca="false">MASTER_Table!M6</f>
        <v>4000</v>
      </c>
      <c r="C10" s="6" t="n">
        <f aca="false">MASTER_Table!M7</f>
        <v>2000</v>
      </c>
      <c r="D10" s="6" t="n">
        <f aca="false">MASTER_Table!M8</f>
        <v>4000</v>
      </c>
      <c r="E10" s="6" t="n">
        <f aca="false">MASTER_Table!M9</f>
        <v>2000</v>
      </c>
      <c r="F10" s="7" t="n">
        <f aca="false">D10-B10</f>
        <v>0</v>
      </c>
      <c r="G10" s="7" t="n">
        <f aca="false">E10-C10</f>
        <v>0</v>
      </c>
    </row>
    <row r="11" customFormat="false" ht="15" hidden="false" customHeight="false" outlineLevel="0" collapsed="false">
      <c r="A11" s="5" t="s">
        <v>78</v>
      </c>
      <c r="B11" s="6" t="n">
        <f aca="false">MASTER_Table!N6</f>
        <v>251600</v>
      </c>
      <c r="C11" s="6" t="n">
        <f aca="false">MASTER_Table!N7</f>
        <v>125800</v>
      </c>
      <c r="D11" s="6" t="n">
        <f aca="false">MASTER_Table!N8</f>
        <v>251600</v>
      </c>
      <c r="E11" s="6" t="n">
        <f aca="false">MASTER_Table!N9</f>
        <v>125800</v>
      </c>
      <c r="F11" s="7" t="n">
        <f aca="false">D11-B11</f>
        <v>0</v>
      </c>
      <c r="G11" s="7" t="n">
        <f aca="false">E11-C11</f>
        <v>0</v>
      </c>
    </row>
    <row r="12" customFormat="false" ht="15" hidden="false" customHeight="false" outlineLevel="0" collapsed="false">
      <c r="A12" s="5" t="s">
        <v>79</v>
      </c>
      <c r="B12" s="6" t="n">
        <f aca="false">MASTER_Table!P6</f>
        <v>0</v>
      </c>
      <c r="C12" s="6" t="n">
        <f aca="false">MASTER_Table!P7</f>
        <v>0</v>
      </c>
      <c r="D12" s="6" t="n">
        <f aca="false">MASTER_Table!P8</f>
        <v>0.036144578313253</v>
      </c>
      <c r="E12" s="6" t="n">
        <f aca="false">MASTER_Table!P9</f>
        <v>0</v>
      </c>
      <c r="F12" s="7" t="n">
        <f aca="false">D12-B12</f>
        <v>0.036144578313253</v>
      </c>
      <c r="G12" s="7" t="n">
        <f aca="false">E12-C12</f>
        <v>0</v>
      </c>
    </row>
    <row r="13" customFormat="false" ht="15" hidden="false" customHeight="false" outlineLevel="0" collapsed="false">
      <c r="A13" s="5" t="s">
        <v>80</v>
      </c>
      <c r="B13" s="6" t="n">
        <f aca="false">MASTER_Table!W6</f>
        <v>0.448926868044515</v>
      </c>
      <c r="C13" s="6" t="n">
        <f aca="false">MASTER_Table!W7</f>
        <v>0.844197138314785</v>
      </c>
      <c r="D13" s="6" t="n">
        <f aca="false">MASTER_Table!W8</f>
        <v>0.456081081081081</v>
      </c>
      <c r="E13" s="6" t="n">
        <f aca="false">MASTER_Table!W9</f>
        <v>0.858505564387917</v>
      </c>
      <c r="F13" s="7" t="n">
        <f aca="false">D13-B13</f>
        <v>0.00715421303656599</v>
      </c>
      <c r="G13" s="7" t="n">
        <f aca="false">E13-C13</f>
        <v>0.014308426073132</v>
      </c>
    </row>
    <row r="14" customFormat="false" ht="15" hidden="false" customHeight="false" outlineLevel="0" collapsed="false">
      <c r="A14" s="5" t="s">
        <v>81</v>
      </c>
      <c r="B14" s="6" t="n">
        <f aca="false">MASTER_Table!X6</f>
        <v>20.7375</v>
      </c>
      <c r="C14" s="6" t="n">
        <f aca="false">MASTER_Table!X7</f>
        <v>38.1</v>
      </c>
      <c r="D14" s="6" t="n">
        <f aca="false">MASTER_Table!X8</f>
        <v>21.1875</v>
      </c>
      <c r="E14" s="6" t="n">
        <f aca="false">MASTER_Table!X9</f>
        <v>39</v>
      </c>
      <c r="F14" s="7" t="n">
        <f aca="false">D14-B14</f>
        <v>0.449999999999999</v>
      </c>
      <c r="G14" s="7" t="n">
        <f aca="false">E14-C14</f>
        <v>0.899999999999999</v>
      </c>
    </row>
    <row r="17" customFormat="false" ht="15" hidden="false" customHeight="false" outlineLevel="0" collapsed="false">
      <c r="A17" s="8" t="s">
        <v>82</v>
      </c>
    </row>
    <row r="19" customFormat="false" ht="15" hidden="false" customHeight="false" outlineLevel="0" collapsed="false">
      <c r="A19" s="3" t="s">
        <v>83</v>
      </c>
      <c r="B19" s="3" t="s">
        <v>12</v>
      </c>
      <c r="C19" s="3" t="s">
        <v>20</v>
      </c>
      <c r="D19" s="3" t="s">
        <v>84</v>
      </c>
    </row>
    <row r="20" customFormat="false" ht="15" hidden="false" customHeight="false" outlineLevel="0" collapsed="false">
      <c r="A20" s="5" t="s">
        <v>85</v>
      </c>
      <c r="B20" s="7" t="n">
        <f aca="false">IF((MASTER_Table!S8-MASTER_Table!S6)=0,"-",(MASTER_Table!F8-MASTER_Table!F6)/(MASTER_Table!S8-MASTER_Table!S6)*1000)</f>
        <v>1.66666666666667</v>
      </c>
      <c r="C20" s="7" t="n">
        <f aca="false">IF((MASTER_Table!S9-MASTER_Table!S7)=0,"-",(MASTER_Table!F9-MASTER_Table!F7)/(MASTER_Table!S9-MASTER_Table!S7)*1000)</f>
        <v>1.66666666666667</v>
      </c>
      <c r="D20" s="5" t="s">
        <v>86</v>
      </c>
    </row>
    <row r="21" customFormat="false" ht="15" hidden="false" customHeight="false" outlineLevel="0" collapsed="false">
      <c r="A21" s="5" t="s">
        <v>87</v>
      </c>
      <c r="B21" s="7" t="n">
        <f aca="false">IF((MASTER_Table!S8-MASTER_Table!S6)=0,"-",(MASTER_Table!L8-MASTER_Table!L6)/(MASTER_Table!S8-MASTER_Table!S6)*1000)</f>
        <v>1.11111111111111</v>
      </c>
      <c r="C21" s="7" t="n">
        <f aca="false">IF((MASTER_Table!S9-MASTER_Table!S7)=0,"-",(MASTER_Table!L9-MASTER_Table!L7)/(MASTER_Table!S9-MASTER_Table!S7)*1000)</f>
        <v>1.11111111111111</v>
      </c>
      <c r="D21" s="5" t="s">
        <v>88</v>
      </c>
    </row>
    <row r="22" customFormat="false" ht="15" hidden="false" customHeight="false" outlineLevel="0" collapsed="false">
      <c r="A22" s="5" t="s">
        <v>89</v>
      </c>
      <c r="B22" s="7" t="n">
        <f aca="false">IF(MASTER_Table!T8=0,"-",(MASTER_Table!M8-MASTER_Table!M6)/MASTER_Table!T8)</f>
        <v>0</v>
      </c>
      <c r="C22" s="7" t="n">
        <f aca="false">IF(MASTER_Table!T9=0,"-",(MASTER_Table!M9-MASTER_Table!M7)/MASTER_Table!T9)</f>
        <v>0</v>
      </c>
      <c r="D22" s="5" t="s">
        <v>90</v>
      </c>
    </row>
    <row r="23" customFormat="false" ht="15" hidden="false" customHeight="false" outlineLevel="0" collapsed="false">
      <c r="A23" s="5" t="s">
        <v>91</v>
      </c>
      <c r="B23" s="7" t="n">
        <f aca="false">IF(OR(MASTER_Table!C6=0,MASTER_Table!M6=0,(MASTER_Table!C8-MASTER_Table!C6)=0),"-",((MASTER_Table!M8-MASTER_Table!M6)/MASTER_Table!M6)/((MASTER_Table!C8-MASTER_Table!C6)/MASTER_Table!C6))</f>
        <v>0</v>
      </c>
      <c r="C23" s="7" t="n">
        <f aca="false">IF(OR(MASTER_Table!C7=0,MASTER_Table!M7=0,(MASTER_Table!C9-MASTER_Table!C7)=0),"-",((MASTER_Table!M9-MASTER_Table!M7)/MASTER_Table!M7)/((MASTER_Table!C9-MASTER_Table!C7)/MASTER_Table!C7))</f>
        <v>0</v>
      </c>
      <c r="D23" s="5" t="s">
        <v>92</v>
      </c>
    </row>
    <row r="26" customFormat="false" ht="15" hidden="false" customHeight="false" outlineLevel="0" collapsed="false">
      <c r="A26" s="9" t="s">
        <v>93</v>
      </c>
    </row>
    <row r="28" customFormat="false" ht="28.35" hidden="false" customHeight="false" outlineLevel="0" collapsed="false">
      <c r="A28" s="3" t="s">
        <v>3</v>
      </c>
      <c r="B28" s="3" t="s">
        <v>94</v>
      </c>
      <c r="C28" s="3" t="s">
        <v>95</v>
      </c>
      <c r="D28" s="3" t="s">
        <v>96</v>
      </c>
      <c r="E28" s="3" t="s">
        <v>97</v>
      </c>
    </row>
    <row r="29" customFormat="false" ht="15" hidden="false" customHeight="false" outlineLevel="0" collapsed="false">
      <c r="A29" s="5" t="s">
        <v>12</v>
      </c>
      <c r="B29" s="7" t="str">
        <f aca="false">IF(MASTER_Table!P8&gt;0.03,"🔴 ROJO: Lost Sales&gt;"&amp;TEXT(MASTER_Table!P8,"0.0%"),IF(MASTER_Table!P8&gt;0,"🟡 AMARILLO","🟢 OK"))</f>
        <v>🔴 ROJO: Lost Sales&gt;3.6%</v>
      </c>
      <c r="C29" s="7" t="str">
        <f aca="false">IF(MASTER_Table!W8&gt;0.35,"🔴 ROJO: S&amp;A&gt;"&amp;TEXT(MASTER_Table!W8,"0.0%"),IF(MASTER_Table!W8&gt;0.28,"🟡 AMARILLO","🟢 OK"))</f>
        <v>🔴 ROJO: S&amp;A&gt;45.6%</v>
      </c>
      <c r="D29" s="7" t="str">
        <f aca="false">IF(SUMIFS(INPUT_Inventory!K:K,INPUT_Inventory!A:A,7,INPUT_Inventory!B:B,"Center")&gt;0,"🔴 ROJO: Salespeople Quit","🟢 OK")</f>
        <v>🔴 ROJO: Salespeople Quit</v>
      </c>
      <c r="E29" s="7" t="str">
        <f aca="false">IF(OR(LEFT(B29,1)="🔴",LEFT(C29,1)="🔴",LEFT(D29,1)="🔴"),"⛔ NO AUMENTAR ADS/SELLERS",IF(OR(LEFT(B29,1)="🟡",LEFT(C29,1)="🟡"),"⚠️ PRECAUCIÓN","✅ PUEDE CRECER"))</f>
        <v>⛔ NO AUMENTAR ADS/SELLERS</v>
      </c>
    </row>
    <row r="30" customFormat="false" ht="15" hidden="false" customHeight="false" outlineLevel="0" collapsed="false">
      <c r="A30" s="5" t="s">
        <v>20</v>
      </c>
      <c r="B30" s="7" t="str">
        <f aca="false">IF(MASTER_Table!P9&gt;0.03,"🔴 ROJO: Lost Sales&gt;"&amp;TEXT(MASTER_Table!P9,"0.0%"),IF(MASTER_Table!P9&gt;0,"🟡 AMARILLO","🟢 OK"))</f>
        <v>🟢 OK</v>
      </c>
      <c r="C30" s="7" t="str">
        <f aca="false">IF(MASTER_Table!W9&gt;0.35,"🔴 ROJO: S&amp;A&gt;"&amp;TEXT(MASTER_Table!W9,"0.0%"),IF(MASTER_Table!W9&gt;0.28,"🟡 AMARILLO","🟢 OK"))</f>
        <v>🔴 ROJO: S&amp;A&gt;85.9%</v>
      </c>
      <c r="D30" s="7" t="str">
        <f aca="false">IF(SUMIFS(INPUT_Inventory!K:K,INPUT_Inventory!A:A,7,INPUT_Inventory!B:B,"West")&gt;0,"🔴 ROJO: Salespeople Quit","🟢 OK")</f>
        <v>🟢 OK</v>
      </c>
      <c r="E30" s="7" t="str">
        <f aca="false">IF(OR(LEFT(B30,1)="🔴",LEFT(C30,1)="🔴",LEFT(D30,1)="🔴"),"⛔ NO AUMENTAR ADS/SELLERS",IF(OR(LEFT(B30,1)="🟡",LEFT(C30,1)="🟡"),"⚠️ PRECAUCIÓN","✅ PUEDE CRECER"))</f>
        <v>⛔ NO AUMENTAR ADS/SELLERS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15" hidden="false" customHeight="false" outlineLevel="0" collapsed="false">
      <c r="A3" s="2" t="s">
        <v>99</v>
      </c>
    </row>
    <row r="5" customFormat="false" ht="15" hidden="false" customHeight="false" outlineLevel="0" collapsed="false">
      <c r="A5" s="10" t="s">
        <v>100</v>
      </c>
    </row>
    <row r="6" customFormat="false" ht="15" hidden="false" customHeight="false" outlineLevel="0" collapsed="false">
      <c r="A6" s="0" t="s">
        <v>101</v>
      </c>
      <c r="B6" s="11" t="n">
        <v>8</v>
      </c>
    </row>
    <row r="7" customFormat="false" ht="15" hidden="false" customHeight="false" outlineLevel="0" collapsed="false">
      <c r="A7" s="0" t="s">
        <v>102</v>
      </c>
      <c r="B7" s="11" t="n">
        <v>3000</v>
      </c>
    </row>
    <row r="8" customFormat="false" ht="15" hidden="false" customHeight="false" outlineLevel="0" collapsed="false">
      <c r="A8" s="0" t="s">
        <v>103</v>
      </c>
      <c r="B8" s="11" t="n">
        <v>300</v>
      </c>
    </row>
    <row r="9" customFormat="false" ht="15" hidden="false" customHeight="false" outlineLevel="0" collapsed="false">
      <c r="A9" s="0" t="s">
        <v>104</v>
      </c>
      <c r="B9" s="11" t="n">
        <v>1000</v>
      </c>
    </row>
    <row r="10" customFormat="false" ht="15" hidden="false" customHeight="false" outlineLevel="0" collapsed="false">
      <c r="A10" s="0" t="s">
        <v>105</v>
      </c>
      <c r="B10" s="11" t="n">
        <v>750</v>
      </c>
    </row>
    <row r="11" customFormat="false" ht="15" hidden="false" customHeight="false" outlineLevel="0" collapsed="false">
      <c r="A11" s="0" t="s">
        <v>106</v>
      </c>
      <c r="B11" s="11" t="n">
        <v>0.3</v>
      </c>
    </row>
    <row r="12" customFormat="false" ht="15" hidden="false" customHeight="false" outlineLevel="0" collapsed="false">
      <c r="A12" s="0" t="s">
        <v>107</v>
      </c>
      <c r="B12" s="11" t="n">
        <v>0.03</v>
      </c>
    </row>
    <row r="15" customFormat="false" ht="15" hidden="false" customHeight="false" outlineLevel="0" collapsed="false">
      <c r="A15" s="10" t="s">
        <v>108</v>
      </c>
    </row>
    <row r="17" customFormat="false" ht="28.35" hidden="false" customHeight="false" outlineLevel="0" collapsed="false">
      <c r="A17" s="3" t="s">
        <v>3</v>
      </c>
      <c r="B17" s="3" t="s">
        <v>109</v>
      </c>
      <c r="C17" s="3" t="s">
        <v>110</v>
      </c>
      <c r="D17" s="3" t="s">
        <v>111</v>
      </c>
      <c r="E17" s="3" t="s">
        <v>112</v>
      </c>
      <c r="F17" s="3" t="s">
        <v>113</v>
      </c>
      <c r="G17" s="3" t="s">
        <v>114</v>
      </c>
      <c r="H17" s="3" t="s">
        <v>115</v>
      </c>
      <c r="I17" s="3" t="s">
        <v>116</v>
      </c>
      <c r="J17" s="3" t="s">
        <v>117</v>
      </c>
    </row>
    <row r="18" customFormat="false" ht="15" hidden="false" customHeight="false" outlineLevel="0" collapsed="false">
      <c r="A18" s="5" t="s">
        <v>12</v>
      </c>
      <c r="B18" s="12" t="n">
        <v>70</v>
      </c>
      <c r="C18" s="12" t="n">
        <v>35</v>
      </c>
      <c r="D18" s="12" t="n">
        <v>102</v>
      </c>
      <c r="E18" s="12" t="n">
        <v>85</v>
      </c>
      <c r="F18" s="12" t="n">
        <v>17</v>
      </c>
      <c r="G18" s="12" t="n">
        <v>5600</v>
      </c>
      <c r="H18" s="4" t="s">
        <v>118</v>
      </c>
      <c r="I18" s="4" t="s">
        <v>118</v>
      </c>
      <c r="J18" s="4" t="s">
        <v>118</v>
      </c>
    </row>
    <row r="19" customFormat="false" ht="15" hidden="false" customHeight="false" outlineLevel="0" collapsed="false">
      <c r="A19" s="5" t="s">
        <v>20</v>
      </c>
      <c r="B19" s="12" t="n">
        <v>70</v>
      </c>
      <c r="C19" s="12" t="n">
        <v>35</v>
      </c>
      <c r="D19" s="12" t="n">
        <v>90</v>
      </c>
      <c r="E19" s="12" t="n">
        <v>85</v>
      </c>
      <c r="F19" s="12" t="n">
        <v>8</v>
      </c>
      <c r="G19" s="12" t="n">
        <v>4500</v>
      </c>
      <c r="H19" s="4" t="s">
        <v>118</v>
      </c>
      <c r="I19" s="4" t="s">
        <v>118</v>
      </c>
      <c r="J19" s="4" t="s">
        <v>118</v>
      </c>
    </row>
    <row r="20" customFormat="false" ht="15" hidden="false" customHeight="false" outlineLevel="0" collapsed="false">
      <c r="A20" s="5" t="s">
        <v>119</v>
      </c>
      <c r="B20" s="12" t="n">
        <v>93</v>
      </c>
      <c r="C20" s="12" t="n">
        <v>35</v>
      </c>
      <c r="D20" s="12" t="n">
        <v>90</v>
      </c>
      <c r="E20" s="12" t="n">
        <v>85</v>
      </c>
      <c r="F20" s="12" t="n">
        <v>15</v>
      </c>
      <c r="G20" s="12" t="n">
        <v>4400</v>
      </c>
      <c r="H20" s="4" t="s">
        <v>118</v>
      </c>
      <c r="I20" s="4" t="s">
        <v>118</v>
      </c>
      <c r="J20" s="4" t="s">
        <v>118</v>
      </c>
    </row>
    <row r="21" customFormat="false" ht="15" hidden="false" customHeight="false" outlineLevel="0" collapsed="false">
      <c r="A21" s="5" t="s">
        <v>120</v>
      </c>
      <c r="B21" s="12" t="n">
        <v>89</v>
      </c>
      <c r="C21" s="12" t="n">
        <v>0</v>
      </c>
      <c r="D21" s="12" t="n">
        <v>40</v>
      </c>
      <c r="E21" s="12" t="n">
        <v>85</v>
      </c>
      <c r="F21" s="12" t="n">
        <v>5</v>
      </c>
      <c r="G21" s="12" t="n">
        <v>1500</v>
      </c>
      <c r="H21" s="4" t="s">
        <v>118</v>
      </c>
      <c r="I21" s="4" t="s">
        <v>118</v>
      </c>
      <c r="J21" s="4" t="s">
        <v>118</v>
      </c>
    </row>
    <row r="22" customFormat="false" ht="15" hidden="false" customHeight="false" outlineLevel="0" collapsed="false">
      <c r="A22" s="5" t="s">
        <v>121</v>
      </c>
      <c r="B22" s="12" t="n">
        <v>89</v>
      </c>
      <c r="C22" s="12" t="n">
        <v>0</v>
      </c>
      <c r="D22" s="12" t="n">
        <v>40</v>
      </c>
      <c r="E22" s="12" t="n">
        <v>85</v>
      </c>
      <c r="F22" s="12" t="n">
        <v>5</v>
      </c>
      <c r="G22" s="12" t="n">
        <v>1500</v>
      </c>
      <c r="H22" s="4" t="s">
        <v>118</v>
      </c>
      <c r="I22" s="4" t="s">
        <v>118</v>
      </c>
      <c r="J22" s="4" t="s">
        <v>118</v>
      </c>
    </row>
    <row r="25" customFormat="false" ht="15" hidden="false" customHeight="false" outlineLevel="0" collapsed="false">
      <c r="A25" s="10" t="s">
        <v>122</v>
      </c>
    </row>
    <row r="27" customFormat="false" ht="15" hidden="false" customHeight="false" outlineLevel="0" collapsed="false">
      <c r="A27" s="3" t="s">
        <v>3</v>
      </c>
      <c r="B27" s="3" t="s">
        <v>123</v>
      </c>
      <c r="C27" s="3" t="s">
        <v>124</v>
      </c>
      <c r="D27" s="3" t="s">
        <v>59</v>
      </c>
      <c r="E27" s="3" t="s">
        <v>61</v>
      </c>
      <c r="F27" s="3" t="s">
        <v>125</v>
      </c>
      <c r="G27" s="3" t="s">
        <v>126</v>
      </c>
      <c r="H27" s="3" t="s">
        <v>127</v>
      </c>
      <c r="I27" s="3" t="s">
        <v>128</v>
      </c>
    </row>
    <row r="28" customFormat="false" ht="15" hidden="false" customHeight="false" outlineLevel="0" collapsed="false">
      <c r="A28" s="5" t="s">
        <v>12</v>
      </c>
      <c r="B28" s="7" t="n">
        <f aca="false">C18*$B$7</f>
        <v>105000</v>
      </c>
      <c r="C28" s="7" t="n">
        <f aca="false">D18*$B$8</f>
        <v>30600</v>
      </c>
      <c r="D28" s="7" t="n">
        <f aca="false">B28+C28</f>
        <v>135600</v>
      </c>
      <c r="E28" s="7" t="n">
        <f aca="false">F18*$B$10</f>
        <v>12750</v>
      </c>
      <c r="F28" s="7" t="n">
        <f aca="false">D28+E28</f>
        <v>148350</v>
      </c>
      <c r="G28" s="6" t="n">
        <f aca="false">F28-(MASTER_Table!S8+MASTER_Table!U8)</f>
        <v>63600</v>
      </c>
      <c r="H28" s="7" t="n">
        <f aca="false">G18*B18*0.87</f>
        <v>341040</v>
      </c>
      <c r="I28" s="7" t="n">
        <f aca="false">IF(H28=0,0,(F28+30000)/H28)</f>
        <v>0.522959183673469</v>
      </c>
    </row>
    <row r="29" customFormat="false" ht="15" hidden="false" customHeight="false" outlineLevel="0" collapsed="false">
      <c r="A29" s="5" t="s">
        <v>20</v>
      </c>
      <c r="B29" s="7" t="n">
        <f aca="false">C19*$B$7</f>
        <v>105000</v>
      </c>
      <c r="C29" s="7" t="n">
        <f aca="false">D19*$B$8</f>
        <v>27000</v>
      </c>
      <c r="D29" s="7" t="n">
        <f aca="false">B29+C29</f>
        <v>132000</v>
      </c>
      <c r="E29" s="7" t="n">
        <f aca="false">F19*$B$10</f>
        <v>6000</v>
      </c>
      <c r="F29" s="7" t="n">
        <f aca="false">D29+E29</f>
        <v>138000</v>
      </c>
      <c r="G29" s="6" t="n">
        <f aca="false">F29-(MASTER_Table!S9+MASTER_Table!U9)</f>
        <v>60000</v>
      </c>
      <c r="H29" s="7" t="n">
        <f aca="false">G19*B19*0.87</f>
        <v>274050</v>
      </c>
      <c r="I29" s="7" t="n">
        <f aca="false">IF(H29=0,0,(F29+30000)/H29)</f>
        <v>0.613026819923372</v>
      </c>
    </row>
    <row r="30" customFormat="false" ht="15" hidden="false" customHeight="false" outlineLevel="0" collapsed="false">
      <c r="A30" s="5" t="s">
        <v>119</v>
      </c>
      <c r="B30" s="7" t="n">
        <f aca="false">C20*$B$7</f>
        <v>105000</v>
      </c>
      <c r="C30" s="7" t="n">
        <f aca="false">D20*$B$8</f>
        <v>27000</v>
      </c>
      <c r="D30" s="7" t="n">
        <f aca="false">B30+C30</f>
        <v>132000</v>
      </c>
      <c r="E30" s="7" t="n">
        <f aca="false">F20*$B$10</f>
        <v>11250</v>
      </c>
      <c r="F30" s="7" t="n">
        <f aca="false">D30+E30</f>
        <v>143250</v>
      </c>
      <c r="G30" s="5" t="s">
        <v>129</v>
      </c>
      <c r="H30" s="7" t="n">
        <f aca="false">G20*B20*0.87</f>
        <v>356004</v>
      </c>
      <c r="I30" s="7" t="n">
        <f aca="false">IF(H30=0,0,(F30+30000)/H30)</f>
        <v>0.486651835372636</v>
      </c>
    </row>
    <row r="31" customFormat="false" ht="15" hidden="false" customHeight="false" outlineLevel="0" collapsed="false">
      <c r="A31" s="5" t="s">
        <v>120</v>
      </c>
      <c r="B31" s="7" t="n">
        <f aca="false">C21*$B$7</f>
        <v>0</v>
      </c>
      <c r="C31" s="7" t="n">
        <f aca="false">D21*$B$8</f>
        <v>12000</v>
      </c>
      <c r="D31" s="7" t="n">
        <f aca="false">B31+C31</f>
        <v>12000</v>
      </c>
      <c r="E31" s="7" t="n">
        <f aca="false">F21*$B$10</f>
        <v>3750</v>
      </c>
      <c r="F31" s="7" t="n">
        <f aca="false">D31+E31</f>
        <v>15750</v>
      </c>
      <c r="G31" s="5" t="s">
        <v>129</v>
      </c>
      <c r="H31" s="7" t="n">
        <f aca="false">G21*B21*0.87</f>
        <v>116145</v>
      </c>
      <c r="I31" s="7" t="n">
        <f aca="false">IF(H31=0,0,(F31+30000)/H31)</f>
        <v>0.393904171509751</v>
      </c>
    </row>
    <row r="32" customFormat="false" ht="15" hidden="false" customHeight="false" outlineLevel="0" collapsed="false">
      <c r="A32" s="5" t="s">
        <v>121</v>
      </c>
      <c r="B32" s="7" t="n">
        <f aca="false">C22*$B$7</f>
        <v>0</v>
      </c>
      <c r="C32" s="7" t="n">
        <f aca="false">D22*$B$8</f>
        <v>12000</v>
      </c>
      <c r="D32" s="7" t="n">
        <f aca="false">B32+C32</f>
        <v>12000</v>
      </c>
      <c r="E32" s="7" t="n">
        <f aca="false">F22*$B$10</f>
        <v>3750</v>
      </c>
      <c r="F32" s="7" t="n">
        <f aca="false">D32+E32</f>
        <v>15750</v>
      </c>
      <c r="G32" s="5" t="s">
        <v>129</v>
      </c>
      <c r="H32" s="7" t="n">
        <f aca="false">G22*B22*0.87</f>
        <v>116145</v>
      </c>
      <c r="I32" s="7" t="n">
        <f aca="false">IF(H32=0,0,(F32+30000)/H32)</f>
        <v>0.393904171509751</v>
      </c>
    </row>
    <row r="33" customFormat="false" ht="15" hidden="false" customHeight="false" outlineLevel="0" collapsed="false">
      <c r="A33" s="13" t="s">
        <v>130</v>
      </c>
      <c r="B33" s="7" t="n">
        <f aca="false">SUM(B28:B32)</f>
        <v>315000</v>
      </c>
      <c r="C33" s="7" t="n">
        <f aca="false">SUM(C28:C32)</f>
        <v>108600</v>
      </c>
      <c r="D33" s="7" t="n">
        <f aca="false">SUM(D28:D32)</f>
        <v>423600</v>
      </c>
      <c r="E33" s="7" t="n">
        <f aca="false">SUM(E28:E32)</f>
        <v>37500</v>
      </c>
      <c r="F33" s="7" t="n">
        <f aca="false">SUM(F28:F32)</f>
        <v>461100</v>
      </c>
      <c r="G33" s="5"/>
      <c r="H33" s="5"/>
      <c r="I33" s="5"/>
    </row>
    <row r="36" customFormat="false" ht="15" hidden="false" customHeight="false" outlineLevel="0" collapsed="false">
      <c r="A36" s="9" t="s">
        <v>131</v>
      </c>
    </row>
    <row r="38" customFormat="false" ht="28.35" hidden="false" customHeight="false" outlineLevel="0" collapsed="false">
      <c r="A38" s="3" t="s">
        <v>3</v>
      </c>
      <c r="B38" s="3" t="s">
        <v>132</v>
      </c>
      <c r="C38" s="3" t="s">
        <v>133</v>
      </c>
      <c r="D38" s="3" t="s">
        <v>134</v>
      </c>
      <c r="E38" s="3" t="s">
        <v>135</v>
      </c>
      <c r="F38" s="3" t="s">
        <v>136</v>
      </c>
    </row>
    <row r="39" customFormat="false" ht="15" hidden="false" customHeight="false" outlineLevel="0" collapsed="false">
      <c r="A39" s="5" t="s">
        <v>12</v>
      </c>
      <c r="B39" s="6" t="n">
        <f aca="false">B18-MASTER_Table!C8</f>
        <v>0</v>
      </c>
      <c r="C39" s="6" t="n">
        <f aca="false">D28-(MASTER_Table!S8)</f>
        <v>63600</v>
      </c>
      <c r="D39" s="6" t="n">
        <f aca="false">F18-MASTER_Table!T8</f>
        <v>0</v>
      </c>
      <c r="E39" s="7" t="str">
        <f aca="false">IF(I28&gt;$B$11,"🔴 ALTO",IF(I28&gt;$B$11*0.9,"🟡 MEDIO","🟢 OK"))</f>
        <v>🔴 ALTO</v>
      </c>
      <c r="F39" s="7" t="str">
        <f aca="false">IF(E39="🔴 ALTO","Reducir gasto",IF(AND(B39&lt;&gt;0,B39&gt;5),"Revisar precio alto","OK"))</f>
        <v>Reducir gasto</v>
      </c>
    </row>
    <row r="40" customFormat="false" ht="15" hidden="false" customHeight="false" outlineLevel="0" collapsed="false">
      <c r="A40" s="5" t="s">
        <v>20</v>
      </c>
      <c r="B40" s="6" t="n">
        <f aca="false">B19-MASTER_Table!C9</f>
        <v>0</v>
      </c>
      <c r="C40" s="6" t="n">
        <f aca="false">D29-(MASTER_Table!S9)</f>
        <v>60000</v>
      </c>
      <c r="D40" s="6" t="n">
        <f aca="false">F19-MASTER_Table!T9</f>
        <v>0</v>
      </c>
      <c r="E40" s="7" t="str">
        <f aca="false">IF(I29&gt;$B$11,"🔴 ALTO",IF(I29&gt;$B$11*0.9,"🟡 MEDIO","🟢 OK"))</f>
        <v>🔴 ALTO</v>
      </c>
      <c r="F40" s="7" t="str">
        <f aca="false">IF(E40="🔴 ALTO","Reducir gasto",IF(AND(B40&lt;&gt;0,B40&gt;5),"Revisar precio alto","OK"))</f>
        <v>Reducir gasto</v>
      </c>
    </row>
    <row r="41" customFormat="false" ht="15" hidden="false" customHeight="false" outlineLevel="0" collapsed="false">
      <c r="A41" s="5" t="s">
        <v>119</v>
      </c>
      <c r="B41" s="5" t="s">
        <v>137</v>
      </c>
      <c r="C41" s="5" t="s">
        <v>137</v>
      </c>
      <c r="D41" s="5" t="s">
        <v>137</v>
      </c>
      <c r="E41" s="7" t="str">
        <f aca="false">IF(I30&gt;$B$11,"🔴 ALTO",IF(I30&gt;$B$11*0.9,"🟡 MEDIO","🟢 OK"))</f>
        <v>🔴 ALTO</v>
      </c>
      <c r="F41" s="7" t="str">
        <f aca="false">IF(E41="🔴 ALTO","Reducir gasto",IF(AND(B41&lt;&gt;0,B41&gt;5),"Revisar precio alto","OK"))</f>
        <v>Reducir gasto</v>
      </c>
    </row>
    <row r="42" customFormat="false" ht="15" hidden="false" customHeight="false" outlineLevel="0" collapsed="false">
      <c r="A42" s="5" t="s">
        <v>120</v>
      </c>
      <c r="B42" s="5" t="s">
        <v>137</v>
      </c>
      <c r="C42" s="5" t="s">
        <v>137</v>
      </c>
      <c r="D42" s="5" t="s">
        <v>137</v>
      </c>
      <c r="E42" s="7" t="str">
        <f aca="false">IF(I31&gt;$B$11,"🔴 ALTO",IF(I31&gt;$B$11*0.9,"🟡 MEDIO","🟢 OK"))</f>
        <v>🔴 ALTO</v>
      </c>
      <c r="F42" s="7" t="str">
        <f aca="false">IF(E42="🔴 ALTO","Reducir gasto",IF(AND(B42&lt;&gt;0,B42&gt;5),"Revisar precio alto","OK"))</f>
        <v>Reducir gasto</v>
      </c>
    </row>
    <row r="43" customFormat="false" ht="15" hidden="false" customHeight="false" outlineLevel="0" collapsed="false">
      <c r="A43" s="5" t="s">
        <v>121</v>
      </c>
      <c r="B43" s="5" t="s">
        <v>137</v>
      </c>
      <c r="C43" s="5" t="s">
        <v>137</v>
      </c>
      <c r="D43" s="5" t="s">
        <v>137</v>
      </c>
      <c r="E43" s="7" t="str">
        <f aca="false">IF(I32&gt;$B$11,"🔴 ALTO",IF(I32&gt;$B$11*0.9,"🟡 MEDIO","🟢 OK"))</f>
        <v>🔴 ALTO</v>
      </c>
      <c r="F43" s="7" t="str">
        <f aca="false">IF(E43="🔴 ALTO","Reducir gasto",IF(AND(B43&lt;&gt;0,B43&gt;5),"Revisar precio alto","OK"))</f>
        <v>Reducir gasto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138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3" customFormat="false" ht="15" hidden="false" customHeight="false" outlineLevel="0" collapsed="false">
      <c r="A3" s="2" t="s">
        <v>139</v>
      </c>
    </row>
    <row r="5" customFormat="false" ht="15" hidden="false" customHeight="false" outlineLevel="0" collapsed="false">
      <c r="A5" s="3" t="s">
        <v>140</v>
      </c>
      <c r="B5" s="3" t="s">
        <v>3</v>
      </c>
      <c r="C5" s="3" t="s">
        <v>141</v>
      </c>
      <c r="D5" s="3" t="s">
        <v>142</v>
      </c>
      <c r="E5" s="3" t="s">
        <v>143</v>
      </c>
      <c r="F5" s="3" t="s">
        <v>144</v>
      </c>
      <c r="G5" s="3" t="s">
        <v>145</v>
      </c>
    </row>
    <row r="6" customFormat="false" ht="15" hidden="false" customHeight="false" outlineLevel="0" collapsed="false">
      <c r="A6" s="5" t="s">
        <v>6</v>
      </c>
      <c r="B6" s="5" t="s">
        <v>12</v>
      </c>
      <c r="C6" s="5" t="n">
        <v>70</v>
      </c>
      <c r="D6" s="12" t="n">
        <v>70</v>
      </c>
      <c r="E6" s="12" t="n">
        <v>67</v>
      </c>
      <c r="F6" s="7" t="n">
        <f aca="false">D6-C6</f>
        <v>0</v>
      </c>
      <c r="G6" s="7" t="n">
        <f aca="false">E6-C6</f>
        <v>-3</v>
      </c>
    </row>
    <row r="7" customFormat="false" ht="15" hidden="false" customHeight="false" outlineLevel="0" collapsed="false">
      <c r="A7" s="5" t="s">
        <v>110</v>
      </c>
      <c r="B7" s="5" t="s">
        <v>12</v>
      </c>
      <c r="C7" s="5" t="n">
        <v>35</v>
      </c>
      <c r="D7" s="12" t="n">
        <v>38</v>
      </c>
      <c r="E7" s="12" t="n">
        <v>31</v>
      </c>
      <c r="F7" s="7" t="n">
        <f aca="false">D7-C7</f>
        <v>3</v>
      </c>
      <c r="G7" s="7" t="n">
        <f aca="false">E7-C7</f>
        <v>-4</v>
      </c>
    </row>
    <row r="8" customFormat="false" ht="15" hidden="false" customHeight="false" outlineLevel="0" collapsed="false">
      <c r="A8" s="5" t="s">
        <v>111</v>
      </c>
      <c r="B8" s="5" t="s">
        <v>12</v>
      </c>
      <c r="C8" s="5" t="n">
        <v>102</v>
      </c>
      <c r="D8" s="12" t="n">
        <v>112</v>
      </c>
      <c r="E8" s="12" t="n">
        <v>91</v>
      </c>
      <c r="F8" s="7" t="n">
        <f aca="false">D8-C8</f>
        <v>10</v>
      </c>
      <c r="G8" s="7" t="n">
        <f aca="false">E8-C8</f>
        <v>-11</v>
      </c>
    </row>
    <row r="9" customFormat="false" ht="15" hidden="false" customHeight="false" outlineLevel="0" collapsed="false">
      <c r="A9" s="5" t="s">
        <v>60</v>
      </c>
      <c r="B9" s="5" t="s">
        <v>12</v>
      </c>
      <c r="C9" s="5" t="n">
        <v>17</v>
      </c>
      <c r="D9" s="12" t="n">
        <v>18</v>
      </c>
      <c r="E9" s="12" t="n">
        <v>15</v>
      </c>
      <c r="F9" s="7" t="n">
        <f aca="false">D9-C9</f>
        <v>1</v>
      </c>
      <c r="G9" s="7" t="n">
        <f aca="false">E9-C9</f>
        <v>-2</v>
      </c>
    </row>
    <row r="10" customFormat="false" ht="15" hidden="false" customHeight="false" outlineLevel="0" collapsed="false">
      <c r="A10" s="5" t="s">
        <v>146</v>
      </c>
      <c r="B10" s="5" t="s">
        <v>12</v>
      </c>
      <c r="C10" s="5" t="n">
        <v>5600</v>
      </c>
      <c r="D10" s="12" t="n">
        <v>6160</v>
      </c>
      <c r="E10" s="12" t="n">
        <v>5600</v>
      </c>
      <c r="F10" s="7" t="n">
        <f aca="false">D10-C10</f>
        <v>560</v>
      </c>
      <c r="G10" s="7" t="n">
        <f aca="false">E10-C10</f>
        <v>0</v>
      </c>
    </row>
    <row r="11" customFormat="false" ht="15" hidden="false" customHeight="false" outlineLevel="0" collapsed="false">
      <c r="A11" s="5" t="s">
        <v>6</v>
      </c>
      <c r="B11" s="5" t="s">
        <v>20</v>
      </c>
      <c r="C11" s="5" t="n">
        <v>70</v>
      </c>
      <c r="D11" s="12" t="n">
        <v>70</v>
      </c>
      <c r="E11" s="12" t="n">
        <v>67</v>
      </c>
      <c r="F11" s="7" t="n">
        <f aca="false">D11-C11</f>
        <v>0</v>
      </c>
      <c r="G11" s="7" t="n">
        <f aca="false">E11-C11</f>
        <v>-3</v>
      </c>
    </row>
    <row r="12" customFormat="false" ht="15" hidden="false" customHeight="false" outlineLevel="0" collapsed="false">
      <c r="A12" s="5" t="s">
        <v>110</v>
      </c>
      <c r="B12" s="5" t="s">
        <v>20</v>
      </c>
      <c r="C12" s="5" t="n">
        <v>35</v>
      </c>
      <c r="D12" s="12" t="n">
        <v>38</v>
      </c>
      <c r="E12" s="12" t="n">
        <v>31</v>
      </c>
      <c r="F12" s="7" t="n">
        <f aca="false">D12-C12</f>
        <v>3</v>
      </c>
      <c r="G12" s="7" t="n">
        <f aca="false">E12-C12</f>
        <v>-4</v>
      </c>
    </row>
    <row r="13" customFormat="false" ht="15" hidden="false" customHeight="false" outlineLevel="0" collapsed="false">
      <c r="A13" s="5" t="s">
        <v>111</v>
      </c>
      <c r="B13" s="5" t="s">
        <v>20</v>
      </c>
      <c r="C13" s="5" t="n">
        <v>90</v>
      </c>
      <c r="D13" s="12" t="n">
        <v>99</v>
      </c>
      <c r="E13" s="12" t="n">
        <v>81</v>
      </c>
      <c r="F13" s="7" t="n">
        <f aca="false">D13-C13</f>
        <v>9</v>
      </c>
      <c r="G13" s="7" t="n">
        <f aca="false">E13-C13</f>
        <v>-9</v>
      </c>
    </row>
    <row r="14" customFormat="false" ht="15" hidden="false" customHeight="false" outlineLevel="0" collapsed="false">
      <c r="A14" s="5" t="s">
        <v>60</v>
      </c>
      <c r="B14" s="5" t="s">
        <v>20</v>
      </c>
      <c r="C14" s="5" t="n">
        <v>8</v>
      </c>
      <c r="D14" s="12" t="n">
        <v>8</v>
      </c>
      <c r="E14" s="12" t="n">
        <v>7</v>
      </c>
      <c r="F14" s="7" t="n">
        <f aca="false">D14-C14</f>
        <v>0</v>
      </c>
      <c r="G14" s="7" t="n">
        <f aca="false">E14-C14</f>
        <v>-1</v>
      </c>
    </row>
    <row r="15" customFormat="false" ht="15" hidden="false" customHeight="false" outlineLevel="0" collapsed="false">
      <c r="A15" s="5" t="s">
        <v>146</v>
      </c>
      <c r="B15" s="5" t="s">
        <v>20</v>
      </c>
      <c r="C15" s="5" t="n">
        <v>4500</v>
      </c>
      <c r="D15" s="12" t="n">
        <v>4950</v>
      </c>
      <c r="E15" s="12" t="n">
        <v>4500</v>
      </c>
      <c r="F15" s="7" t="n">
        <f aca="false">D15-C15</f>
        <v>450</v>
      </c>
      <c r="G15" s="7" t="n">
        <f aca="false">E15-C15</f>
        <v>0</v>
      </c>
    </row>
    <row r="18" customFormat="false" ht="15" hidden="false" customHeight="false" outlineLevel="0" collapsed="false">
      <c r="A18" s="8" t="s">
        <v>147</v>
      </c>
    </row>
    <row r="20" customFormat="false" ht="15" hidden="false" customHeight="false" outlineLevel="0" collapsed="false">
      <c r="A20" s="3" t="s">
        <v>67</v>
      </c>
      <c r="B20" s="3" t="s">
        <v>3</v>
      </c>
      <c r="C20" s="3" t="s">
        <v>148</v>
      </c>
      <c r="D20" s="3" t="s">
        <v>142</v>
      </c>
      <c r="E20" s="3" t="s">
        <v>143</v>
      </c>
    </row>
    <row r="21" customFormat="false" ht="15" hidden="false" customHeight="false" outlineLevel="0" collapsed="false">
      <c r="A21" s="5" t="s">
        <v>149</v>
      </c>
      <c r="B21" s="5" t="s">
        <v>12</v>
      </c>
      <c r="C21" s="7" t="n">
        <f aca="false">C6*C10*0.87</f>
        <v>341040</v>
      </c>
      <c r="D21" s="7" t="n">
        <f aca="false">D6*D10*0.87</f>
        <v>375144</v>
      </c>
      <c r="E21" s="7" t="n">
        <f aca="false">E6*E10*0.87</f>
        <v>326424</v>
      </c>
    </row>
    <row r="22" customFormat="false" ht="15" hidden="false" customHeight="false" outlineLevel="0" collapsed="false">
      <c r="A22" s="5" t="s">
        <v>150</v>
      </c>
      <c r="B22" s="5" t="s">
        <v>12</v>
      </c>
      <c r="C22" s="7" t="n">
        <f aca="false">C7*3000+C8*300</f>
        <v>135600</v>
      </c>
      <c r="D22" s="7" t="n">
        <f aca="false">D7*3000+D8*300</f>
        <v>147600</v>
      </c>
      <c r="E22" s="7" t="n">
        <f aca="false">E7*3000+E8*300</f>
        <v>120300</v>
      </c>
    </row>
    <row r="23" customFormat="false" ht="15" hidden="false" customHeight="false" outlineLevel="0" collapsed="false">
      <c r="A23" s="5" t="s">
        <v>151</v>
      </c>
      <c r="B23" s="5" t="s">
        <v>12</v>
      </c>
      <c r="C23" s="7" t="n">
        <f aca="false">C9*750</f>
        <v>12750</v>
      </c>
      <c r="D23" s="7" t="n">
        <f aca="false">D9*750</f>
        <v>13500</v>
      </c>
      <c r="E23" s="7" t="n">
        <f aca="false">E9*750</f>
        <v>11250</v>
      </c>
    </row>
    <row r="24" customFormat="false" ht="15" hidden="false" customHeight="false" outlineLevel="0" collapsed="false">
      <c r="A24" s="5" t="s">
        <v>152</v>
      </c>
      <c r="B24" s="5" t="s">
        <v>12</v>
      </c>
      <c r="C24" s="7" t="n">
        <f aca="false">C22+C23</f>
        <v>148350</v>
      </c>
      <c r="D24" s="7" t="n">
        <f aca="false">D22+D23</f>
        <v>161100</v>
      </c>
      <c r="E24" s="7" t="n">
        <f aca="false">E22+E23</f>
        <v>131550</v>
      </c>
    </row>
    <row r="25" customFormat="false" ht="15" hidden="false" customHeight="false" outlineLevel="0" collapsed="false">
      <c r="A25" s="5" t="s">
        <v>128</v>
      </c>
      <c r="B25" s="5" t="s">
        <v>12</v>
      </c>
      <c r="C25" s="7" t="n">
        <f aca="false">IF(C21=0,0,(C24+30000)/C21)</f>
        <v>0.522959183673469</v>
      </c>
      <c r="D25" s="7" t="n">
        <f aca="false">IF(D21=0,0,(D24+30000)/D21)</f>
        <v>0.509404388714734</v>
      </c>
      <c r="E25" s="7" t="n">
        <f aca="false">IF(E21=0,0,(E24+30000)/E21)</f>
        <v>0.494908462613043</v>
      </c>
    </row>
    <row r="26" customFormat="false" ht="15" hidden="false" customHeight="false" outlineLevel="0" collapsed="false">
      <c r="A26" s="5" t="s">
        <v>149</v>
      </c>
      <c r="B26" s="5" t="s">
        <v>20</v>
      </c>
      <c r="C26" s="7" t="n">
        <f aca="false">C11*C15*0.87</f>
        <v>274050</v>
      </c>
      <c r="D26" s="7" t="n">
        <f aca="false">D11*D15*0.87</f>
        <v>301455</v>
      </c>
      <c r="E26" s="7" t="n">
        <f aca="false">E11*E15*0.87</f>
        <v>262305</v>
      </c>
    </row>
    <row r="27" customFormat="false" ht="15" hidden="false" customHeight="false" outlineLevel="0" collapsed="false">
      <c r="A27" s="5" t="s">
        <v>150</v>
      </c>
      <c r="B27" s="5" t="s">
        <v>20</v>
      </c>
      <c r="C27" s="7" t="n">
        <f aca="false">C12*3000+C13*300</f>
        <v>132000</v>
      </c>
      <c r="D27" s="7" t="n">
        <f aca="false">D12*3000+D13*300</f>
        <v>143700</v>
      </c>
      <c r="E27" s="7" t="n">
        <f aca="false">E12*3000+E13*300</f>
        <v>117300</v>
      </c>
    </row>
    <row r="28" customFormat="false" ht="15" hidden="false" customHeight="false" outlineLevel="0" collapsed="false">
      <c r="A28" s="5" t="s">
        <v>151</v>
      </c>
      <c r="B28" s="5" t="s">
        <v>20</v>
      </c>
      <c r="C28" s="7" t="n">
        <f aca="false">C14*750</f>
        <v>6000</v>
      </c>
      <c r="D28" s="7" t="n">
        <f aca="false">D14*750</f>
        <v>6000</v>
      </c>
      <c r="E28" s="7" t="n">
        <f aca="false">E14*750</f>
        <v>5250</v>
      </c>
    </row>
    <row r="29" customFormat="false" ht="15" hidden="false" customHeight="false" outlineLevel="0" collapsed="false">
      <c r="A29" s="5" t="s">
        <v>152</v>
      </c>
      <c r="B29" s="5" t="s">
        <v>20</v>
      </c>
      <c r="C29" s="7" t="n">
        <f aca="false">C27+C28</f>
        <v>138000</v>
      </c>
      <c r="D29" s="7" t="n">
        <f aca="false">D27+D28</f>
        <v>149700</v>
      </c>
      <c r="E29" s="7" t="n">
        <f aca="false">E27+E28</f>
        <v>122550</v>
      </c>
    </row>
    <row r="30" customFormat="false" ht="15" hidden="false" customHeight="false" outlineLevel="0" collapsed="false">
      <c r="A30" s="5" t="s">
        <v>128</v>
      </c>
      <c r="B30" s="5" t="s">
        <v>20</v>
      </c>
      <c r="C30" s="7" t="n">
        <f aca="false">IF(C26=0,0,(C29+30000)/C26)</f>
        <v>0.613026819923372</v>
      </c>
      <c r="D30" s="7" t="n">
        <f aca="false">IF(D26=0,0,(D29+30000)/D26)</f>
        <v>0.596108871970941</v>
      </c>
      <c r="E30" s="7" t="n">
        <f aca="false">IF(E26=0,0,(E29+30000)/E26)</f>
        <v>0.581574884199691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3" min="3" style="0" width="50"/>
    <col collapsed="false" customWidth="true" hidden="false" outlineLevel="0" max="4" min="4" style="0" width="40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" t="s">
        <v>153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4" t="s">
        <v>154</v>
      </c>
    </row>
    <row r="5" customFormat="false" ht="15" hidden="false" customHeight="false" outlineLevel="0" collapsed="false">
      <c r="A5" s="0" t="s">
        <v>155</v>
      </c>
    </row>
    <row r="6" customFormat="false" ht="15" hidden="false" customHeight="false" outlineLevel="0" collapsed="false">
      <c r="A6" s="0" t="s">
        <v>156</v>
      </c>
    </row>
    <row r="7" customFormat="false" ht="15" hidden="false" customHeight="false" outlineLevel="0" collapsed="false">
      <c r="A7" s="0" t="s">
        <v>157</v>
      </c>
    </row>
    <row r="8" customFormat="false" ht="15" hidden="false" customHeight="false" outlineLevel="0" collapsed="false">
      <c r="A8" s="0" t="s">
        <v>158</v>
      </c>
    </row>
    <row r="9" customFormat="false" ht="15" hidden="false" customHeight="false" outlineLevel="0" collapsed="false">
      <c r="A9" s="0" t="s">
        <v>159</v>
      </c>
    </row>
    <row r="10" customFormat="false" ht="15" hidden="false" customHeight="false" outlineLevel="0" collapsed="false">
      <c r="A10" s="0" t="s">
        <v>160</v>
      </c>
    </row>
    <row r="11" customFormat="false" ht="15" hidden="false" customHeight="false" outlineLevel="0" collapsed="false">
      <c r="A11" s="0" t="s">
        <v>161</v>
      </c>
    </row>
    <row r="12" customFormat="false" ht="15" hidden="false" customHeight="false" outlineLevel="0" collapsed="false">
      <c r="A12" s="0" t="s">
        <v>162</v>
      </c>
    </row>
    <row r="14" customFormat="false" ht="15" hidden="false" customHeight="false" outlineLevel="0" collapsed="false">
      <c r="A14" s="0" t="s">
        <v>163</v>
      </c>
    </row>
    <row r="15" customFormat="false" ht="15" hidden="false" customHeight="false" outlineLevel="0" collapsed="false">
      <c r="A15" s="0" t="s">
        <v>164</v>
      </c>
    </row>
    <row r="16" customFormat="false" ht="15" hidden="false" customHeight="false" outlineLevel="0" collapsed="false">
      <c r="A16" s="0" t="s">
        <v>165</v>
      </c>
    </row>
    <row r="17" customFormat="false" ht="15" hidden="false" customHeight="false" outlineLevel="0" collapsed="false">
      <c r="A17" s="0" t="s">
        <v>166</v>
      </c>
    </row>
    <row r="18" customFormat="false" ht="15" hidden="false" customHeight="false" outlineLevel="0" collapsed="false">
      <c r="A18" s="0" t="s">
        <v>167</v>
      </c>
    </row>
    <row r="19" customFormat="false" ht="15" hidden="false" customHeight="false" outlineLevel="0" collapsed="false">
      <c r="A19" s="0" t="s">
        <v>168</v>
      </c>
    </row>
    <row r="22" customFormat="false" ht="15" hidden="false" customHeight="false" outlineLevel="0" collapsed="false">
      <c r="A22" s="14" t="s">
        <v>169</v>
      </c>
    </row>
    <row r="24" customFormat="false" ht="15" hidden="false" customHeight="false" outlineLevel="0" collapsed="false">
      <c r="A24" s="3" t="s">
        <v>170</v>
      </c>
      <c r="B24" s="3" t="s">
        <v>171</v>
      </c>
      <c r="C24" s="3" t="s">
        <v>172</v>
      </c>
      <c r="D24" s="3" t="s">
        <v>173</v>
      </c>
      <c r="E24" s="3" t="s">
        <v>174</v>
      </c>
    </row>
    <row r="25" customFormat="false" ht="15" hidden="false" customHeight="false" outlineLevel="0" collapsed="false">
      <c r="A25" s="5" t="s">
        <v>175</v>
      </c>
      <c r="B25" s="5" t="s">
        <v>6</v>
      </c>
      <c r="C25" s="5" t="s">
        <v>176</v>
      </c>
      <c r="D25" s="5" t="s">
        <v>177</v>
      </c>
      <c r="E25" s="5" t="s">
        <v>178</v>
      </c>
    </row>
    <row r="26" customFormat="false" ht="15" hidden="false" customHeight="false" outlineLevel="0" collapsed="false">
      <c r="A26" s="5" t="s">
        <v>175</v>
      </c>
      <c r="B26" s="5" t="s">
        <v>7</v>
      </c>
      <c r="C26" s="5" t="s">
        <v>179</v>
      </c>
      <c r="D26" s="5" t="s">
        <v>180</v>
      </c>
      <c r="E26" s="5" t="s">
        <v>178</v>
      </c>
    </row>
    <row r="27" customFormat="false" ht="15" hidden="false" customHeight="false" outlineLevel="0" collapsed="false">
      <c r="A27" s="5" t="s">
        <v>175</v>
      </c>
      <c r="B27" s="5" t="s">
        <v>8</v>
      </c>
      <c r="C27" s="5" t="s">
        <v>181</v>
      </c>
      <c r="D27" s="5" t="s">
        <v>182</v>
      </c>
      <c r="E27" s="5" t="s">
        <v>178</v>
      </c>
    </row>
    <row r="28" customFormat="false" ht="15" hidden="false" customHeight="false" outlineLevel="0" collapsed="false">
      <c r="A28" s="5" t="s">
        <v>175</v>
      </c>
      <c r="B28" s="5" t="s">
        <v>9</v>
      </c>
      <c r="C28" s="5" t="s">
        <v>183</v>
      </c>
      <c r="D28" s="5" t="s">
        <v>184</v>
      </c>
      <c r="E28" s="5" t="s">
        <v>178</v>
      </c>
    </row>
    <row r="29" customFormat="false" ht="15" hidden="false" customHeight="false" outlineLevel="0" collapsed="false">
      <c r="A29" s="5" t="s">
        <v>185</v>
      </c>
      <c r="B29" s="5" t="s">
        <v>23</v>
      </c>
      <c r="C29" s="5" t="s">
        <v>186</v>
      </c>
      <c r="D29" s="5" t="s">
        <v>187</v>
      </c>
      <c r="E29" s="5" t="s">
        <v>178</v>
      </c>
    </row>
    <row r="30" customFormat="false" ht="15" hidden="false" customHeight="false" outlineLevel="0" collapsed="false">
      <c r="A30" s="5" t="s">
        <v>185</v>
      </c>
      <c r="B30" s="5" t="s">
        <v>27</v>
      </c>
      <c r="C30" s="5" t="s">
        <v>188</v>
      </c>
      <c r="D30" s="5" t="s">
        <v>189</v>
      </c>
      <c r="E30" s="5" t="s">
        <v>178</v>
      </c>
    </row>
    <row r="31" customFormat="false" ht="15" hidden="false" customHeight="false" outlineLevel="0" collapsed="false">
      <c r="A31" s="5" t="s">
        <v>185</v>
      </c>
      <c r="B31" s="5" t="s">
        <v>28</v>
      </c>
      <c r="C31" s="5" t="s">
        <v>190</v>
      </c>
      <c r="D31" s="5" t="s">
        <v>191</v>
      </c>
      <c r="E31" s="5" t="s">
        <v>178</v>
      </c>
    </row>
    <row r="32" customFormat="false" ht="15" hidden="false" customHeight="false" outlineLevel="0" collapsed="false">
      <c r="A32" s="5" t="s">
        <v>185</v>
      </c>
      <c r="B32" s="5" t="s">
        <v>29</v>
      </c>
      <c r="C32" s="5" t="s">
        <v>192</v>
      </c>
      <c r="D32" s="5" t="s">
        <v>193</v>
      </c>
      <c r="E32" s="5" t="s">
        <v>178</v>
      </c>
    </row>
    <row r="33" customFormat="false" ht="15" hidden="false" customHeight="false" outlineLevel="0" collapsed="false">
      <c r="A33" s="5" t="s">
        <v>194</v>
      </c>
      <c r="B33" s="5" t="s">
        <v>42</v>
      </c>
      <c r="C33" s="5" t="s">
        <v>195</v>
      </c>
      <c r="D33" s="5" t="s">
        <v>196</v>
      </c>
      <c r="E33" s="5" t="s">
        <v>178</v>
      </c>
    </row>
    <row r="34" customFormat="false" ht="15" hidden="false" customHeight="false" outlineLevel="0" collapsed="false">
      <c r="A34" s="5" t="s">
        <v>194</v>
      </c>
      <c r="B34" s="5" t="s">
        <v>43</v>
      </c>
      <c r="C34" s="5" t="s">
        <v>197</v>
      </c>
      <c r="D34" s="5" t="s">
        <v>198</v>
      </c>
      <c r="E34" s="5" t="s">
        <v>178</v>
      </c>
    </row>
    <row r="35" customFormat="false" ht="15" hidden="false" customHeight="false" outlineLevel="0" collapsed="false">
      <c r="A35" s="5" t="s">
        <v>199</v>
      </c>
      <c r="B35" s="5" t="s">
        <v>48</v>
      </c>
      <c r="C35" s="5" t="s">
        <v>200</v>
      </c>
      <c r="D35" s="5" t="s">
        <v>201</v>
      </c>
      <c r="E35" s="5" t="s">
        <v>202</v>
      </c>
    </row>
    <row r="36" customFormat="false" ht="15" hidden="false" customHeight="false" outlineLevel="0" collapsed="false">
      <c r="A36" s="5" t="s">
        <v>199</v>
      </c>
      <c r="B36" s="5" t="s">
        <v>51</v>
      </c>
      <c r="C36" s="5" t="s">
        <v>203</v>
      </c>
      <c r="D36" s="5" t="s">
        <v>201</v>
      </c>
      <c r="E36" s="5" t="s">
        <v>202</v>
      </c>
    </row>
    <row r="37" customFormat="false" ht="15" hidden="false" customHeight="false" outlineLevel="0" collapsed="false">
      <c r="A37" s="5" t="s">
        <v>199</v>
      </c>
      <c r="B37" s="5" t="s">
        <v>56</v>
      </c>
      <c r="C37" s="5" t="s">
        <v>204</v>
      </c>
      <c r="D37" s="5" t="s">
        <v>201</v>
      </c>
      <c r="E37" s="5" t="s">
        <v>202</v>
      </c>
    </row>
    <row r="38" customFormat="false" ht="15" hidden="false" customHeight="false" outlineLevel="0" collapsed="false">
      <c r="A38" s="5" t="s">
        <v>199</v>
      </c>
      <c r="B38" s="5" t="s">
        <v>63</v>
      </c>
      <c r="C38" s="5" t="s">
        <v>205</v>
      </c>
      <c r="D38" s="5" t="s">
        <v>201</v>
      </c>
      <c r="E38" s="5" t="s">
        <v>202</v>
      </c>
    </row>
    <row r="39" customFormat="false" ht="15" hidden="false" customHeight="false" outlineLevel="0" collapsed="false">
      <c r="A39" s="5" t="s">
        <v>206</v>
      </c>
      <c r="B39" s="5" t="s">
        <v>207</v>
      </c>
      <c r="C39" s="5" t="s">
        <v>208</v>
      </c>
      <c r="D39" s="5" t="s">
        <v>201</v>
      </c>
      <c r="E39" s="5" t="s">
        <v>202</v>
      </c>
    </row>
    <row r="40" customFormat="false" ht="15" hidden="false" customHeight="false" outlineLevel="0" collapsed="false">
      <c r="A40" s="5" t="s">
        <v>206</v>
      </c>
      <c r="B40" s="5" t="s">
        <v>209</v>
      </c>
      <c r="C40" s="5" t="s">
        <v>210</v>
      </c>
      <c r="D40" s="5" t="s">
        <v>201</v>
      </c>
      <c r="E40" s="5" t="s">
        <v>202</v>
      </c>
    </row>
    <row r="43" customFormat="false" ht="15" hidden="false" customHeight="false" outlineLevel="0" collapsed="false">
      <c r="A43" s="14" t="s">
        <v>211</v>
      </c>
    </row>
    <row r="45" customFormat="false" ht="15" hidden="false" customHeight="false" outlineLevel="0" collapsed="false">
      <c r="A45" s="3" t="s">
        <v>212</v>
      </c>
      <c r="B45" s="3" t="s">
        <v>213</v>
      </c>
      <c r="C45" s="3" t="s">
        <v>214</v>
      </c>
    </row>
    <row r="46" customFormat="false" ht="15" hidden="false" customHeight="false" outlineLevel="0" collapsed="false">
      <c r="A46" s="5" t="s">
        <v>215</v>
      </c>
      <c r="B46" s="5" t="s">
        <v>216</v>
      </c>
      <c r="C46" s="5" t="s">
        <v>217</v>
      </c>
    </row>
    <row r="47" customFormat="false" ht="15" hidden="false" customHeight="false" outlineLevel="0" collapsed="false">
      <c r="A47" s="5" t="s">
        <v>218</v>
      </c>
      <c r="B47" s="5" t="s">
        <v>219</v>
      </c>
      <c r="C47" s="5" t="s">
        <v>220</v>
      </c>
    </row>
    <row r="48" customFormat="false" ht="15" hidden="false" customHeight="false" outlineLevel="0" collapsed="false">
      <c r="A48" s="5" t="s">
        <v>221</v>
      </c>
      <c r="B48" s="5" t="s">
        <v>216</v>
      </c>
      <c r="C48" s="5" t="s">
        <v>222</v>
      </c>
    </row>
    <row r="49" customFormat="false" ht="15" hidden="false" customHeight="false" outlineLevel="0" collapsed="false">
      <c r="A49" s="5" t="s">
        <v>223</v>
      </c>
      <c r="B49" s="5" t="s">
        <v>219</v>
      </c>
      <c r="C49" s="5" t="s">
        <v>224</v>
      </c>
    </row>
    <row r="50" customFormat="false" ht="15" hidden="false" customHeight="false" outlineLevel="0" collapsed="false">
      <c r="A50" s="5" t="s">
        <v>225</v>
      </c>
      <c r="B50" s="5" t="s">
        <v>216</v>
      </c>
      <c r="C50" s="5" t="s">
        <v>226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2026-01-13T18:08:41Z</dcterms:created>
  <dc:creator>openpyxl</dc:creator>
  <dc:description/>
  <dc:language>en-US</dc:language>
  <cp:lastModifiedBy/>
  <dcterms:modified xsi:type="dcterms:W3CDTF">2026-01-13T18:08:41Z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