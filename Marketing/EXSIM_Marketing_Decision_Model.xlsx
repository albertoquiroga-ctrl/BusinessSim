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Marketing/"/>
    </mc:Choice>
  </mc:AlternateContent>
  <xr:revisionPtr revIDLastSave="693" documentId="11_82B23B8B9901990BD4E6D1005F5565F148614E86" xr6:coauthVersionLast="47" xr6:coauthVersionMax="47" xr10:uidLastSave="{F0428034-C5B5-4909-A0B1-330608E4F134}"/>
  <bookViews>
    <workbookView xWindow="-108" yWindow="-108" windowWidth="23256" windowHeight="12456" tabRatio="500" xr2:uid="{00000000-000D-0000-FFFF-FFFF00000000}"/>
  </bookViews>
  <sheets>
    <sheet name="INPUT_MarketReport" sheetId="1" r:id="rId1"/>
    <sheet name="INPUT_SalesAdmin" sheetId="2" r:id="rId2"/>
    <sheet name="INPUT_Inventory" sheetId="3" r:id="rId3"/>
    <sheet name="MASTER_Table" sheetId="4" r:id="rId4"/>
    <sheet name="KPI_Dashboard" sheetId="5" r:id="rId5"/>
    <sheet name="Decision_Panel" sheetId="6" r:id="rId6"/>
    <sheet name="Scenario_Compare" sheetId="7" r:id="rId7"/>
    <sheet name="Data_Dictionary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7" l="1"/>
  <c r="D28" i="7"/>
  <c r="C28" i="7"/>
  <c r="E23" i="7"/>
  <c r="D23" i="7"/>
  <c r="C23" i="7"/>
  <c r="E27" i="7"/>
  <c r="D27" i="7"/>
  <c r="C27" i="7"/>
  <c r="E22" i="7"/>
  <c r="D22" i="7"/>
  <c r="D24" i="7" s="1"/>
  <c r="C22" i="7"/>
  <c r="G7" i="7"/>
  <c r="F7" i="7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F23" i="5"/>
  <c r="E23" i="5"/>
  <c r="D23" i="5"/>
  <c r="C23" i="5"/>
  <c r="B23" i="5"/>
  <c r="F22" i="5"/>
  <c r="E22" i="5"/>
  <c r="D22" i="5"/>
  <c r="C22" i="5"/>
  <c r="B22" i="5"/>
  <c r="F21" i="5"/>
  <c r="E21" i="5"/>
  <c r="D21" i="5"/>
  <c r="C21" i="5"/>
  <c r="B21" i="5"/>
  <c r="F20" i="5"/>
  <c r="E20" i="5"/>
  <c r="D20" i="5"/>
  <c r="C20" i="5"/>
  <c r="B20" i="5"/>
  <c r="P14" i="5"/>
  <c r="K14" i="5"/>
  <c r="F14" i="5"/>
  <c r="O14" i="5"/>
  <c r="J14" i="5"/>
  <c r="E14" i="5"/>
  <c r="N14" i="5"/>
  <c r="I14" i="5"/>
  <c r="D14" i="5"/>
  <c r="M14" i="5"/>
  <c r="H14" i="5"/>
  <c r="C14" i="5"/>
  <c r="L14" i="5"/>
  <c r="G14" i="5"/>
  <c r="B14" i="5"/>
  <c r="P13" i="5"/>
  <c r="K13" i="5"/>
  <c r="F13" i="5"/>
  <c r="O13" i="5"/>
  <c r="J13" i="5"/>
  <c r="E13" i="5"/>
  <c r="N13" i="5"/>
  <c r="I13" i="5"/>
  <c r="D13" i="5"/>
  <c r="M13" i="5"/>
  <c r="H13" i="5"/>
  <c r="C13" i="5"/>
  <c r="L13" i="5"/>
  <c r="G13" i="5"/>
  <c r="B13" i="5"/>
  <c r="P12" i="5"/>
  <c r="K12" i="5"/>
  <c r="F12" i="5"/>
  <c r="O12" i="5"/>
  <c r="J12" i="5"/>
  <c r="E12" i="5"/>
  <c r="N12" i="5"/>
  <c r="I12" i="5"/>
  <c r="D12" i="5"/>
  <c r="M12" i="5"/>
  <c r="H12" i="5"/>
  <c r="C12" i="5"/>
  <c r="L12" i="5"/>
  <c r="G12" i="5"/>
  <c r="B12" i="5"/>
  <c r="P11" i="5"/>
  <c r="K11" i="5"/>
  <c r="F11" i="5"/>
  <c r="O11" i="5"/>
  <c r="J11" i="5"/>
  <c r="E11" i="5"/>
  <c r="N11" i="5"/>
  <c r="I11" i="5"/>
  <c r="D11" i="5"/>
  <c r="M11" i="5"/>
  <c r="H11" i="5"/>
  <c r="C11" i="5"/>
  <c r="L11" i="5"/>
  <c r="G11" i="5"/>
  <c r="B11" i="5"/>
  <c r="P10" i="5"/>
  <c r="K10" i="5"/>
  <c r="F10" i="5"/>
  <c r="O10" i="5"/>
  <c r="J10" i="5"/>
  <c r="E10" i="5"/>
  <c r="N10" i="5"/>
  <c r="I10" i="5"/>
  <c r="D10" i="5"/>
  <c r="M10" i="5"/>
  <c r="H10" i="5"/>
  <c r="C10" i="5"/>
  <c r="L10" i="5"/>
  <c r="G10" i="5"/>
  <c r="B10" i="5"/>
  <c r="P9" i="5"/>
  <c r="K9" i="5"/>
  <c r="F9" i="5"/>
  <c r="O9" i="5"/>
  <c r="J9" i="5"/>
  <c r="E9" i="5"/>
  <c r="N9" i="5"/>
  <c r="I9" i="5"/>
  <c r="D9" i="5"/>
  <c r="M9" i="5"/>
  <c r="H9" i="5"/>
  <c r="C9" i="5"/>
  <c r="L9" i="5"/>
  <c r="G9" i="5"/>
  <c r="B9" i="5"/>
  <c r="P8" i="5"/>
  <c r="K8" i="5"/>
  <c r="F8" i="5"/>
  <c r="O8" i="5"/>
  <c r="J8" i="5"/>
  <c r="E8" i="5"/>
  <c r="N8" i="5"/>
  <c r="I8" i="5"/>
  <c r="D8" i="5"/>
  <c r="M8" i="5"/>
  <c r="H8" i="5"/>
  <c r="C8" i="5"/>
  <c r="L8" i="5"/>
  <c r="G8" i="5"/>
  <c r="B8" i="5"/>
  <c r="P7" i="5"/>
  <c r="K7" i="5"/>
  <c r="F7" i="5"/>
  <c r="O7" i="5"/>
  <c r="J7" i="5"/>
  <c r="E7" i="5"/>
  <c r="N7" i="5"/>
  <c r="I7" i="5"/>
  <c r="D7" i="5"/>
  <c r="M7" i="5"/>
  <c r="H7" i="5"/>
  <c r="C7" i="5"/>
  <c r="L7" i="5"/>
  <c r="G7" i="5"/>
  <c r="B7" i="5"/>
  <c r="P6" i="5"/>
  <c r="K6" i="5"/>
  <c r="F6" i="5"/>
  <c r="O6" i="5"/>
  <c r="J6" i="5"/>
  <c r="E6" i="5"/>
  <c r="N6" i="5"/>
  <c r="I6" i="5"/>
  <c r="D6" i="5"/>
  <c r="M6" i="5"/>
  <c r="H6" i="5"/>
  <c r="C6" i="5"/>
  <c r="L6" i="5"/>
  <c r="G6" i="5"/>
  <c r="B6" i="5"/>
  <c r="C7" i="4"/>
  <c r="D7" i="4"/>
  <c r="E7" i="4" s="1"/>
  <c r="F7" i="4"/>
  <c r="H7" i="4" s="1"/>
  <c r="G7" i="4"/>
  <c r="I7" i="4"/>
  <c r="K7" i="4" s="1"/>
  <c r="J7" i="4"/>
  <c r="L7" i="4"/>
  <c r="M7" i="4"/>
  <c r="P7" i="4" s="1"/>
  <c r="N7" i="4"/>
  <c r="O7" i="4"/>
  <c r="Q7" i="4"/>
  <c r="S7" i="4" s="1"/>
  <c r="R7" i="4"/>
  <c r="T7" i="4"/>
  <c r="U7" i="4"/>
  <c r="C8" i="4"/>
  <c r="D8" i="4"/>
  <c r="E8" i="4" s="1"/>
  <c r="F8" i="4"/>
  <c r="H8" i="4" s="1"/>
  <c r="G8" i="4"/>
  <c r="I8" i="4"/>
  <c r="K8" i="4" s="1"/>
  <c r="J8" i="4"/>
  <c r="L8" i="4"/>
  <c r="M8" i="4"/>
  <c r="N8" i="4"/>
  <c r="W8" i="4" s="1"/>
  <c r="O8" i="4"/>
  <c r="P8" i="4" s="1"/>
  <c r="Q8" i="4"/>
  <c r="S8" i="4" s="1"/>
  <c r="V8" i="4" s="1"/>
  <c r="R8" i="4"/>
  <c r="T8" i="4"/>
  <c r="U8" i="4"/>
  <c r="X8" i="4"/>
  <c r="C9" i="4"/>
  <c r="D9" i="4"/>
  <c r="E9" i="4"/>
  <c r="F9" i="4"/>
  <c r="H9" i="4" s="1"/>
  <c r="G9" i="4"/>
  <c r="I9" i="4"/>
  <c r="J9" i="4"/>
  <c r="K9" i="4"/>
  <c r="L9" i="4"/>
  <c r="M9" i="4"/>
  <c r="P9" i="4" s="1"/>
  <c r="N9" i="4"/>
  <c r="W9" i="4" s="1"/>
  <c r="O9" i="4"/>
  <c r="Q9" i="4"/>
  <c r="R9" i="4"/>
  <c r="S9" i="4"/>
  <c r="T9" i="4"/>
  <c r="U9" i="4"/>
  <c r="V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 s="1"/>
  <c r="W10" i="4"/>
  <c r="X10" i="4"/>
  <c r="C11" i="4"/>
  <c r="D11" i="4"/>
  <c r="E11" i="4" s="1"/>
  <c r="F11" i="4"/>
  <c r="H11" i="4" s="1"/>
  <c r="G11" i="4"/>
  <c r="I11" i="4"/>
  <c r="K11" i="4" s="1"/>
  <c r="J11" i="4"/>
  <c r="L11" i="4"/>
  <c r="M11" i="4"/>
  <c r="N11" i="4"/>
  <c r="O11" i="4"/>
  <c r="P11" i="4" s="1"/>
  <c r="Q11" i="4"/>
  <c r="S11" i="4" s="1"/>
  <c r="R11" i="4"/>
  <c r="T11" i="4"/>
  <c r="U11" i="4"/>
  <c r="C12" i="4"/>
  <c r="D12" i="4"/>
  <c r="E12" i="4" s="1"/>
  <c r="F12" i="4"/>
  <c r="H12" i="4" s="1"/>
  <c r="G12" i="4"/>
  <c r="I12" i="4"/>
  <c r="K12" i="4" s="1"/>
  <c r="J12" i="4"/>
  <c r="L12" i="4"/>
  <c r="M12" i="4"/>
  <c r="N12" i="4"/>
  <c r="O12" i="4"/>
  <c r="P12" i="4" s="1"/>
  <c r="Q12" i="4"/>
  <c r="S12" i="4" s="1"/>
  <c r="R12" i="4"/>
  <c r="T12" i="4"/>
  <c r="U12" i="4"/>
  <c r="C13" i="4"/>
  <c r="D13" i="4"/>
  <c r="E13" i="4"/>
  <c r="F13" i="4"/>
  <c r="H13" i="4" s="1"/>
  <c r="G13" i="4"/>
  <c r="I13" i="4"/>
  <c r="J13" i="4"/>
  <c r="K13" i="4"/>
  <c r="L13" i="4"/>
  <c r="M13" i="4"/>
  <c r="N13" i="4"/>
  <c r="W13" i="4" s="1"/>
  <c r="O13" i="4"/>
  <c r="P13" i="4"/>
  <c r="Q13" i="4"/>
  <c r="R13" i="4"/>
  <c r="S13" i="4"/>
  <c r="T13" i="4"/>
  <c r="U13" i="4"/>
  <c r="V13" i="4"/>
  <c r="X13" i="4"/>
  <c r="C14" i="4"/>
  <c r="D14" i="4"/>
  <c r="E14" i="4"/>
  <c r="F14" i="4"/>
  <c r="G14" i="4"/>
  <c r="H14" i="4"/>
  <c r="I14" i="4"/>
  <c r="J14" i="4"/>
  <c r="K14" i="4"/>
  <c r="L14" i="4"/>
  <c r="M14" i="4"/>
  <c r="N14" i="4"/>
  <c r="W14" i="4" s="1"/>
  <c r="O14" i="4"/>
  <c r="P14" i="4"/>
  <c r="Q14" i="4"/>
  <c r="R14" i="4"/>
  <c r="S14" i="4"/>
  <c r="V14" i="4" s="1"/>
  <c r="T14" i="4"/>
  <c r="U14" i="4"/>
  <c r="X14" i="4"/>
  <c r="C15" i="4"/>
  <c r="D15" i="4"/>
  <c r="E15" i="4" s="1"/>
  <c r="F15" i="4"/>
  <c r="H15" i="4" s="1"/>
  <c r="G15" i="4"/>
  <c r="I15" i="4"/>
  <c r="K15" i="4" s="1"/>
  <c r="J15" i="4"/>
  <c r="L15" i="4"/>
  <c r="M15" i="4"/>
  <c r="P15" i="4" s="1"/>
  <c r="N15" i="4"/>
  <c r="O15" i="4"/>
  <c r="Q15" i="4"/>
  <c r="S15" i="4" s="1"/>
  <c r="R15" i="4"/>
  <c r="T15" i="4"/>
  <c r="U15" i="4"/>
  <c r="W15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G43" i="6"/>
  <c r="D43" i="6"/>
  <c r="B43" i="6"/>
  <c r="G42" i="6"/>
  <c r="D42" i="6"/>
  <c r="C42" i="6"/>
  <c r="B42" i="6"/>
  <c r="G41" i="6"/>
  <c r="D41" i="6"/>
  <c r="C41" i="6"/>
  <c r="B41" i="6"/>
  <c r="G40" i="6"/>
  <c r="D40" i="6"/>
  <c r="B40" i="6"/>
  <c r="G39" i="6"/>
  <c r="D39" i="6"/>
  <c r="B39" i="6"/>
  <c r="H33" i="6"/>
  <c r="D33" i="6"/>
  <c r="C33" i="6"/>
  <c r="B33" i="6"/>
  <c r="H32" i="6"/>
  <c r="E32" i="6"/>
  <c r="J32" i="6"/>
  <c r="D32" i="6"/>
  <c r="C32" i="6"/>
  <c r="B32" i="6"/>
  <c r="H31" i="6"/>
  <c r="E31" i="6"/>
  <c r="J31" i="6"/>
  <c r="D31" i="6"/>
  <c r="C31" i="6"/>
  <c r="B31" i="6"/>
  <c r="H30" i="6"/>
  <c r="E30" i="6"/>
  <c r="J30" i="6"/>
  <c r="F30" i="6" s="1"/>
  <c r="G30" i="6" s="1"/>
  <c r="D30" i="6"/>
  <c r="C30" i="6"/>
  <c r="B30" i="6"/>
  <c r="H29" i="6"/>
  <c r="E29" i="6"/>
  <c r="J29" i="6"/>
  <c r="D29" i="6"/>
  <c r="C29" i="6"/>
  <c r="B29" i="6"/>
  <c r="H28" i="6"/>
  <c r="E28" i="6"/>
  <c r="J28" i="6"/>
  <c r="D28" i="6"/>
  <c r="C28" i="6"/>
  <c r="B28" i="6"/>
  <c r="L22" i="6"/>
  <c r="K32" i="6" s="1"/>
  <c r="L32" i="6" s="1"/>
  <c r="M32" i="6" s="1"/>
  <c r="C22" i="6"/>
  <c r="L21" i="6"/>
  <c r="K31" i="6" s="1"/>
  <c r="L31" i="6" s="1"/>
  <c r="M31" i="6" s="1"/>
  <c r="C21" i="6"/>
  <c r="L20" i="6"/>
  <c r="K30" i="6" s="1"/>
  <c r="L30" i="6" s="1"/>
  <c r="M30" i="6" s="1"/>
  <c r="C20" i="6"/>
  <c r="L19" i="6"/>
  <c r="K29" i="6" s="1"/>
  <c r="L29" i="6" s="1"/>
  <c r="M29" i="6" s="1"/>
  <c r="C19" i="6"/>
  <c r="L18" i="6"/>
  <c r="K28" i="6" s="1"/>
  <c r="L28" i="6" s="1"/>
  <c r="C18" i="6"/>
  <c r="E29" i="7"/>
  <c r="D29" i="7"/>
  <c r="C29" i="7"/>
  <c r="E26" i="7"/>
  <c r="D26" i="7"/>
  <c r="C26" i="7"/>
  <c r="C24" i="7"/>
  <c r="E24" i="7"/>
  <c r="E21" i="7"/>
  <c r="D21" i="7"/>
  <c r="C21" i="7"/>
  <c r="G15" i="7"/>
  <c r="F15" i="7"/>
  <c r="G14" i="7"/>
  <c r="F14" i="7"/>
  <c r="G13" i="7"/>
  <c r="F13" i="7"/>
  <c r="G11" i="7"/>
  <c r="F11" i="7"/>
  <c r="G10" i="7"/>
  <c r="F10" i="7"/>
  <c r="G9" i="7"/>
  <c r="F9" i="7"/>
  <c r="G8" i="7"/>
  <c r="F8" i="7"/>
  <c r="G6" i="7"/>
  <c r="F6" i="7"/>
  <c r="C25" i="7" l="1"/>
  <c r="E30" i="7"/>
  <c r="D30" i="7"/>
  <c r="V11" i="4"/>
  <c r="W11" i="4" s="1"/>
  <c r="C39" i="6"/>
  <c r="X11" i="4"/>
  <c r="C40" i="6"/>
  <c r="V12" i="4"/>
  <c r="W12" i="4" s="1"/>
  <c r="X12" i="4"/>
  <c r="V15" i="4"/>
  <c r="C43" i="6"/>
  <c r="V7" i="4"/>
  <c r="W7" i="4" s="1"/>
  <c r="X7" i="4"/>
  <c r="X15" i="4"/>
  <c r="F31" i="6"/>
  <c r="G31" i="6" s="1"/>
  <c r="X9" i="4"/>
  <c r="F29" i="6"/>
  <c r="G29" i="6" s="1"/>
  <c r="E33" i="6"/>
  <c r="F32" i="6"/>
  <c r="G32" i="6" s="1"/>
  <c r="J33" i="6"/>
  <c r="I30" i="6"/>
  <c r="E41" i="6" s="1"/>
  <c r="F41" i="6" s="1"/>
  <c r="I31" i="6"/>
  <c r="E42" i="6" s="1"/>
  <c r="F42" i="6" s="1"/>
  <c r="F28" i="6"/>
  <c r="I29" i="6"/>
  <c r="E40" i="6" s="1"/>
  <c r="F40" i="6" s="1"/>
  <c r="L33" i="6"/>
  <c r="M28" i="6"/>
  <c r="D25" i="7"/>
  <c r="E25" i="7"/>
  <c r="C30" i="7"/>
  <c r="I32" i="6" l="1"/>
  <c r="E43" i="6" s="1"/>
  <c r="F43" i="6" s="1"/>
  <c r="G28" i="6"/>
  <c r="F33" i="6"/>
  <c r="I28" i="6"/>
  <c r="E39" i="6" s="1"/>
  <c r="F39" i="6" s="1"/>
  <c r="M33" i="6"/>
  <c r="I33" i="6" l="1"/>
</calcChain>
</file>

<file path=xl/sharedStrings.xml><?xml version="1.0" encoding="utf-8"?>
<sst xmlns="http://schemas.openxmlformats.org/spreadsheetml/2006/main" count="596" uniqueCount="279">
  <si>
    <t>MARKET REPORT DATA - INPUT MANUAL</t>
  </si>
  <si>
    <t>Instrucciones: Copiar datos del Market Report por periodo. Celdas azules = input manual.</t>
  </si>
  <si>
    <t>Period</t>
  </si>
  <si>
    <t>Region</t>
  </si>
  <si>
    <t>Segment</t>
  </si>
  <si>
    <t>Company</t>
  </si>
  <si>
    <t>Price</t>
  </si>
  <si>
    <t>Product_Awareness</t>
  </si>
  <si>
    <t>Promo_Impact</t>
  </si>
  <si>
    <t>Market_Share_%</t>
  </si>
  <si>
    <t>Units_Sold</t>
  </si>
  <si>
    <t>Notes</t>
  </si>
  <si>
    <t>Center</t>
  </si>
  <si>
    <t>High</t>
  </si>
  <si>
    <t>MyCompany</t>
  </si>
  <si>
    <t>Comp_A</t>
  </si>
  <si>
    <t>Comp_B</t>
  </si>
  <si>
    <t>Comp_C</t>
  </si>
  <si>
    <t>Comp_D</t>
  </si>
  <si>
    <t>Low</t>
  </si>
  <si>
    <t>West</t>
  </si>
  <si>
    <t>SALES &amp; ADMINISTRATION EXPENSE REPORT - INPUT MANUAL</t>
  </si>
  <si>
    <t>Brand</t>
  </si>
  <si>
    <t>Units</t>
  </si>
  <si>
    <t>Local_Price</t>
  </si>
  <si>
    <t>Gross_Sales</t>
  </si>
  <si>
    <t>Discount_%</t>
  </si>
  <si>
    <t>Net_Sales</t>
  </si>
  <si>
    <t>TV_Ads_$</t>
  </si>
  <si>
    <t>Radio_Ads_$</t>
  </si>
  <si>
    <t>Salespeople_#</t>
  </si>
  <si>
    <t>Salespeople_Salary_$</t>
  </si>
  <si>
    <t>Admin_Expenses_$</t>
  </si>
  <si>
    <t>A</t>
  </si>
  <si>
    <t>FINISHED GOODS INVENTORY &amp; LOST SALES - INPUT MANUAL</t>
  </si>
  <si>
    <t>FG_Initial</t>
  </si>
  <si>
    <t>Production</t>
  </si>
  <si>
    <t>Receptions</t>
  </si>
  <si>
    <t>Shipments_Out</t>
  </si>
  <si>
    <t>Sales</t>
  </si>
  <si>
    <t>FG_Final</t>
  </si>
  <si>
    <t>Thrown_Away</t>
  </si>
  <si>
    <t>Lost_Sales_Units</t>
  </si>
  <si>
    <t>Salespeople_Quit</t>
  </si>
  <si>
    <t>CONSOLIDATED MASTER TABLE - KPIs BY PERIOD &amp; REGION</t>
  </si>
  <si>
    <t>Las fórmulas calculan KPIs automáticamente desde los inputs. Negro = fórmula, Verde = link a otra hoja.</t>
  </si>
  <si>
    <t>MyPrice</t>
  </si>
  <si>
    <t>Price_Index</t>
  </si>
  <si>
    <t>MyAwareness</t>
  </si>
  <si>
    <t>MaxCompAwareness</t>
  </si>
  <si>
    <t>Awareness_Gap</t>
  </si>
  <si>
    <t>MyPromo</t>
  </si>
  <si>
    <t>MaxCompPromo</t>
  </si>
  <si>
    <t>Promo_Gap</t>
  </si>
  <si>
    <t>MyShare_%</t>
  </si>
  <si>
    <t>Lost_Sales_%</t>
  </si>
  <si>
    <t>TV_Ads</t>
  </si>
  <si>
    <t>Radio_Ads</t>
  </si>
  <si>
    <t>Total_Ads</t>
  </si>
  <si>
    <t>Sellers</t>
  </si>
  <si>
    <t>Seller_Cost</t>
  </si>
  <si>
    <t>S&amp;A_Total</t>
  </si>
  <si>
    <t>S&amp;A_%_NetSales</t>
  </si>
  <si>
    <t>Comm_Spend_per_Unit</t>
  </si>
  <si>
    <t>KPI DASHBOARD - ANÁLISIS Y ROI OBSERVADO</t>
  </si>
  <si>
    <t>MÉTRICAS CLAVE POR REGIÓN Y PERIODO</t>
  </si>
  <si>
    <t>Metric</t>
  </si>
  <si>
    <t>Market Share %</t>
  </si>
  <si>
    <t>Awareness</t>
  </si>
  <si>
    <t>Promo Impact</t>
  </si>
  <si>
    <t>Units Sold</t>
  </si>
  <si>
    <t>Net Sales</t>
  </si>
  <si>
    <t>Lost Sales %</t>
  </si>
  <si>
    <t>S&amp;A % Net Sales</t>
  </si>
  <si>
    <t>Comm Spend/Unit</t>
  </si>
  <si>
    <t>ROI OBSERVADO (Delta periodo a periodo)</t>
  </si>
  <si>
    <t>ROI Metric</t>
  </si>
  <si>
    <t>ROI Awareness per $Ads</t>
  </si>
  <si>
    <t>pts Awareness por cada $1,000 ads</t>
  </si>
  <si>
    <t>ROI Share per $Ads</t>
  </si>
  <si>
    <t>pts Share por cada $1,000 ads</t>
  </si>
  <si>
    <t>ROI Units per Seller</t>
  </si>
  <si>
    <t>Elasticidad Precio</t>
  </si>
  <si>
    <t>%ΔUnits / %ΔPrecio (negativo=normal)</t>
  </si>
  <si>
    <t>ALERTAS Y GUARDRAILS</t>
  </si>
  <si>
    <t>Lost Sales Alert</t>
  </si>
  <si>
    <t>S&amp;A Overspend Alert</t>
  </si>
  <si>
    <t>Sellers Quit Alert</t>
  </si>
  <si>
    <t>Status</t>
  </si>
  <si>
    <t>PANEL DE DECISIONES - PERIODO SIGUIENTE</t>
  </si>
  <si>
    <t>Celdas AZULES = editar. El panel calcula presupuesto y riesgos automáticamente.</t>
  </si>
  <si>
    <t>PARÁMETROS GLOBALES</t>
  </si>
  <si>
    <t>Periodo a planear:</t>
  </si>
  <si>
    <t>TV Spot Cost:</t>
  </si>
  <si>
    <t>Radio Spot Cost:</t>
  </si>
  <si>
    <t>Seller Hiring Cost:</t>
  </si>
  <si>
    <t>Seller Salary/Period:</t>
  </si>
  <si>
    <t>Umbral S&amp;A % (alerta):</t>
  </si>
  <si>
    <t>Umbral Lost Sales % (alerta):</t>
  </si>
  <si>
    <t>DECISIONES POR REGIÓN</t>
  </si>
  <si>
    <t>Price_Prop</t>
  </si>
  <si>
    <t>Radio_Spots</t>
  </si>
  <si>
    <t>Brand_Focus_%</t>
  </si>
  <si>
    <t>Sellers_Prop</t>
  </si>
  <si>
    <t>Forecast_Units</t>
  </si>
  <si>
    <t>Mejora_1</t>
  </si>
  <si>
    <t>Mejora_2</t>
  </si>
  <si>
    <t>Mejora_3</t>
  </si>
  <si>
    <t>No</t>
  </si>
  <si>
    <t>North</t>
  </si>
  <si>
    <t>East</t>
  </si>
  <si>
    <t>South</t>
  </si>
  <si>
    <t>CÁLCULOS DE PRESUPUESTO</t>
  </si>
  <si>
    <t>TV_Cost</t>
  </si>
  <si>
    <t>Radio_Cost</t>
  </si>
  <si>
    <t>Total_Comm</t>
  </si>
  <si>
    <t>Est_S&amp;A_%</t>
  </si>
  <si>
    <t>TOTAL</t>
  </si>
  <si>
    <t>VALIDACIÓN Y ALERTAS</t>
  </si>
  <si>
    <t>S&amp;A % Alert</t>
  </si>
  <si>
    <t>Recommendation</t>
  </si>
  <si>
    <t>COMPARACIÓN DE ESCENARIOS</t>
  </si>
  <si>
    <t>Modifica los valores en Plan A y Plan B para comparar estrategias alternativas.</t>
  </si>
  <si>
    <t>Variable</t>
  </si>
  <si>
    <t>BASE (P7)</t>
  </si>
  <si>
    <t>PLAN_A</t>
  </si>
  <si>
    <t>PLAN_B</t>
  </si>
  <si>
    <t>Δ_A_vs_Base</t>
  </si>
  <si>
    <t>Δ_B_vs_Base</t>
  </si>
  <si>
    <t>Forecast</t>
  </si>
  <si>
    <t>ESTIMACIÓN DE RESULTADOS POR ESCENARIO</t>
  </si>
  <si>
    <t>BASE</t>
  </si>
  <si>
    <t>Est_Revenue</t>
  </si>
  <si>
    <t>Est_Ads_Cost</t>
  </si>
  <si>
    <t>Est_Seller_Cost</t>
  </si>
  <si>
    <t>Est_Total_Comm</t>
  </si>
  <si>
    <t>DICCIONARIO DE DATOS E INSTRUCCIONES</t>
  </si>
  <si>
    <t>INSTRUCCIONES DE USO</t>
  </si>
  <si>
    <t>1. Después de cada periodo simulado, actualizar las 3 hojas INPUT con datos de los reportes EXSIM.</t>
  </si>
  <si>
    <t>2. INPUT_MarketReport: Copiar datos del Market Report (precio, awareness, promo, share por empresa).</t>
  </si>
  <si>
    <t>3. INPUT_SalesAdmin: Copiar datos del Sales &amp; Administration Report (unidades, ventas, gastos).</t>
  </si>
  <si>
    <t>4. INPUT_Inventory: Copiar datos del Finished Goods Inventory (stock, lost sales, vendedores que renunciaron).</t>
  </si>
  <si>
    <t>5. MASTER_Table se actualiza automáticamente con fórmulas.</t>
  </si>
  <si>
    <t>6. KPI_Dashboard muestra métricas clave y alertas.</t>
  </si>
  <si>
    <t>8. Scenario_Compare: Comparar hasta 3 escenarios alternativos.</t>
  </si>
  <si>
    <t>CÓDIGO DE COLORES:</t>
  </si>
  <si>
    <t>- Azul: Inputs manuales (datos de reportes)</t>
  </si>
  <si>
    <t>- Negro: Fórmulas calculadas</t>
  </si>
  <si>
    <t>- Verde: Links a otras hojas</t>
  </si>
  <si>
    <t>- Amarillo: Celdas editables para decisiones</t>
  </si>
  <si>
    <t>- Rojo: Alertas críticas</t>
  </si>
  <si>
    <t>DEFINICIÓN DE COLUMNAS</t>
  </si>
  <si>
    <t>Hoja</t>
  </si>
  <si>
    <t>Columna</t>
  </si>
  <si>
    <t>Descripción</t>
  </si>
  <si>
    <t>Fuente en EXSIM</t>
  </si>
  <si>
    <t>Tipo</t>
  </si>
  <si>
    <t>INPUT_MarketReport</t>
  </si>
  <si>
    <t>Precio de venta al cliente final</t>
  </si>
  <si>
    <t>Market Report &gt; Price</t>
  </si>
  <si>
    <t>Input</t>
  </si>
  <si>
    <t>% de conocimiento de producto (0-100)</t>
  </si>
  <si>
    <t>Market Report &gt; Product Awareness</t>
  </si>
  <si>
    <t>Impacto promocional salesforce (0-1)</t>
  </si>
  <si>
    <t>Market Report &gt; Evaluation of Promotional Impact</t>
  </si>
  <si>
    <t>Cuota de mercado en la región (%)</t>
  </si>
  <si>
    <t>Market Report &gt; Market Share Per Region</t>
  </si>
  <si>
    <t>INPUT_SalesAdmin</t>
  </si>
  <si>
    <t>Unidades vendidas en el periodo</t>
  </si>
  <si>
    <t>Sales Report &gt; Sales &gt; Units</t>
  </si>
  <si>
    <t>Ventas netas después de descuentos</t>
  </si>
  <si>
    <t>Sales Report &gt; Sales &gt; Net Sales</t>
  </si>
  <si>
    <t>Gasto en publicidad de TV</t>
  </si>
  <si>
    <t>S&amp;A Expenses &gt; TV Advertisement</t>
  </si>
  <si>
    <t>Gasto en publicidad de Radio</t>
  </si>
  <si>
    <t>S&amp;A Expenses &gt; Radio Advertisement</t>
  </si>
  <si>
    <t>INPUT_Inventory</t>
  </si>
  <si>
    <t>Unidades de demanda no satisfecha</t>
  </si>
  <si>
    <t>Finished Goods Inventory &gt; (Demanda - Sales)</t>
  </si>
  <si>
    <t>Vendedores que renunciaron por stockout</t>
  </si>
  <si>
    <t>Simulation Messages o cálculo</t>
  </si>
  <si>
    <t>MASTER_Table</t>
  </si>
  <si>
    <t>Calculado</t>
  </si>
  <si>
    <t>Fórmula</t>
  </si>
  <si>
    <t>Tu awareness - Max competidor</t>
  </si>
  <si>
    <t>Lost Sales / (Units + Lost Sales)</t>
  </si>
  <si>
    <t>Total S&amp;A / Net Sales</t>
  </si>
  <si>
    <t>KPI_Dashboard</t>
  </si>
  <si>
    <t>ROI_Awareness_per_$</t>
  </si>
  <si>
    <t>ΔAwareness / ΔAds_Spend (x1000)</t>
  </si>
  <si>
    <t>Elasticidad_Precio</t>
  </si>
  <si>
    <t>%ΔUnits / %ΔPrecio</t>
  </si>
  <si>
    <t>GUARDRAILS Y UMBRALES</t>
  </si>
  <si>
    <t>Condición</t>
  </si>
  <si>
    <t>Nivel</t>
  </si>
  <si>
    <t>Acción Recomendada</t>
  </si>
  <si>
    <t>Lost Sales % &gt; 3%</t>
  </si>
  <si>
    <t>🔴 ROJO</t>
  </si>
  <si>
    <t>NO aumentar ads/sellers en esa región. Resolver stockout primero.</t>
  </si>
  <si>
    <t>Lost Sales % &gt; 0%</t>
  </si>
  <si>
    <t>🟡 AMARILLO</t>
  </si>
  <si>
    <t>Precaución. Coordinar con operaciones para evitar recurrencia.</t>
  </si>
  <si>
    <t>S&amp;A % Net Sales &gt; 35%</t>
  </si>
  <si>
    <t>Gasto comercial excesivo. Reducir o mejorar conversión.</t>
  </si>
  <si>
    <t>S&amp;A % Net Sales &gt; 28%</t>
  </si>
  <si>
    <t>Gasto alto. Monitorear ROI de inversiones.</t>
  </si>
  <si>
    <t>Salespeople Quit &gt; 0</t>
  </si>
  <si>
    <t>Stockout causó renuncias. Impacto en promo de siguiente periodo.</t>
  </si>
  <si>
    <t>TV_Spots_Total:</t>
  </si>
  <si>
    <t>TV_Focus_% (Brand):</t>
  </si>
  <si>
    <t>TV_Alloc_%</t>
  </si>
  <si>
    <t>Payment_Terms</t>
  </si>
  <si>
    <t>Nota</t>
  </si>
  <si>
    <t>B</t>
  </si>
  <si>
    <t>No mueve demanda</t>
  </si>
  <si>
    <t>vs_Prev</t>
  </si>
  <si>
    <t>Forecast_Gross_Sales</t>
  </si>
  <si>
    <t>Innovation_Cost</t>
  </si>
  <si>
    <t>Discount_Impact_$</t>
  </si>
  <si>
    <t>Forecast_Net_Sales</t>
  </si>
  <si>
    <t>Price vs Prev</t>
  </si>
  <si>
    <t>Ads vs Prev</t>
  </si>
  <si>
    <t>Sellers vs Prev</t>
  </si>
  <si>
    <t>Focus Alert</t>
  </si>
  <si>
    <t>Payment_Terms_Lookup</t>
  </si>
  <si>
    <t>Term</t>
  </si>
  <si>
    <t>Note</t>
  </si>
  <si>
    <t>C</t>
  </si>
  <si>
    <t>D</t>
  </si>
  <si>
    <t>Innovation_Catalog</t>
  </si>
  <si>
    <t>ID</t>
  </si>
  <si>
    <t>Upfront_$</t>
  </si>
  <si>
    <t>VarCost_per_Unit</t>
  </si>
  <si>
    <t>CO2_per_Unit</t>
  </si>
  <si>
    <t>INNO_1</t>
  </si>
  <si>
    <t>INNO_2</t>
  </si>
  <si>
    <t>INNO_3</t>
  </si>
  <si>
    <t>INNO_4</t>
  </si>
  <si>
    <t>BestCompPrice</t>
  </si>
  <si>
    <t>P_Base</t>
  </si>
  <si>
    <t>P_Compare</t>
  </si>
  <si>
    <t>Base_Center</t>
  </si>
  <si>
    <t>Comp_Center</t>
  </si>
  <si>
    <t>Base_West</t>
  </si>
  <si>
    <t>Comp_West</t>
  </si>
  <si>
    <t>Base_North</t>
  </si>
  <si>
    <t>Comp_North</t>
  </si>
  <si>
    <t>Base_East</t>
  </si>
  <si>
    <t>Comp_East</t>
  </si>
  <si>
    <t>Base_South</t>
  </si>
  <si>
    <t>Comp_South</t>
  </si>
  <si>
    <t>Interpretacion</t>
  </si>
  <si>
    <t>?Units / #Sellers actual</t>
  </si>
  <si>
    <t>TV_Spots_Global</t>
  </si>
  <si>
    <t>Global</t>
  </si>
  <si>
    <t>7. Decision_Panel: Editar celdas amarillas para planear el siguiente periodo (TV global, Payment Terms e Innovacion).</t>
  </si>
  <si>
    <t>Precio minimo del competidor (lider)</t>
  </si>
  <si>
    <t>Formula</t>
  </si>
  <si>
    <t>Tu precio / Mejor competidor (min)</t>
  </si>
  <si>
    <t>Decision_Panel</t>
  </si>
  <si>
    <t>TV_Spots_Total</t>
  </si>
  <si>
    <t>Spots de TV global (nacional)</t>
  </si>
  <si>
    <t>Decision</t>
  </si>
  <si>
    <t>Prorrateo TV por region (segun forecast)</t>
  </si>
  <si>
    <t>TV_Focus_% (Brand)</t>
  </si>
  <si>
    <t>% Brand focus en TV (min 10%)</t>
  </si>
  <si>
    <t>Terminos A/B/C/D (no mueve demanda)</t>
  </si>
  <si>
    <t>Descuento asociado a Payment Terms</t>
  </si>
  <si>
    <t>Upfront/3 + variable por unidad</t>
  </si>
  <si>
    <t>Ventas netas estimadas (post descuento)</t>
  </si>
  <si>
    <t>P_Base / P_Compare</t>
  </si>
  <si>
    <t>Periodos base y comparacion para KPIs</t>
  </si>
  <si>
    <t>Scenario_Compare</t>
  </si>
  <si>
    <t>Spots TV globales para escenarios</t>
  </si>
  <si>
    <t>Delta_Center</t>
  </si>
  <si>
    <t>Delta_West</t>
  </si>
  <si>
    <t>Delta_North</t>
  </si>
  <si>
    <t>Delta_East</t>
  </si>
  <si>
    <t>Delta_South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</si>
</sst>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i/>
      <sz val="11"/>
      <color rgb="FF666666"/>
      <name val="Cambria"/>
      <charset val="1"/>
    </font>
    <font>
      <b/>
      <sz val="11"/>
      <color rgb="FFFFFFFF"/>
      <name val="Cambria"/>
      <charset val="1"/>
    </font>
    <font>
      <sz val="11"/>
      <color rgb="FF0000FF"/>
      <name val="Cambria"/>
      <charset val="1"/>
    </font>
    <font>
      <sz val="11"/>
      <color rgb="FF008000"/>
      <name val="Cambria"/>
      <charset val="1"/>
    </font>
    <font>
      <sz val="11"/>
      <color rgb="FF000000"/>
      <name val="Cambria"/>
      <charset val="1"/>
    </font>
    <font>
      <b/>
      <sz val="12"/>
      <name val="Cambria"/>
      <charset val="1"/>
    </font>
    <font>
      <b/>
      <sz val="12"/>
      <color rgb="FFFF0000"/>
      <name val="Cambria"/>
      <charset val="1"/>
    </font>
    <font>
      <b/>
      <sz val="11"/>
      <name val="Cambria"/>
      <charset val="1"/>
    </font>
  </fonts>
  <fills count="6">
    <fill>
      <patternFill patternType="none"/>
    </fill>
    <fill>
      <patternFill patternType="gray125"/>
    </fill>
    <fill>
      <patternFill patternType="solid">
        <fgColor rgb="FF4F81BD"/>
        <bgColor rgb="FF3366FF"/>
      </patternFill>
    </fill>
    <fill>
      <patternFill patternType="solid">
        <fgColor rgb="FFF2F2F2"/>
        <bgColor rgb="FFDBEEF3"/>
      </patternFill>
    </fill>
    <fill>
      <patternFill patternType="solid">
        <fgColor rgb="FFFFFF00"/>
        <bgColor rgb="FFFFFF00"/>
      </patternFill>
    </fill>
    <fill>
      <patternFill patternType="solid">
        <fgColor rgb="FFDBEEF3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wrapText="1"/>
    </xf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7" fillId="3" borderId="0" xfId="0" applyFont="1" applyFill="1"/>
    <xf numFmtId="0" fontId="4" fillId="4" borderId="0" xfId="0" applyFont="1" applyFill="1"/>
    <xf numFmtId="0" fontId="4" fillId="4" borderId="1" xfId="0" applyFont="1" applyFill="1" applyBorder="1"/>
    <xf numFmtId="0" fontId="9" fillId="0" borderId="1" xfId="0" applyFont="1" applyBorder="1"/>
    <xf numFmtId="0" fontId="7" fillId="5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4F81BD"/>
      <rgbColor rgb="FF9999FF"/>
      <rgbColor rgb="FF993366"/>
      <rgbColor rgb="FFF2F2F2"/>
      <rgbColor rgb="FFDBEE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zoomScaleNormal="100" workbookViewId="0">
      <selection sqref="A1:J1"/>
    </sheetView>
  </sheetViews>
  <sheetFormatPr baseColWidth="10" defaultColWidth="8.6640625" defaultRowHeight="14.4" x14ac:dyDescent="0.3"/>
  <cols>
    <col min="1" max="1" width="10" customWidth="1"/>
    <col min="2" max="2" width="12" customWidth="1"/>
    <col min="3" max="3" width="10" customWidth="1"/>
    <col min="4" max="4" width="14" customWidth="1"/>
    <col min="5" max="5" width="10" customWidth="1"/>
    <col min="6" max="6" width="18" customWidth="1"/>
    <col min="7" max="7" width="14" customWidth="1"/>
    <col min="8" max="8" width="15" customWidth="1"/>
    <col min="9" max="9" width="12" customWidth="1"/>
    <col min="10" max="10" width="20" customWidth="1"/>
  </cols>
  <sheetData>
    <row r="1" spans="1:10" ht="17.399999999999999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3" spans="1:10" x14ac:dyDescent="0.3">
      <c r="A3" s="1" t="s">
        <v>1</v>
      </c>
    </row>
    <row r="5" spans="1:10" ht="28.2" x14ac:dyDescent="0.3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</row>
    <row r="6" spans="1:10" x14ac:dyDescent="0.3">
      <c r="A6" s="3">
        <v>6</v>
      </c>
      <c r="B6" s="3" t="s">
        <v>12</v>
      </c>
      <c r="C6" s="3" t="s">
        <v>13</v>
      </c>
      <c r="D6" s="3" t="s">
        <v>14</v>
      </c>
      <c r="E6" s="3">
        <v>68</v>
      </c>
      <c r="F6" s="3">
        <v>65</v>
      </c>
      <c r="G6" s="3">
        <v>0.25</v>
      </c>
      <c r="H6" s="3">
        <v>20</v>
      </c>
      <c r="I6" s="3">
        <v>1800</v>
      </c>
      <c r="J6" s="3"/>
    </row>
    <row r="7" spans="1:10" x14ac:dyDescent="0.3">
      <c r="A7" s="3">
        <v>6</v>
      </c>
      <c r="B7" s="3" t="s">
        <v>12</v>
      </c>
      <c r="C7" s="3" t="s">
        <v>13</v>
      </c>
      <c r="D7" s="3" t="s">
        <v>15</v>
      </c>
      <c r="E7" s="3">
        <v>68</v>
      </c>
      <c r="F7" s="3">
        <v>60</v>
      </c>
      <c r="G7" s="3">
        <v>0.2</v>
      </c>
      <c r="H7" s="3">
        <v>20</v>
      </c>
      <c r="I7" s="3">
        <v>1800</v>
      </c>
      <c r="J7" s="3"/>
    </row>
    <row r="8" spans="1:10" x14ac:dyDescent="0.3">
      <c r="A8" s="3">
        <v>6</v>
      </c>
      <c r="B8" s="3" t="s">
        <v>12</v>
      </c>
      <c r="C8" s="3" t="s">
        <v>13</v>
      </c>
      <c r="D8" s="3" t="s">
        <v>16</v>
      </c>
      <c r="E8" s="3">
        <v>68</v>
      </c>
      <c r="F8" s="3">
        <v>60</v>
      </c>
      <c r="G8" s="3">
        <v>0.2</v>
      </c>
      <c r="H8" s="3">
        <v>20</v>
      </c>
      <c r="I8" s="3">
        <v>1800</v>
      </c>
      <c r="J8" s="3"/>
    </row>
    <row r="9" spans="1:10" x14ac:dyDescent="0.3">
      <c r="A9" s="3">
        <v>6</v>
      </c>
      <c r="B9" s="3" t="s">
        <v>12</v>
      </c>
      <c r="C9" s="3" t="s">
        <v>13</v>
      </c>
      <c r="D9" s="3" t="s">
        <v>17</v>
      </c>
      <c r="E9" s="3">
        <v>68</v>
      </c>
      <c r="F9" s="3">
        <v>60</v>
      </c>
      <c r="G9" s="3">
        <v>0.2</v>
      </c>
      <c r="H9" s="3">
        <v>20</v>
      </c>
      <c r="I9" s="3">
        <v>1800</v>
      </c>
      <c r="J9" s="3"/>
    </row>
    <row r="10" spans="1:10" x14ac:dyDescent="0.3">
      <c r="A10" s="3">
        <v>6</v>
      </c>
      <c r="B10" s="3" t="s">
        <v>12</v>
      </c>
      <c r="C10" s="3" t="s">
        <v>13</v>
      </c>
      <c r="D10" s="3" t="s">
        <v>18</v>
      </c>
      <c r="E10" s="3">
        <v>68</v>
      </c>
      <c r="F10" s="3">
        <v>60</v>
      </c>
      <c r="G10" s="3">
        <v>0.2</v>
      </c>
      <c r="H10" s="3">
        <v>20</v>
      </c>
      <c r="I10" s="3">
        <v>1800</v>
      </c>
      <c r="J10" s="3"/>
    </row>
    <row r="11" spans="1:10" x14ac:dyDescent="0.3">
      <c r="A11" s="3">
        <v>6</v>
      </c>
      <c r="B11" s="3" t="s">
        <v>12</v>
      </c>
      <c r="C11" s="3" t="s">
        <v>19</v>
      </c>
      <c r="D11" s="3" t="s">
        <v>14</v>
      </c>
      <c r="E11" s="3">
        <v>68</v>
      </c>
      <c r="F11" s="3">
        <v>65</v>
      </c>
      <c r="G11" s="3">
        <v>0.25</v>
      </c>
      <c r="H11" s="3">
        <v>20</v>
      </c>
      <c r="I11" s="3">
        <v>2200</v>
      </c>
      <c r="J11" s="3"/>
    </row>
    <row r="12" spans="1:10" x14ac:dyDescent="0.3">
      <c r="A12" s="3">
        <v>6</v>
      </c>
      <c r="B12" s="3" t="s">
        <v>12</v>
      </c>
      <c r="C12" s="3" t="s">
        <v>19</v>
      </c>
      <c r="D12" s="3" t="s">
        <v>15</v>
      </c>
      <c r="E12" s="3">
        <v>68</v>
      </c>
      <c r="F12" s="3">
        <v>60</v>
      </c>
      <c r="G12" s="3">
        <v>0.2</v>
      </c>
      <c r="H12" s="3">
        <v>20</v>
      </c>
      <c r="I12" s="3">
        <v>2200</v>
      </c>
      <c r="J12" s="3"/>
    </row>
    <row r="13" spans="1:10" x14ac:dyDescent="0.3">
      <c r="A13" s="3">
        <v>6</v>
      </c>
      <c r="B13" s="3" t="s">
        <v>12</v>
      </c>
      <c r="C13" s="3" t="s">
        <v>19</v>
      </c>
      <c r="D13" s="3" t="s">
        <v>16</v>
      </c>
      <c r="E13" s="3">
        <v>68</v>
      </c>
      <c r="F13" s="3">
        <v>60</v>
      </c>
      <c r="G13" s="3">
        <v>0.2</v>
      </c>
      <c r="H13" s="3">
        <v>20</v>
      </c>
      <c r="I13" s="3">
        <v>2200</v>
      </c>
      <c r="J13" s="3"/>
    </row>
    <row r="14" spans="1:10" x14ac:dyDescent="0.3">
      <c r="A14" s="3">
        <v>6</v>
      </c>
      <c r="B14" s="3" t="s">
        <v>12</v>
      </c>
      <c r="C14" s="3" t="s">
        <v>19</v>
      </c>
      <c r="D14" s="3" t="s">
        <v>17</v>
      </c>
      <c r="E14" s="3">
        <v>68</v>
      </c>
      <c r="F14" s="3">
        <v>60</v>
      </c>
      <c r="G14" s="3">
        <v>0.2</v>
      </c>
      <c r="H14" s="3">
        <v>20</v>
      </c>
      <c r="I14" s="3">
        <v>2200</v>
      </c>
      <c r="J14" s="3"/>
    </row>
    <row r="15" spans="1:10" x14ac:dyDescent="0.3">
      <c r="A15" s="3">
        <v>6</v>
      </c>
      <c r="B15" s="3" t="s">
        <v>12</v>
      </c>
      <c r="C15" s="3" t="s">
        <v>19</v>
      </c>
      <c r="D15" s="3" t="s">
        <v>18</v>
      </c>
      <c r="E15" s="3">
        <v>68</v>
      </c>
      <c r="F15" s="3">
        <v>60</v>
      </c>
      <c r="G15" s="3">
        <v>0.2</v>
      </c>
      <c r="H15" s="3">
        <v>20</v>
      </c>
      <c r="I15" s="3">
        <v>2200</v>
      </c>
      <c r="J15" s="3"/>
    </row>
    <row r="16" spans="1:10" x14ac:dyDescent="0.3">
      <c r="A16" s="3">
        <v>6</v>
      </c>
      <c r="B16" s="3" t="s">
        <v>20</v>
      </c>
      <c r="C16" s="3" t="s">
        <v>13</v>
      </c>
      <c r="D16" s="3" t="s">
        <v>14</v>
      </c>
      <c r="E16" s="3">
        <v>68</v>
      </c>
      <c r="F16" s="3">
        <v>65</v>
      </c>
      <c r="G16" s="3">
        <v>0.25</v>
      </c>
      <c r="H16" s="3">
        <v>20</v>
      </c>
      <c r="I16" s="3">
        <v>1800</v>
      </c>
      <c r="J16" s="3"/>
    </row>
    <row r="17" spans="1:10" x14ac:dyDescent="0.3">
      <c r="A17" s="3">
        <v>6</v>
      </c>
      <c r="B17" s="3" t="s">
        <v>20</v>
      </c>
      <c r="C17" s="3" t="s">
        <v>13</v>
      </c>
      <c r="D17" s="3" t="s">
        <v>15</v>
      </c>
      <c r="E17" s="3">
        <v>68</v>
      </c>
      <c r="F17" s="3">
        <v>60</v>
      </c>
      <c r="G17" s="3">
        <v>0.2</v>
      </c>
      <c r="H17" s="3">
        <v>20</v>
      </c>
      <c r="I17" s="3">
        <v>1800</v>
      </c>
      <c r="J17" s="3"/>
    </row>
    <row r="18" spans="1:10" x14ac:dyDescent="0.3">
      <c r="A18" s="3">
        <v>6</v>
      </c>
      <c r="B18" s="3" t="s">
        <v>20</v>
      </c>
      <c r="C18" s="3" t="s">
        <v>13</v>
      </c>
      <c r="D18" s="3" t="s">
        <v>16</v>
      </c>
      <c r="E18" s="3">
        <v>68</v>
      </c>
      <c r="F18" s="3">
        <v>60</v>
      </c>
      <c r="G18" s="3">
        <v>0.2</v>
      </c>
      <c r="H18" s="3">
        <v>20</v>
      </c>
      <c r="I18" s="3">
        <v>1800</v>
      </c>
      <c r="J18" s="3"/>
    </row>
    <row r="19" spans="1:10" x14ac:dyDescent="0.3">
      <c r="A19" s="3">
        <v>6</v>
      </c>
      <c r="B19" s="3" t="s">
        <v>20</v>
      </c>
      <c r="C19" s="3" t="s">
        <v>13</v>
      </c>
      <c r="D19" s="3" t="s">
        <v>17</v>
      </c>
      <c r="E19" s="3">
        <v>68</v>
      </c>
      <c r="F19" s="3">
        <v>60</v>
      </c>
      <c r="G19" s="3">
        <v>0.2</v>
      </c>
      <c r="H19" s="3">
        <v>20</v>
      </c>
      <c r="I19" s="3">
        <v>1800</v>
      </c>
      <c r="J19" s="3"/>
    </row>
    <row r="20" spans="1:10" x14ac:dyDescent="0.3">
      <c r="A20" s="3">
        <v>6</v>
      </c>
      <c r="B20" s="3" t="s">
        <v>20</v>
      </c>
      <c r="C20" s="3" t="s">
        <v>13</v>
      </c>
      <c r="D20" s="3" t="s">
        <v>18</v>
      </c>
      <c r="E20" s="3">
        <v>68</v>
      </c>
      <c r="F20" s="3">
        <v>60</v>
      </c>
      <c r="G20" s="3">
        <v>0.2</v>
      </c>
      <c r="H20" s="3">
        <v>20</v>
      </c>
      <c r="I20" s="3">
        <v>1800</v>
      </c>
      <c r="J20" s="3"/>
    </row>
    <row r="21" spans="1:10" x14ac:dyDescent="0.3">
      <c r="A21" s="3">
        <v>6</v>
      </c>
      <c r="B21" s="3" t="s">
        <v>20</v>
      </c>
      <c r="C21" s="3" t="s">
        <v>19</v>
      </c>
      <c r="D21" s="3" t="s">
        <v>14</v>
      </c>
      <c r="E21" s="3">
        <v>68</v>
      </c>
      <c r="F21" s="3">
        <v>65</v>
      </c>
      <c r="G21" s="3">
        <v>0.25</v>
      </c>
      <c r="H21" s="3">
        <v>20</v>
      </c>
      <c r="I21" s="3">
        <v>2200</v>
      </c>
      <c r="J21" s="3"/>
    </row>
    <row r="22" spans="1:10" x14ac:dyDescent="0.3">
      <c r="A22" s="3">
        <v>6</v>
      </c>
      <c r="B22" s="3" t="s">
        <v>20</v>
      </c>
      <c r="C22" s="3" t="s">
        <v>19</v>
      </c>
      <c r="D22" s="3" t="s">
        <v>15</v>
      </c>
      <c r="E22" s="3">
        <v>68</v>
      </c>
      <c r="F22" s="3">
        <v>60</v>
      </c>
      <c r="G22" s="3">
        <v>0.2</v>
      </c>
      <c r="H22" s="3">
        <v>20</v>
      </c>
      <c r="I22" s="3">
        <v>2200</v>
      </c>
      <c r="J22" s="3"/>
    </row>
    <row r="23" spans="1:10" x14ac:dyDescent="0.3">
      <c r="A23" s="3">
        <v>6</v>
      </c>
      <c r="B23" s="3" t="s">
        <v>20</v>
      </c>
      <c r="C23" s="3" t="s">
        <v>19</v>
      </c>
      <c r="D23" s="3" t="s">
        <v>16</v>
      </c>
      <c r="E23" s="3">
        <v>68</v>
      </c>
      <c r="F23" s="3">
        <v>60</v>
      </c>
      <c r="G23" s="3">
        <v>0.2</v>
      </c>
      <c r="H23" s="3">
        <v>20</v>
      </c>
      <c r="I23" s="3">
        <v>2200</v>
      </c>
      <c r="J23" s="3"/>
    </row>
    <row r="24" spans="1:10" x14ac:dyDescent="0.3">
      <c r="A24" s="3">
        <v>6</v>
      </c>
      <c r="B24" s="3" t="s">
        <v>20</v>
      </c>
      <c r="C24" s="3" t="s">
        <v>19</v>
      </c>
      <c r="D24" s="3" t="s">
        <v>17</v>
      </c>
      <c r="E24" s="3">
        <v>68</v>
      </c>
      <c r="F24" s="3">
        <v>60</v>
      </c>
      <c r="G24" s="3">
        <v>0.2</v>
      </c>
      <c r="H24" s="3">
        <v>20</v>
      </c>
      <c r="I24" s="3">
        <v>2200</v>
      </c>
      <c r="J24" s="3"/>
    </row>
    <row r="25" spans="1:10" x14ac:dyDescent="0.3">
      <c r="A25" s="3">
        <v>6</v>
      </c>
      <c r="B25" s="3" t="s">
        <v>20</v>
      </c>
      <c r="C25" s="3" t="s">
        <v>19</v>
      </c>
      <c r="D25" s="3" t="s">
        <v>18</v>
      </c>
      <c r="E25" s="3">
        <v>68</v>
      </c>
      <c r="F25" s="3">
        <v>60</v>
      </c>
      <c r="G25" s="3">
        <v>0.2</v>
      </c>
      <c r="H25" s="3">
        <v>20</v>
      </c>
      <c r="I25" s="3">
        <v>2200</v>
      </c>
      <c r="J25" s="3"/>
    </row>
    <row r="26" spans="1:10" x14ac:dyDescent="0.3">
      <c r="A26" s="3">
        <v>7</v>
      </c>
      <c r="B26" s="3" t="s">
        <v>12</v>
      </c>
      <c r="C26" s="3" t="s">
        <v>13</v>
      </c>
      <c r="D26" s="3" t="s">
        <v>14</v>
      </c>
      <c r="E26" s="3">
        <v>70</v>
      </c>
      <c r="F26" s="3">
        <v>68</v>
      </c>
      <c r="G26" s="3">
        <v>0.28000000000000003</v>
      </c>
      <c r="H26" s="3">
        <v>22</v>
      </c>
      <c r="I26" s="3">
        <v>1900</v>
      </c>
      <c r="J26" s="3"/>
    </row>
    <row r="27" spans="1:10" x14ac:dyDescent="0.3">
      <c r="A27" s="3">
        <v>7</v>
      </c>
      <c r="B27" s="3" t="s">
        <v>12</v>
      </c>
      <c r="C27" s="3" t="s">
        <v>13</v>
      </c>
      <c r="D27" s="3" t="s">
        <v>15</v>
      </c>
      <c r="E27" s="3">
        <v>70</v>
      </c>
      <c r="F27" s="3">
        <v>62</v>
      </c>
      <c r="G27" s="3">
        <v>0.22</v>
      </c>
      <c r="H27" s="3">
        <v>19.5</v>
      </c>
      <c r="I27" s="3">
        <v>1900</v>
      </c>
      <c r="J27" s="3"/>
    </row>
    <row r="28" spans="1:10" x14ac:dyDescent="0.3">
      <c r="A28" s="3">
        <v>7</v>
      </c>
      <c r="B28" s="3" t="s">
        <v>12</v>
      </c>
      <c r="C28" s="3" t="s">
        <v>13</v>
      </c>
      <c r="D28" s="3" t="s">
        <v>16</v>
      </c>
      <c r="E28" s="3">
        <v>70</v>
      </c>
      <c r="F28" s="3">
        <v>62</v>
      </c>
      <c r="G28" s="3">
        <v>0.22</v>
      </c>
      <c r="H28" s="3">
        <v>19.5</v>
      </c>
      <c r="I28" s="3">
        <v>1900</v>
      </c>
      <c r="J28" s="3"/>
    </row>
    <row r="29" spans="1:10" x14ac:dyDescent="0.3">
      <c r="A29" s="3">
        <v>7</v>
      </c>
      <c r="B29" s="3" t="s">
        <v>12</v>
      </c>
      <c r="C29" s="3" t="s">
        <v>13</v>
      </c>
      <c r="D29" s="3" t="s">
        <v>17</v>
      </c>
      <c r="E29" s="3">
        <v>70</v>
      </c>
      <c r="F29" s="3">
        <v>62</v>
      </c>
      <c r="G29" s="3">
        <v>0.22</v>
      </c>
      <c r="H29" s="3">
        <v>19.5</v>
      </c>
      <c r="I29" s="3">
        <v>1900</v>
      </c>
      <c r="J29" s="3"/>
    </row>
    <row r="30" spans="1:10" x14ac:dyDescent="0.3">
      <c r="A30" s="3">
        <v>7</v>
      </c>
      <c r="B30" s="3" t="s">
        <v>12</v>
      </c>
      <c r="C30" s="3" t="s">
        <v>13</v>
      </c>
      <c r="D30" s="3" t="s">
        <v>18</v>
      </c>
      <c r="E30" s="3">
        <v>70</v>
      </c>
      <c r="F30" s="3">
        <v>62</v>
      </c>
      <c r="G30" s="3">
        <v>0.22</v>
      </c>
      <c r="H30" s="3">
        <v>19.5</v>
      </c>
      <c r="I30" s="3">
        <v>1900</v>
      </c>
      <c r="J30" s="3"/>
    </row>
    <row r="31" spans="1:10" x14ac:dyDescent="0.3">
      <c r="A31" s="3">
        <v>7</v>
      </c>
      <c r="B31" s="3" t="s">
        <v>12</v>
      </c>
      <c r="C31" s="3" t="s">
        <v>19</v>
      </c>
      <c r="D31" s="3" t="s">
        <v>14</v>
      </c>
      <c r="E31" s="3">
        <v>70</v>
      </c>
      <c r="F31" s="3">
        <v>68</v>
      </c>
      <c r="G31" s="3">
        <v>0.28000000000000003</v>
      </c>
      <c r="H31" s="3">
        <v>22</v>
      </c>
      <c r="I31" s="3">
        <v>2400</v>
      </c>
      <c r="J31" s="3"/>
    </row>
    <row r="32" spans="1:10" x14ac:dyDescent="0.3">
      <c r="A32" s="3">
        <v>7</v>
      </c>
      <c r="B32" s="3" t="s">
        <v>12</v>
      </c>
      <c r="C32" s="3" t="s">
        <v>19</v>
      </c>
      <c r="D32" s="3" t="s">
        <v>15</v>
      </c>
      <c r="E32" s="3">
        <v>70</v>
      </c>
      <c r="F32" s="3">
        <v>62</v>
      </c>
      <c r="G32" s="3">
        <v>0.22</v>
      </c>
      <c r="H32" s="3">
        <v>19.5</v>
      </c>
      <c r="I32" s="3">
        <v>2400</v>
      </c>
      <c r="J32" s="3"/>
    </row>
    <row r="33" spans="1:10" x14ac:dyDescent="0.3">
      <c r="A33" s="3">
        <v>7</v>
      </c>
      <c r="B33" s="3" t="s">
        <v>12</v>
      </c>
      <c r="C33" s="3" t="s">
        <v>19</v>
      </c>
      <c r="D33" s="3" t="s">
        <v>16</v>
      </c>
      <c r="E33" s="3">
        <v>70</v>
      </c>
      <c r="F33" s="3">
        <v>62</v>
      </c>
      <c r="G33" s="3">
        <v>0.22</v>
      </c>
      <c r="H33" s="3">
        <v>19.5</v>
      </c>
      <c r="I33" s="3">
        <v>2400</v>
      </c>
      <c r="J33" s="3"/>
    </row>
    <row r="34" spans="1:10" x14ac:dyDescent="0.3">
      <c r="A34" s="3">
        <v>7</v>
      </c>
      <c r="B34" s="3" t="s">
        <v>12</v>
      </c>
      <c r="C34" s="3" t="s">
        <v>19</v>
      </c>
      <c r="D34" s="3" t="s">
        <v>17</v>
      </c>
      <c r="E34" s="3">
        <v>70</v>
      </c>
      <c r="F34" s="3">
        <v>62</v>
      </c>
      <c r="G34" s="3">
        <v>0.22</v>
      </c>
      <c r="H34" s="3">
        <v>19.5</v>
      </c>
      <c r="I34" s="3">
        <v>2400</v>
      </c>
      <c r="J34" s="3"/>
    </row>
    <row r="35" spans="1:10" x14ac:dyDescent="0.3">
      <c r="A35" s="3">
        <v>7</v>
      </c>
      <c r="B35" s="3" t="s">
        <v>12</v>
      </c>
      <c r="C35" s="3" t="s">
        <v>19</v>
      </c>
      <c r="D35" s="3" t="s">
        <v>18</v>
      </c>
      <c r="E35" s="3">
        <v>70</v>
      </c>
      <c r="F35" s="3">
        <v>62</v>
      </c>
      <c r="G35" s="3">
        <v>0.22</v>
      </c>
      <c r="H35" s="3">
        <v>19.5</v>
      </c>
      <c r="I35" s="3">
        <v>2400</v>
      </c>
      <c r="J35" s="3"/>
    </row>
    <row r="36" spans="1:10" x14ac:dyDescent="0.3">
      <c r="A36" s="3">
        <v>7</v>
      </c>
      <c r="B36" s="3" t="s">
        <v>20</v>
      </c>
      <c r="C36" s="3" t="s">
        <v>13</v>
      </c>
      <c r="D36" s="3" t="s">
        <v>14</v>
      </c>
      <c r="E36" s="3">
        <v>70</v>
      </c>
      <c r="F36" s="3">
        <v>68</v>
      </c>
      <c r="G36" s="3">
        <v>0.28000000000000003</v>
      </c>
      <c r="H36" s="3">
        <v>22</v>
      </c>
      <c r="I36" s="3">
        <v>1900</v>
      </c>
      <c r="J36" s="3"/>
    </row>
    <row r="37" spans="1:10" x14ac:dyDescent="0.3">
      <c r="A37" s="3">
        <v>7</v>
      </c>
      <c r="B37" s="3" t="s">
        <v>20</v>
      </c>
      <c r="C37" s="3" t="s">
        <v>13</v>
      </c>
      <c r="D37" s="3" t="s">
        <v>15</v>
      </c>
      <c r="E37" s="3">
        <v>70</v>
      </c>
      <c r="F37" s="3">
        <v>62</v>
      </c>
      <c r="G37" s="3">
        <v>0.22</v>
      </c>
      <c r="H37" s="3">
        <v>19.5</v>
      </c>
      <c r="I37" s="3">
        <v>1900</v>
      </c>
      <c r="J37" s="3"/>
    </row>
    <row r="38" spans="1:10" x14ac:dyDescent="0.3">
      <c r="A38" s="3">
        <v>7</v>
      </c>
      <c r="B38" s="3" t="s">
        <v>20</v>
      </c>
      <c r="C38" s="3" t="s">
        <v>13</v>
      </c>
      <c r="D38" s="3" t="s">
        <v>16</v>
      </c>
      <c r="E38" s="3">
        <v>70</v>
      </c>
      <c r="F38" s="3">
        <v>62</v>
      </c>
      <c r="G38" s="3">
        <v>0.22</v>
      </c>
      <c r="H38" s="3">
        <v>19.5</v>
      </c>
      <c r="I38" s="3">
        <v>1900</v>
      </c>
      <c r="J38" s="3"/>
    </row>
    <row r="39" spans="1:10" x14ac:dyDescent="0.3">
      <c r="A39" s="3">
        <v>7</v>
      </c>
      <c r="B39" s="3" t="s">
        <v>20</v>
      </c>
      <c r="C39" s="3" t="s">
        <v>13</v>
      </c>
      <c r="D39" s="3" t="s">
        <v>17</v>
      </c>
      <c r="E39" s="3">
        <v>70</v>
      </c>
      <c r="F39" s="3">
        <v>62</v>
      </c>
      <c r="G39" s="3">
        <v>0.22</v>
      </c>
      <c r="H39" s="3">
        <v>19.5</v>
      </c>
      <c r="I39" s="3">
        <v>1900</v>
      </c>
      <c r="J39" s="3"/>
    </row>
    <row r="40" spans="1:10" x14ac:dyDescent="0.3">
      <c r="A40" s="3">
        <v>7</v>
      </c>
      <c r="B40" s="3" t="s">
        <v>20</v>
      </c>
      <c r="C40" s="3" t="s">
        <v>13</v>
      </c>
      <c r="D40" s="3" t="s">
        <v>18</v>
      </c>
      <c r="E40" s="3">
        <v>70</v>
      </c>
      <c r="F40" s="3">
        <v>62</v>
      </c>
      <c r="G40" s="3">
        <v>0.22</v>
      </c>
      <c r="H40" s="3">
        <v>19.5</v>
      </c>
      <c r="I40" s="3">
        <v>1900</v>
      </c>
      <c r="J40" s="3"/>
    </row>
    <row r="41" spans="1:10" x14ac:dyDescent="0.3">
      <c r="A41" s="3">
        <v>7</v>
      </c>
      <c r="B41" s="3" t="s">
        <v>20</v>
      </c>
      <c r="C41" s="3" t="s">
        <v>19</v>
      </c>
      <c r="D41" s="3" t="s">
        <v>14</v>
      </c>
      <c r="E41" s="3">
        <v>70</v>
      </c>
      <c r="F41" s="3">
        <v>68</v>
      </c>
      <c r="G41" s="3">
        <v>0.28000000000000003</v>
      </c>
      <c r="H41" s="3">
        <v>22</v>
      </c>
      <c r="I41" s="3">
        <v>2400</v>
      </c>
      <c r="J41" s="3"/>
    </row>
    <row r="42" spans="1:10" x14ac:dyDescent="0.3">
      <c r="A42" s="3">
        <v>7</v>
      </c>
      <c r="B42" s="3" t="s">
        <v>20</v>
      </c>
      <c r="C42" s="3" t="s">
        <v>19</v>
      </c>
      <c r="D42" s="3" t="s">
        <v>15</v>
      </c>
      <c r="E42" s="3">
        <v>70</v>
      </c>
      <c r="F42" s="3">
        <v>62</v>
      </c>
      <c r="G42" s="3">
        <v>0.22</v>
      </c>
      <c r="H42" s="3">
        <v>19.5</v>
      </c>
      <c r="I42" s="3">
        <v>2400</v>
      </c>
      <c r="J42" s="3"/>
    </row>
    <row r="43" spans="1:10" x14ac:dyDescent="0.3">
      <c r="A43" s="3">
        <v>7</v>
      </c>
      <c r="B43" s="3" t="s">
        <v>20</v>
      </c>
      <c r="C43" s="3" t="s">
        <v>19</v>
      </c>
      <c r="D43" s="3" t="s">
        <v>16</v>
      </c>
      <c r="E43" s="3">
        <v>70</v>
      </c>
      <c r="F43" s="3">
        <v>62</v>
      </c>
      <c r="G43" s="3">
        <v>0.22</v>
      </c>
      <c r="H43" s="3">
        <v>19.5</v>
      </c>
      <c r="I43" s="3">
        <v>2400</v>
      </c>
      <c r="J43" s="3"/>
    </row>
    <row r="44" spans="1:10" x14ac:dyDescent="0.3">
      <c r="A44" s="3">
        <v>7</v>
      </c>
      <c r="B44" s="3" t="s">
        <v>20</v>
      </c>
      <c r="C44" s="3" t="s">
        <v>19</v>
      </c>
      <c r="D44" s="3" t="s">
        <v>17</v>
      </c>
      <c r="E44" s="3">
        <v>70</v>
      </c>
      <c r="F44" s="3">
        <v>62</v>
      </c>
      <c r="G44" s="3">
        <v>0.22</v>
      </c>
      <c r="H44" s="3">
        <v>19.5</v>
      </c>
      <c r="I44" s="3">
        <v>2400</v>
      </c>
      <c r="J44" s="3"/>
    </row>
    <row r="45" spans="1:10" x14ac:dyDescent="0.3">
      <c r="A45" s="3">
        <v>7</v>
      </c>
      <c r="B45" s="3" t="s">
        <v>20</v>
      </c>
      <c r="C45" s="3" t="s">
        <v>19</v>
      </c>
      <c r="D45" s="3" t="s">
        <v>18</v>
      </c>
      <c r="E45" s="3">
        <v>70</v>
      </c>
      <c r="F45" s="3">
        <v>62</v>
      </c>
      <c r="G45" s="3">
        <v>0.22</v>
      </c>
      <c r="H45" s="3">
        <v>19.5</v>
      </c>
      <c r="I45" s="3">
        <v>2400</v>
      </c>
      <c r="J45" s="3"/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"/>
  <sheetViews>
    <sheetView zoomScaleNormal="100" workbookViewId="0"/>
  </sheetViews>
  <sheetFormatPr baseColWidth="10" defaultColWidth="8.6640625" defaultRowHeight="14.4" x14ac:dyDescent="0.3"/>
  <cols>
    <col min="1" max="1" width="10" customWidth="1"/>
    <col min="2" max="2" width="12" customWidth="1"/>
    <col min="3" max="3" width="8" customWidth="1"/>
    <col min="4" max="4" width="10" customWidth="1"/>
    <col min="5" max="5" width="12" customWidth="1"/>
    <col min="6" max="6" width="14" customWidth="1"/>
    <col min="7" max="7" width="12" customWidth="1"/>
    <col min="8" max="8" width="14" customWidth="1"/>
    <col min="9" max="10" width="12" customWidth="1"/>
    <col min="11" max="11" width="14" customWidth="1"/>
    <col min="12" max="12" width="18" customWidth="1"/>
    <col min="13" max="13" width="16" customWidth="1"/>
  </cols>
  <sheetData>
    <row r="1" spans="1:13" ht="17.399999999999999" x14ac:dyDescent="0.3">
      <c r="A1" s="14" t="s">
        <v>21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4" spans="1:13" ht="28.2" x14ac:dyDescent="0.3">
      <c r="A4" s="2" t="s">
        <v>2</v>
      </c>
      <c r="B4" s="2" t="s">
        <v>3</v>
      </c>
      <c r="C4" s="2" t="s">
        <v>22</v>
      </c>
      <c r="D4" s="2" t="s">
        <v>23</v>
      </c>
      <c r="E4" s="2" t="s">
        <v>24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</row>
    <row r="5" spans="1:13" x14ac:dyDescent="0.3">
      <c r="A5" s="3">
        <v>6</v>
      </c>
      <c r="B5" s="3" t="s">
        <v>12</v>
      </c>
      <c r="C5" s="3" t="s">
        <v>33</v>
      </c>
      <c r="D5" s="3">
        <v>4000</v>
      </c>
      <c r="E5" s="3">
        <v>68</v>
      </c>
      <c r="F5" s="3">
        <v>272000</v>
      </c>
      <c r="G5" s="3">
        <v>7.5</v>
      </c>
      <c r="H5" s="3">
        <v>251600</v>
      </c>
      <c r="I5" s="3">
        <v>52500</v>
      </c>
      <c r="J5" s="3">
        <v>17700</v>
      </c>
      <c r="K5" s="3">
        <v>17</v>
      </c>
      <c r="L5" s="3">
        <v>12750</v>
      </c>
      <c r="M5" s="3">
        <v>30000</v>
      </c>
    </row>
    <row r="6" spans="1:13" x14ac:dyDescent="0.3">
      <c r="A6" s="3">
        <v>6</v>
      </c>
      <c r="B6" s="3" t="s">
        <v>20</v>
      </c>
      <c r="C6" s="3" t="s">
        <v>33</v>
      </c>
      <c r="D6" s="3">
        <v>2000</v>
      </c>
      <c r="E6" s="3">
        <v>68</v>
      </c>
      <c r="F6" s="3">
        <v>136000</v>
      </c>
      <c r="G6" s="3">
        <v>7.5</v>
      </c>
      <c r="H6" s="3">
        <v>125800</v>
      </c>
      <c r="I6" s="3">
        <v>52500</v>
      </c>
      <c r="J6" s="3">
        <v>17700</v>
      </c>
      <c r="K6" s="3">
        <v>8</v>
      </c>
      <c r="L6" s="3">
        <v>6000</v>
      </c>
      <c r="M6" s="3">
        <v>30000</v>
      </c>
    </row>
    <row r="7" spans="1:13" x14ac:dyDescent="0.3">
      <c r="A7" s="3">
        <v>7</v>
      </c>
      <c r="B7" s="3" t="s">
        <v>12</v>
      </c>
      <c r="C7" s="3" t="s">
        <v>33</v>
      </c>
      <c r="D7" s="3">
        <v>4000</v>
      </c>
      <c r="E7" s="3">
        <v>68</v>
      </c>
      <c r="F7" s="3">
        <v>272000</v>
      </c>
      <c r="G7" s="3">
        <v>7.5</v>
      </c>
      <c r="H7" s="3">
        <v>251600</v>
      </c>
      <c r="I7" s="3">
        <v>52500</v>
      </c>
      <c r="J7" s="3">
        <v>19500</v>
      </c>
      <c r="K7" s="3">
        <v>17</v>
      </c>
      <c r="L7" s="3">
        <v>12750</v>
      </c>
      <c r="M7" s="3">
        <v>30000</v>
      </c>
    </row>
    <row r="8" spans="1:13" x14ac:dyDescent="0.3">
      <c r="A8" s="3">
        <v>7</v>
      </c>
      <c r="B8" s="3" t="s">
        <v>20</v>
      </c>
      <c r="C8" s="3" t="s">
        <v>33</v>
      </c>
      <c r="D8" s="3">
        <v>2000</v>
      </c>
      <c r="E8" s="3">
        <v>68</v>
      </c>
      <c r="F8" s="3">
        <v>136000</v>
      </c>
      <c r="G8" s="3">
        <v>7.5</v>
      </c>
      <c r="H8" s="3">
        <v>125800</v>
      </c>
      <c r="I8" s="3">
        <v>52500</v>
      </c>
      <c r="J8" s="3">
        <v>19500</v>
      </c>
      <c r="K8" s="3">
        <v>8</v>
      </c>
      <c r="L8" s="3">
        <v>6000</v>
      </c>
      <c r="M8" s="3">
        <v>30000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/>
  </sheetViews>
  <sheetFormatPr baseColWidth="10" defaultColWidth="8.6640625" defaultRowHeight="14.4" x14ac:dyDescent="0.3"/>
  <cols>
    <col min="1" max="1" width="10" customWidth="1"/>
    <col min="2" max="5" width="12" customWidth="1"/>
    <col min="6" max="6" width="14" customWidth="1"/>
    <col min="7" max="7" width="10" customWidth="1"/>
    <col min="8" max="8" width="12" customWidth="1"/>
    <col min="9" max="9" width="14" customWidth="1"/>
    <col min="10" max="11" width="16" customWidth="1"/>
  </cols>
  <sheetData>
    <row r="1" spans="1:11" ht="17.399999999999999" x14ac:dyDescent="0.3">
      <c r="A1" s="14" t="s">
        <v>34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4" spans="1:11" ht="28.2" x14ac:dyDescent="0.3">
      <c r="A4" s="2" t="s">
        <v>2</v>
      </c>
      <c r="B4" s="2" t="s">
        <v>3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</row>
    <row r="5" spans="1:11" x14ac:dyDescent="0.3">
      <c r="A5" s="3">
        <v>6</v>
      </c>
      <c r="B5" s="3" t="s">
        <v>12</v>
      </c>
      <c r="C5" s="3">
        <v>3862</v>
      </c>
      <c r="D5" s="3">
        <v>11052</v>
      </c>
      <c r="E5" s="3">
        <v>0</v>
      </c>
      <c r="F5" s="3">
        <v>4277</v>
      </c>
      <c r="G5" s="3">
        <v>8900</v>
      </c>
      <c r="H5" s="3">
        <v>1737</v>
      </c>
      <c r="I5" s="3">
        <v>0</v>
      </c>
      <c r="J5" s="3">
        <v>0</v>
      </c>
      <c r="K5" s="3">
        <v>0</v>
      </c>
    </row>
    <row r="6" spans="1:11" x14ac:dyDescent="0.3">
      <c r="A6" s="3">
        <v>6</v>
      </c>
      <c r="B6" s="3" t="s">
        <v>20</v>
      </c>
      <c r="C6" s="3">
        <v>1816</v>
      </c>
      <c r="D6" s="3">
        <v>2940</v>
      </c>
      <c r="E6" s="3">
        <v>0</v>
      </c>
      <c r="F6" s="3">
        <v>0</v>
      </c>
      <c r="G6" s="3">
        <v>4028</v>
      </c>
      <c r="H6" s="3">
        <v>1299</v>
      </c>
      <c r="I6" s="3">
        <v>0</v>
      </c>
      <c r="J6" s="3">
        <v>0</v>
      </c>
      <c r="K6" s="3">
        <v>0</v>
      </c>
    </row>
    <row r="7" spans="1:11" x14ac:dyDescent="0.3">
      <c r="A7" s="3">
        <v>7</v>
      </c>
      <c r="B7" s="3" t="s">
        <v>12</v>
      </c>
      <c r="C7" s="3">
        <v>3862</v>
      </c>
      <c r="D7" s="3">
        <v>11052</v>
      </c>
      <c r="E7" s="3">
        <v>0</v>
      </c>
      <c r="F7" s="3">
        <v>4277</v>
      </c>
      <c r="G7" s="3">
        <v>8900</v>
      </c>
      <c r="H7" s="3">
        <v>1737</v>
      </c>
      <c r="I7" s="3">
        <v>0</v>
      </c>
      <c r="J7" s="3">
        <v>150</v>
      </c>
      <c r="K7" s="3">
        <v>1</v>
      </c>
    </row>
    <row r="8" spans="1:11" x14ac:dyDescent="0.3">
      <c r="A8" s="3">
        <v>7</v>
      </c>
      <c r="B8" s="3" t="s">
        <v>20</v>
      </c>
      <c r="C8" s="3">
        <v>1816</v>
      </c>
      <c r="D8" s="3">
        <v>2940</v>
      </c>
      <c r="E8" s="3">
        <v>0</v>
      </c>
      <c r="F8" s="3">
        <v>0</v>
      </c>
      <c r="G8" s="3">
        <v>4028</v>
      </c>
      <c r="H8" s="3">
        <v>1299</v>
      </c>
      <c r="I8" s="3">
        <v>0</v>
      </c>
      <c r="J8" s="3">
        <v>0</v>
      </c>
      <c r="K8" s="3">
        <v>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5"/>
  <sheetViews>
    <sheetView zoomScaleNormal="100" workbookViewId="0"/>
  </sheetViews>
  <sheetFormatPr baseColWidth="10" defaultColWidth="8.6640625" defaultRowHeight="14.4" x14ac:dyDescent="0.3"/>
  <cols>
    <col min="1" max="24" width="14" customWidth="1"/>
  </cols>
  <sheetData>
    <row r="1" spans="1:24" ht="17.399999999999999" x14ac:dyDescent="0.3">
      <c r="A1" s="14" t="s">
        <v>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3" spans="1:24" x14ac:dyDescent="0.3">
      <c r="A3" s="1" t="s">
        <v>45</v>
      </c>
    </row>
    <row r="5" spans="1:24" ht="28.2" x14ac:dyDescent="0.3">
      <c r="A5" s="2" t="s">
        <v>2</v>
      </c>
      <c r="B5" s="2" t="s">
        <v>3</v>
      </c>
      <c r="C5" s="2" t="s">
        <v>46</v>
      </c>
      <c r="D5" s="2" t="s">
        <v>238</v>
      </c>
      <c r="E5" s="2" t="s">
        <v>47</v>
      </c>
      <c r="F5" s="2" t="s">
        <v>48</v>
      </c>
      <c r="G5" s="2" t="s">
        <v>49</v>
      </c>
      <c r="H5" s="2" t="s">
        <v>50</v>
      </c>
      <c r="I5" s="2" t="s">
        <v>51</v>
      </c>
      <c r="J5" s="2" t="s">
        <v>52</v>
      </c>
      <c r="K5" s="2" t="s">
        <v>53</v>
      </c>
      <c r="L5" s="2" t="s">
        <v>54</v>
      </c>
      <c r="M5" s="2" t="s">
        <v>10</v>
      </c>
      <c r="N5" s="2" t="s">
        <v>27</v>
      </c>
      <c r="O5" s="2" t="s">
        <v>42</v>
      </c>
      <c r="P5" s="2" t="s">
        <v>55</v>
      </c>
      <c r="Q5" s="2" t="s">
        <v>56</v>
      </c>
      <c r="R5" s="2" t="s">
        <v>57</v>
      </c>
      <c r="S5" s="2" t="s">
        <v>58</v>
      </c>
      <c r="T5" s="2" t="s">
        <v>59</v>
      </c>
      <c r="U5" s="2" t="s">
        <v>60</v>
      </c>
      <c r="V5" s="2" t="s">
        <v>61</v>
      </c>
      <c r="W5" s="2" t="s">
        <v>62</v>
      </c>
      <c r="X5" s="2" t="s">
        <v>63</v>
      </c>
    </row>
    <row r="6" spans="1:24" x14ac:dyDescent="0.3">
      <c r="A6" s="4">
        <v>6</v>
      </c>
      <c r="B6" s="4" t="s">
        <v>12</v>
      </c>
      <c r="C6" s="5">
        <f>AVERAGEIFS(INPUT_MarketReport!E:E,INPUT_MarketReport!A:A,$A6,INPUT_MarketReport!B:B,$B6,INPUT_MarketReport!D:D,"MyCompany")</f>
        <v>68</v>
      </c>
      <c r="D6" s="5">
        <f>_xlfn.MINIFS(INPUT_MarketReport!E:E,INPUT_MarketReport!A:A,$A6,INPUT_MarketReport!B:B,$B6,INPUT_MarketReport!D:D,"&lt;&gt;MyCompany")</f>
        <v>68</v>
      </c>
      <c r="E6" s="6">
        <f>IF(D6=0,"-",C6/D6)</f>
        <v>1</v>
      </c>
      <c r="F6" s="5">
        <f>AVERAGEIFS(INPUT_MarketReport!F:F,INPUT_MarketReport!A:A,$A6,INPUT_MarketReport!B:B,$B6,INPUT_MarketReport!D:D,"MyCompany")</f>
        <v>65</v>
      </c>
      <c r="G6" s="5">
        <f>_xlfn.MAXIFS(INPUT_MarketReport!F:F,INPUT_MarketReport!A:A,$A6,INPUT_MarketReport!B:B,$B6,INPUT_MarketReport!D:D,"&lt;&gt;MyCompany")</f>
        <v>60</v>
      </c>
      <c r="H6" s="6">
        <f>F6-G6</f>
        <v>5</v>
      </c>
      <c r="I6" s="5">
        <f>AVERAGEIFS(INPUT_MarketReport!G:G,INPUT_MarketReport!A:A,$A6,INPUT_MarketReport!B:B,$B6,INPUT_MarketReport!D:D,"MyCompany")</f>
        <v>0.25</v>
      </c>
      <c r="J6" s="5">
        <f>_xlfn.MAXIFS(INPUT_MarketReport!G:G,INPUT_MarketReport!A:A,$A6,INPUT_MarketReport!B:B,$B6,INPUT_MarketReport!D:D,"&lt;&gt;MyCompany")</f>
        <v>0.2</v>
      </c>
      <c r="K6" s="6">
        <f>I6-J6</f>
        <v>4.9999999999999989E-2</v>
      </c>
      <c r="L6" s="5">
        <f>AVERAGEIFS(INPUT_MarketReport!H:H,INPUT_MarketReport!A:A,$A6,INPUT_MarketReport!B:B,$B6,INPUT_MarketReport!D:D,"MyCompany")</f>
        <v>20</v>
      </c>
      <c r="M6" s="5">
        <f>SUMIFS(INPUT_SalesAdmin!D:D,INPUT_SalesAdmin!A:A,$A6,INPUT_SalesAdmin!B:B,$B6)</f>
        <v>4000</v>
      </c>
      <c r="N6" s="5">
        <f>SUMIFS(INPUT_SalesAdmin!H:H,INPUT_SalesAdmin!A:A,$A6,INPUT_SalesAdmin!B:B,$B6)</f>
        <v>251600</v>
      </c>
      <c r="O6" s="5">
        <f>SUMIFS(INPUT_Inventory!J:J,INPUT_Inventory!A:A,$A6,INPUT_Inventory!B:B,$B6)</f>
        <v>0</v>
      </c>
      <c r="P6" s="6">
        <f>IF((M6+O6)=0,0,O6/(M6+O6))</f>
        <v>0</v>
      </c>
      <c r="Q6" s="5">
        <f>SUMIFS(INPUT_SalesAdmin!I:I,INPUT_SalesAdmin!A:A,$A6,INPUT_SalesAdmin!B:B,$B6)</f>
        <v>52500</v>
      </c>
      <c r="R6" s="5">
        <f>SUMIFS(INPUT_SalesAdmin!J:J,INPUT_SalesAdmin!A:A,$A6,INPUT_SalesAdmin!B:B,$B6)</f>
        <v>17700</v>
      </c>
      <c r="S6" s="6">
        <f>Q6+R6</f>
        <v>70200</v>
      </c>
      <c r="T6" s="5">
        <f>SUMIFS(INPUT_SalesAdmin!K:K,INPUT_SalesAdmin!A:A,$A6,INPUT_SalesAdmin!B:B,$B6)</f>
        <v>17</v>
      </c>
      <c r="U6" s="5">
        <f>SUMIFS(INPUT_SalesAdmin!L:L,INPUT_SalesAdmin!A:A,$A6,INPUT_SalesAdmin!B:B,$B6)</f>
        <v>12750</v>
      </c>
      <c r="V6" s="6">
        <f>S6+U6+SUMIFS(INPUT_SalesAdmin!M:M,INPUT_SalesAdmin!A:A,$A6,INPUT_SalesAdmin!B:B,$B6)</f>
        <v>112950</v>
      </c>
      <c r="W6" s="6">
        <f>IF(N6=0,0,V6/N6)</f>
        <v>0.44892686804451509</v>
      </c>
      <c r="X6" s="6">
        <f>IF(M6=0,0,(S6+U6)/M6)</f>
        <v>20.737500000000001</v>
      </c>
    </row>
    <row r="7" spans="1:24" x14ac:dyDescent="0.3">
      <c r="A7" s="4">
        <v>6</v>
      </c>
      <c r="B7" s="4" t="s">
        <v>20</v>
      </c>
      <c r="C7" s="5">
        <f>AVERAGEIFS(INPUT_MarketReport!E:E,INPUT_MarketReport!A:A,$A7,INPUT_MarketReport!B:B,$B7,INPUT_MarketReport!D:D,"MyCompany")</f>
        <v>68</v>
      </c>
      <c r="D7" s="5">
        <f>_xlfn.MINIFS(INPUT_MarketReport!E:E,INPUT_MarketReport!A:A,$A7,INPUT_MarketReport!B:B,$B7,INPUT_MarketReport!D:D,"&lt;&gt;MyCompany")</f>
        <v>68</v>
      </c>
      <c r="E7" s="6">
        <f t="shared" ref="E7:E15" si="0">IF(D7=0,"-",C7/D7)</f>
        <v>1</v>
      </c>
      <c r="F7" s="5">
        <f>AVERAGEIFS(INPUT_MarketReport!F:F,INPUT_MarketReport!A:A,$A7,INPUT_MarketReport!B:B,$B7,INPUT_MarketReport!D:D,"MyCompany")</f>
        <v>65</v>
      </c>
      <c r="G7" s="5">
        <f>_xlfn.MAXIFS(INPUT_MarketReport!F:F,INPUT_MarketReport!A:A,$A7,INPUT_MarketReport!B:B,$B7,INPUT_MarketReport!D:D,"&lt;&gt;MyCompany")</f>
        <v>60</v>
      </c>
      <c r="H7" s="6">
        <f t="shared" ref="H7:H15" si="1">F7-G7</f>
        <v>5</v>
      </c>
      <c r="I7" s="5">
        <f>AVERAGEIFS(INPUT_MarketReport!G:G,INPUT_MarketReport!A:A,$A7,INPUT_MarketReport!B:B,$B7,INPUT_MarketReport!D:D,"MyCompany")</f>
        <v>0.25</v>
      </c>
      <c r="J7" s="5">
        <f>_xlfn.MAXIFS(INPUT_MarketReport!G:G,INPUT_MarketReport!A:A,$A7,INPUT_MarketReport!B:B,$B7,INPUT_MarketReport!D:D,"&lt;&gt;MyCompany")</f>
        <v>0.2</v>
      </c>
      <c r="K7" s="6">
        <f t="shared" ref="K7:K15" si="2">I7-J7</f>
        <v>4.9999999999999989E-2</v>
      </c>
      <c r="L7" s="5">
        <f>AVERAGEIFS(INPUT_MarketReport!H:H,INPUT_MarketReport!A:A,$A7,INPUT_MarketReport!B:B,$B7,INPUT_MarketReport!D:D,"MyCompany")</f>
        <v>20</v>
      </c>
      <c r="M7" s="5">
        <f>SUMIFS(INPUT_SalesAdmin!D:D,INPUT_SalesAdmin!A:A,$A7,INPUT_SalesAdmin!B:B,$B7)</f>
        <v>2000</v>
      </c>
      <c r="N7" s="5">
        <f>SUMIFS(INPUT_SalesAdmin!H:H,INPUT_SalesAdmin!A:A,$A7,INPUT_SalesAdmin!B:B,$B7)</f>
        <v>125800</v>
      </c>
      <c r="O7" s="5">
        <f>SUMIFS(INPUT_Inventory!J:J,INPUT_Inventory!A:A,$A7,INPUT_Inventory!B:B,$B7)</f>
        <v>0</v>
      </c>
      <c r="P7" s="6">
        <f t="shared" ref="P7:P15" si="3">IF((M7+O7)=0,0,O7/(M7+O7))</f>
        <v>0</v>
      </c>
      <c r="Q7" s="5">
        <f>SUMIFS(INPUT_SalesAdmin!I:I,INPUT_SalesAdmin!A:A,$A7,INPUT_SalesAdmin!B:B,$B7)</f>
        <v>52500</v>
      </c>
      <c r="R7" s="5">
        <f>SUMIFS(INPUT_SalesAdmin!J:J,INPUT_SalesAdmin!A:A,$A7,INPUT_SalesAdmin!B:B,$B7)</f>
        <v>17700</v>
      </c>
      <c r="S7" s="6">
        <f t="shared" ref="S7:S15" si="4">Q7+R7</f>
        <v>70200</v>
      </c>
      <c r="T7" s="5">
        <f>SUMIFS(INPUT_SalesAdmin!K:K,INPUT_SalesAdmin!A:A,$A7,INPUT_SalesAdmin!B:B,$B7)</f>
        <v>8</v>
      </c>
      <c r="U7" s="5">
        <f>SUMIFS(INPUT_SalesAdmin!L:L,INPUT_SalesAdmin!A:A,$A7,INPUT_SalesAdmin!B:B,$B7)</f>
        <v>6000</v>
      </c>
      <c r="V7" s="6">
        <f>S7+U7+SUMIFS(INPUT_SalesAdmin!M:M,INPUT_SalesAdmin!A:A,$A7,INPUT_SalesAdmin!B:B,$B7)</f>
        <v>106200</v>
      </c>
      <c r="W7" s="6">
        <f t="shared" ref="W7:W15" si="5">IF(N7=0,0,V7/N7)</f>
        <v>0.84419713831478538</v>
      </c>
      <c r="X7" s="6">
        <f t="shared" ref="X7:X15" si="6">IF(M7=0,0,(S7+U7)/M7)</f>
        <v>38.1</v>
      </c>
    </row>
    <row r="8" spans="1:24" x14ac:dyDescent="0.3">
      <c r="A8" s="4">
        <v>6</v>
      </c>
      <c r="B8" s="4" t="s">
        <v>109</v>
      </c>
      <c r="C8" s="5" t="e">
        <f>AVERAGEIFS(INPUT_MarketReport!E:E,INPUT_MarketReport!A:A,$A8,INPUT_MarketReport!B:B,$B8,INPUT_MarketReport!D:D,"MyCompany")</f>
        <v>#DIV/0!</v>
      </c>
      <c r="D8" s="5">
        <f>_xlfn.MINIFS(INPUT_MarketReport!E:E,INPUT_MarketReport!A:A,$A8,INPUT_MarketReport!B:B,$B8,INPUT_MarketReport!D:D,"&lt;&gt;MyCompany")</f>
        <v>0</v>
      </c>
      <c r="E8" s="6" t="str">
        <f t="shared" si="0"/>
        <v>-</v>
      </c>
      <c r="F8" s="5" t="e">
        <f>AVERAGEIFS(INPUT_MarketReport!F:F,INPUT_MarketReport!A:A,$A8,INPUT_MarketReport!B:B,$B8,INPUT_MarketReport!D:D,"MyCompany")</f>
        <v>#DIV/0!</v>
      </c>
      <c r="G8" s="5">
        <f>_xlfn.MAXIFS(INPUT_MarketReport!F:F,INPUT_MarketReport!A:A,$A8,INPUT_MarketReport!B:B,$B8,INPUT_MarketReport!D:D,"&lt;&gt;MyCompany")</f>
        <v>0</v>
      </c>
      <c r="H8" s="6" t="e">
        <f t="shared" si="1"/>
        <v>#DIV/0!</v>
      </c>
      <c r="I8" s="5" t="e">
        <f>AVERAGEIFS(INPUT_MarketReport!G:G,INPUT_MarketReport!A:A,$A8,INPUT_MarketReport!B:B,$B8,INPUT_MarketReport!D:D,"MyCompany")</f>
        <v>#DIV/0!</v>
      </c>
      <c r="J8" s="5">
        <f>_xlfn.MAXIFS(INPUT_MarketReport!G:G,INPUT_MarketReport!A:A,$A8,INPUT_MarketReport!B:B,$B8,INPUT_MarketReport!D:D,"&lt;&gt;MyCompany")</f>
        <v>0</v>
      </c>
      <c r="K8" s="6" t="e">
        <f t="shared" si="2"/>
        <v>#DIV/0!</v>
      </c>
      <c r="L8" s="5" t="e">
        <f>AVERAGEIFS(INPUT_MarketReport!H:H,INPUT_MarketReport!A:A,$A8,INPUT_MarketReport!B:B,$B8,INPUT_MarketReport!D:D,"MyCompany")</f>
        <v>#DIV/0!</v>
      </c>
      <c r="M8" s="5">
        <f>SUMIFS(INPUT_SalesAdmin!D:D,INPUT_SalesAdmin!A:A,$A8,INPUT_SalesAdmin!B:B,$B8)</f>
        <v>0</v>
      </c>
      <c r="N8" s="5">
        <f>SUMIFS(INPUT_SalesAdmin!H:H,INPUT_SalesAdmin!A:A,$A8,INPUT_SalesAdmin!B:B,$B8)</f>
        <v>0</v>
      </c>
      <c r="O8" s="5">
        <f>SUMIFS(INPUT_Inventory!J:J,INPUT_Inventory!A:A,$A8,INPUT_Inventory!B:B,$B8)</f>
        <v>0</v>
      </c>
      <c r="P8" s="6">
        <f t="shared" si="3"/>
        <v>0</v>
      </c>
      <c r="Q8" s="5">
        <f>SUMIFS(INPUT_SalesAdmin!I:I,INPUT_SalesAdmin!A:A,$A8,INPUT_SalesAdmin!B:B,$B8)</f>
        <v>0</v>
      </c>
      <c r="R8" s="5">
        <f>SUMIFS(INPUT_SalesAdmin!J:J,INPUT_SalesAdmin!A:A,$A8,INPUT_SalesAdmin!B:B,$B8)</f>
        <v>0</v>
      </c>
      <c r="S8" s="6">
        <f t="shared" si="4"/>
        <v>0</v>
      </c>
      <c r="T8" s="5">
        <f>SUMIFS(INPUT_SalesAdmin!K:K,INPUT_SalesAdmin!A:A,$A8,INPUT_SalesAdmin!B:B,$B8)</f>
        <v>0</v>
      </c>
      <c r="U8" s="5">
        <f>SUMIFS(INPUT_SalesAdmin!L:L,INPUT_SalesAdmin!A:A,$A8,INPUT_SalesAdmin!B:B,$B8)</f>
        <v>0</v>
      </c>
      <c r="V8" s="6">
        <f>S8+U8+SUMIFS(INPUT_SalesAdmin!M:M,INPUT_SalesAdmin!A:A,$A8,INPUT_SalesAdmin!B:B,$B8)</f>
        <v>0</v>
      </c>
      <c r="W8" s="6">
        <f t="shared" si="5"/>
        <v>0</v>
      </c>
      <c r="X8" s="6">
        <f t="shared" si="6"/>
        <v>0</v>
      </c>
    </row>
    <row r="9" spans="1:24" x14ac:dyDescent="0.3">
      <c r="A9" s="4">
        <v>6</v>
      </c>
      <c r="B9" s="4" t="s">
        <v>110</v>
      </c>
      <c r="C9" s="5" t="e">
        <f>AVERAGEIFS(INPUT_MarketReport!E:E,INPUT_MarketReport!A:A,$A9,INPUT_MarketReport!B:B,$B9,INPUT_MarketReport!D:D,"MyCompany")</f>
        <v>#DIV/0!</v>
      </c>
      <c r="D9" s="5">
        <f>_xlfn.MINIFS(INPUT_MarketReport!E:E,INPUT_MarketReport!A:A,$A9,INPUT_MarketReport!B:B,$B9,INPUT_MarketReport!D:D,"&lt;&gt;MyCompany")</f>
        <v>0</v>
      </c>
      <c r="E9" s="6" t="str">
        <f t="shared" si="0"/>
        <v>-</v>
      </c>
      <c r="F9" s="5" t="e">
        <f>AVERAGEIFS(INPUT_MarketReport!F:F,INPUT_MarketReport!A:A,$A9,INPUT_MarketReport!B:B,$B9,INPUT_MarketReport!D:D,"MyCompany")</f>
        <v>#DIV/0!</v>
      </c>
      <c r="G9" s="5">
        <f>_xlfn.MAXIFS(INPUT_MarketReport!F:F,INPUT_MarketReport!A:A,$A9,INPUT_MarketReport!B:B,$B9,INPUT_MarketReport!D:D,"&lt;&gt;MyCompany")</f>
        <v>0</v>
      </c>
      <c r="H9" s="6" t="e">
        <f t="shared" si="1"/>
        <v>#DIV/0!</v>
      </c>
      <c r="I9" s="5" t="e">
        <f>AVERAGEIFS(INPUT_MarketReport!G:G,INPUT_MarketReport!A:A,$A9,INPUT_MarketReport!B:B,$B9,INPUT_MarketReport!D:D,"MyCompany")</f>
        <v>#DIV/0!</v>
      </c>
      <c r="J9" s="5">
        <f>_xlfn.MAXIFS(INPUT_MarketReport!G:G,INPUT_MarketReport!A:A,$A9,INPUT_MarketReport!B:B,$B9,INPUT_MarketReport!D:D,"&lt;&gt;MyCompany")</f>
        <v>0</v>
      </c>
      <c r="K9" s="6" t="e">
        <f t="shared" si="2"/>
        <v>#DIV/0!</v>
      </c>
      <c r="L9" s="5" t="e">
        <f>AVERAGEIFS(INPUT_MarketReport!H:H,INPUT_MarketReport!A:A,$A9,INPUT_MarketReport!B:B,$B9,INPUT_MarketReport!D:D,"MyCompany")</f>
        <v>#DIV/0!</v>
      </c>
      <c r="M9" s="5">
        <f>SUMIFS(INPUT_SalesAdmin!D:D,INPUT_SalesAdmin!A:A,$A9,INPUT_SalesAdmin!B:B,$B9)</f>
        <v>0</v>
      </c>
      <c r="N9" s="5">
        <f>SUMIFS(INPUT_SalesAdmin!H:H,INPUT_SalesAdmin!A:A,$A9,INPUT_SalesAdmin!B:B,$B9)</f>
        <v>0</v>
      </c>
      <c r="O9" s="5">
        <f>SUMIFS(INPUT_Inventory!J:J,INPUT_Inventory!A:A,$A9,INPUT_Inventory!B:B,$B9)</f>
        <v>0</v>
      </c>
      <c r="P9" s="6">
        <f t="shared" si="3"/>
        <v>0</v>
      </c>
      <c r="Q9" s="5">
        <f>SUMIFS(INPUT_SalesAdmin!I:I,INPUT_SalesAdmin!A:A,$A9,INPUT_SalesAdmin!B:B,$B9)</f>
        <v>0</v>
      </c>
      <c r="R9" s="5">
        <f>SUMIFS(INPUT_SalesAdmin!J:J,INPUT_SalesAdmin!A:A,$A9,INPUT_SalesAdmin!B:B,$B9)</f>
        <v>0</v>
      </c>
      <c r="S9" s="6">
        <f t="shared" si="4"/>
        <v>0</v>
      </c>
      <c r="T9" s="5">
        <f>SUMIFS(INPUT_SalesAdmin!K:K,INPUT_SalesAdmin!A:A,$A9,INPUT_SalesAdmin!B:B,$B9)</f>
        <v>0</v>
      </c>
      <c r="U9" s="5">
        <f>SUMIFS(INPUT_SalesAdmin!L:L,INPUT_SalesAdmin!A:A,$A9,INPUT_SalesAdmin!B:B,$B9)</f>
        <v>0</v>
      </c>
      <c r="V9" s="6">
        <f>S9+U9+SUMIFS(INPUT_SalesAdmin!M:M,INPUT_SalesAdmin!A:A,$A9,INPUT_SalesAdmin!B:B,$B9)</f>
        <v>0</v>
      </c>
      <c r="W9" s="6">
        <f t="shared" si="5"/>
        <v>0</v>
      </c>
      <c r="X9" s="6">
        <f t="shared" si="6"/>
        <v>0</v>
      </c>
    </row>
    <row r="10" spans="1:24" x14ac:dyDescent="0.3">
      <c r="A10">
        <v>6</v>
      </c>
      <c r="B10" t="s">
        <v>111</v>
      </c>
      <c r="C10" s="5" t="e">
        <f>AVERAGEIFS(INPUT_MarketReport!E:E,INPUT_MarketReport!A:A,$A10,INPUT_MarketReport!B:B,$B10,INPUT_MarketReport!D:D,"MyCompany")</f>
        <v>#DIV/0!</v>
      </c>
      <c r="D10" s="5">
        <f>_xlfn.MINIFS(INPUT_MarketReport!E:E,INPUT_MarketReport!A:A,$A10,INPUT_MarketReport!B:B,$B10,INPUT_MarketReport!D:D,"&lt;&gt;MyCompany")</f>
        <v>0</v>
      </c>
      <c r="E10" s="6" t="str">
        <f t="shared" si="0"/>
        <v>-</v>
      </c>
      <c r="F10" s="5" t="e">
        <f>AVERAGEIFS(INPUT_MarketReport!F:F,INPUT_MarketReport!A:A,$A10,INPUT_MarketReport!B:B,$B10,INPUT_MarketReport!D:D,"MyCompany")</f>
        <v>#DIV/0!</v>
      </c>
      <c r="G10" s="5">
        <f>_xlfn.MAXIFS(INPUT_MarketReport!F:F,INPUT_MarketReport!A:A,$A10,INPUT_MarketReport!B:B,$B10,INPUT_MarketReport!D:D,"&lt;&gt;MyCompany")</f>
        <v>0</v>
      </c>
      <c r="H10" s="6" t="e">
        <f t="shared" si="1"/>
        <v>#DIV/0!</v>
      </c>
      <c r="I10" s="5" t="e">
        <f>AVERAGEIFS(INPUT_MarketReport!G:G,INPUT_MarketReport!A:A,$A10,INPUT_MarketReport!B:B,$B10,INPUT_MarketReport!D:D,"MyCompany")</f>
        <v>#DIV/0!</v>
      </c>
      <c r="J10" s="5">
        <f>_xlfn.MAXIFS(INPUT_MarketReport!G:G,INPUT_MarketReport!A:A,$A10,INPUT_MarketReport!B:B,$B10,INPUT_MarketReport!D:D,"&lt;&gt;MyCompany")</f>
        <v>0</v>
      </c>
      <c r="K10" s="6" t="e">
        <f t="shared" si="2"/>
        <v>#DIV/0!</v>
      </c>
      <c r="L10" s="5" t="e">
        <f>AVERAGEIFS(INPUT_MarketReport!H:H,INPUT_MarketReport!A:A,$A10,INPUT_MarketReport!B:B,$B10,INPUT_MarketReport!D:D,"MyCompany")</f>
        <v>#DIV/0!</v>
      </c>
      <c r="M10" s="5">
        <f>SUMIFS(INPUT_SalesAdmin!D:D,INPUT_SalesAdmin!A:A,$A10,INPUT_SalesAdmin!B:B,$B10)</f>
        <v>0</v>
      </c>
      <c r="N10" s="5">
        <f>SUMIFS(INPUT_SalesAdmin!H:H,INPUT_SalesAdmin!A:A,$A10,INPUT_SalesAdmin!B:B,$B10)</f>
        <v>0</v>
      </c>
      <c r="O10" s="5">
        <f>SUMIFS(INPUT_Inventory!J:J,INPUT_Inventory!A:A,$A10,INPUT_Inventory!B:B,$B10)</f>
        <v>0</v>
      </c>
      <c r="P10" s="6">
        <f t="shared" si="3"/>
        <v>0</v>
      </c>
      <c r="Q10" s="5">
        <f>SUMIFS(INPUT_SalesAdmin!I:I,INPUT_SalesAdmin!A:A,$A10,INPUT_SalesAdmin!B:B,$B10)</f>
        <v>0</v>
      </c>
      <c r="R10" s="5">
        <f>SUMIFS(INPUT_SalesAdmin!J:J,INPUT_SalesAdmin!A:A,$A10,INPUT_SalesAdmin!B:B,$B10)</f>
        <v>0</v>
      </c>
      <c r="S10" s="6">
        <f t="shared" si="4"/>
        <v>0</v>
      </c>
      <c r="T10" s="5">
        <f>SUMIFS(INPUT_SalesAdmin!K:K,INPUT_SalesAdmin!A:A,$A10,INPUT_SalesAdmin!B:B,$B10)</f>
        <v>0</v>
      </c>
      <c r="U10" s="5">
        <f>SUMIFS(INPUT_SalesAdmin!L:L,INPUT_SalesAdmin!A:A,$A10,INPUT_SalesAdmin!B:B,$B10)</f>
        <v>0</v>
      </c>
      <c r="V10" s="6">
        <f>S10+U10+SUMIFS(INPUT_SalesAdmin!M:M,INPUT_SalesAdmin!A:A,$A10,INPUT_SalesAdmin!B:B,$B10)</f>
        <v>0</v>
      </c>
      <c r="W10" s="6">
        <f t="shared" si="5"/>
        <v>0</v>
      </c>
      <c r="X10" s="6">
        <f t="shared" si="6"/>
        <v>0</v>
      </c>
    </row>
    <row r="11" spans="1:24" x14ac:dyDescent="0.3">
      <c r="A11">
        <v>7</v>
      </c>
      <c r="B11" t="s">
        <v>12</v>
      </c>
      <c r="C11" s="5">
        <f>AVERAGEIFS(INPUT_MarketReport!E:E,INPUT_MarketReport!A:A,$A11,INPUT_MarketReport!B:B,$B11,INPUT_MarketReport!D:D,"MyCompany")</f>
        <v>70</v>
      </c>
      <c r="D11" s="5">
        <f>_xlfn.MINIFS(INPUT_MarketReport!E:E,INPUT_MarketReport!A:A,$A11,INPUT_MarketReport!B:B,$B11,INPUT_MarketReport!D:D,"&lt;&gt;MyCompany")</f>
        <v>70</v>
      </c>
      <c r="E11" s="6">
        <f t="shared" si="0"/>
        <v>1</v>
      </c>
      <c r="F11" s="5">
        <f>AVERAGEIFS(INPUT_MarketReport!F:F,INPUT_MarketReport!A:A,$A11,INPUT_MarketReport!B:B,$B11,INPUT_MarketReport!D:D,"MyCompany")</f>
        <v>68</v>
      </c>
      <c r="G11" s="5">
        <f>_xlfn.MAXIFS(INPUT_MarketReport!F:F,INPUT_MarketReport!A:A,$A11,INPUT_MarketReport!B:B,$B11,INPUT_MarketReport!D:D,"&lt;&gt;MyCompany")</f>
        <v>62</v>
      </c>
      <c r="H11" s="6">
        <f t="shared" si="1"/>
        <v>6</v>
      </c>
      <c r="I11" s="5">
        <f>AVERAGEIFS(INPUT_MarketReport!G:G,INPUT_MarketReport!A:A,$A11,INPUT_MarketReport!B:B,$B11,INPUT_MarketReport!D:D,"MyCompany")</f>
        <v>0.28000000000000003</v>
      </c>
      <c r="J11" s="5">
        <f>_xlfn.MAXIFS(INPUT_MarketReport!G:G,INPUT_MarketReport!A:A,$A11,INPUT_MarketReport!B:B,$B11,INPUT_MarketReport!D:D,"&lt;&gt;MyCompany")</f>
        <v>0.22</v>
      </c>
      <c r="K11" s="6">
        <f t="shared" si="2"/>
        <v>6.0000000000000026E-2</v>
      </c>
      <c r="L11" s="5">
        <f>AVERAGEIFS(INPUT_MarketReport!H:H,INPUT_MarketReport!A:A,$A11,INPUT_MarketReport!B:B,$B11,INPUT_MarketReport!D:D,"MyCompany")</f>
        <v>22</v>
      </c>
      <c r="M11" s="5">
        <f>SUMIFS(INPUT_SalesAdmin!D:D,INPUT_SalesAdmin!A:A,$A11,INPUT_SalesAdmin!B:B,$B11)</f>
        <v>4000</v>
      </c>
      <c r="N11" s="5">
        <f>SUMIFS(INPUT_SalesAdmin!H:H,INPUT_SalesAdmin!A:A,$A11,INPUT_SalesAdmin!B:B,$B11)</f>
        <v>251600</v>
      </c>
      <c r="O11" s="5">
        <f>SUMIFS(INPUT_Inventory!J:J,INPUT_Inventory!A:A,$A11,INPUT_Inventory!B:B,$B11)</f>
        <v>150</v>
      </c>
      <c r="P11" s="6">
        <f t="shared" si="3"/>
        <v>3.614457831325301E-2</v>
      </c>
      <c r="Q11" s="5">
        <f>SUMIFS(INPUT_SalesAdmin!I:I,INPUT_SalesAdmin!A:A,$A11,INPUT_SalesAdmin!B:B,$B11)</f>
        <v>52500</v>
      </c>
      <c r="R11" s="5">
        <f>SUMIFS(INPUT_SalesAdmin!J:J,INPUT_SalesAdmin!A:A,$A11,INPUT_SalesAdmin!B:B,$B11)</f>
        <v>19500</v>
      </c>
      <c r="S11" s="6">
        <f t="shared" si="4"/>
        <v>72000</v>
      </c>
      <c r="T11" s="5">
        <f>SUMIFS(INPUT_SalesAdmin!K:K,INPUT_SalesAdmin!A:A,$A11,INPUT_SalesAdmin!B:B,$B11)</f>
        <v>17</v>
      </c>
      <c r="U11" s="5">
        <f>SUMIFS(INPUT_SalesAdmin!L:L,INPUT_SalesAdmin!A:A,$A11,INPUT_SalesAdmin!B:B,$B11)</f>
        <v>12750</v>
      </c>
      <c r="V11" s="6">
        <f>S11+U11+SUMIFS(INPUT_SalesAdmin!M:M,INPUT_SalesAdmin!A:A,$A11,INPUT_SalesAdmin!B:B,$B11)</f>
        <v>114750</v>
      </c>
      <c r="W11" s="6">
        <f t="shared" si="5"/>
        <v>0.45608108108108109</v>
      </c>
      <c r="X11" s="6">
        <f t="shared" si="6"/>
        <v>21.1875</v>
      </c>
    </row>
    <row r="12" spans="1:24" x14ac:dyDescent="0.3">
      <c r="A12">
        <v>7</v>
      </c>
      <c r="B12" t="s">
        <v>20</v>
      </c>
      <c r="C12" s="5">
        <f>AVERAGEIFS(INPUT_MarketReport!E:E,INPUT_MarketReport!A:A,$A12,INPUT_MarketReport!B:B,$B12,INPUT_MarketReport!D:D,"MyCompany")</f>
        <v>70</v>
      </c>
      <c r="D12" s="5">
        <f>_xlfn.MINIFS(INPUT_MarketReport!E:E,INPUT_MarketReport!A:A,$A12,INPUT_MarketReport!B:B,$B12,INPUT_MarketReport!D:D,"&lt;&gt;MyCompany")</f>
        <v>70</v>
      </c>
      <c r="E12" s="6">
        <f t="shared" si="0"/>
        <v>1</v>
      </c>
      <c r="F12" s="5">
        <f>AVERAGEIFS(INPUT_MarketReport!F:F,INPUT_MarketReport!A:A,$A12,INPUT_MarketReport!B:B,$B12,INPUT_MarketReport!D:D,"MyCompany")</f>
        <v>68</v>
      </c>
      <c r="G12" s="5">
        <f>_xlfn.MAXIFS(INPUT_MarketReport!F:F,INPUT_MarketReport!A:A,$A12,INPUT_MarketReport!B:B,$B12,INPUT_MarketReport!D:D,"&lt;&gt;MyCompany")</f>
        <v>62</v>
      </c>
      <c r="H12" s="6">
        <f t="shared" si="1"/>
        <v>6</v>
      </c>
      <c r="I12" s="5">
        <f>AVERAGEIFS(INPUT_MarketReport!G:G,INPUT_MarketReport!A:A,$A12,INPUT_MarketReport!B:B,$B12,INPUT_MarketReport!D:D,"MyCompany")</f>
        <v>0.28000000000000003</v>
      </c>
      <c r="J12" s="5">
        <f>_xlfn.MAXIFS(INPUT_MarketReport!G:G,INPUT_MarketReport!A:A,$A12,INPUT_MarketReport!B:B,$B12,INPUT_MarketReport!D:D,"&lt;&gt;MyCompany")</f>
        <v>0.22</v>
      </c>
      <c r="K12" s="6">
        <f t="shared" si="2"/>
        <v>6.0000000000000026E-2</v>
      </c>
      <c r="L12" s="5">
        <f>AVERAGEIFS(INPUT_MarketReport!H:H,INPUT_MarketReport!A:A,$A12,INPUT_MarketReport!B:B,$B12,INPUT_MarketReport!D:D,"MyCompany")</f>
        <v>22</v>
      </c>
      <c r="M12" s="5">
        <f>SUMIFS(INPUT_SalesAdmin!D:D,INPUT_SalesAdmin!A:A,$A12,INPUT_SalesAdmin!B:B,$B12)</f>
        <v>2000</v>
      </c>
      <c r="N12" s="5">
        <f>SUMIFS(INPUT_SalesAdmin!H:H,INPUT_SalesAdmin!A:A,$A12,INPUT_SalesAdmin!B:B,$B12)</f>
        <v>125800</v>
      </c>
      <c r="O12" s="5">
        <f>SUMIFS(INPUT_Inventory!J:J,INPUT_Inventory!A:A,$A12,INPUT_Inventory!B:B,$B12)</f>
        <v>0</v>
      </c>
      <c r="P12" s="6">
        <f t="shared" si="3"/>
        <v>0</v>
      </c>
      <c r="Q12" s="5">
        <f>SUMIFS(INPUT_SalesAdmin!I:I,INPUT_SalesAdmin!A:A,$A12,INPUT_SalesAdmin!B:B,$B12)</f>
        <v>52500</v>
      </c>
      <c r="R12" s="5">
        <f>SUMIFS(INPUT_SalesAdmin!J:J,INPUT_SalesAdmin!A:A,$A12,INPUT_SalesAdmin!B:B,$B12)</f>
        <v>19500</v>
      </c>
      <c r="S12" s="6">
        <f t="shared" si="4"/>
        <v>72000</v>
      </c>
      <c r="T12" s="5">
        <f>SUMIFS(INPUT_SalesAdmin!K:K,INPUT_SalesAdmin!A:A,$A12,INPUT_SalesAdmin!B:B,$B12)</f>
        <v>8</v>
      </c>
      <c r="U12" s="5">
        <f>SUMIFS(INPUT_SalesAdmin!L:L,INPUT_SalesAdmin!A:A,$A12,INPUT_SalesAdmin!B:B,$B12)</f>
        <v>6000</v>
      </c>
      <c r="V12" s="6">
        <f>S12+U12+SUMIFS(INPUT_SalesAdmin!M:M,INPUT_SalesAdmin!A:A,$A12,INPUT_SalesAdmin!B:B,$B12)</f>
        <v>108000</v>
      </c>
      <c r="W12" s="6">
        <f t="shared" si="5"/>
        <v>0.85850556438791736</v>
      </c>
      <c r="X12" s="6">
        <f t="shared" si="6"/>
        <v>39</v>
      </c>
    </row>
    <row r="13" spans="1:24" x14ac:dyDescent="0.3">
      <c r="A13">
        <v>7</v>
      </c>
      <c r="B13" t="s">
        <v>109</v>
      </c>
      <c r="C13" s="5" t="e">
        <f>AVERAGEIFS(INPUT_MarketReport!E:E,INPUT_MarketReport!A:A,$A13,INPUT_MarketReport!B:B,$B13,INPUT_MarketReport!D:D,"MyCompany")</f>
        <v>#DIV/0!</v>
      </c>
      <c r="D13" s="5">
        <f>_xlfn.MINIFS(INPUT_MarketReport!E:E,INPUT_MarketReport!A:A,$A13,INPUT_MarketReport!B:B,$B13,INPUT_MarketReport!D:D,"&lt;&gt;MyCompany")</f>
        <v>0</v>
      </c>
      <c r="E13" s="6" t="str">
        <f t="shared" si="0"/>
        <v>-</v>
      </c>
      <c r="F13" s="5" t="e">
        <f>AVERAGEIFS(INPUT_MarketReport!F:F,INPUT_MarketReport!A:A,$A13,INPUT_MarketReport!B:B,$B13,INPUT_MarketReport!D:D,"MyCompany")</f>
        <v>#DIV/0!</v>
      </c>
      <c r="G13" s="5">
        <f>_xlfn.MAXIFS(INPUT_MarketReport!F:F,INPUT_MarketReport!A:A,$A13,INPUT_MarketReport!B:B,$B13,INPUT_MarketReport!D:D,"&lt;&gt;MyCompany")</f>
        <v>0</v>
      </c>
      <c r="H13" s="6" t="e">
        <f t="shared" si="1"/>
        <v>#DIV/0!</v>
      </c>
      <c r="I13" s="5" t="e">
        <f>AVERAGEIFS(INPUT_MarketReport!G:G,INPUT_MarketReport!A:A,$A13,INPUT_MarketReport!B:B,$B13,INPUT_MarketReport!D:D,"MyCompany")</f>
        <v>#DIV/0!</v>
      </c>
      <c r="J13" s="5">
        <f>_xlfn.MAXIFS(INPUT_MarketReport!G:G,INPUT_MarketReport!A:A,$A13,INPUT_MarketReport!B:B,$B13,INPUT_MarketReport!D:D,"&lt;&gt;MyCompany")</f>
        <v>0</v>
      </c>
      <c r="K13" s="6" t="e">
        <f t="shared" si="2"/>
        <v>#DIV/0!</v>
      </c>
      <c r="L13" s="5" t="e">
        <f>AVERAGEIFS(INPUT_MarketReport!H:H,INPUT_MarketReport!A:A,$A13,INPUT_MarketReport!B:B,$B13,INPUT_MarketReport!D:D,"MyCompany")</f>
        <v>#DIV/0!</v>
      </c>
      <c r="M13" s="5">
        <f>SUMIFS(INPUT_SalesAdmin!D:D,INPUT_SalesAdmin!A:A,$A13,INPUT_SalesAdmin!B:B,$B13)</f>
        <v>0</v>
      </c>
      <c r="N13" s="5">
        <f>SUMIFS(INPUT_SalesAdmin!H:H,INPUT_SalesAdmin!A:A,$A13,INPUT_SalesAdmin!B:B,$B13)</f>
        <v>0</v>
      </c>
      <c r="O13" s="5">
        <f>SUMIFS(INPUT_Inventory!J:J,INPUT_Inventory!A:A,$A13,INPUT_Inventory!B:B,$B13)</f>
        <v>0</v>
      </c>
      <c r="P13" s="6">
        <f t="shared" si="3"/>
        <v>0</v>
      </c>
      <c r="Q13" s="5">
        <f>SUMIFS(INPUT_SalesAdmin!I:I,INPUT_SalesAdmin!A:A,$A13,INPUT_SalesAdmin!B:B,$B13)</f>
        <v>0</v>
      </c>
      <c r="R13" s="5">
        <f>SUMIFS(INPUT_SalesAdmin!J:J,INPUT_SalesAdmin!A:A,$A13,INPUT_SalesAdmin!B:B,$B13)</f>
        <v>0</v>
      </c>
      <c r="S13" s="6">
        <f t="shared" si="4"/>
        <v>0</v>
      </c>
      <c r="T13" s="5">
        <f>SUMIFS(INPUT_SalesAdmin!K:K,INPUT_SalesAdmin!A:A,$A13,INPUT_SalesAdmin!B:B,$B13)</f>
        <v>0</v>
      </c>
      <c r="U13" s="5">
        <f>SUMIFS(INPUT_SalesAdmin!L:L,INPUT_SalesAdmin!A:A,$A13,INPUT_SalesAdmin!B:B,$B13)</f>
        <v>0</v>
      </c>
      <c r="V13" s="6">
        <f>S13+U13+SUMIFS(INPUT_SalesAdmin!M:M,INPUT_SalesAdmin!A:A,$A13,INPUT_SalesAdmin!B:B,$B13)</f>
        <v>0</v>
      </c>
      <c r="W13" s="6">
        <f t="shared" si="5"/>
        <v>0</v>
      </c>
      <c r="X13" s="6">
        <f t="shared" si="6"/>
        <v>0</v>
      </c>
    </row>
    <row r="14" spans="1:24" x14ac:dyDescent="0.3">
      <c r="A14">
        <v>7</v>
      </c>
      <c r="B14" t="s">
        <v>110</v>
      </c>
      <c r="C14" s="5" t="e">
        <f>AVERAGEIFS(INPUT_MarketReport!E:E,INPUT_MarketReport!A:A,$A14,INPUT_MarketReport!B:B,$B14,INPUT_MarketReport!D:D,"MyCompany")</f>
        <v>#DIV/0!</v>
      </c>
      <c r="D14" s="5">
        <f>_xlfn.MINIFS(INPUT_MarketReport!E:E,INPUT_MarketReport!A:A,$A14,INPUT_MarketReport!B:B,$B14,INPUT_MarketReport!D:D,"&lt;&gt;MyCompany")</f>
        <v>0</v>
      </c>
      <c r="E14" s="6" t="str">
        <f t="shared" si="0"/>
        <v>-</v>
      </c>
      <c r="F14" s="5" t="e">
        <f>AVERAGEIFS(INPUT_MarketReport!F:F,INPUT_MarketReport!A:A,$A14,INPUT_MarketReport!B:B,$B14,INPUT_MarketReport!D:D,"MyCompany")</f>
        <v>#DIV/0!</v>
      </c>
      <c r="G14" s="5">
        <f>_xlfn.MAXIFS(INPUT_MarketReport!F:F,INPUT_MarketReport!A:A,$A14,INPUT_MarketReport!B:B,$B14,INPUT_MarketReport!D:D,"&lt;&gt;MyCompany")</f>
        <v>0</v>
      </c>
      <c r="H14" s="6" t="e">
        <f t="shared" si="1"/>
        <v>#DIV/0!</v>
      </c>
      <c r="I14" s="5" t="e">
        <f>AVERAGEIFS(INPUT_MarketReport!G:G,INPUT_MarketReport!A:A,$A14,INPUT_MarketReport!B:B,$B14,INPUT_MarketReport!D:D,"MyCompany")</f>
        <v>#DIV/0!</v>
      </c>
      <c r="J14" s="5">
        <f>_xlfn.MAXIFS(INPUT_MarketReport!G:G,INPUT_MarketReport!A:A,$A14,INPUT_MarketReport!B:B,$B14,INPUT_MarketReport!D:D,"&lt;&gt;MyCompany")</f>
        <v>0</v>
      </c>
      <c r="K14" s="6" t="e">
        <f t="shared" si="2"/>
        <v>#DIV/0!</v>
      </c>
      <c r="L14" s="5" t="e">
        <f>AVERAGEIFS(INPUT_MarketReport!H:H,INPUT_MarketReport!A:A,$A14,INPUT_MarketReport!B:B,$B14,INPUT_MarketReport!D:D,"MyCompany")</f>
        <v>#DIV/0!</v>
      </c>
      <c r="M14" s="5">
        <f>SUMIFS(INPUT_SalesAdmin!D:D,INPUT_SalesAdmin!A:A,$A14,INPUT_SalesAdmin!B:B,$B14)</f>
        <v>0</v>
      </c>
      <c r="N14" s="5">
        <f>SUMIFS(INPUT_SalesAdmin!H:H,INPUT_SalesAdmin!A:A,$A14,INPUT_SalesAdmin!B:B,$B14)</f>
        <v>0</v>
      </c>
      <c r="O14" s="5">
        <f>SUMIFS(INPUT_Inventory!J:J,INPUT_Inventory!A:A,$A14,INPUT_Inventory!B:B,$B14)</f>
        <v>0</v>
      </c>
      <c r="P14" s="6">
        <f t="shared" si="3"/>
        <v>0</v>
      </c>
      <c r="Q14" s="5">
        <f>SUMIFS(INPUT_SalesAdmin!I:I,INPUT_SalesAdmin!A:A,$A14,INPUT_SalesAdmin!B:B,$B14)</f>
        <v>0</v>
      </c>
      <c r="R14" s="5">
        <f>SUMIFS(INPUT_SalesAdmin!J:J,INPUT_SalesAdmin!A:A,$A14,INPUT_SalesAdmin!B:B,$B14)</f>
        <v>0</v>
      </c>
      <c r="S14" s="6">
        <f t="shared" si="4"/>
        <v>0</v>
      </c>
      <c r="T14" s="5">
        <f>SUMIFS(INPUT_SalesAdmin!K:K,INPUT_SalesAdmin!A:A,$A14,INPUT_SalesAdmin!B:B,$B14)</f>
        <v>0</v>
      </c>
      <c r="U14" s="5">
        <f>SUMIFS(INPUT_SalesAdmin!L:L,INPUT_SalesAdmin!A:A,$A14,INPUT_SalesAdmin!B:B,$B14)</f>
        <v>0</v>
      </c>
      <c r="V14" s="6">
        <f>S14+U14+SUMIFS(INPUT_SalesAdmin!M:M,INPUT_SalesAdmin!A:A,$A14,INPUT_SalesAdmin!B:B,$B14)</f>
        <v>0</v>
      </c>
      <c r="W14" s="6">
        <f t="shared" si="5"/>
        <v>0</v>
      </c>
      <c r="X14" s="6">
        <f t="shared" si="6"/>
        <v>0</v>
      </c>
    </row>
    <row r="15" spans="1:24" x14ac:dyDescent="0.3">
      <c r="A15">
        <v>7</v>
      </c>
      <c r="B15" t="s">
        <v>111</v>
      </c>
      <c r="C15" s="5" t="e">
        <f>AVERAGEIFS(INPUT_MarketReport!E:E,INPUT_MarketReport!A:A,$A15,INPUT_MarketReport!B:B,$B15,INPUT_MarketReport!D:D,"MyCompany")</f>
        <v>#DIV/0!</v>
      </c>
      <c r="D15" s="5">
        <f>_xlfn.MINIFS(INPUT_MarketReport!E:E,INPUT_MarketReport!A:A,$A15,INPUT_MarketReport!B:B,$B15,INPUT_MarketReport!D:D,"&lt;&gt;MyCompany")</f>
        <v>0</v>
      </c>
      <c r="E15" s="6" t="str">
        <f t="shared" si="0"/>
        <v>-</v>
      </c>
      <c r="F15" s="5" t="e">
        <f>AVERAGEIFS(INPUT_MarketReport!F:F,INPUT_MarketReport!A:A,$A15,INPUT_MarketReport!B:B,$B15,INPUT_MarketReport!D:D,"MyCompany")</f>
        <v>#DIV/0!</v>
      </c>
      <c r="G15" s="5">
        <f>_xlfn.MAXIFS(INPUT_MarketReport!F:F,INPUT_MarketReport!A:A,$A15,INPUT_MarketReport!B:B,$B15,INPUT_MarketReport!D:D,"&lt;&gt;MyCompany")</f>
        <v>0</v>
      </c>
      <c r="H15" s="6" t="e">
        <f t="shared" si="1"/>
        <v>#DIV/0!</v>
      </c>
      <c r="I15" s="5" t="e">
        <f>AVERAGEIFS(INPUT_MarketReport!G:G,INPUT_MarketReport!A:A,$A15,INPUT_MarketReport!B:B,$B15,INPUT_MarketReport!D:D,"MyCompany")</f>
        <v>#DIV/0!</v>
      </c>
      <c r="J15" s="5">
        <f>_xlfn.MAXIFS(INPUT_MarketReport!G:G,INPUT_MarketReport!A:A,$A15,INPUT_MarketReport!B:B,$B15,INPUT_MarketReport!D:D,"&lt;&gt;MyCompany")</f>
        <v>0</v>
      </c>
      <c r="K15" s="6" t="e">
        <f t="shared" si="2"/>
        <v>#DIV/0!</v>
      </c>
      <c r="L15" s="5" t="e">
        <f>AVERAGEIFS(INPUT_MarketReport!H:H,INPUT_MarketReport!A:A,$A15,INPUT_MarketReport!B:B,$B15,INPUT_MarketReport!D:D,"MyCompany")</f>
        <v>#DIV/0!</v>
      </c>
      <c r="M15" s="5">
        <f>SUMIFS(INPUT_SalesAdmin!D:D,INPUT_SalesAdmin!A:A,$A15,INPUT_SalesAdmin!B:B,$B15)</f>
        <v>0</v>
      </c>
      <c r="N15" s="5">
        <f>SUMIFS(INPUT_SalesAdmin!H:H,INPUT_SalesAdmin!A:A,$A15,INPUT_SalesAdmin!B:B,$B15)</f>
        <v>0</v>
      </c>
      <c r="O15" s="5">
        <f>SUMIFS(INPUT_Inventory!J:J,INPUT_Inventory!A:A,$A15,INPUT_Inventory!B:B,$B15)</f>
        <v>0</v>
      </c>
      <c r="P15" s="6">
        <f t="shared" si="3"/>
        <v>0</v>
      </c>
      <c r="Q15" s="5">
        <f>SUMIFS(INPUT_SalesAdmin!I:I,INPUT_SalesAdmin!A:A,$A15,INPUT_SalesAdmin!B:B,$B15)</f>
        <v>0</v>
      </c>
      <c r="R15" s="5">
        <f>SUMIFS(INPUT_SalesAdmin!J:J,INPUT_SalesAdmin!A:A,$A15,INPUT_SalesAdmin!B:B,$B15)</f>
        <v>0</v>
      </c>
      <c r="S15" s="6">
        <f t="shared" si="4"/>
        <v>0</v>
      </c>
      <c r="T15" s="5">
        <f>SUMIFS(INPUT_SalesAdmin!K:K,INPUT_SalesAdmin!A:A,$A15,INPUT_SalesAdmin!B:B,$B15)</f>
        <v>0</v>
      </c>
      <c r="U15" s="5">
        <f>SUMIFS(INPUT_SalesAdmin!L:L,INPUT_SalesAdmin!A:A,$A15,INPUT_SalesAdmin!B:B,$B15)</f>
        <v>0</v>
      </c>
      <c r="V15" s="6">
        <f>S15+U15+SUMIFS(INPUT_SalesAdmin!M:M,INPUT_SalesAdmin!A:A,$A15,INPUT_SalesAdmin!B:B,$B15)</f>
        <v>0</v>
      </c>
      <c r="W15" s="6">
        <f t="shared" si="5"/>
        <v>0</v>
      </c>
      <c r="X15" s="6">
        <f t="shared" si="6"/>
        <v>0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3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3" width="18" customWidth="1"/>
    <col min="4" max="5" width="22" customWidth="1"/>
    <col min="6" max="7" width="14" customWidth="1"/>
  </cols>
  <sheetData>
    <row r="1" spans="1:16" ht="17.399999999999999" x14ac:dyDescent="0.3">
      <c r="A1" s="14" t="s">
        <v>64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6" ht="15.6" x14ac:dyDescent="0.3">
      <c r="A3" s="7" t="s">
        <v>65</v>
      </c>
    </row>
    <row r="4" spans="1:16" x14ac:dyDescent="0.3">
      <c r="A4" t="s">
        <v>239</v>
      </c>
      <c r="B4">
        <v>6</v>
      </c>
      <c r="C4" t="s">
        <v>240</v>
      </c>
      <c r="D4">
        <v>7</v>
      </c>
    </row>
    <row r="5" spans="1:16" x14ac:dyDescent="0.3">
      <c r="A5" s="2" t="s">
        <v>66</v>
      </c>
      <c r="B5" s="2" t="s">
        <v>241</v>
      </c>
      <c r="C5" s="2" t="s">
        <v>243</v>
      </c>
      <c r="D5" s="2" t="s">
        <v>245</v>
      </c>
      <c r="E5" s="2" t="s">
        <v>247</v>
      </c>
      <c r="F5" s="2" t="s">
        <v>249</v>
      </c>
      <c r="G5" s="2" t="s">
        <v>242</v>
      </c>
      <c r="H5" t="s">
        <v>244</v>
      </c>
      <c r="I5" t="s">
        <v>246</v>
      </c>
      <c r="J5" t="s">
        <v>248</v>
      </c>
      <c r="K5" t="s">
        <v>250</v>
      </c>
      <c r="L5" t="s">
        <v>274</v>
      </c>
      <c r="M5" t="s">
        <v>275</v>
      </c>
      <c r="N5" t="s">
        <v>276</v>
      </c>
      <c r="O5" t="s">
        <v>277</v>
      </c>
      <c r="P5" t="s">
        <v>278</v>
      </c>
    </row>
    <row r="6" spans="1:16" x14ac:dyDescent="0.3">
      <c r="A6" s="4" t="s">
        <v>67</v>
      </c>
      <c r="B6" s="5">
        <f>SUMIFS(MASTER_Table!L:L,MASTER_Table!A:A,$B$4,MASTER_Table!B:B,"Center")</f>
        <v>20</v>
      </c>
      <c r="C6" s="5">
        <f>SUMIFS(MASTER_Table!L:L,MASTER_Table!A:A,$B$4,MASTER_Table!B:B,"West")</f>
        <v>20</v>
      </c>
      <c r="D6" s="5" t="e">
        <f>SUMIFS(MASTER_Table!L:L,MASTER_Table!A:A,$B$4,MASTER_Table!B:B,"North")</f>
        <v>#DIV/0!</v>
      </c>
      <c r="E6" s="5" t="e">
        <f>SUMIFS(MASTER_Table!L:L,MASTER_Table!A:A,$B$4,MASTER_Table!B:B,"East")</f>
        <v>#DIV/0!</v>
      </c>
      <c r="F6" s="6" t="e">
        <f>SUMIFS(MASTER_Table!L:L,MASTER_Table!A:A,$B$4,MASTER_Table!B:B,"South")</f>
        <v>#DIV/0!</v>
      </c>
      <c r="G6" s="6">
        <f>SUMIFS(MASTER_Table!L:L,MASTER_Table!A:A,$D$4,MASTER_Table!B:B,"Center")</f>
        <v>22</v>
      </c>
      <c r="H6">
        <f>SUMIFS(MASTER_Table!L:L,MASTER_Table!A:A,$D$4,MASTER_Table!B:B,"West")</f>
        <v>22</v>
      </c>
      <c r="I6" t="e">
        <f>SUMIFS(MASTER_Table!L:L,MASTER_Table!A:A,$D$4,MASTER_Table!B:B,"North")</f>
        <v>#DIV/0!</v>
      </c>
      <c r="J6" t="e">
        <f>SUMIFS(MASTER_Table!L:L,MASTER_Table!A:A,$D$4,MASTER_Table!B:B,"East")</f>
        <v>#DIV/0!</v>
      </c>
      <c r="K6" t="e">
        <f>SUMIFS(MASTER_Table!L:L,MASTER_Table!A:A,$D$4,MASTER_Table!B:B,"South")</f>
        <v>#DIV/0!</v>
      </c>
      <c r="L6">
        <f t="shared" ref="L6:L14" si="0">G6-B6</f>
        <v>2</v>
      </c>
      <c r="M6">
        <f t="shared" ref="M6:M14" si="1">H6-C6</f>
        <v>2</v>
      </c>
      <c r="N6" t="e">
        <f t="shared" ref="N6:N14" si="2">I6-D6</f>
        <v>#DIV/0!</v>
      </c>
      <c r="O6" t="e">
        <f t="shared" ref="O6:O14" si="3">J6-E6</f>
        <v>#DIV/0!</v>
      </c>
      <c r="P6" t="e">
        <f t="shared" ref="P6:P14" si="4">K6-F6</f>
        <v>#DIV/0!</v>
      </c>
    </row>
    <row r="7" spans="1:16" x14ac:dyDescent="0.3">
      <c r="A7" s="4" t="s">
        <v>68</v>
      </c>
      <c r="B7" s="5">
        <f>SUMIFS(MASTER_Table!F:F,MASTER_Table!A:A,$B$4,MASTER_Table!B:B,"Center")</f>
        <v>65</v>
      </c>
      <c r="C7" s="5">
        <f>SUMIFS(MASTER_Table!F:F,MASTER_Table!A:A,$B$4,MASTER_Table!B:B,"West")</f>
        <v>65</v>
      </c>
      <c r="D7" s="5" t="e">
        <f>SUMIFS(MASTER_Table!F:F,MASTER_Table!A:A,$B$4,MASTER_Table!B:B,"North")</f>
        <v>#DIV/0!</v>
      </c>
      <c r="E7" s="5" t="e">
        <f>SUMIFS(MASTER_Table!F:F,MASTER_Table!A:A,$B$4,MASTER_Table!B:B,"East")</f>
        <v>#DIV/0!</v>
      </c>
      <c r="F7" s="6" t="e">
        <f>SUMIFS(MASTER_Table!F:F,MASTER_Table!A:A,$B$4,MASTER_Table!B:B,"South")</f>
        <v>#DIV/0!</v>
      </c>
      <c r="G7" s="6">
        <f>SUMIFS(MASTER_Table!F:F,MASTER_Table!A:A,$D$4,MASTER_Table!B:B,"Center")</f>
        <v>68</v>
      </c>
      <c r="H7">
        <f>SUMIFS(MASTER_Table!F:F,MASTER_Table!A:A,$D$4,MASTER_Table!B:B,"West")</f>
        <v>68</v>
      </c>
      <c r="I7" t="e">
        <f>SUMIFS(MASTER_Table!F:F,MASTER_Table!A:A,$D$4,MASTER_Table!B:B,"North")</f>
        <v>#DIV/0!</v>
      </c>
      <c r="J7" t="e">
        <f>SUMIFS(MASTER_Table!F:F,MASTER_Table!A:A,$D$4,MASTER_Table!B:B,"East")</f>
        <v>#DIV/0!</v>
      </c>
      <c r="K7" t="e">
        <f>SUMIFS(MASTER_Table!F:F,MASTER_Table!A:A,$D$4,MASTER_Table!B:B,"South")</f>
        <v>#DIV/0!</v>
      </c>
      <c r="L7">
        <f t="shared" si="0"/>
        <v>3</v>
      </c>
      <c r="M7">
        <f t="shared" si="1"/>
        <v>3</v>
      </c>
      <c r="N7" t="e">
        <f t="shared" si="2"/>
        <v>#DIV/0!</v>
      </c>
      <c r="O7" t="e">
        <f t="shared" si="3"/>
        <v>#DIV/0!</v>
      </c>
      <c r="P7" t="e">
        <f t="shared" si="4"/>
        <v>#DIV/0!</v>
      </c>
    </row>
    <row r="8" spans="1:16" x14ac:dyDescent="0.3">
      <c r="A8" s="4" t="s">
        <v>69</v>
      </c>
      <c r="B8" s="5">
        <f>SUMIFS(MASTER_Table!I:I,MASTER_Table!A:A,$B$4,MASTER_Table!B:B,"Center")</f>
        <v>0.25</v>
      </c>
      <c r="C8" s="5">
        <f>SUMIFS(MASTER_Table!I:I,MASTER_Table!A:A,$B$4,MASTER_Table!B:B,"West")</f>
        <v>0.25</v>
      </c>
      <c r="D8" s="5" t="e">
        <f>SUMIFS(MASTER_Table!I:I,MASTER_Table!A:A,$B$4,MASTER_Table!B:B,"North")</f>
        <v>#DIV/0!</v>
      </c>
      <c r="E8" s="5" t="e">
        <f>SUMIFS(MASTER_Table!I:I,MASTER_Table!A:A,$B$4,MASTER_Table!B:B,"East")</f>
        <v>#DIV/0!</v>
      </c>
      <c r="F8" s="6" t="e">
        <f>SUMIFS(MASTER_Table!I:I,MASTER_Table!A:A,$B$4,MASTER_Table!B:B,"South")</f>
        <v>#DIV/0!</v>
      </c>
      <c r="G8" s="6">
        <f>SUMIFS(MASTER_Table!I:I,MASTER_Table!A:A,$D$4,MASTER_Table!B:B,"Center")</f>
        <v>0.28000000000000003</v>
      </c>
      <c r="H8">
        <f>SUMIFS(MASTER_Table!I:I,MASTER_Table!A:A,$D$4,MASTER_Table!B:B,"West")</f>
        <v>0.28000000000000003</v>
      </c>
      <c r="I8" t="e">
        <f>SUMIFS(MASTER_Table!I:I,MASTER_Table!A:A,$D$4,MASTER_Table!B:B,"North")</f>
        <v>#DIV/0!</v>
      </c>
      <c r="J8" t="e">
        <f>SUMIFS(MASTER_Table!I:I,MASTER_Table!A:A,$D$4,MASTER_Table!B:B,"East")</f>
        <v>#DIV/0!</v>
      </c>
      <c r="K8" t="e">
        <f>SUMIFS(MASTER_Table!I:I,MASTER_Table!A:A,$D$4,MASTER_Table!B:B,"South")</f>
        <v>#DIV/0!</v>
      </c>
      <c r="L8">
        <f t="shared" si="0"/>
        <v>3.0000000000000027E-2</v>
      </c>
      <c r="M8">
        <f t="shared" si="1"/>
        <v>3.0000000000000027E-2</v>
      </c>
      <c r="N8" t="e">
        <f t="shared" si="2"/>
        <v>#DIV/0!</v>
      </c>
      <c r="O8" t="e">
        <f t="shared" si="3"/>
        <v>#DIV/0!</v>
      </c>
      <c r="P8" t="e">
        <f t="shared" si="4"/>
        <v>#DIV/0!</v>
      </c>
    </row>
    <row r="9" spans="1:16" x14ac:dyDescent="0.3">
      <c r="A9" s="4" t="s">
        <v>6</v>
      </c>
      <c r="B9" s="5">
        <f>SUMIFS(MASTER_Table!C:C,MASTER_Table!A:A,$B$4,MASTER_Table!B:B,"Center")</f>
        <v>68</v>
      </c>
      <c r="C9" s="5">
        <f>SUMIFS(MASTER_Table!C:C,MASTER_Table!A:A,$B$4,MASTER_Table!B:B,"West")</f>
        <v>68</v>
      </c>
      <c r="D9" s="5" t="e">
        <f>SUMIFS(MASTER_Table!C:C,MASTER_Table!A:A,$B$4,MASTER_Table!B:B,"North")</f>
        <v>#DIV/0!</v>
      </c>
      <c r="E9" s="5" t="e">
        <f>SUMIFS(MASTER_Table!C:C,MASTER_Table!A:A,$B$4,MASTER_Table!B:B,"East")</f>
        <v>#DIV/0!</v>
      </c>
      <c r="F9" s="6" t="e">
        <f>SUMIFS(MASTER_Table!C:C,MASTER_Table!A:A,$B$4,MASTER_Table!B:B,"South")</f>
        <v>#DIV/0!</v>
      </c>
      <c r="G9" s="6">
        <f>SUMIFS(MASTER_Table!C:C,MASTER_Table!A:A,$D$4,MASTER_Table!B:B,"Center")</f>
        <v>70</v>
      </c>
      <c r="H9">
        <f>SUMIFS(MASTER_Table!C:C,MASTER_Table!A:A,$D$4,MASTER_Table!B:B,"West")</f>
        <v>70</v>
      </c>
      <c r="I9" t="e">
        <f>SUMIFS(MASTER_Table!C:C,MASTER_Table!A:A,$D$4,MASTER_Table!B:B,"North")</f>
        <v>#DIV/0!</v>
      </c>
      <c r="J9" t="e">
        <f>SUMIFS(MASTER_Table!C:C,MASTER_Table!A:A,$D$4,MASTER_Table!B:B,"East")</f>
        <v>#DIV/0!</v>
      </c>
      <c r="K9" t="e">
        <f>SUMIFS(MASTER_Table!C:C,MASTER_Table!A:A,$D$4,MASTER_Table!B:B,"South")</f>
        <v>#DIV/0!</v>
      </c>
      <c r="L9">
        <f t="shared" si="0"/>
        <v>2</v>
      </c>
      <c r="M9">
        <f t="shared" si="1"/>
        <v>2</v>
      </c>
      <c r="N9" t="e">
        <f t="shared" si="2"/>
        <v>#DIV/0!</v>
      </c>
      <c r="O9" t="e">
        <f t="shared" si="3"/>
        <v>#DIV/0!</v>
      </c>
      <c r="P9" t="e">
        <f t="shared" si="4"/>
        <v>#DIV/0!</v>
      </c>
    </row>
    <row r="10" spans="1:16" x14ac:dyDescent="0.3">
      <c r="A10" s="4" t="s">
        <v>70</v>
      </c>
      <c r="B10" s="5">
        <f>SUMIFS(MASTER_Table!M:M,MASTER_Table!A:A,$B$4,MASTER_Table!B:B,"Center")</f>
        <v>4000</v>
      </c>
      <c r="C10" s="5">
        <f>SUMIFS(MASTER_Table!M:M,MASTER_Table!A:A,$B$4,MASTER_Table!B:B,"West")</f>
        <v>2000</v>
      </c>
      <c r="D10" s="5">
        <f>SUMIFS(MASTER_Table!M:M,MASTER_Table!A:A,$B$4,MASTER_Table!B:B,"North")</f>
        <v>0</v>
      </c>
      <c r="E10" s="5">
        <f>SUMIFS(MASTER_Table!M:M,MASTER_Table!A:A,$B$4,MASTER_Table!B:B,"East")</f>
        <v>0</v>
      </c>
      <c r="F10" s="6">
        <f>SUMIFS(MASTER_Table!M:M,MASTER_Table!A:A,$B$4,MASTER_Table!B:B,"South")</f>
        <v>0</v>
      </c>
      <c r="G10" s="6">
        <f>SUMIFS(MASTER_Table!M:M,MASTER_Table!A:A,$D$4,MASTER_Table!B:B,"Center")</f>
        <v>4000</v>
      </c>
      <c r="H10">
        <f>SUMIFS(MASTER_Table!M:M,MASTER_Table!A:A,$D$4,MASTER_Table!B:B,"West")</f>
        <v>2000</v>
      </c>
      <c r="I10">
        <f>SUMIFS(MASTER_Table!M:M,MASTER_Table!A:A,$D$4,MASTER_Table!B:B,"North")</f>
        <v>0</v>
      </c>
      <c r="J10">
        <f>SUMIFS(MASTER_Table!M:M,MASTER_Table!A:A,$D$4,MASTER_Table!B:B,"East")</f>
        <v>0</v>
      </c>
      <c r="K10">
        <f>SUMIFS(MASTER_Table!M:M,MASTER_Table!A:A,$D$4,MASTER_Table!B:B,"South")</f>
        <v>0</v>
      </c>
      <c r="L10">
        <f t="shared" si="0"/>
        <v>0</v>
      </c>
      <c r="M10">
        <f t="shared" si="1"/>
        <v>0</v>
      </c>
      <c r="N10">
        <f t="shared" si="2"/>
        <v>0</v>
      </c>
      <c r="O10">
        <f t="shared" si="3"/>
        <v>0</v>
      </c>
      <c r="P10">
        <f t="shared" si="4"/>
        <v>0</v>
      </c>
    </row>
    <row r="11" spans="1:16" x14ac:dyDescent="0.3">
      <c r="A11" s="4" t="s">
        <v>71</v>
      </c>
      <c r="B11" s="5">
        <f>SUMIFS(MASTER_Table!N:N,MASTER_Table!A:A,$B$4,MASTER_Table!B:B,"Center")</f>
        <v>251600</v>
      </c>
      <c r="C11" s="5">
        <f>SUMIFS(MASTER_Table!N:N,MASTER_Table!A:A,$B$4,MASTER_Table!B:B,"West")</f>
        <v>125800</v>
      </c>
      <c r="D11" s="5">
        <f>SUMIFS(MASTER_Table!N:N,MASTER_Table!A:A,$B$4,MASTER_Table!B:B,"North")</f>
        <v>0</v>
      </c>
      <c r="E11" s="5">
        <f>SUMIFS(MASTER_Table!N:N,MASTER_Table!A:A,$B$4,MASTER_Table!B:B,"East")</f>
        <v>0</v>
      </c>
      <c r="F11" s="6">
        <f>SUMIFS(MASTER_Table!N:N,MASTER_Table!A:A,$B$4,MASTER_Table!B:B,"South")</f>
        <v>0</v>
      </c>
      <c r="G11" s="6">
        <f>SUMIFS(MASTER_Table!N:N,MASTER_Table!A:A,$D$4,MASTER_Table!B:B,"Center")</f>
        <v>251600</v>
      </c>
      <c r="H11">
        <f>SUMIFS(MASTER_Table!N:N,MASTER_Table!A:A,$D$4,MASTER_Table!B:B,"West")</f>
        <v>125800</v>
      </c>
      <c r="I11">
        <f>SUMIFS(MASTER_Table!N:N,MASTER_Table!A:A,$D$4,MASTER_Table!B:B,"North")</f>
        <v>0</v>
      </c>
      <c r="J11">
        <f>SUMIFS(MASTER_Table!N:N,MASTER_Table!A:A,$D$4,MASTER_Table!B:B,"East")</f>
        <v>0</v>
      </c>
      <c r="K11">
        <f>SUMIFS(MASTER_Table!N:N,MASTER_Table!A:A,$D$4,MASTER_Table!B:B,"South")</f>
        <v>0</v>
      </c>
      <c r="L11">
        <f t="shared" si="0"/>
        <v>0</v>
      </c>
      <c r="M11">
        <f t="shared" si="1"/>
        <v>0</v>
      </c>
      <c r="N11">
        <f t="shared" si="2"/>
        <v>0</v>
      </c>
      <c r="O11">
        <f t="shared" si="3"/>
        <v>0</v>
      </c>
      <c r="P11">
        <f t="shared" si="4"/>
        <v>0</v>
      </c>
    </row>
    <row r="12" spans="1:16" x14ac:dyDescent="0.3">
      <c r="A12" s="4" t="s">
        <v>72</v>
      </c>
      <c r="B12" s="5">
        <f>SUMIFS(MASTER_Table!P:P,MASTER_Table!A:A,$B$4,MASTER_Table!B:B,"Center")</f>
        <v>0</v>
      </c>
      <c r="C12" s="5">
        <f>SUMIFS(MASTER_Table!P:P,MASTER_Table!A:A,$B$4,MASTER_Table!B:B,"West")</f>
        <v>0</v>
      </c>
      <c r="D12" s="5">
        <f>SUMIFS(MASTER_Table!P:P,MASTER_Table!A:A,$B$4,MASTER_Table!B:B,"North")</f>
        <v>0</v>
      </c>
      <c r="E12" s="5">
        <f>SUMIFS(MASTER_Table!P:P,MASTER_Table!A:A,$B$4,MASTER_Table!B:B,"East")</f>
        <v>0</v>
      </c>
      <c r="F12" s="6">
        <f>SUMIFS(MASTER_Table!P:P,MASTER_Table!A:A,$B$4,MASTER_Table!B:B,"South")</f>
        <v>0</v>
      </c>
      <c r="G12" s="6">
        <f>SUMIFS(MASTER_Table!P:P,MASTER_Table!A:A,$D$4,MASTER_Table!B:B,"Center")</f>
        <v>3.614457831325301E-2</v>
      </c>
      <c r="H12">
        <f>SUMIFS(MASTER_Table!P:P,MASTER_Table!A:A,$D$4,MASTER_Table!B:B,"West")</f>
        <v>0</v>
      </c>
      <c r="I12">
        <f>SUMIFS(MASTER_Table!P:P,MASTER_Table!A:A,$D$4,MASTER_Table!B:B,"North")</f>
        <v>0</v>
      </c>
      <c r="J12">
        <f>SUMIFS(MASTER_Table!P:P,MASTER_Table!A:A,$D$4,MASTER_Table!B:B,"East")</f>
        <v>0</v>
      </c>
      <c r="K12">
        <f>SUMIFS(MASTER_Table!P:P,MASTER_Table!A:A,$D$4,MASTER_Table!B:B,"South")</f>
        <v>0</v>
      </c>
      <c r="L12">
        <f t="shared" si="0"/>
        <v>3.614457831325301E-2</v>
      </c>
      <c r="M12">
        <f t="shared" si="1"/>
        <v>0</v>
      </c>
      <c r="N12">
        <f t="shared" si="2"/>
        <v>0</v>
      </c>
      <c r="O12">
        <f t="shared" si="3"/>
        <v>0</v>
      </c>
      <c r="P12">
        <f t="shared" si="4"/>
        <v>0</v>
      </c>
    </row>
    <row r="13" spans="1:16" x14ac:dyDescent="0.3">
      <c r="A13" s="4" t="s">
        <v>73</v>
      </c>
      <c r="B13" s="5">
        <f>SUMIFS(MASTER_Table!W:W,MASTER_Table!A:A,$B$4,MASTER_Table!B:B,"Center")</f>
        <v>0.44892686804451509</v>
      </c>
      <c r="C13" s="5">
        <f>SUMIFS(MASTER_Table!W:W,MASTER_Table!A:A,$B$4,MASTER_Table!B:B,"West")</f>
        <v>0.84419713831478538</v>
      </c>
      <c r="D13" s="5">
        <f>SUMIFS(MASTER_Table!W:W,MASTER_Table!A:A,$B$4,MASTER_Table!B:B,"North")</f>
        <v>0</v>
      </c>
      <c r="E13" s="5">
        <f>SUMIFS(MASTER_Table!W:W,MASTER_Table!A:A,$B$4,MASTER_Table!B:B,"East")</f>
        <v>0</v>
      </c>
      <c r="F13" s="6">
        <f>SUMIFS(MASTER_Table!W:W,MASTER_Table!A:A,$B$4,MASTER_Table!B:B,"South")</f>
        <v>0</v>
      </c>
      <c r="G13" s="6">
        <f>SUMIFS(MASTER_Table!W:W,MASTER_Table!A:A,$D$4,MASTER_Table!B:B,"Center")</f>
        <v>0.45608108108108109</v>
      </c>
      <c r="H13">
        <f>SUMIFS(MASTER_Table!W:W,MASTER_Table!A:A,$D$4,MASTER_Table!B:B,"West")</f>
        <v>0.85850556438791736</v>
      </c>
      <c r="I13">
        <f>SUMIFS(MASTER_Table!W:W,MASTER_Table!A:A,$D$4,MASTER_Table!B:B,"North")</f>
        <v>0</v>
      </c>
      <c r="J13">
        <f>SUMIFS(MASTER_Table!W:W,MASTER_Table!A:A,$D$4,MASTER_Table!B:B,"East")</f>
        <v>0</v>
      </c>
      <c r="K13">
        <f>SUMIFS(MASTER_Table!W:W,MASTER_Table!A:A,$D$4,MASTER_Table!B:B,"South")</f>
        <v>0</v>
      </c>
      <c r="L13">
        <f t="shared" si="0"/>
        <v>7.1542130365659928E-3</v>
      </c>
      <c r="M13">
        <f t="shared" si="1"/>
        <v>1.4308426073131986E-2</v>
      </c>
      <c r="N13">
        <f t="shared" si="2"/>
        <v>0</v>
      </c>
      <c r="O13">
        <f t="shared" si="3"/>
        <v>0</v>
      </c>
      <c r="P13">
        <f t="shared" si="4"/>
        <v>0</v>
      </c>
    </row>
    <row r="14" spans="1:16" x14ac:dyDescent="0.3">
      <c r="A14" s="4" t="s">
        <v>74</v>
      </c>
      <c r="B14" s="5">
        <f>SUMIFS(MASTER_Table!X:X,MASTER_Table!A:A,$B$4,MASTER_Table!B:B,"Center")</f>
        <v>20.737500000000001</v>
      </c>
      <c r="C14" s="5">
        <f>SUMIFS(MASTER_Table!X:X,MASTER_Table!A:A,$B$4,MASTER_Table!B:B,"West")</f>
        <v>38.1</v>
      </c>
      <c r="D14" s="5">
        <f>SUMIFS(MASTER_Table!X:X,MASTER_Table!A:A,$B$4,MASTER_Table!B:B,"North")</f>
        <v>0</v>
      </c>
      <c r="E14" s="5">
        <f>SUMIFS(MASTER_Table!X:X,MASTER_Table!A:A,$B$4,MASTER_Table!B:B,"East")</f>
        <v>0</v>
      </c>
      <c r="F14" s="6">
        <f>SUMIFS(MASTER_Table!X:X,MASTER_Table!A:A,$B$4,MASTER_Table!B:B,"South")</f>
        <v>0</v>
      </c>
      <c r="G14" s="6">
        <f>SUMIFS(MASTER_Table!X:X,MASTER_Table!A:A,$D$4,MASTER_Table!B:B,"Center")</f>
        <v>21.1875</v>
      </c>
      <c r="H14">
        <f>SUMIFS(MASTER_Table!X:X,MASTER_Table!A:A,$D$4,MASTER_Table!B:B,"West")</f>
        <v>39</v>
      </c>
      <c r="I14">
        <f>SUMIFS(MASTER_Table!X:X,MASTER_Table!A:A,$D$4,MASTER_Table!B:B,"North")</f>
        <v>0</v>
      </c>
      <c r="J14">
        <f>SUMIFS(MASTER_Table!X:X,MASTER_Table!A:A,$D$4,MASTER_Table!B:B,"East")</f>
        <v>0</v>
      </c>
      <c r="K14">
        <f>SUMIFS(MASTER_Table!X:X,MASTER_Table!A:A,$D$4,MASTER_Table!B:B,"South")</f>
        <v>0</v>
      </c>
      <c r="L14">
        <f t="shared" si="0"/>
        <v>0.44999999999999929</v>
      </c>
      <c r="M14">
        <f t="shared" si="1"/>
        <v>0.89999999999999858</v>
      </c>
      <c r="N14">
        <f t="shared" si="2"/>
        <v>0</v>
      </c>
      <c r="O14">
        <f t="shared" si="3"/>
        <v>0</v>
      </c>
      <c r="P14">
        <f t="shared" si="4"/>
        <v>0</v>
      </c>
    </row>
    <row r="17" spans="1:7" ht="15.6" x14ac:dyDescent="0.3">
      <c r="A17" s="7" t="s">
        <v>75</v>
      </c>
    </row>
    <row r="19" spans="1:7" x14ac:dyDescent="0.3">
      <c r="A19" s="2" t="s">
        <v>76</v>
      </c>
      <c r="B19" s="2" t="s">
        <v>12</v>
      </c>
      <c r="C19" s="2" t="s">
        <v>20</v>
      </c>
      <c r="D19" s="2" t="s">
        <v>109</v>
      </c>
      <c r="E19" t="s">
        <v>110</v>
      </c>
      <c r="F19" t="s">
        <v>111</v>
      </c>
      <c r="G19" t="s">
        <v>251</v>
      </c>
    </row>
    <row r="20" spans="1:7" x14ac:dyDescent="0.3">
      <c r="A20" s="4" t="s">
        <v>77</v>
      </c>
      <c r="B20" s="6">
        <f>IF((SUMIFS(MASTER_Table!S:S,MASTER_Table!A:A,$D$4,MASTER_Table!B:B,"Center")-SUMIFS(MASTER_Table!S:S,MASTER_Table!A:A,$B$4,MASTER_Table!B:B,"Center"))=0,"-",(SUMIFS(MASTER_Table!F:F,MASTER_Table!A:A,$D$4,MASTER_Table!B:B,"Center")-SUMIFS(MASTER_Table!F:F,MASTER_Table!A:A,$B$4,MASTER_Table!B:B,"Center"))/(SUMIFS(MASTER_Table!S:S,MASTER_Table!A:A,$D$4,MASTER_Table!B:B,"Center")-SUMIFS(MASTER_Table!S:S,MASTER_Table!A:A,$B$4,MASTER_Table!B:B,"Center"))*1000)</f>
        <v>1.6666666666666667</v>
      </c>
      <c r="C20" s="6">
        <f>IF((SUMIFS(MASTER_Table!S:S,MASTER_Table!A:A,$D$4,MASTER_Table!B:B,"West")-SUMIFS(MASTER_Table!S:S,MASTER_Table!A:A,$B$4,MASTER_Table!B:B,"West"))=0,"-",(SUMIFS(MASTER_Table!F:F,MASTER_Table!A:A,$D$4,MASTER_Table!B:B,"West")-SUMIFS(MASTER_Table!F:F,MASTER_Table!A:A,$B$4,MASTER_Table!B:B,"West"))/(SUMIFS(MASTER_Table!S:S,MASTER_Table!A:A,$D$4,MASTER_Table!B:B,"West")-SUMIFS(MASTER_Table!S:S,MASTER_Table!A:A,$B$4,MASTER_Table!B:B,"West"))*1000)</f>
        <v>1.6666666666666667</v>
      </c>
      <c r="D20" s="4" t="str">
        <f>IF((SUMIFS(MASTER_Table!S:S,MASTER_Table!A:A,$D$4,MASTER_Table!B:B,"North")-SUMIFS(MASTER_Table!S:S,MASTER_Table!A:A,$B$4,MASTER_Table!B:B,"North"))=0,"-",(SUMIFS(MASTER_Table!F:F,MASTER_Table!A:A,$D$4,MASTER_Table!B:B,"North")-SUMIFS(MASTER_Table!F:F,MASTER_Table!A:A,$B$4,MASTER_Table!B:B,"North"))/(SUMIFS(MASTER_Table!S:S,MASTER_Table!A:A,$D$4,MASTER_Table!B:B,"North")-SUMIFS(MASTER_Table!S:S,MASTER_Table!A:A,$B$4,MASTER_Table!B:B,"North"))*1000)</f>
        <v>-</v>
      </c>
      <c r="E20" t="str">
        <f>IF((SUMIFS(MASTER_Table!S:S,MASTER_Table!A:A,$D$4,MASTER_Table!B:B,"East")-SUMIFS(MASTER_Table!S:S,MASTER_Table!A:A,$B$4,MASTER_Table!B:B,"East"))=0,"-",(SUMIFS(MASTER_Table!F:F,MASTER_Table!A:A,$D$4,MASTER_Table!B:B,"East")-SUMIFS(MASTER_Table!F:F,MASTER_Table!A:A,$B$4,MASTER_Table!B:B,"East"))/(SUMIFS(MASTER_Table!S:S,MASTER_Table!A:A,$D$4,MASTER_Table!B:B,"East")-SUMIFS(MASTER_Table!S:S,MASTER_Table!A:A,$B$4,MASTER_Table!B:B,"East"))*1000)</f>
        <v>-</v>
      </c>
      <c r="F20" t="str">
        <f>IF((SUMIFS(MASTER_Table!S:S,MASTER_Table!A:A,$D$4,MASTER_Table!B:B,"South")-SUMIFS(MASTER_Table!S:S,MASTER_Table!A:A,$B$4,MASTER_Table!B:B,"South"))=0,"-",(SUMIFS(MASTER_Table!F:F,MASTER_Table!A:A,$D$4,MASTER_Table!B:B,"South")-SUMIFS(MASTER_Table!F:F,MASTER_Table!A:A,$B$4,MASTER_Table!B:B,"South"))/(SUMIFS(MASTER_Table!S:S,MASTER_Table!A:A,$D$4,MASTER_Table!B:B,"South")-SUMIFS(MASTER_Table!S:S,MASTER_Table!A:A,$B$4,MASTER_Table!B:B,"South"))*1000)</f>
        <v>-</v>
      </c>
      <c r="G20" t="s">
        <v>78</v>
      </c>
    </row>
    <row r="21" spans="1:7" x14ac:dyDescent="0.3">
      <c r="A21" s="4" t="s">
        <v>79</v>
      </c>
      <c r="B21" s="6">
        <f>IF((SUMIFS(MASTER_Table!S:S,MASTER_Table!A:A,$D$4,MASTER_Table!B:B,"Center")-SUMIFS(MASTER_Table!S:S,MASTER_Table!A:A,$B$4,MASTER_Table!B:B,"Center"))=0,"-",(SUMIFS(MASTER_Table!L:L,MASTER_Table!A:A,$D$4,MASTER_Table!B:B,"Center")-SUMIFS(MASTER_Table!L:L,MASTER_Table!A:A,$B$4,MASTER_Table!B:B,"Center"))/(SUMIFS(MASTER_Table!S:S,MASTER_Table!A:A,$D$4,MASTER_Table!B:B,"Center")-SUMIFS(MASTER_Table!S:S,MASTER_Table!A:A,$B$4,MASTER_Table!B:B,"Center"))*1000)</f>
        <v>1.1111111111111112</v>
      </c>
      <c r="C21" s="6">
        <f>IF((SUMIFS(MASTER_Table!S:S,MASTER_Table!A:A,$D$4,MASTER_Table!B:B,"West")-SUMIFS(MASTER_Table!S:S,MASTER_Table!A:A,$B$4,MASTER_Table!B:B,"West"))=0,"-",(SUMIFS(MASTER_Table!L:L,MASTER_Table!A:A,$D$4,MASTER_Table!B:B,"West")-SUMIFS(MASTER_Table!L:L,MASTER_Table!A:A,$B$4,MASTER_Table!B:B,"West"))/(SUMIFS(MASTER_Table!S:S,MASTER_Table!A:A,$D$4,MASTER_Table!B:B,"West")-SUMIFS(MASTER_Table!S:S,MASTER_Table!A:A,$B$4,MASTER_Table!B:B,"West"))*1000)</f>
        <v>1.1111111111111112</v>
      </c>
      <c r="D21" s="4" t="str">
        <f>IF((SUMIFS(MASTER_Table!S:S,MASTER_Table!A:A,$D$4,MASTER_Table!B:B,"North")-SUMIFS(MASTER_Table!S:S,MASTER_Table!A:A,$B$4,MASTER_Table!B:B,"North"))=0,"-",(SUMIFS(MASTER_Table!L:L,MASTER_Table!A:A,$D$4,MASTER_Table!B:B,"North")-SUMIFS(MASTER_Table!L:L,MASTER_Table!A:A,$B$4,MASTER_Table!B:B,"North"))/(SUMIFS(MASTER_Table!S:S,MASTER_Table!A:A,$D$4,MASTER_Table!B:B,"North")-SUMIFS(MASTER_Table!S:S,MASTER_Table!A:A,$B$4,MASTER_Table!B:B,"North"))*1000)</f>
        <v>-</v>
      </c>
      <c r="E21" t="str">
        <f>IF((SUMIFS(MASTER_Table!S:S,MASTER_Table!A:A,$D$4,MASTER_Table!B:B,"East")-SUMIFS(MASTER_Table!S:S,MASTER_Table!A:A,$B$4,MASTER_Table!B:B,"East"))=0,"-",(SUMIFS(MASTER_Table!L:L,MASTER_Table!A:A,$D$4,MASTER_Table!B:B,"East")-SUMIFS(MASTER_Table!L:L,MASTER_Table!A:A,$B$4,MASTER_Table!B:B,"East"))/(SUMIFS(MASTER_Table!S:S,MASTER_Table!A:A,$D$4,MASTER_Table!B:B,"East")-SUMIFS(MASTER_Table!S:S,MASTER_Table!A:A,$B$4,MASTER_Table!B:B,"East"))*1000)</f>
        <v>-</v>
      </c>
      <c r="F21" t="str">
        <f>IF((SUMIFS(MASTER_Table!S:S,MASTER_Table!A:A,$D$4,MASTER_Table!B:B,"South")-SUMIFS(MASTER_Table!S:S,MASTER_Table!A:A,$B$4,MASTER_Table!B:B,"South"))=0,"-",(SUMIFS(MASTER_Table!L:L,MASTER_Table!A:A,$D$4,MASTER_Table!B:B,"South")-SUMIFS(MASTER_Table!L:L,MASTER_Table!A:A,$B$4,MASTER_Table!B:B,"South"))/(SUMIFS(MASTER_Table!S:S,MASTER_Table!A:A,$D$4,MASTER_Table!B:B,"South")-SUMIFS(MASTER_Table!S:S,MASTER_Table!A:A,$B$4,MASTER_Table!B:B,"South"))*1000)</f>
        <v>-</v>
      </c>
      <c r="G21" t="s">
        <v>80</v>
      </c>
    </row>
    <row r="22" spans="1:7" x14ac:dyDescent="0.3">
      <c r="A22" s="4" t="s">
        <v>81</v>
      </c>
      <c r="B22" s="6">
        <f>IF(SUMIFS(MASTER_Table!T:T,MASTER_Table!A:A,$D$4,MASTER_Table!B:B,"Center")=0,"-",(SUMIFS(MASTER_Table!M:M,MASTER_Table!A:A,$D$4,MASTER_Table!B:B,"Center")-SUMIFS(MASTER_Table!M:M,MASTER_Table!A:A,$B$4,MASTER_Table!B:B,"Center"))/SUMIFS(MASTER_Table!T:T,MASTER_Table!A:A,$D$4,MASTER_Table!B:B,"Center"))</f>
        <v>0</v>
      </c>
      <c r="C22" s="6">
        <f>IF(SUMIFS(MASTER_Table!T:T,MASTER_Table!A:A,$D$4,MASTER_Table!B:B,"West")=0,"-",(SUMIFS(MASTER_Table!M:M,MASTER_Table!A:A,$D$4,MASTER_Table!B:B,"West")-SUMIFS(MASTER_Table!M:M,MASTER_Table!A:A,$B$4,MASTER_Table!B:B,"West"))/SUMIFS(MASTER_Table!T:T,MASTER_Table!A:A,$D$4,MASTER_Table!B:B,"West"))</f>
        <v>0</v>
      </c>
      <c r="D22" s="4" t="str">
        <f>IF(SUMIFS(MASTER_Table!T:T,MASTER_Table!A:A,$D$4,MASTER_Table!B:B,"North")=0,"-",(SUMIFS(MASTER_Table!M:M,MASTER_Table!A:A,$D$4,MASTER_Table!B:B,"North")-SUMIFS(MASTER_Table!M:M,MASTER_Table!A:A,$B$4,MASTER_Table!B:B,"North"))/SUMIFS(MASTER_Table!T:T,MASTER_Table!A:A,$D$4,MASTER_Table!B:B,"North"))</f>
        <v>-</v>
      </c>
      <c r="E22" t="str">
        <f>IF(SUMIFS(MASTER_Table!T:T,MASTER_Table!A:A,$D$4,MASTER_Table!B:B,"East")=0,"-",(SUMIFS(MASTER_Table!M:M,MASTER_Table!A:A,$D$4,MASTER_Table!B:B,"East")-SUMIFS(MASTER_Table!M:M,MASTER_Table!A:A,$B$4,MASTER_Table!B:B,"East"))/SUMIFS(MASTER_Table!T:T,MASTER_Table!A:A,$D$4,MASTER_Table!B:B,"East"))</f>
        <v>-</v>
      </c>
      <c r="F22" t="str">
        <f>IF(SUMIFS(MASTER_Table!T:T,MASTER_Table!A:A,$D$4,MASTER_Table!B:B,"South")=0,"-",(SUMIFS(MASTER_Table!M:M,MASTER_Table!A:A,$D$4,MASTER_Table!B:B,"South")-SUMIFS(MASTER_Table!M:M,MASTER_Table!A:A,$B$4,MASTER_Table!B:B,"South"))/SUMIFS(MASTER_Table!T:T,MASTER_Table!A:A,$D$4,MASTER_Table!B:B,"South"))</f>
        <v>-</v>
      </c>
      <c r="G22" t="s">
        <v>252</v>
      </c>
    </row>
    <row r="23" spans="1:7" x14ac:dyDescent="0.3">
      <c r="A23" s="4" t="s">
        <v>82</v>
      </c>
      <c r="B23" s="6">
        <f>IF(OR(SUMIFS(MASTER_Table!C:C,MASTER_Table!A:A,$B$4,MASTER_Table!B:B,"Center")=0,SUMIFS(MASTER_Table!M:M,MASTER_Table!A:A,$B$4,MASTER_Table!B:B,"Center")=0,(SUMIFS(MASTER_Table!C:C,MASTER_Table!A:A,$D$4,MASTER_Table!B:B,"Center")-SUMIFS(MASTER_Table!C:C,MASTER_Table!A:A,$B$4,MASTER_Table!B:B,"Center"))=0),"-",((SUMIFS(MASTER_Table!M:M,MASTER_Table!A:A,$D$4,MASTER_Table!B:B,"Center")-SUMIFS(MASTER_Table!M:M,MASTER_Table!A:A,$B$4,MASTER_Table!B:B,"Center"))/SUMIFS(MASTER_Table!M:M,MASTER_Table!A:A,$B$4,MASTER_Table!B:B,"Center"))/((SUMIFS(MASTER_Table!C:C,MASTER_Table!A:A,$D$4,MASTER_Table!B:B,"Center")-SUMIFS(MASTER_Table!C:C,MASTER_Table!A:A,$B$4,MASTER_Table!B:B,"Center"))/SUMIFS(MASTER_Table!C:C,MASTER_Table!A:A,$B$4,MASTER_Table!B:B,"Center")))</f>
        <v>0</v>
      </c>
      <c r="C23" s="6">
        <f>IF(OR(SUMIFS(MASTER_Table!C:C,MASTER_Table!A:A,$B$4,MASTER_Table!B:B,"West")=0,SUMIFS(MASTER_Table!M:M,MASTER_Table!A:A,$B$4,MASTER_Table!B:B,"West")=0,(SUMIFS(MASTER_Table!C:C,MASTER_Table!A:A,$D$4,MASTER_Table!B:B,"West")-SUMIFS(MASTER_Table!C:C,MASTER_Table!A:A,$B$4,MASTER_Table!B:B,"West"))=0),"-",((SUMIFS(MASTER_Table!M:M,MASTER_Table!A:A,$D$4,MASTER_Table!B:B,"West")-SUMIFS(MASTER_Table!M:M,MASTER_Table!A:A,$B$4,MASTER_Table!B:B,"West"))/SUMIFS(MASTER_Table!M:M,MASTER_Table!A:A,$B$4,MASTER_Table!B:B,"West"))/((SUMIFS(MASTER_Table!C:C,MASTER_Table!A:A,$D$4,MASTER_Table!B:B,"West")-SUMIFS(MASTER_Table!C:C,MASTER_Table!A:A,$B$4,MASTER_Table!B:B,"West"))/SUMIFS(MASTER_Table!C:C,MASTER_Table!A:A,$B$4,MASTER_Table!B:B,"West")))</f>
        <v>0</v>
      </c>
      <c r="D23" s="4" t="e">
        <f>IF(OR(SUMIFS(MASTER_Table!C:C,MASTER_Table!A:A,$B$4,MASTER_Table!B:B,"North")=0,SUMIFS(MASTER_Table!M:M,MASTER_Table!A:A,$B$4,MASTER_Table!B:B,"North")=0,(SUMIFS(MASTER_Table!C:C,MASTER_Table!A:A,$D$4,MASTER_Table!B:B,"North")-SUMIFS(MASTER_Table!C:C,MASTER_Table!A:A,$B$4,MASTER_Table!B:B,"North"))=0),"-",((SUMIFS(MASTER_Table!M:M,MASTER_Table!A:A,$D$4,MASTER_Table!B:B,"North")-SUMIFS(MASTER_Table!M:M,MASTER_Table!A:A,$B$4,MASTER_Table!B:B,"North"))/SUMIFS(MASTER_Table!M:M,MASTER_Table!A:A,$B$4,MASTER_Table!B:B,"North"))/((SUMIFS(MASTER_Table!C:C,MASTER_Table!A:A,$D$4,MASTER_Table!B:B,"North")-SUMIFS(MASTER_Table!C:C,MASTER_Table!A:A,$B$4,MASTER_Table!B:B,"North"))/SUMIFS(MASTER_Table!C:C,MASTER_Table!A:A,$B$4,MASTER_Table!B:B,"North")))</f>
        <v>#DIV/0!</v>
      </c>
      <c r="E23" t="e">
        <f>IF(OR(SUMIFS(MASTER_Table!C:C,MASTER_Table!A:A,$B$4,MASTER_Table!B:B,"East")=0,SUMIFS(MASTER_Table!M:M,MASTER_Table!A:A,$B$4,MASTER_Table!B:B,"East")=0,(SUMIFS(MASTER_Table!C:C,MASTER_Table!A:A,$D$4,MASTER_Table!B:B,"East")-SUMIFS(MASTER_Table!C:C,MASTER_Table!A:A,$B$4,MASTER_Table!B:B,"East"))=0),"-",((SUMIFS(MASTER_Table!M:M,MASTER_Table!A:A,$D$4,MASTER_Table!B:B,"East")-SUMIFS(MASTER_Table!M:M,MASTER_Table!A:A,$B$4,MASTER_Table!B:B,"East"))/SUMIFS(MASTER_Table!M:M,MASTER_Table!A:A,$B$4,MASTER_Table!B:B,"East"))/((SUMIFS(MASTER_Table!C:C,MASTER_Table!A:A,$D$4,MASTER_Table!B:B,"East")-SUMIFS(MASTER_Table!C:C,MASTER_Table!A:A,$B$4,MASTER_Table!B:B,"East"))/SUMIFS(MASTER_Table!C:C,MASTER_Table!A:A,$B$4,MASTER_Table!B:B,"East")))</f>
        <v>#DIV/0!</v>
      </c>
      <c r="F23" t="e">
        <f>IF(OR(SUMIFS(MASTER_Table!C:C,MASTER_Table!A:A,$B$4,MASTER_Table!B:B,"South")=0,SUMIFS(MASTER_Table!M:M,MASTER_Table!A:A,$B$4,MASTER_Table!B:B,"South")=0,(SUMIFS(MASTER_Table!C:C,MASTER_Table!A:A,$D$4,MASTER_Table!B:B,"South")-SUMIFS(MASTER_Table!C:C,MASTER_Table!A:A,$B$4,MASTER_Table!B:B,"South"))=0),"-",((SUMIFS(MASTER_Table!M:M,MASTER_Table!A:A,$D$4,MASTER_Table!B:B,"South")-SUMIFS(MASTER_Table!M:M,MASTER_Table!A:A,$B$4,MASTER_Table!B:B,"South"))/SUMIFS(MASTER_Table!M:M,MASTER_Table!A:A,$B$4,MASTER_Table!B:B,"South"))/((SUMIFS(MASTER_Table!C:C,MASTER_Table!A:A,$D$4,MASTER_Table!B:B,"South")-SUMIFS(MASTER_Table!C:C,MASTER_Table!A:A,$B$4,MASTER_Table!B:B,"South"))/SUMIFS(MASTER_Table!C:C,MASTER_Table!A:A,$B$4,MASTER_Table!B:B,"South")))</f>
        <v>#DIV/0!</v>
      </c>
      <c r="G23" t="s">
        <v>83</v>
      </c>
    </row>
    <row r="26" spans="1:7" ht="15.6" x14ac:dyDescent="0.3">
      <c r="A26" s="8" t="s">
        <v>84</v>
      </c>
    </row>
    <row r="28" spans="1:7" ht="28.2" x14ac:dyDescent="0.3">
      <c r="A28" s="2" t="s">
        <v>3</v>
      </c>
      <c r="B28" s="2" t="s">
        <v>85</v>
      </c>
      <c r="C28" s="2" t="s">
        <v>86</v>
      </c>
      <c r="D28" s="2" t="s">
        <v>87</v>
      </c>
      <c r="E28" s="2" t="s">
        <v>88</v>
      </c>
    </row>
    <row r="29" spans="1:7" x14ac:dyDescent="0.3">
      <c r="A29" s="4" t="s">
        <v>12</v>
      </c>
      <c r="B29" s="6" t="str">
        <f>IF(SUMIFS(MASTER_Table!P:P,MASTER_Table!A:A,$D$4,MASTER_Table!B:B,$A29)&gt;Decision_Panel!$B$12,"?? ROJO: Lost Sales&gt;"&amp;TEXT(SUMIFS(MASTER_Table!P:P,MASTER_Table!A:A,$D$4,MASTER_Table!B:B,$A29),"0.0%"),IF(SUMIFS(MASTER_Table!P:P,MASTER_Table!A:A,$D$4,MASTER_Table!B:B,$A29)&gt;0,"?? AMARILLO","?? OK"))</f>
        <v>?? ROJO: Lost Sales&gt;3.6%</v>
      </c>
      <c r="C29" s="6" t="str">
        <f>IF(SUMIFS(MASTER_Table!W:W,MASTER_Table!A:A,$D$4,MASTER_Table!B:B,$A29)&gt;Decision_Panel!$B$11,"?? ROJO: S&amp;A&gt;"&amp;TEXT(SUMIFS(MASTER_Table!W:W,MASTER_Table!A:A,$D$4,MASTER_Table!B:B,$A29),"0.0%"),IF(SUMIFS(MASTER_Table!W:W,MASTER_Table!A:A,$D$4,MASTER_Table!B:B,$A29)&gt;Decision_Panel!$B$11*0.9,"?? AMARILLO","?? OK"))</f>
        <v>?? ROJO: S&amp;A&gt;45.6%</v>
      </c>
      <c r="D29" s="6" t="str">
        <f>IF(SUMIFS(INPUT_Inventory!K:K,INPUT_Inventory!A:A,$D$4,INPUT_Inventory!B:B,$A29)&gt;0,"?? ROJO: Salespeople Quit","?? OK")</f>
        <v>?? ROJO: Salespeople Quit</v>
      </c>
      <c r="E29" s="6" t="str">
        <f>IF(OR(LEFT(B29,1)="??",LEFT(C29,1)="??",LEFT(D29,1)="??"),"? NO AUMENTAR ADS/SELLERS",IF(OR(LEFT(B29,1)="??",LEFT(C29,1)="??"),"?? PRECAUCION","? PUEDE CRECER"))</f>
        <v>? PUEDE CRECER</v>
      </c>
    </row>
    <row r="30" spans="1:7" x14ac:dyDescent="0.3">
      <c r="A30" s="4" t="s">
        <v>20</v>
      </c>
      <c r="B30" s="6" t="str">
        <f>IF(SUMIFS(MASTER_Table!P:P,MASTER_Table!A:A,$D$4,MASTER_Table!B:B,$A30)&gt;Decision_Panel!$B$12,"?? ROJO: Lost Sales&gt;"&amp;TEXT(SUMIFS(MASTER_Table!P:P,MASTER_Table!A:A,$D$4,MASTER_Table!B:B,$A30),"0.0%"),IF(SUMIFS(MASTER_Table!P:P,MASTER_Table!A:A,$D$4,MASTER_Table!B:B,$A30)&gt;0,"?? AMARILLO","?? OK"))</f>
        <v>?? OK</v>
      </c>
      <c r="C30" s="6" t="str">
        <f>IF(SUMIFS(MASTER_Table!W:W,MASTER_Table!A:A,$D$4,MASTER_Table!B:B,$A30)&gt;Decision_Panel!$B$11,"?? ROJO: S&amp;A&gt;"&amp;TEXT(SUMIFS(MASTER_Table!W:W,MASTER_Table!A:A,$D$4,MASTER_Table!B:B,$A30),"0.0%"),IF(SUMIFS(MASTER_Table!W:W,MASTER_Table!A:A,$D$4,MASTER_Table!B:B,$A30)&gt;Decision_Panel!$B$11*0.9,"?? AMARILLO","?? OK"))</f>
        <v>?? ROJO: S&amp;A&gt;85.9%</v>
      </c>
      <c r="D30" s="6" t="str">
        <f>IF(SUMIFS(INPUT_Inventory!K:K,INPUT_Inventory!A:A,$D$4,INPUT_Inventory!B:B,$A30)&gt;0,"?? ROJO: Salespeople Quit","?? OK")</f>
        <v>?? OK</v>
      </c>
      <c r="E30" s="6" t="str">
        <f>IF(OR(LEFT(B30,1)="??",LEFT(C30,1)="??",LEFT(D30,1)="??"),"? NO AUMENTAR ADS/SELLERS",IF(OR(LEFT(B30,1)="??",LEFT(C30,1)="??"),"?? PRECAUCION","? PUEDE CRECER"))</f>
        <v>? PUEDE CRECER</v>
      </c>
    </row>
    <row r="31" spans="1:7" x14ac:dyDescent="0.3">
      <c r="A31" t="s">
        <v>109</v>
      </c>
      <c r="B31" t="str">
        <f>IF(SUMIFS(MASTER_Table!P:P,MASTER_Table!A:A,$D$4,MASTER_Table!B:B,$A31)&gt;Decision_Panel!$B$12,"?? ROJO: Lost Sales&gt;"&amp;TEXT(SUMIFS(MASTER_Table!P:P,MASTER_Table!A:A,$D$4,MASTER_Table!B:B,$A31),"0.0%"),IF(SUMIFS(MASTER_Table!P:P,MASTER_Table!A:A,$D$4,MASTER_Table!B:B,$A31)&gt;0,"?? AMARILLO","?? OK"))</f>
        <v>?? OK</v>
      </c>
      <c r="C31" t="str">
        <f>IF(SUMIFS(MASTER_Table!W:W,MASTER_Table!A:A,$D$4,MASTER_Table!B:B,$A31)&gt;Decision_Panel!$B$11,"?? ROJO: S&amp;A&gt;"&amp;TEXT(SUMIFS(MASTER_Table!W:W,MASTER_Table!A:A,$D$4,MASTER_Table!B:B,$A31),"0.0%"),IF(SUMIFS(MASTER_Table!W:W,MASTER_Table!A:A,$D$4,MASTER_Table!B:B,$A31)&gt;Decision_Panel!$B$11*0.9,"?? AMARILLO","?? OK"))</f>
        <v>?? OK</v>
      </c>
      <c r="D31" t="str">
        <f>IF(SUMIFS(INPUT_Inventory!K:K,INPUT_Inventory!A:A,$D$4,INPUT_Inventory!B:B,$A31)&gt;0,"?? ROJO: Salespeople Quit","?? OK")</f>
        <v>?? OK</v>
      </c>
      <c r="E31" t="str">
        <f>IF(OR(LEFT(B31,1)="??",LEFT(C31,1)="??",LEFT(D31,1)="??"),"? NO AUMENTAR ADS/SELLERS",IF(OR(LEFT(B31,1)="??",LEFT(C31,1)="??"),"?? PRECAUCION","? PUEDE CRECER"))</f>
        <v>? PUEDE CRECER</v>
      </c>
    </row>
    <row r="32" spans="1:7" x14ac:dyDescent="0.3">
      <c r="A32" t="s">
        <v>110</v>
      </c>
      <c r="B32" t="str">
        <f>IF(SUMIFS(MASTER_Table!P:P,MASTER_Table!A:A,$D$4,MASTER_Table!B:B,$A32)&gt;Decision_Panel!$B$12,"?? ROJO: Lost Sales&gt;"&amp;TEXT(SUMIFS(MASTER_Table!P:P,MASTER_Table!A:A,$D$4,MASTER_Table!B:B,$A32),"0.0%"),IF(SUMIFS(MASTER_Table!P:P,MASTER_Table!A:A,$D$4,MASTER_Table!B:B,$A32)&gt;0,"?? AMARILLO","?? OK"))</f>
        <v>?? OK</v>
      </c>
      <c r="C32" t="str">
        <f>IF(SUMIFS(MASTER_Table!W:W,MASTER_Table!A:A,$D$4,MASTER_Table!B:B,$A32)&gt;Decision_Panel!$B$11,"?? ROJO: S&amp;A&gt;"&amp;TEXT(SUMIFS(MASTER_Table!W:W,MASTER_Table!A:A,$D$4,MASTER_Table!B:B,$A32),"0.0%"),IF(SUMIFS(MASTER_Table!W:W,MASTER_Table!A:A,$D$4,MASTER_Table!B:B,$A32)&gt;Decision_Panel!$B$11*0.9,"?? AMARILLO","?? OK"))</f>
        <v>?? OK</v>
      </c>
      <c r="D32" t="str">
        <f>IF(SUMIFS(INPUT_Inventory!K:K,INPUT_Inventory!A:A,$D$4,INPUT_Inventory!B:B,$A32)&gt;0,"?? ROJO: Salespeople Quit","?? OK")</f>
        <v>?? OK</v>
      </c>
      <c r="E32" t="str">
        <f>IF(OR(LEFT(B32,1)="??",LEFT(C32,1)="??",LEFT(D32,1)="??"),"? NO AUMENTAR ADS/SELLERS",IF(OR(LEFT(B32,1)="??",LEFT(C32,1)="??"),"?? PRECAUCION","? PUEDE CRECER"))</f>
        <v>? PUEDE CRECER</v>
      </c>
    </row>
    <row r="33" spans="1:5" x14ac:dyDescent="0.3">
      <c r="A33" t="s">
        <v>111</v>
      </c>
      <c r="B33" t="str">
        <f>IF(SUMIFS(MASTER_Table!P:P,MASTER_Table!A:A,$D$4,MASTER_Table!B:B,$A33)&gt;Decision_Panel!$B$12,"?? ROJO: Lost Sales&gt;"&amp;TEXT(SUMIFS(MASTER_Table!P:P,MASTER_Table!A:A,$D$4,MASTER_Table!B:B,$A33),"0.0%"),IF(SUMIFS(MASTER_Table!P:P,MASTER_Table!A:A,$D$4,MASTER_Table!B:B,$A33)&gt;0,"?? AMARILLO","?? OK"))</f>
        <v>?? OK</v>
      </c>
      <c r="C33" t="str">
        <f>IF(SUMIFS(MASTER_Table!W:W,MASTER_Table!A:A,$D$4,MASTER_Table!B:B,$A33)&gt;Decision_Panel!$B$11,"?? ROJO: S&amp;A&gt;"&amp;TEXT(SUMIFS(MASTER_Table!W:W,MASTER_Table!A:A,$D$4,MASTER_Table!B:B,$A33),"0.0%"),IF(SUMIFS(MASTER_Table!W:W,MASTER_Table!A:A,$D$4,MASTER_Table!B:B,$A33)&gt;Decision_Panel!$B$11*0.9,"?? AMARILLO","?? OK"))</f>
        <v>?? OK</v>
      </c>
      <c r="D33" t="str">
        <f>IF(SUMIFS(INPUT_Inventory!K:K,INPUT_Inventory!A:A,$D$4,INPUT_Inventory!B:B,$A33)&gt;0,"?? ROJO: Salespeople Quit","?? OK")</f>
        <v>?? OK</v>
      </c>
      <c r="E33" t="str">
        <f>IF(OR(LEFT(B33,1)="??",LEFT(C33,1)="??",LEFT(D33,1)="??"),"? NO AUMENTAR ADS/SELLERS",IF(OR(LEFT(B33,1)="??",LEFT(C33,1)="??"),"?? PRECAUCION","? PUEDE CRECER"))</f>
        <v>? PUEDE CRECER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3"/>
  <sheetViews>
    <sheetView zoomScaleNormal="100" workbookViewId="0"/>
  </sheetViews>
  <sheetFormatPr baseColWidth="10" defaultColWidth="8.6640625" defaultRowHeight="14.4" x14ac:dyDescent="0.3"/>
  <cols>
    <col min="1" max="1" width="18" customWidth="1"/>
    <col min="2" max="2" width="14" customWidth="1"/>
    <col min="3" max="3" width="12" customWidth="1"/>
    <col min="4" max="6" width="14" customWidth="1"/>
    <col min="7" max="7" width="16" customWidth="1"/>
    <col min="8" max="8" width="18" customWidth="1"/>
    <col min="9" max="9" width="14" customWidth="1"/>
    <col min="10" max="10" width="12" customWidth="1"/>
  </cols>
  <sheetData>
    <row r="1" spans="1:22" ht="17.399999999999999" x14ac:dyDescent="0.3">
      <c r="A1" s="14" t="s">
        <v>89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3" spans="1:22" x14ac:dyDescent="0.3">
      <c r="A3" s="1" t="s">
        <v>90</v>
      </c>
    </row>
    <row r="5" spans="1:22" ht="15.6" x14ac:dyDescent="0.3">
      <c r="A5" s="9" t="s">
        <v>91</v>
      </c>
      <c r="O5" t="s">
        <v>224</v>
      </c>
      <c r="S5" t="s">
        <v>229</v>
      </c>
    </row>
    <row r="6" spans="1:22" x14ac:dyDescent="0.3">
      <c r="A6" t="s">
        <v>92</v>
      </c>
      <c r="B6" s="10">
        <v>8</v>
      </c>
      <c r="O6" t="s">
        <v>225</v>
      </c>
      <c r="P6" t="s">
        <v>26</v>
      </c>
      <c r="Q6" t="s">
        <v>226</v>
      </c>
      <c r="S6" t="s">
        <v>230</v>
      </c>
      <c r="T6" t="s">
        <v>231</v>
      </c>
      <c r="U6" t="s">
        <v>232</v>
      </c>
      <c r="V6" t="s">
        <v>233</v>
      </c>
    </row>
    <row r="7" spans="1:22" x14ac:dyDescent="0.3">
      <c r="A7" t="s">
        <v>93</v>
      </c>
      <c r="B7" s="10">
        <v>3000</v>
      </c>
      <c r="O7" t="s">
        <v>33</v>
      </c>
      <c r="P7">
        <v>0</v>
      </c>
      <c r="Q7" t="s">
        <v>214</v>
      </c>
      <c r="S7" t="s">
        <v>234</v>
      </c>
      <c r="T7">
        <v>0</v>
      </c>
      <c r="U7">
        <v>0</v>
      </c>
      <c r="V7">
        <v>0</v>
      </c>
    </row>
    <row r="8" spans="1:22" x14ac:dyDescent="0.3">
      <c r="A8" t="s">
        <v>94</v>
      </c>
      <c r="B8" s="10">
        <v>300</v>
      </c>
      <c r="O8" t="s">
        <v>213</v>
      </c>
      <c r="P8">
        <v>0</v>
      </c>
      <c r="Q8" t="s">
        <v>214</v>
      </c>
      <c r="S8" t="s">
        <v>235</v>
      </c>
      <c r="T8">
        <v>0</v>
      </c>
      <c r="U8">
        <v>0</v>
      </c>
      <c r="V8">
        <v>0</v>
      </c>
    </row>
    <row r="9" spans="1:22" x14ac:dyDescent="0.3">
      <c r="A9" t="s">
        <v>95</v>
      </c>
      <c r="B9" s="10">
        <v>1000</v>
      </c>
      <c r="O9" t="s">
        <v>227</v>
      </c>
      <c r="P9">
        <v>0</v>
      </c>
      <c r="Q9" t="s">
        <v>214</v>
      </c>
      <c r="S9" t="s">
        <v>236</v>
      </c>
      <c r="T9">
        <v>0</v>
      </c>
      <c r="U9">
        <v>0</v>
      </c>
      <c r="V9">
        <v>0</v>
      </c>
    </row>
    <row r="10" spans="1:22" x14ac:dyDescent="0.3">
      <c r="A10" t="s">
        <v>96</v>
      </c>
      <c r="B10" s="10">
        <v>750</v>
      </c>
      <c r="O10" t="s">
        <v>228</v>
      </c>
      <c r="P10">
        <v>0</v>
      </c>
      <c r="Q10" t="s">
        <v>214</v>
      </c>
      <c r="S10" t="s">
        <v>237</v>
      </c>
      <c r="T10">
        <v>0</v>
      </c>
      <c r="U10">
        <v>0</v>
      </c>
      <c r="V10">
        <v>0</v>
      </c>
    </row>
    <row r="11" spans="1:22" x14ac:dyDescent="0.3">
      <c r="A11" t="s">
        <v>97</v>
      </c>
      <c r="B11" s="10">
        <v>0.3</v>
      </c>
    </row>
    <row r="12" spans="1:22" x14ac:dyDescent="0.3">
      <c r="A12" t="s">
        <v>98</v>
      </c>
      <c r="B12" s="10">
        <v>0.03</v>
      </c>
    </row>
    <row r="13" spans="1:22" x14ac:dyDescent="0.3">
      <c r="A13" t="s">
        <v>208</v>
      </c>
      <c r="B13">
        <v>35</v>
      </c>
    </row>
    <row r="14" spans="1:22" x14ac:dyDescent="0.3">
      <c r="A14" t="s">
        <v>209</v>
      </c>
      <c r="B14">
        <v>85</v>
      </c>
    </row>
    <row r="15" spans="1:22" ht="15.6" x14ac:dyDescent="0.3">
      <c r="A15" s="9" t="s">
        <v>99</v>
      </c>
    </row>
    <row r="17" spans="1:13" ht="28.2" x14ac:dyDescent="0.3">
      <c r="A17" s="2" t="s">
        <v>3</v>
      </c>
      <c r="B17" s="2" t="s">
        <v>100</v>
      </c>
      <c r="C17" s="2" t="s">
        <v>210</v>
      </c>
      <c r="D17" s="2" t="s">
        <v>101</v>
      </c>
      <c r="E17" s="2" t="s">
        <v>102</v>
      </c>
      <c r="F17" s="2" t="s">
        <v>103</v>
      </c>
      <c r="G17" s="2" t="s">
        <v>104</v>
      </c>
      <c r="H17" s="2" t="s">
        <v>105</v>
      </c>
      <c r="I17" s="2" t="s">
        <v>106</v>
      </c>
      <c r="J17" s="2" t="s">
        <v>107</v>
      </c>
      <c r="K17" t="s">
        <v>211</v>
      </c>
      <c r="L17" t="s">
        <v>26</v>
      </c>
      <c r="M17" t="s">
        <v>212</v>
      </c>
    </row>
    <row r="18" spans="1:13" x14ac:dyDescent="0.3">
      <c r="A18" s="4" t="s">
        <v>12</v>
      </c>
      <c r="B18" s="11">
        <v>70</v>
      </c>
      <c r="C18" s="11">
        <f>IF($G18=0,0,$G18/SUM($G$18:$G$22))</f>
        <v>0.32</v>
      </c>
      <c r="D18" s="11">
        <v>102</v>
      </c>
      <c r="E18" s="11">
        <v>85</v>
      </c>
      <c r="F18" s="11">
        <v>17</v>
      </c>
      <c r="G18" s="11">
        <v>5600</v>
      </c>
      <c r="H18" s="3" t="s">
        <v>108</v>
      </c>
      <c r="I18" s="3" t="s">
        <v>108</v>
      </c>
      <c r="J18" s="3" t="s">
        <v>108</v>
      </c>
      <c r="K18" t="s">
        <v>213</v>
      </c>
      <c r="L18">
        <f>IFERROR(VLOOKUP($K18,$O$7:$P$10,2,FALSE),0)</f>
        <v>0</v>
      </c>
      <c r="M18" t="s">
        <v>214</v>
      </c>
    </row>
    <row r="19" spans="1:13" x14ac:dyDescent="0.3">
      <c r="A19" s="4" t="s">
        <v>20</v>
      </c>
      <c r="B19" s="11">
        <v>70</v>
      </c>
      <c r="C19" s="11">
        <f>IF($G19=0,0,$G19/SUM($G$18:$G$22))</f>
        <v>0.25714285714285712</v>
      </c>
      <c r="D19" s="11">
        <v>90</v>
      </c>
      <c r="E19" s="11">
        <v>85</v>
      </c>
      <c r="F19" s="11">
        <v>8</v>
      </c>
      <c r="G19" s="11">
        <v>4500</v>
      </c>
      <c r="H19" s="3" t="s">
        <v>108</v>
      </c>
      <c r="I19" s="3" t="s">
        <v>108</v>
      </c>
      <c r="J19" s="3" t="s">
        <v>108</v>
      </c>
      <c r="K19" t="s">
        <v>213</v>
      </c>
      <c r="L19">
        <f>IFERROR(VLOOKUP($K19,$O$7:$P$10,2,FALSE),0)</f>
        <v>0</v>
      </c>
      <c r="M19" t="s">
        <v>214</v>
      </c>
    </row>
    <row r="20" spans="1:13" x14ac:dyDescent="0.3">
      <c r="A20" s="4" t="s">
        <v>109</v>
      </c>
      <c r="B20" s="11">
        <v>93</v>
      </c>
      <c r="C20" s="11">
        <f>IF($G20=0,0,$G20/SUM($G$18:$G$22))</f>
        <v>0.25142857142857145</v>
      </c>
      <c r="D20" s="11">
        <v>90</v>
      </c>
      <c r="E20" s="11">
        <v>85</v>
      </c>
      <c r="F20" s="11">
        <v>15</v>
      </c>
      <c r="G20" s="11">
        <v>4400</v>
      </c>
      <c r="H20" s="3" t="s">
        <v>108</v>
      </c>
      <c r="I20" s="3" t="s">
        <v>108</v>
      </c>
      <c r="J20" s="3" t="s">
        <v>108</v>
      </c>
      <c r="K20" t="s">
        <v>213</v>
      </c>
      <c r="L20">
        <f>IFERROR(VLOOKUP($K20,$O$7:$P$10,2,FALSE),0)</f>
        <v>0</v>
      </c>
      <c r="M20" t="s">
        <v>214</v>
      </c>
    </row>
    <row r="21" spans="1:13" x14ac:dyDescent="0.3">
      <c r="A21" s="4" t="s">
        <v>110</v>
      </c>
      <c r="B21" s="11">
        <v>89</v>
      </c>
      <c r="C21" s="11">
        <f>IF($G21=0,0,$G21/SUM($G$18:$G$22))</f>
        <v>8.5714285714285715E-2</v>
      </c>
      <c r="D21" s="11">
        <v>40</v>
      </c>
      <c r="E21" s="11">
        <v>85</v>
      </c>
      <c r="F21" s="11">
        <v>5</v>
      </c>
      <c r="G21" s="11">
        <v>1500</v>
      </c>
      <c r="H21" s="3" t="s">
        <v>108</v>
      </c>
      <c r="I21" s="3" t="s">
        <v>108</v>
      </c>
      <c r="J21" s="3" t="s">
        <v>108</v>
      </c>
      <c r="K21" t="s">
        <v>213</v>
      </c>
      <c r="L21">
        <f>IFERROR(VLOOKUP($K21,$O$7:$P$10,2,FALSE),0)</f>
        <v>0</v>
      </c>
      <c r="M21" t="s">
        <v>214</v>
      </c>
    </row>
    <row r="22" spans="1:13" x14ac:dyDescent="0.3">
      <c r="A22" s="4" t="s">
        <v>111</v>
      </c>
      <c r="B22" s="11">
        <v>89</v>
      </c>
      <c r="C22" s="11">
        <f>IF($G22=0,0,$G22/SUM($G$18:$G$22))</f>
        <v>8.5714285714285715E-2</v>
      </c>
      <c r="D22" s="11">
        <v>40</v>
      </c>
      <c r="E22" s="11">
        <v>85</v>
      </c>
      <c r="F22" s="11">
        <v>5</v>
      </c>
      <c r="G22" s="11">
        <v>1500</v>
      </c>
      <c r="H22" s="3" t="s">
        <v>108</v>
      </c>
      <c r="I22" s="3" t="s">
        <v>108</v>
      </c>
      <c r="J22" s="3" t="s">
        <v>108</v>
      </c>
      <c r="K22" t="s">
        <v>213</v>
      </c>
      <c r="L22">
        <f>IFERROR(VLOOKUP($K22,$O$7:$P$10,2,FALSE),0)</f>
        <v>0</v>
      </c>
      <c r="M22" t="s">
        <v>214</v>
      </c>
    </row>
    <row r="25" spans="1:13" ht="15.6" x14ac:dyDescent="0.3">
      <c r="A25" s="9" t="s">
        <v>112</v>
      </c>
    </row>
    <row r="27" spans="1:13" ht="28.2" x14ac:dyDescent="0.3">
      <c r="A27" s="2" t="s">
        <v>3</v>
      </c>
      <c r="B27" s="2" t="s">
        <v>113</v>
      </c>
      <c r="C27" s="2" t="s">
        <v>114</v>
      </c>
      <c r="D27" s="2" t="s">
        <v>58</v>
      </c>
      <c r="E27" s="2" t="s">
        <v>60</v>
      </c>
      <c r="F27" s="2" t="s">
        <v>115</v>
      </c>
      <c r="G27" s="2" t="s">
        <v>215</v>
      </c>
      <c r="H27" s="2" t="s">
        <v>216</v>
      </c>
      <c r="I27" s="2" t="s">
        <v>116</v>
      </c>
      <c r="J27" t="s">
        <v>217</v>
      </c>
      <c r="K27" t="s">
        <v>26</v>
      </c>
      <c r="L27" t="s">
        <v>218</v>
      </c>
      <c r="M27" t="s">
        <v>219</v>
      </c>
    </row>
    <row r="28" spans="1:13" x14ac:dyDescent="0.3">
      <c r="A28" s="4" t="s">
        <v>12</v>
      </c>
      <c r="B28" s="6">
        <f>C18*$B$13*$B$7</f>
        <v>33600</v>
      </c>
      <c r="C28" s="6">
        <f>D18*$B$8</f>
        <v>30600</v>
      </c>
      <c r="D28" s="6">
        <f>B28+C28</f>
        <v>64200</v>
      </c>
      <c r="E28" s="6">
        <f>F18*$B$10 + MAX(0,F18 - MAX(0, SUMIFS(MASTER_Table!T:T,MASTER_Table!A:A,$B$6-1,MASTER_Table!B:B,A28) - SUMIFS(INPUT_Inventory!K:K,INPUT_Inventory!A:A,$B$6-1,INPUT_Inventory!B:B,A28)))*$B$9</f>
        <v>13750</v>
      </c>
      <c r="F28" s="6">
        <f>D28+E28+J28</f>
        <v>77950</v>
      </c>
      <c r="G28" s="5">
        <f>IF(COUNTIFS(MASTER_Table!A:A,$B$6-1,MASTER_Table!B:B,A28)=0,"N/A",F28-(SUMIFS(MASTER_Table!S:S,MASTER_Table!A:A,$B$6-1,MASTER_Table!B:B,A28)+SUMIFS(MASTER_Table!U:U,MASTER_Table!A:A,$B$6-1,MASTER_Table!B:B,A28)))</f>
        <v>-6800</v>
      </c>
      <c r="H28" s="6">
        <f>G18*B18*0.87</f>
        <v>341040</v>
      </c>
      <c r="I28" s="6">
        <f t="shared" ref="I28:I33" si="0">IF(M28=0,0,(F28+30000)/M28)</f>
        <v>0.31653178512784425</v>
      </c>
      <c r="J28">
        <f>(IFERROR(VLOOKUP(H18,$S$7:$U$10,2,FALSE),0)+IFERROR(VLOOKUP(I18,$S$7:$U$10,2,FALSE),0)+IFERROR(VLOOKUP(J18,$S$7:$U$10,2,FALSE),0))/3 + G18*(IFERROR(VLOOKUP(H18,$S$7:$U$10,3,FALSE),0)+IFERROR(VLOOKUP(I18,$S$7:$U$10,3,FALSE),0)+IFERROR(VLOOKUP(J18,$S$7:$U$10,3,FALSE),0))</f>
        <v>0</v>
      </c>
      <c r="K28">
        <f>L18</f>
        <v>0</v>
      </c>
      <c r="L28">
        <f>H28*K28</f>
        <v>0</v>
      </c>
      <c r="M28">
        <f>H28-L28</f>
        <v>341040</v>
      </c>
    </row>
    <row r="29" spans="1:13" x14ac:dyDescent="0.3">
      <c r="A29" s="4" t="s">
        <v>20</v>
      </c>
      <c r="B29" s="6">
        <f>C19*$B$13*$B$7</f>
        <v>27000</v>
      </c>
      <c r="C29" s="6">
        <f>D19*$B$8</f>
        <v>27000</v>
      </c>
      <c r="D29" s="6">
        <f>B29+C29</f>
        <v>54000</v>
      </c>
      <c r="E29" s="6">
        <f>F19*$B$10 + MAX(0,F19 - MAX(0, SUMIFS(MASTER_Table!T:T,MASTER_Table!A:A,$B$6-1,MASTER_Table!B:B,A29) - SUMIFS(INPUT_Inventory!K:K,INPUT_Inventory!A:A,$B$6-1,INPUT_Inventory!B:B,A29)))*$B$9</f>
        <v>6000</v>
      </c>
      <c r="F29" s="6">
        <f>D29+E29+J29</f>
        <v>60000</v>
      </c>
      <c r="G29" s="5">
        <f>IF(COUNTIFS(MASTER_Table!A:A,$B$6-1,MASTER_Table!B:B,A29)=0,"N/A",F29-(SUMIFS(MASTER_Table!S:S,MASTER_Table!A:A,$B$6-1,MASTER_Table!B:B,A29)+SUMIFS(MASTER_Table!U:U,MASTER_Table!A:A,$B$6-1,MASTER_Table!B:B,A29)))</f>
        <v>-18000</v>
      </c>
      <c r="H29" s="6">
        <f>G19*B19*0.87</f>
        <v>274050</v>
      </c>
      <c r="I29" s="6">
        <f t="shared" si="0"/>
        <v>0.32840722495894908</v>
      </c>
      <c r="J29">
        <f>(IFERROR(VLOOKUP(H19,$S$7:$U$10,2,FALSE),0)+IFERROR(VLOOKUP(I19,$S$7:$U$10,2,FALSE),0)+IFERROR(VLOOKUP(J19,$S$7:$U$10,2,FALSE),0))/3 + G19*(IFERROR(VLOOKUP(H19,$S$7:$U$10,3,FALSE),0)+IFERROR(VLOOKUP(I19,$S$7:$U$10,3,FALSE),0)+IFERROR(VLOOKUP(J19,$S$7:$U$10,3,FALSE),0))</f>
        <v>0</v>
      </c>
      <c r="K29">
        <f>L19</f>
        <v>0</v>
      </c>
      <c r="L29">
        <f>H29*K29</f>
        <v>0</v>
      </c>
      <c r="M29">
        <f>H29-L29</f>
        <v>274050</v>
      </c>
    </row>
    <row r="30" spans="1:13" x14ac:dyDescent="0.3">
      <c r="A30" s="4" t="s">
        <v>109</v>
      </c>
      <c r="B30" s="6">
        <f>C20*$B$13*$B$7</f>
        <v>26400.000000000004</v>
      </c>
      <c r="C30" s="6">
        <f>D20*$B$8</f>
        <v>27000</v>
      </c>
      <c r="D30" s="6">
        <f>B30+C30</f>
        <v>53400</v>
      </c>
      <c r="E30" s="6">
        <f>F20*$B$10 + MAX(0,F20 - MAX(0, SUMIFS(MASTER_Table!T:T,MASTER_Table!A:A,$B$6-1,MASTER_Table!B:B,A30) - SUMIFS(INPUT_Inventory!K:K,INPUT_Inventory!A:A,$B$6-1,INPUT_Inventory!B:B,A30)))*$B$9</f>
        <v>26250</v>
      </c>
      <c r="F30" s="6">
        <f>D30+E30+J30</f>
        <v>79650</v>
      </c>
      <c r="G30" s="4">
        <f>IF(COUNTIFS(MASTER_Table!A:A,$B$6-1,MASTER_Table!B:B,A30)=0,"N/A",F30-(SUMIFS(MASTER_Table!S:S,MASTER_Table!A:A,$B$6-1,MASTER_Table!B:B,A30)+SUMIFS(MASTER_Table!U:U,MASTER_Table!A:A,$B$6-1,MASTER_Table!B:B,A30)))</f>
        <v>79650</v>
      </c>
      <c r="H30" s="6">
        <f>G20*B20*0.87</f>
        <v>356004</v>
      </c>
      <c r="I30" s="6">
        <f t="shared" si="0"/>
        <v>0.30800215727913172</v>
      </c>
      <c r="J30">
        <f>(IFERROR(VLOOKUP(H20,$S$7:$U$10,2,FALSE),0)+IFERROR(VLOOKUP(I20,$S$7:$U$10,2,FALSE),0)+IFERROR(VLOOKUP(J20,$S$7:$U$10,2,FALSE),0))/3 + G20*(IFERROR(VLOOKUP(H20,$S$7:$U$10,3,FALSE),0)+IFERROR(VLOOKUP(I20,$S$7:$U$10,3,FALSE),0)+IFERROR(VLOOKUP(J20,$S$7:$U$10,3,FALSE),0))</f>
        <v>0</v>
      </c>
      <c r="K30">
        <f>L20</f>
        <v>0</v>
      </c>
      <c r="L30">
        <f>H30*K30</f>
        <v>0</v>
      </c>
      <c r="M30">
        <f>H30-L30</f>
        <v>356004</v>
      </c>
    </row>
    <row r="31" spans="1:13" x14ac:dyDescent="0.3">
      <c r="A31" s="4" t="s">
        <v>110</v>
      </c>
      <c r="B31" s="6">
        <f>C21*$B$13*$B$7</f>
        <v>9000</v>
      </c>
      <c r="C31" s="6">
        <f>D21*$B$8</f>
        <v>12000</v>
      </c>
      <c r="D31" s="6">
        <f>B31+C31</f>
        <v>21000</v>
      </c>
      <c r="E31" s="6">
        <f>F21*$B$10 + MAX(0,F21 - MAX(0, SUMIFS(MASTER_Table!T:T,MASTER_Table!A:A,$B$6-1,MASTER_Table!B:B,A31) - SUMIFS(INPUT_Inventory!K:K,INPUT_Inventory!A:A,$B$6-1,INPUT_Inventory!B:B,A31)))*$B$9</f>
        <v>8750</v>
      </c>
      <c r="F31" s="6">
        <f>D31+E31+J31</f>
        <v>29750</v>
      </c>
      <c r="G31" s="4">
        <f>IF(COUNTIFS(MASTER_Table!A:A,$B$6-1,MASTER_Table!B:B,A31)=0,"N/A",F31-(SUMIFS(MASTER_Table!S:S,MASTER_Table!A:A,$B$6-1,MASTER_Table!B:B,A31)+SUMIFS(MASTER_Table!U:U,MASTER_Table!A:A,$B$6-1,MASTER_Table!B:B,A31)))</f>
        <v>29750</v>
      </c>
      <c r="H31" s="6">
        <f>G21*B21*0.87</f>
        <v>116145</v>
      </c>
      <c r="I31" s="6">
        <f t="shared" si="0"/>
        <v>0.51444315295535747</v>
      </c>
      <c r="J31">
        <f>(IFERROR(VLOOKUP(H21,$S$7:$U$10,2,FALSE),0)+IFERROR(VLOOKUP(I21,$S$7:$U$10,2,FALSE),0)+IFERROR(VLOOKUP(J21,$S$7:$U$10,2,FALSE),0))/3 + G21*(IFERROR(VLOOKUP(H21,$S$7:$U$10,3,FALSE),0)+IFERROR(VLOOKUP(I21,$S$7:$U$10,3,FALSE),0)+IFERROR(VLOOKUP(J21,$S$7:$U$10,3,FALSE),0))</f>
        <v>0</v>
      </c>
      <c r="K31">
        <f>L21</f>
        <v>0</v>
      </c>
      <c r="L31">
        <f>H31*K31</f>
        <v>0</v>
      </c>
      <c r="M31">
        <f>H31-L31</f>
        <v>116145</v>
      </c>
    </row>
    <row r="32" spans="1:13" x14ac:dyDescent="0.3">
      <c r="A32" s="4" t="s">
        <v>111</v>
      </c>
      <c r="B32" s="6">
        <f>C22*$B$13*$B$7</f>
        <v>9000</v>
      </c>
      <c r="C32" s="6">
        <f>D22*$B$8</f>
        <v>12000</v>
      </c>
      <c r="D32" s="6">
        <f>B32+C32</f>
        <v>21000</v>
      </c>
      <c r="E32" s="6">
        <f>F22*$B$10 + MAX(0,F22 - MAX(0, SUMIFS(MASTER_Table!T:T,MASTER_Table!A:A,$B$6-1,MASTER_Table!B:B,A32) - SUMIFS(INPUT_Inventory!K:K,INPUT_Inventory!A:A,$B$6-1,INPUT_Inventory!B:B,A32)))*$B$9</f>
        <v>8750</v>
      </c>
      <c r="F32" s="6">
        <f>D32+E32+J32</f>
        <v>29750</v>
      </c>
      <c r="G32" s="4">
        <f>IF(COUNTIFS(MASTER_Table!A:A,$B$6-1,MASTER_Table!B:B,A32)=0,"N/A",F32-(SUMIFS(MASTER_Table!S:S,MASTER_Table!A:A,$B$6-1,MASTER_Table!B:B,A32)+SUMIFS(MASTER_Table!U:U,MASTER_Table!A:A,$B$6-1,MASTER_Table!B:B,A32)))</f>
        <v>29750</v>
      </c>
      <c r="H32" s="6">
        <f>G22*B22*0.87</f>
        <v>116145</v>
      </c>
      <c r="I32" s="6">
        <f t="shared" si="0"/>
        <v>0.51444315295535747</v>
      </c>
      <c r="J32">
        <f>(IFERROR(VLOOKUP(H22,$S$7:$U$10,2,FALSE),0)+IFERROR(VLOOKUP(I22,$S$7:$U$10,2,FALSE),0)+IFERROR(VLOOKUP(J22,$S$7:$U$10,2,FALSE),0))/3 + G22*(IFERROR(VLOOKUP(H22,$S$7:$U$10,3,FALSE),0)+IFERROR(VLOOKUP(I22,$S$7:$U$10,3,FALSE),0)+IFERROR(VLOOKUP(J22,$S$7:$U$10,3,FALSE),0))</f>
        <v>0</v>
      </c>
      <c r="K32">
        <f>L22</f>
        <v>0</v>
      </c>
      <c r="L32">
        <f>H32*K32</f>
        <v>0</v>
      </c>
      <c r="M32">
        <f>H32-L32</f>
        <v>116145</v>
      </c>
    </row>
    <row r="33" spans="1:13" x14ac:dyDescent="0.3">
      <c r="A33" s="12" t="s">
        <v>117</v>
      </c>
      <c r="B33" s="6">
        <f>SUM(B28:B32)</f>
        <v>105000</v>
      </c>
      <c r="C33" s="6">
        <f>SUM(C28:C32)</f>
        <v>108600</v>
      </c>
      <c r="D33" s="6">
        <f>SUM(D28:D32)</f>
        <v>213600</v>
      </c>
      <c r="E33" s="6">
        <f>SUM(E28:E32)</f>
        <v>63500</v>
      </c>
      <c r="F33" s="6">
        <f>SUM(F28:F32)</f>
        <v>277100</v>
      </c>
      <c r="G33" s="4"/>
      <c r="H33" s="4">
        <f>SUM(H28:H32)</f>
        <v>1203384</v>
      </c>
      <c r="I33" s="4">
        <f t="shared" si="0"/>
        <v>0.25519701109537768</v>
      </c>
      <c r="J33">
        <f>SUM(J28:J32)</f>
        <v>0</v>
      </c>
      <c r="L33">
        <f>SUM(L28:L32)</f>
        <v>0</v>
      </c>
      <c r="M33">
        <f>SUM(M28:M32)</f>
        <v>1203384</v>
      </c>
    </row>
    <row r="36" spans="1:13" ht="15.6" x14ac:dyDescent="0.3">
      <c r="A36" s="8" t="s">
        <v>118</v>
      </c>
    </row>
    <row r="38" spans="1:13" ht="28.2" x14ac:dyDescent="0.3">
      <c r="A38" s="2" t="s">
        <v>3</v>
      </c>
      <c r="B38" s="2" t="s">
        <v>220</v>
      </c>
      <c r="C38" s="2" t="s">
        <v>221</v>
      </c>
      <c r="D38" s="2" t="s">
        <v>222</v>
      </c>
      <c r="E38" s="2" t="s">
        <v>119</v>
      </c>
      <c r="F38" s="2" t="s">
        <v>120</v>
      </c>
      <c r="G38" t="s">
        <v>223</v>
      </c>
    </row>
    <row r="39" spans="1:13" x14ac:dyDescent="0.3">
      <c r="A39" s="4" t="s">
        <v>12</v>
      </c>
      <c r="B39" s="5">
        <f>IF(COUNTIFS(MASTER_Table!A:A,$B$6-1,MASTER_Table!B:B,A39)=0,"N/A",B18-SUMIFS(MASTER_Table!C:C,MASTER_Table!A:A,$B$6-1,MASTER_Table!B:B,A39))</f>
        <v>0</v>
      </c>
      <c r="C39" s="5">
        <f>IF(COUNTIFS(MASTER_Table!A:A,$B$6-1,MASTER_Table!B:B,A39)=0,"N/A",D28-SUMIFS(MASTER_Table!S:S,MASTER_Table!A:A,$B$6-1,MASTER_Table!B:B,A39))</f>
        <v>-7800</v>
      </c>
      <c r="D39" s="5">
        <f>IF(COUNTIFS(MASTER_Table!A:A,$B$6-1,MASTER_Table!B:B,A39)=0,"N/A",F18 - MAX(0, SUMIFS(MASTER_Table!T:T,MASTER_Table!A:A,$B$6-1,MASTER_Table!B:B,A39) - SUMIFS(INPUT_Inventory!K:K,INPUT_Inventory!A:A,$B$6-1,INPUT_Inventory!B:B,A39)))</f>
        <v>1</v>
      </c>
      <c r="E39" s="6" t="str">
        <f>IF(I28&gt;$B$11,"?? ALTO",IF(I28&gt;$B$11*0.9,"?? MEDIO","?? OK"))</f>
        <v>?? ALTO</v>
      </c>
      <c r="F39" s="6" t="str">
        <f>IF(E39="?? ALTO","Reducir gasto",IF(AND(B39&lt;&gt;0,B39&gt;5),"Revisar precio alto","OK"))</f>
        <v>Reducir gasto</v>
      </c>
      <c r="G39" t="str">
        <f>IF(OR(E18&lt;10,E18&gt;90),"?? FOCUS","OK")</f>
        <v>OK</v>
      </c>
    </row>
    <row r="40" spans="1:13" x14ac:dyDescent="0.3">
      <c r="A40" s="4" t="s">
        <v>20</v>
      </c>
      <c r="B40" s="5">
        <f>IF(COUNTIFS(MASTER_Table!A:A,$B$6-1,MASTER_Table!B:B,A40)=0,"N/A",B19-SUMIFS(MASTER_Table!C:C,MASTER_Table!A:A,$B$6-1,MASTER_Table!B:B,A40))</f>
        <v>0</v>
      </c>
      <c r="C40" s="5">
        <f>IF(COUNTIFS(MASTER_Table!A:A,$B$6-1,MASTER_Table!B:B,A40)=0,"N/A",D29-SUMIFS(MASTER_Table!S:S,MASTER_Table!A:A,$B$6-1,MASTER_Table!B:B,A40))</f>
        <v>-18000</v>
      </c>
      <c r="D40" s="5">
        <f>IF(COUNTIFS(MASTER_Table!A:A,$B$6-1,MASTER_Table!B:B,A40)=0,"N/A",F19 - MAX(0, SUMIFS(MASTER_Table!T:T,MASTER_Table!A:A,$B$6-1,MASTER_Table!B:B,A40) - SUMIFS(INPUT_Inventory!K:K,INPUT_Inventory!A:A,$B$6-1,INPUT_Inventory!B:B,A40)))</f>
        <v>0</v>
      </c>
      <c r="E40" s="6" t="str">
        <f>IF(I29&gt;$B$11,"?? ALTO",IF(I29&gt;$B$11*0.9,"?? MEDIO","?? OK"))</f>
        <v>?? ALTO</v>
      </c>
      <c r="F40" s="6" t="str">
        <f>IF(E40="?? ALTO","Reducir gasto",IF(AND(B40&lt;&gt;0,B40&gt;5),"Revisar precio alto","OK"))</f>
        <v>Reducir gasto</v>
      </c>
      <c r="G40" t="str">
        <f>IF(OR(E19&lt;10,E19&gt;90),"?? FOCUS","OK")</f>
        <v>OK</v>
      </c>
    </row>
    <row r="41" spans="1:13" x14ac:dyDescent="0.3">
      <c r="A41" s="4" t="s">
        <v>109</v>
      </c>
      <c r="B41" s="4" t="e">
        <f>IF(COUNTIFS(MASTER_Table!A:A,$B$6-1,MASTER_Table!B:B,A41)=0,"N/A",B20-SUMIFS(MASTER_Table!C:C,MASTER_Table!A:A,$B$6-1,MASTER_Table!B:B,A41))</f>
        <v>#DIV/0!</v>
      </c>
      <c r="C41" s="4">
        <f>IF(COUNTIFS(MASTER_Table!A:A,$B$6-1,MASTER_Table!B:B,A41)=0,"N/A",D30-SUMIFS(MASTER_Table!S:S,MASTER_Table!A:A,$B$6-1,MASTER_Table!B:B,A41))</f>
        <v>53400</v>
      </c>
      <c r="D41" s="4">
        <f>IF(COUNTIFS(MASTER_Table!A:A,$B$6-1,MASTER_Table!B:B,A41)=0,"N/A",F20 - MAX(0, SUMIFS(MASTER_Table!T:T,MASTER_Table!A:A,$B$6-1,MASTER_Table!B:B,A41) - SUMIFS(INPUT_Inventory!K:K,INPUT_Inventory!A:A,$B$6-1,INPUT_Inventory!B:B,A41)))</f>
        <v>15</v>
      </c>
      <c r="E41" s="6" t="str">
        <f>IF(I30&gt;$B$11,"?? ALTO",IF(I30&gt;$B$11*0.9,"?? MEDIO","?? OK"))</f>
        <v>?? ALTO</v>
      </c>
      <c r="F41" s="6" t="str">
        <f>IF(E41="?? ALTO","Reducir gasto",IF(AND(B41&lt;&gt;0,B41&gt;5),"Revisar precio alto","OK"))</f>
        <v>Reducir gasto</v>
      </c>
      <c r="G41" t="str">
        <f>IF(OR(E20&lt;10,E20&gt;90),"?? FOCUS","OK")</f>
        <v>OK</v>
      </c>
    </row>
    <row r="42" spans="1:13" x14ac:dyDescent="0.3">
      <c r="A42" s="4" t="s">
        <v>110</v>
      </c>
      <c r="B42" s="4" t="e">
        <f>IF(COUNTIFS(MASTER_Table!A:A,$B$6-1,MASTER_Table!B:B,A42)=0,"N/A",B21-SUMIFS(MASTER_Table!C:C,MASTER_Table!A:A,$B$6-1,MASTER_Table!B:B,A42))</f>
        <v>#DIV/0!</v>
      </c>
      <c r="C42" s="4">
        <f>IF(COUNTIFS(MASTER_Table!A:A,$B$6-1,MASTER_Table!B:B,A42)=0,"N/A",D31-SUMIFS(MASTER_Table!S:S,MASTER_Table!A:A,$B$6-1,MASTER_Table!B:B,A42))</f>
        <v>21000</v>
      </c>
      <c r="D42" s="4">
        <f>IF(COUNTIFS(MASTER_Table!A:A,$B$6-1,MASTER_Table!B:B,A42)=0,"N/A",F21 - MAX(0, SUMIFS(MASTER_Table!T:T,MASTER_Table!A:A,$B$6-1,MASTER_Table!B:B,A42) - SUMIFS(INPUT_Inventory!K:K,INPUT_Inventory!A:A,$B$6-1,INPUT_Inventory!B:B,A42)))</f>
        <v>5</v>
      </c>
      <c r="E42" s="6" t="str">
        <f>IF(I31&gt;$B$11,"?? ALTO",IF(I31&gt;$B$11*0.9,"?? MEDIO","?? OK"))</f>
        <v>?? ALTO</v>
      </c>
      <c r="F42" s="6" t="str">
        <f>IF(E42="?? ALTO","Reducir gasto",IF(AND(B42&lt;&gt;0,B42&gt;5),"Revisar precio alto","OK"))</f>
        <v>Reducir gasto</v>
      </c>
      <c r="G42" t="str">
        <f>IF(OR(E21&lt;10,E21&gt;90),"?? FOCUS","OK")</f>
        <v>OK</v>
      </c>
    </row>
    <row r="43" spans="1:13" x14ac:dyDescent="0.3">
      <c r="A43" s="4" t="s">
        <v>111</v>
      </c>
      <c r="B43" s="4" t="e">
        <f>IF(COUNTIFS(MASTER_Table!A:A,$B$6-1,MASTER_Table!B:B,A43)=0,"N/A",B22-SUMIFS(MASTER_Table!C:C,MASTER_Table!A:A,$B$6-1,MASTER_Table!B:B,A43))</f>
        <v>#DIV/0!</v>
      </c>
      <c r="C43" s="4">
        <f>IF(COUNTIFS(MASTER_Table!A:A,$B$6-1,MASTER_Table!B:B,A43)=0,"N/A",D32-SUMIFS(MASTER_Table!S:S,MASTER_Table!A:A,$B$6-1,MASTER_Table!B:B,A43))</f>
        <v>21000</v>
      </c>
      <c r="D43" s="4">
        <f>IF(COUNTIFS(MASTER_Table!A:A,$B$6-1,MASTER_Table!B:B,A43)=0,"N/A",F22 - MAX(0, SUMIFS(MASTER_Table!T:T,MASTER_Table!A:A,$B$6-1,MASTER_Table!B:B,A43) - SUMIFS(INPUT_Inventory!K:K,INPUT_Inventory!A:A,$B$6-1,INPUT_Inventory!B:B,A43)))</f>
        <v>5</v>
      </c>
      <c r="E43" s="6" t="str">
        <f>IF(I32&gt;$B$11,"?? ALTO",IF(I32&gt;$B$11*0.9,"?? MEDIO","?? OK"))</f>
        <v>?? ALTO</v>
      </c>
      <c r="F43" s="6" t="str">
        <f>IF(E43="?? ALTO","Reducir gasto",IF(AND(B43&lt;&gt;0,B43&gt;5),"Revisar precio alto","OK"))</f>
        <v>Reducir gasto</v>
      </c>
      <c r="G43" t="str">
        <f>IF(OR(E22&lt;10,E22&gt;90),"?? FOCUS","OK")</f>
        <v>OK</v>
      </c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0"/>
  <sheetViews>
    <sheetView zoomScaleNormal="100" workbookViewId="0"/>
  </sheetViews>
  <sheetFormatPr baseColWidth="10" defaultColWidth="8.6640625" defaultRowHeight="14.4" x14ac:dyDescent="0.3"/>
  <cols>
    <col min="1" max="1" width="16" customWidth="1"/>
    <col min="2" max="2" width="12" customWidth="1"/>
    <col min="3" max="7" width="14" customWidth="1"/>
  </cols>
  <sheetData>
    <row r="1" spans="1:12" ht="17.399999999999999" x14ac:dyDescent="0.3">
      <c r="A1" s="14" t="s">
        <v>121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3" spans="1:12" x14ac:dyDescent="0.3">
      <c r="A3" s="1" t="s">
        <v>122</v>
      </c>
    </row>
    <row r="5" spans="1:12" x14ac:dyDescent="0.3">
      <c r="A5" s="2" t="s">
        <v>123</v>
      </c>
      <c r="B5" s="2" t="s">
        <v>3</v>
      </c>
      <c r="C5" s="2" t="s">
        <v>124</v>
      </c>
      <c r="D5" s="2" t="s">
        <v>125</v>
      </c>
      <c r="E5" s="2" t="s">
        <v>126</v>
      </c>
      <c r="F5" s="2" t="s">
        <v>127</v>
      </c>
      <c r="G5" s="2" t="s">
        <v>128</v>
      </c>
    </row>
    <row r="6" spans="1:12" x14ac:dyDescent="0.3">
      <c r="A6" s="4" t="s">
        <v>6</v>
      </c>
      <c r="B6" s="4" t="s">
        <v>12</v>
      </c>
      <c r="C6" s="4">
        <v>70</v>
      </c>
      <c r="D6" s="11">
        <v>70</v>
      </c>
      <c r="E6" s="11">
        <v>67</v>
      </c>
      <c r="F6" s="6">
        <f t="shared" ref="F6:F15" si="0">D6-C6</f>
        <v>0</v>
      </c>
      <c r="G6" s="6">
        <f t="shared" ref="G6:G15" si="1">E6-C6</f>
        <v>-3</v>
      </c>
    </row>
    <row r="7" spans="1:12" x14ac:dyDescent="0.3">
      <c r="A7" s="4" t="s">
        <v>253</v>
      </c>
      <c r="B7" s="4" t="s">
        <v>254</v>
      </c>
      <c r="C7" s="4">
        <v>35</v>
      </c>
      <c r="D7" s="11">
        <v>38</v>
      </c>
      <c r="E7" s="11">
        <v>31</v>
      </c>
      <c r="F7" s="6">
        <f>D7-C7</f>
        <v>3</v>
      </c>
      <c r="G7" s="6">
        <f>E7-C7</f>
        <v>-4</v>
      </c>
    </row>
    <row r="8" spans="1:12" x14ac:dyDescent="0.3">
      <c r="A8" s="4" t="s">
        <v>101</v>
      </c>
      <c r="B8" s="4" t="s">
        <v>12</v>
      </c>
      <c r="C8" s="4">
        <v>102</v>
      </c>
      <c r="D8" s="11">
        <v>112</v>
      </c>
      <c r="E8" s="11">
        <v>91</v>
      </c>
      <c r="F8" s="6">
        <f t="shared" si="0"/>
        <v>10</v>
      </c>
      <c r="G8" s="6">
        <f t="shared" si="1"/>
        <v>-11</v>
      </c>
    </row>
    <row r="9" spans="1:12" x14ac:dyDescent="0.3">
      <c r="A9" s="4" t="s">
        <v>59</v>
      </c>
      <c r="B9" s="4" t="s">
        <v>12</v>
      </c>
      <c r="C9" s="4">
        <v>17</v>
      </c>
      <c r="D9" s="11">
        <v>18</v>
      </c>
      <c r="E9" s="11">
        <v>15</v>
      </c>
      <c r="F9" s="6">
        <f t="shared" si="0"/>
        <v>1</v>
      </c>
      <c r="G9" s="6">
        <f t="shared" si="1"/>
        <v>-2</v>
      </c>
    </row>
    <row r="10" spans="1:12" x14ac:dyDescent="0.3">
      <c r="A10" s="4" t="s">
        <v>129</v>
      </c>
      <c r="B10" s="4" t="s">
        <v>12</v>
      </c>
      <c r="C10" s="4">
        <v>5600</v>
      </c>
      <c r="D10" s="11">
        <v>6160</v>
      </c>
      <c r="E10" s="11">
        <v>5600</v>
      </c>
      <c r="F10" s="6">
        <f t="shared" si="0"/>
        <v>560</v>
      </c>
      <c r="G10" s="6">
        <f t="shared" si="1"/>
        <v>0</v>
      </c>
    </row>
    <row r="11" spans="1:12" x14ac:dyDescent="0.3">
      <c r="A11" s="4" t="s">
        <v>6</v>
      </c>
      <c r="B11" s="4" t="s">
        <v>20</v>
      </c>
      <c r="C11" s="4">
        <v>70</v>
      </c>
      <c r="D11" s="11">
        <v>70</v>
      </c>
      <c r="E11" s="11">
        <v>67</v>
      </c>
      <c r="F11" s="6">
        <f t="shared" si="0"/>
        <v>0</v>
      </c>
      <c r="G11" s="6">
        <f t="shared" si="1"/>
        <v>-3</v>
      </c>
    </row>
    <row r="12" spans="1:12" x14ac:dyDescent="0.3">
      <c r="A12" s="4"/>
      <c r="B12" s="4"/>
      <c r="C12" s="4"/>
      <c r="D12" s="11"/>
      <c r="E12" s="11"/>
      <c r="F12" s="6"/>
      <c r="G12" s="6"/>
    </row>
    <row r="13" spans="1:12" x14ac:dyDescent="0.3">
      <c r="A13" s="4" t="s">
        <v>101</v>
      </c>
      <c r="B13" s="4" t="s">
        <v>20</v>
      </c>
      <c r="C13" s="4">
        <v>90</v>
      </c>
      <c r="D13" s="11">
        <v>99</v>
      </c>
      <c r="E13" s="11">
        <v>81</v>
      </c>
      <c r="F13" s="6">
        <f t="shared" si="0"/>
        <v>9</v>
      </c>
      <c r="G13" s="6">
        <f t="shared" si="1"/>
        <v>-9</v>
      </c>
    </row>
    <row r="14" spans="1:12" x14ac:dyDescent="0.3">
      <c r="A14" s="4" t="s">
        <v>59</v>
      </c>
      <c r="B14" s="4" t="s">
        <v>20</v>
      </c>
      <c r="C14" s="4">
        <v>8</v>
      </c>
      <c r="D14" s="11">
        <v>8</v>
      </c>
      <c r="E14" s="11">
        <v>7</v>
      </c>
      <c r="F14" s="6">
        <f t="shared" si="0"/>
        <v>0</v>
      </c>
      <c r="G14" s="6">
        <f t="shared" si="1"/>
        <v>-1</v>
      </c>
    </row>
    <row r="15" spans="1:12" x14ac:dyDescent="0.3">
      <c r="A15" s="4" t="s">
        <v>129</v>
      </c>
      <c r="B15" s="4" t="s">
        <v>20</v>
      </c>
      <c r="C15" s="4">
        <v>4500</v>
      </c>
      <c r="D15" s="11">
        <v>4950</v>
      </c>
      <c r="E15" s="11">
        <v>4500</v>
      </c>
      <c r="F15" s="6">
        <f t="shared" si="0"/>
        <v>450</v>
      </c>
      <c r="G15" s="6">
        <f t="shared" si="1"/>
        <v>0</v>
      </c>
    </row>
    <row r="18" spans="1:5" ht="15.6" x14ac:dyDescent="0.3">
      <c r="A18" s="7" t="s">
        <v>130</v>
      </c>
    </row>
    <row r="20" spans="1:5" x14ac:dyDescent="0.3">
      <c r="A20" s="2" t="s">
        <v>66</v>
      </c>
      <c r="B20" s="2" t="s">
        <v>3</v>
      </c>
      <c r="C20" s="2" t="s">
        <v>131</v>
      </c>
      <c r="D20" s="2" t="s">
        <v>125</v>
      </c>
      <c r="E20" s="2" t="s">
        <v>126</v>
      </c>
    </row>
    <row r="21" spans="1:5" x14ac:dyDescent="0.3">
      <c r="A21" s="4" t="s">
        <v>132</v>
      </c>
      <c r="B21" s="4" t="s">
        <v>12</v>
      </c>
      <c r="C21" s="6">
        <f>C6*C10*0.87</f>
        <v>341040</v>
      </c>
      <c r="D21" s="6">
        <f>D6*D10*0.87</f>
        <v>375144</v>
      </c>
      <c r="E21" s="6">
        <f>E6*E10*0.87</f>
        <v>326424</v>
      </c>
    </row>
    <row r="22" spans="1:5" x14ac:dyDescent="0.3">
      <c r="A22" s="4" t="s">
        <v>133</v>
      </c>
      <c r="B22" s="4" t="s">
        <v>12</v>
      </c>
      <c r="C22" s="6">
        <f>C7*Decision_Panel!$B$7*IF((C10+C15)=0,0,C10/(C10+C15)) + C8*Decision_Panel!$B$8</f>
        <v>88817.821782178216</v>
      </c>
      <c r="D22" s="6">
        <f>D7*Decision_Panel!$B$7*IF((D10+D15)=0,0,D10/(D10+D15)) + D8*Decision_Panel!$B$8</f>
        <v>96807.920792079211</v>
      </c>
      <c r="E22" s="6">
        <f>E7*Decision_Panel!$B$7*IF((E10+E15)=0,0,E10/(E10+E15)) + E8*Decision_Panel!$B$8</f>
        <v>78864.356435643567</v>
      </c>
    </row>
    <row r="23" spans="1:5" x14ac:dyDescent="0.3">
      <c r="A23" s="4" t="s">
        <v>134</v>
      </c>
      <c r="B23" s="4" t="s">
        <v>12</v>
      </c>
      <c r="C23" s="6">
        <f>C9*Decision_Panel!$B$10</f>
        <v>12750</v>
      </c>
      <c r="D23" s="6">
        <f>D9*Decision_Panel!$B$10</f>
        <v>13500</v>
      </c>
      <c r="E23" s="6">
        <f>E9*Decision_Panel!$B$10</f>
        <v>11250</v>
      </c>
    </row>
    <row r="24" spans="1:5" x14ac:dyDescent="0.3">
      <c r="A24" s="4" t="s">
        <v>135</v>
      </c>
      <c r="B24" s="4" t="s">
        <v>12</v>
      </c>
      <c r="C24" s="6">
        <f>C22+C23</f>
        <v>101567.82178217822</v>
      </c>
      <c r="D24" s="6">
        <f>D22+D23</f>
        <v>110307.92079207921</v>
      </c>
      <c r="E24" s="6">
        <f>E22+E23</f>
        <v>90114.356435643567</v>
      </c>
    </row>
    <row r="25" spans="1:5" x14ac:dyDescent="0.3">
      <c r="A25" s="4" t="s">
        <v>116</v>
      </c>
      <c r="B25" s="4" t="s">
        <v>12</v>
      </c>
      <c r="C25" s="6">
        <f>IF(C21=0,0,(C24+30000)/C21)</f>
        <v>0.38578413611945289</v>
      </c>
      <c r="D25" s="6">
        <f>IF(D21=0,0,(D24+30000)/D21)</f>
        <v>0.37401083528479517</v>
      </c>
      <c r="E25" s="6">
        <f>IF(E21=0,0,(E24+30000)/E21)</f>
        <v>0.36797035890634133</v>
      </c>
    </row>
    <row r="26" spans="1:5" x14ac:dyDescent="0.3">
      <c r="A26" s="4" t="s">
        <v>132</v>
      </c>
      <c r="B26" s="4" t="s">
        <v>20</v>
      </c>
      <c r="C26" s="6">
        <f>C11*C15*0.87</f>
        <v>274050</v>
      </c>
      <c r="D26" s="6">
        <f>D11*D15*0.87</f>
        <v>301455</v>
      </c>
      <c r="E26" s="6">
        <f>E11*E15*0.87</f>
        <v>262305</v>
      </c>
    </row>
    <row r="27" spans="1:5" x14ac:dyDescent="0.3">
      <c r="A27" s="4" t="s">
        <v>133</v>
      </c>
      <c r="B27" s="4" t="s">
        <v>20</v>
      </c>
      <c r="C27" s="6">
        <f>C7*Decision_Panel!$B$7*IF((C10+C15)=0,0,C15/(C10+C15)) + C13*Decision_Panel!$B$8</f>
        <v>73782.178217821784</v>
      </c>
      <c r="D27" s="6">
        <f>D7*Decision_Panel!$B$7*IF((D10+D15)=0,0,D15/(D10+D15)) + D13*Decision_Panel!$B$8</f>
        <v>80492.079207920789</v>
      </c>
      <c r="E27" s="6">
        <f>E7*Decision_Panel!$B$7*IF((E10+E15)=0,0,E15/(E10+E15)) + E13*Decision_Panel!$B$8</f>
        <v>65735.643564356433</v>
      </c>
    </row>
    <row r="28" spans="1:5" x14ac:dyDescent="0.3">
      <c r="A28" s="4" t="s">
        <v>134</v>
      </c>
      <c r="B28" s="4" t="s">
        <v>20</v>
      </c>
      <c r="C28" s="6">
        <f>C14*Decision_Panel!$B$10</f>
        <v>6000</v>
      </c>
      <c r="D28" s="6">
        <f>D14*Decision_Panel!$B$10</f>
        <v>6000</v>
      </c>
      <c r="E28" s="6">
        <f>E14*Decision_Panel!$B$10</f>
        <v>5250</v>
      </c>
    </row>
    <row r="29" spans="1:5" x14ac:dyDescent="0.3">
      <c r="A29" s="4" t="s">
        <v>135</v>
      </c>
      <c r="B29" s="4" t="s">
        <v>20</v>
      </c>
      <c r="C29" s="6">
        <f>C27+C28</f>
        <v>79782.178217821784</v>
      </c>
      <c r="D29" s="6">
        <f>D27+D28</f>
        <v>86492.079207920789</v>
      </c>
      <c r="E29" s="6">
        <f>E27+E28</f>
        <v>70985.643564356433</v>
      </c>
    </row>
    <row r="30" spans="1:5" x14ac:dyDescent="0.3">
      <c r="A30" s="4" t="s">
        <v>116</v>
      </c>
      <c r="B30" s="4" t="s">
        <v>20</v>
      </c>
      <c r="C30" s="6">
        <f>IF(C26=0,0,(C29+30000)/C26)</f>
        <v>0.40059178331626266</v>
      </c>
      <c r="D30" s="6">
        <f>IF(D26=0,0,(D29+30000)/D26)</f>
        <v>0.38643273194314504</v>
      </c>
      <c r="E30" s="6">
        <f>IF(E26=0,0,(E29+30000)/E26)</f>
        <v>0.38499320853341124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0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2" width="20" customWidth="1"/>
    <col min="3" max="3" width="50" customWidth="1"/>
    <col min="4" max="4" width="40" customWidth="1"/>
    <col min="5" max="5" width="12" customWidth="1"/>
  </cols>
  <sheetData>
    <row r="1" spans="1:6" ht="17.399999999999999" x14ac:dyDescent="0.3">
      <c r="A1" s="14" t="s">
        <v>136</v>
      </c>
      <c r="B1" s="14"/>
      <c r="C1" s="14"/>
      <c r="D1" s="14"/>
      <c r="E1" s="14"/>
      <c r="F1" s="14"/>
    </row>
    <row r="3" spans="1:6" ht="15.6" x14ac:dyDescent="0.3">
      <c r="A3" s="13" t="s">
        <v>137</v>
      </c>
    </row>
    <row r="5" spans="1:6" x14ac:dyDescent="0.3">
      <c r="A5" t="s">
        <v>138</v>
      </c>
    </row>
    <row r="6" spans="1:6" x14ac:dyDescent="0.3">
      <c r="A6" t="s">
        <v>139</v>
      </c>
    </row>
    <row r="7" spans="1:6" x14ac:dyDescent="0.3">
      <c r="A7" t="s">
        <v>140</v>
      </c>
    </row>
    <row r="8" spans="1:6" x14ac:dyDescent="0.3">
      <c r="A8" t="s">
        <v>141</v>
      </c>
    </row>
    <row r="9" spans="1:6" x14ac:dyDescent="0.3">
      <c r="A9" t="s">
        <v>142</v>
      </c>
    </row>
    <row r="10" spans="1:6" x14ac:dyDescent="0.3">
      <c r="A10" t="s">
        <v>143</v>
      </c>
    </row>
    <row r="11" spans="1:6" x14ac:dyDescent="0.3">
      <c r="A11" t="s">
        <v>255</v>
      </c>
    </row>
    <row r="12" spans="1:6" x14ac:dyDescent="0.3">
      <c r="A12" t="s">
        <v>144</v>
      </c>
    </row>
    <row r="14" spans="1:6" x14ac:dyDescent="0.3">
      <c r="A14" t="s">
        <v>145</v>
      </c>
    </row>
    <row r="15" spans="1:6" x14ac:dyDescent="0.3">
      <c r="A15" t="s">
        <v>146</v>
      </c>
    </row>
    <row r="16" spans="1:6" x14ac:dyDescent="0.3">
      <c r="A16" t="s">
        <v>147</v>
      </c>
    </row>
    <row r="17" spans="1:5" x14ac:dyDescent="0.3">
      <c r="A17" t="s">
        <v>148</v>
      </c>
    </row>
    <row r="18" spans="1:5" x14ac:dyDescent="0.3">
      <c r="A18" t="s">
        <v>149</v>
      </c>
    </row>
    <row r="19" spans="1:5" x14ac:dyDescent="0.3">
      <c r="A19" t="s">
        <v>150</v>
      </c>
    </row>
    <row r="22" spans="1:5" ht="15.6" x14ac:dyDescent="0.3">
      <c r="A22" s="13" t="s">
        <v>151</v>
      </c>
    </row>
    <row r="24" spans="1:5" x14ac:dyDescent="0.3">
      <c r="A24" s="2" t="s">
        <v>152</v>
      </c>
      <c r="B24" s="2" t="s">
        <v>153</v>
      </c>
      <c r="C24" s="2" t="s">
        <v>154</v>
      </c>
      <c r="D24" s="2" t="s">
        <v>155</v>
      </c>
      <c r="E24" s="2" t="s">
        <v>156</v>
      </c>
    </row>
    <row r="25" spans="1:5" x14ac:dyDescent="0.3">
      <c r="A25" s="4" t="s">
        <v>157</v>
      </c>
      <c r="B25" s="4" t="s">
        <v>6</v>
      </c>
      <c r="C25" s="4" t="s">
        <v>158</v>
      </c>
      <c r="D25" s="4" t="s">
        <v>159</v>
      </c>
      <c r="E25" s="4" t="s">
        <v>160</v>
      </c>
    </row>
    <row r="26" spans="1:5" x14ac:dyDescent="0.3">
      <c r="A26" s="4" t="s">
        <v>157</v>
      </c>
      <c r="B26" s="4" t="s">
        <v>7</v>
      </c>
      <c r="C26" s="4" t="s">
        <v>161</v>
      </c>
      <c r="D26" s="4" t="s">
        <v>162</v>
      </c>
      <c r="E26" s="4" t="s">
        <v>160</v>
      </c>
    </row>
    <row r="27" spans="1:5" x14ac:dyDescent="0.3">
      <c r="A27" s="4" t="s">
        <v>157</v>
      </c>
      <c r="B27" s="4" t="s">
        <v>8</v>
      </c>
      <c r="C27" s="4" t="s">
        <v>163</v>
      </c>
      <c r="D27" s="4" t="s">
        <v>164</v>
      </c>
      <c r="E27" s="4" t="s">
        <v>160</v>
      </c>
    </row>
    <row r="28" spans="1:5" x14ac:dyDescent="0.3">
      <c r="A28" s="4" t="s">
        <v>157</v>
      </c>
      <c r="B28" s="4" t="s">
        <v>9</v>
      </c>
      <c r="C28" s="4" t="s">
        <v>165</v>
      </c>
      <c r="D28" s="4" t="s">
        <v>166</v>
      </c>
      <c r="E28" s="4" t="s">
        <v>160</v>
      </c>
    </row>
    <row r="29" spans="1:5" x14ac:dyDescent="0.3">
      <c r="A29" s="4" t="s">
        <v>167</v>
      </c>
      <c r="B29" s="4" t="s">
        <v>23</v>
      </c>
      <c r="C29" s="4" t="s">
        <v>168</v>
      </c>
      <c r="D29" s="4" t="s">
        <v>169</v>
      </c>
      <c r="E29" s="4" t="s">
        <v>160</v>
      </c>
    </row>
    <row r="30" spans="1:5" x14ac:dyDescent="0.3">
      <c r="A30" s="4" t="s">
        <v>167</v>
      </c>
      <c r="B30" s="4" t="s">
        <v>27</v>
      </c>
      <c r="C30" s="4" t="s">
        <v>170</v>
      </c>
      <c r="D30" s="4" t="s">
        <v>171</v>
      </c>
      <c r="E30" s="4" t="s">
        <v>160</v>
      </c>
    </row>
    <row r="31" spans="1:5" x14ac:dyDescent="0.3">
      <c r="A31" s="4" t="s">
        <v>167</v>
      </c>
      <c r="B31" s="4" t="s">
        <v>28</v>
      </c>
      <c r="C31" s="4" t="s">
        <v>172</v>
      </c>
      <c r="D31" s="4" t="s">
        <v>173</v>
      </c>
      <c r="E31" s="4" t="s">
        <v>160</v>
      </c>
    </row>
    <row r="32" spans="1:5" x14ac:dyDescent="0.3">
      <c r="A32" s="4" t="s">
        <v>167</v>
      </c>
      <c r="B32" s="4" t="s">
        <v>29</v>
      </c>
      <c r="C32" s="4" t="s">
        <v>174</v>
      </c>
      <c r="D32" s="4" t="s">
        <v>175</v>
      </c>
      <c r="E32" s="4" t="s">
        <v>160</v>
      </c>
    </row>
    <row r="33" spans="1:5" x14ac:dyDescent="0.3">
      <c r="A33" s="4" t="s">
        <v>176</v>
      </c>
      <c r="B33" s="4" t="s">
        <v>42</v>
      </c>
      <c r="C33" s="4" t="s">
        <v>177</v>
      </c>
      <c r="D33" s="4" t="s">
        <v>178</v>
      </c>
      <c r="E33" s="4" t="s">
        <v>160</v>
      </c>
    </row>
    <row r="34" spans="1:5" x14ac:dyDescent="0.3">
      <c r="A34" s="4" t="s">
        <v>176</v>
      </c>
      <c r="B34" s="4" t="s">
        <v>43</v>
      </c>
      <c r="C34" s="4" t="s">
        <v>179</v>
      </c>
      <c r="D34" s="4" t="s">
        <v>180</v>
      </c>
      <c r="E34" s="4" t="s">
        <v>160</v>
      </c>
    </row>
    <row r="35" spans="1:5" x14ac:dyDescent="0.3">
      <c r="A35" s="4" t="s">
        <v>181</v>
      </c>
      <c r="B35" s="4" t="s">
        <v>238</v>
      </c>
      <c r="C35" s="4" t="s">
        <v>256</v>
      </c>
      <c r="D35" s="4" t="s">
        <v>182</v>
      </c>
      <c r="E35" s="4" t="s">
        <v>257</v>
      </c>
    </row>
    <row r="36" spans="1:5" x14ac:dyDescent="0.3">
      <c r="A36" s="4" t="s">
        <v>181</v>
      </c>
      <c r="B36" s="4" t="s">
        <v>47</v>
      </c>
      <c r="C36" s="4" t="s">
        <v>258</v>
      </c>
      <c r="D36" s="4" t="s">
        <v>182</v>
      </c>
      <c r="E36" s="4" t="s">
        <v>257</v>
      </c>
    </row>
    <row r="37" spans="1:5" x14ac:dyDescent="0.3">
      <c r="A37" s="4" t="s">
        <v>181</v>
      </c>
      <c r="B37" s="4" t="s">
        <v>50</v>
      </c>
      <c r="C37" s="4" t="s">
        <v>184</v>
      </c>
      <c r="D37" s="4" t="s">
        <v>182</v>
      </c>
      <c r="E37" s="4" t="s">
        <v>183</v>
      </c>
    </row>
    <row r="38" spans="1:5" x14ac:dyDescent="0.3">
      <c r="A38" s="4" t="s">
        <v>181</v>
      </c>
      <c r="B38" s="4" t="s">
        <v>55</v>
      </c>
      <c r="C38" s="4" t="s">
        <v>185</v>
      </c>
      <c r="D38" s="4" t="s">
        <v>182</v>
      </c>
      <c r="E38" s="4" t="s">
        <v>183</v>
      </c>
    </row>
    <row r="39" spans="1:5" x14ac:dyDescent="0.3">
      <c r="A39" s="4" t="s">
        <v>181</v>
      </c>
      <c r="B39" s="4" t="s">
        <v>62</v>
      </c>
      <c r="C39" s="4" t="s">
        <v>186</v>
      </c>
      <c r="D39" s="4" t="s">
        <v>182</v>
      </c>
      <c r="E39" s="4" t="s">
        <v>183</v>
      </c>
    </row>
    <row r="40" spans="1:5" x14ac:dyDescent="0.3">
      <c r="A40" s="4" t="s">
        <v>187</v>
      </c>
      <c r="B40" s="4" t="s">
        <v>188</v>
      </c>
      <c r="C40" s="4" t="s">
        <v>189</v>
      </c>
      <c r="D40" s="4" t="s">
        <v>182</v>
      </c>
      <c r="E40" s="4" t="s">
        <v>183</v>
      </c>
    </row>
    <row r="41" spans="1:5" x14ac:dyDescent="0.3">
      <c r="A41" s="4" t="s">
        <v>187</v>
      </c>
      <c r="B41" s="4" t="s">
        <v>190</v>
      </c>
      <c r="C41" s="4" t="s">
        <v>191</v>
      </c>
      <c r="D41" s="4" t="s">
        <v>182</v>
      </c>
      <c r="E41" s="4" t="s">
        <v>183</v>
      </c>
    </row>
    <row r="44" spans="1:5" x14ac:dyDescent="0.3">
      <c r="A44" t="s">
        <v>259</v>
      </c>
      <c r="B44" t="s">
        <v>260</v>
      </c>
      <c r="C44" t="s">
        <v>261</v>
      </c>
      <c r="D44" t="s">
        <v>262</v>
      </c>
      <c r="E44" t="s">
        <v>160</v>
      </c>
    </row>
    <row r="45" spans="1:5" x14ac:dyDescent="0.3">
      <c r="A45" t="s">
        <v>259</v>
      </c>
      <c r="B45" t="s">
        <v>210</v>
      </c>
      <c r="C45" t="s">
        <v>263</v>
      </c>
      <c r="D45" t="s">
        <v>182</v>
      </c>
      <c r="E45" t="s">
        <v>257</v>
      </c>
    </row>
    <row r="46" spans="1:5" x14ac:dyDescent="0.3">
      <c r="A46" t="s">
        <v>259</v>
      </c>
      <c r="B46" t="s">
        <v>264</v>
      </c>
      <c r="C46" t="s">
        <v>265</v>
      </c>
      <c r="D46" t="s">
        <v>262</v>
      </c>
      <c r="E46" t="s">
        <v>160</v>
      </c>
    </row>
    <row r="47" spans="1:5" x14ac:dyDescent="0.3">
      <c r="A47" t="s">
        <v>259</v>
      </c>
      <c r="B47" t="s">
        <v>211</v>
      </c>
      <c r="C47" t="s">
        <v>266</v>
      </c>
      <c r="D47" t="s">
        <v>262</v>
      </c>
      <c r="E47" t="s">
        <v>160</v>
      </c>
    </row>
    <row r="48" spans="1:5" x14ac:dyDescent="0.3">
      <c r="A48" t="s">
        <v>259</v>
      </c>
      <c r="B48" t="s">
        <v>26</v>
      </c>
      <c r="C48" t="s">
        <v>267</v>
      </c>
      <c r="D48" t="s">
        <v>182</v>
      </c>
      <c r="E48" t="s">
        <v>257</v>
      </c>
    </row>
    <row r="49" spans="1:5" x14ac:dyDescent="0.3">
      <c r="A49" t="s">
        <v>259</v>
      </c>
      <c r="B49" t="s">
        <v>217</v>
      </c>
      <c r="C49" t="s">
        <v>268</v>
      </c>
      <c r="D49" t="s">
        <v>182</v>
      </c>
      <c r="E49" t="s">
        <v>257</v>
      </c>
    </row>
    <row r="50" spans="1:5" x14ac:dyDescent="0.3">
      <c r="A50" t="s">
        <v>259</v>
      </c>
      <c r="B50" t="s">
        <v>219</v>
      </c>
      <c r="C50" t="s">
        <v>269</v>
      </c>
      <c r="D50" t="s">
        <v>182</v>
      </c>
      <c r="E50" t="s">
        <v>257</v>
      </c>
    </row>
    <row r="51" spans="1:5" x14ac:dyDescent="0.3">
      <c r="A51" t="s">
        <v>187</v>
      </c>
      <c r="B51" t="s">
        <v>270</v>
      </c>
      <c r="C51" t="s">
        <v>271</v>
      </c>
      <c r="D51" t="s">
        <v>262</v>
      </c>
      <c r="E51" t="s">
        <v>160</v>
      </c>
    </row>
    <row r="52" spans="1:5" x14ac:dyDescent="0.3">
      <c r="A52" t="s">
        <v>272</v>
      </c>
      <c r="B52" t="s">
        <v>253</v>
      </c>
      <c r="C52" t="s">
        <v>273</v>
      </c>
      <c r="D52" t="s">
        <v>262</v>
      </c>
      <c r="E52" t="s">
        <v>160</v>
      </c>
    </row>
    <row r="53" spans="1:5" ht="15.6" x14ac:dyDescent="0.3">
      <c r="A53" s="13" t="s">
        <v>192</v>
      </c>
    </row>
    <row r="55" spans="1:5" x14ac:dyDescent="0.3">
      <c r="A55" s="2" t="s">
        <v>193</v>
      </c>
      <c r="B55" s="2" t="s">
        <v>194</v>
      </c>
      <c r="C55" s="2" t="s">
        <v>195</v>
      </c>
    </row>
    <row r="56" spans="1:5" x14ac:dyDescent="0.3">
      <c r="A56" s="4" t="s">
        <v>196</v>
      </c>
      <c r="B56" s="4" t="s">
        <v>197</v>
      </c>
      <c r="C56" s="4" t="s">
        <v>198</v>
      </c>
    </row>
    <row r="57" spans="1:5" x14ac:dyDescent="0.3">
      <c r="A57" s="4" t="s">
        <v>199</v>
      </c>
      <c r="B57" s="4" t="s">
        <v>200</v>
      </c>
      <c r="C57" s="4" t="s">
        <v>201</v>
      </c>
    </row>
    <row r="58" spans="1:5" x14ac:dyDescent="0.3">
      <c r="A58" s="4" t="s">
        <v>202</v>
      </c>
      <c r="B58" s="4" t="s">
        <v>197</v>
      </c>
      <c r="C58" s="4" t="s">
        <v>203</v>
      </c>
    </row>
    <row r="59" spans="1:5" x14ac:dyDescent="0.3">
      <c r="A59" s="4" t="s">
        <v>204</v>
      </c>
      <c r="B59" s="4" t="s">
        <v>200</v>
      </c>
      <c r="C59" s="4" t="s">
        <v>205</v>
      </c>
    </row>
    <row r="60" spans="1:5" x14ac:dyDescent="0.3">
      <c r="A60" s="4" t="s">
        <v>206</v>
      </c>
      <c r="B60" s="4" t="s">
        <v>197</v>
      </c>
      <c r="C60" s="4" t="s">
        <v>207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INPUT_MarketReport</vt:lpstr>
      <vt:lpstr>INPUT_SalesAdmin</vt:lpstr>
      <vt:lpstr>INPUT_Inventory</vt:lpstr>
      <vt:lpstr>MASTER_Table</vt:lpstr>
      <vt:lpstr>KPI_Dashboard</vt:lpstr>
      <vt:lpstr>Decision_Panel</vt:lpstr>
      <vt:lpstr>Scenario_Compare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2026-01-13T18:08:41Z</dcterms:created>
  <dcterms:modified xsi:type="dcterms:W3CDTF">2026-01-13T18:50:25Z</dcterms:modified>
  <dc:language>en-US</dc:language>
</cp:coreProperties>
</file>