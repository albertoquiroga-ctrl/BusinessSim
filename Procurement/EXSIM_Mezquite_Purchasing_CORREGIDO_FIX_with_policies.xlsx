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dc407a335d7300f/Documentos/GitHub/BusinessSim/Procurement/"/>
    </mc:Choice>
  </mc:AlternateContent>
  <xr:revisionPtr revIDLastSave="2149" documentId="6_{4F45DE64-BE33-4F18-9BCE-C4F36FED717B}" xr6:coauthVersionLast="47" xr6:coauthVersionMax="47" xr10:uidLastSave="{E356E6B7-3246-4227-8BD7-6D96B07B54BC}"/>
  <bookViews>
    <workbookView xWindow="-108" yWindow="-108" windowWidth="23256" windowHeight="12456" tabRatio="500" activeTab="2" xr2:uid="{00000000-000D-0000-FFFF-FFFF00000000}"/>
  </bookViews>
  <sheets>
    <sheet name="Inputs" sheetId="1" r:id="rId1"/>
    <sheet name="Politica_Inventarios" sheetId="2" r:id="rId2"/>
    <sheet name="BOM_Consumo_Piezas" sheetId="3" r:id="rId3"/>
    <sheet name="Inventario_Dinamico" sheetId="4" r:id="rId4"/>
    <sheet name="Costos" sheetId="19" r:id="rId5"/>
    <sheet name="Proveedor B" sheetId="2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3" l="1"/>
  <c r="V20" i="3"/>
  <c r="V18" i="3"/>
  <c r="V14" i="3"/>
  <c r="T16" i="3"/>
  <c r="S9" i="3"/>
  <c r="B13" i="4"/>
  <c r="P13" i="4"/>
  <c r="N7" i="1" l="1"/>
  <c r="M9" i="1"/>
  <c r="E119" i="1"/>
  <c r="H108" i="1"/>
  <c r="C17" i="3"/>
  <c r="P15" i="4"/>
  <c r="J6" i="1"/>
  <c r="K12" i="3" s="1"/>
  <c r="S9" i="4"/>
  <c r="G7" i="3"/>
  <c r="N11" i="1"/>
  <c r="C57" i="2"/>
  <c r="C46" i="2"/>
  <c r="C56" i="2"/>
  <c r="C45" i="2"/>
  <c r="L16" i="1"/>
  <c r="M85" i="1"/>
  <c r="L13" i="20"/>
  <c r="J13" i="20" s="1"/>
  <c r="L12" i="20"/>
  <c r="J12" i="20" s="1"/>
  <c r="K9" i="20"/>
  <c r="K8" i="20"/>
  <c r="Q33" i="4"/>
  <c r="R33" i="4"/>
  <c r="S33" i="4"/>
  <c r="T33" i="4"/>
  <c r="U33" i="4"/>
  <c r="V33" i="4"/>
  <c r="W33" i="4"/>
  <c r="P33" i="4"/>
  <c r="Q27" i="4"/>
  <c r="R27" i="4"/>
  <c r="S27" i="4"/>
  <c r="T27" i="4"/>
  <c r="U27" i="4"/>
  <c r="V27" i="4"/>
  <c r="W27" i="4"/>
  <c r="P27" i="4"/>
  <c r="P28" i="4" s="1"/>
  <c r="K47" i="2"/>
  <c r="M47" i="2" s="1"/>
  <c r="N47" i="2" s="1"/>
  <c r="D47" i="2"/>
  <c r="Q21" i="4"/>
  <c r="R21" i="4"/>
  <c r="S21" i="4"/>
  <c r="T21" i="4"/>
  <c r="U21" i="4"/>
  <c r="V21" i="4"/>
  <c r="W21" i="4"/>
  <c r="P21" i="4"/>
  <c r="P22" i="4" s="1"/>
  <c r="Q9" i="4"/>
  <c r="R9" i="4"/>
  <c r="W9" i="4"/>
  <c r="Q15" i="4"/>
  <c r="D46" i="3"/>
  <c r="E46" i="3"/>
  <c r="F46" i="3"/>
  <c r="G46" i="3"/>
  <c r="H46" i="3"/>
  <c r="I46" i="3"/>
  <c r="J46" i="3"/>
  <c r="C46" i="3"/>
  <c r="D36" i="3"/>
  <c r="E36" i="3"/>
  <c r="F36" i="3"/>
  <c r="G36" i="3"/>
  <c r="H36" i="3"/>
  <c r="I36" i="3"/>
  <c r="J36" i="3"/>
  <c r="C36" i="3"/>
  <c r="D26" i="3"/>
  <c r="E26" i="3"/>
  <c r="F26" i="3"/>
  <c r="G26" i="3"/>
  <c r="H26" i="3"/>
  <c r="I26" i="3"/>
  <c r="J26" i="3"/>
  <c r="C26" i="3"/>
  <c r="D6" i="3"/>
  <c r="E6" i="3"/>
  <c r="H6" i="3"/>
  <c r="J6" i="3"/>
  <c r="C6" i="3"/>
  <c r="E16" i="3"/>
  <c r="D41" i="3"/>
  <c r="E41" i="3"/>
  <c r="F41" i="3"/>
  <c r="G41" i="3"/>
  <c r="H41" i="3"/>
  <c r="I41" i="3"/>
  <c r="J41" i="3"/>
  <c r="D39" i="3"/>
  <c r="E39" i="3"/>
  <c r="F39" i="3"/>
  <c r="G39" i="3"/>
  <c r="H39" i="3"/>
  <c r="I39" i="3"/>
  <c r="J39" i="3"/>
  <c r="D40" i="3"/>
  <c r="E40" i="3"/>
  <c r="F40" i="3"/>
  <c r="G40" i="3"/>
  <c r="H40" i="3"/>
  <c r="I40" i="3"/>
  <c r="J40" i="3"/>
  <c r="C40" i="3"/>
  <c r="C21" i="3"/>
  <c r="C19" i="3"/>
  <c r="C18" i="3"/>
  <c r="C41" i="3"/>
  <c r="C39" i="3"/>
  <c r="C38" i="3"/>
  <c r="C37" i="3"/>
  <c r="P51" i="3"/>
  <c r="P50" i="3"/>
  <c r="P49" i="3"/>
  <c r="P48" i="3"/>
  <c r="P47" i="3"/>
  <c r="K43" i="4"/>
  <c r="L13" i="19"/>
  <c r="H13" i="19" s="1"/>
  <c r="L47" i="3"/>
  <c r="L48" i="3"/>
  <c r="L49" i="3"/>
  <c r="L50" i="3"/>
  <c r="L51" i="3"/>
  <c r="D48" i="3"/>
  <c r="E48" i="3"/>
  <c r="F48" i="3"/>
  <c r="G48" i="3"/>
  <c r="H48" i="3"/>
  <c r="I48" i="3"/>
  <c r="J48" i="3"/>
  <c r="D49" i="3"/>
  <c r="E49" i="3"/>
  <c r="F49" i="3"/>
  <c r="G49" i="3"/>
  <c r="H49" i="3"/>
  <c r="I49" i="3"/>
  <c r="J49" i="3"/>
  <c r="D50" i="3"/>
  <c r="E50" i="3"/>
  <c r="F50" i="3"/>
  <c r="G50" i="3"/>
  <c r="H50" i="3"/>
  <c r="I50" i="3"/>
  <c r="J50" i="3"/>
  <c r="D51" i="3"/>
  <c r="E51" i="3"/>
  <c r="F51" i="3"/>
  <c r="G51" i="3"/>
  <c r="H51" i="3"/>
  <c r="I51" i="3"/>
  <c r="J51" i="3"/>
  <c r="C51" i="3"/>
  <c r="C50" i="3"/>
  <c r="C49" i="3"/>
  <c r="C48" i="3"/>
  <c r="D47" i="3"/>
  <c r="E47" i="3"/>
  <c r="F47" i="3"/>
  <c r="G47" i="3"/>
  <c r="H47" i="3"/>
  <c r="I47" i="3"/>
  <c r="J47" i="3"/>
  <c r="C47" i="3"/>
  <c r="P34" i="4"/>
  <c r="B27" i="4"/>
  <c r="B28" i="4" s="1"/>
  <c r="D37" i="3"/>
  <c r="E37" i="3"/>
  <c r="F37" i="3"/>
  <c r="G37" i="3"/>
  <c r="H37" i="3"/>
  <c r="I37" i="3"/>
  <c r="J37" i="3"/>
  <c r="J17" i="3"/>
  <c r="C27" i="3"/>
  <c r="C59" i="2"/>
  <c r="B21" i="4"/>
  <c r="B22" i="4" s="1"/>
  <c r="D38" i="3"/>
  <c r="E38" i="3"/>
  <c r="F38" i="3"/>
  <c r="G38" i="3"/>
  <c r="H38" i="3"/>
  <c r="I38" i="3"/>
  <c r="J38" i="3"/>
  <c r="C28" i="3"/>
  <c r="D27" i="3"/>
  <c r="E27" i="3"/>
  <c r="F27" i="3"/>
  <c r="G27" i="3"/>
  <c r="H27" i="3"/>
  <c r="I27" i="3"/>
  <c r="J27" i="3"/>
  <c r="D28" i="3"/>
  <c r="E28" i="3"/>
  <c r="F28" i="3"/>
  <c r="G28" i="3"/>
  <c r="H28" i="3"/>
  <c r="I28" i="3"/>
  <c r="J28" i="3"/>
  <c r="D29" i="3"/>
  <c r="E29" i="3"/>
  <c r="F29" i="3"/>
  <c r="G29" i="3"/>
  <c r="H29" i="3"/>
  <c r="I29" i="3"/>
  <c r="J29" i="3"/>
  <c r="D30" i="3"/>
  <c r="E30" i="3"/>
  <c r="F30" i="3"/>
  <c r="G30" i="3"/>
  <c r="H30" i="3"/>
  <c r="I30" i="3"/>
  <c r="J30" i="3"/>
  <c r="D31" i="3"/>
  <c r="E31" i="3"/>
  <c r="F31" i="3"/>
  <c r="G31" i="3"/>
  <c r="H31" i="3"/>
  <c r="I31" i="3"/>
  <c r="J31" i="3"/>
  <c r="C31" i="3"/>
  <c r="C30" i="3"/>
  <c r="C29" i="3"/>
  <c r="D18" i="3"/>
  <c r="G18" i="3"/>
  <c r="H19" i="3"/>
  <c r="J19" i="3"/>
  <c r="D20" i="3"/>
  <c r="E20" i="3"/>
  <c r="F21" i="3"/>
  <c r="G21" i="3"/>
  <c r="J21" i="3"/>
  <c r="M47" i="3"/>
  <c r="M48" i="3"/>
  <c r="M49" i="3"/>
  <c r="M50" i="3"/>
  <c r="M51" i="3"/>
  <c r="M37" i="3"/>
  <c r="M38" i="3"/>
  <c r="M39" i="3"/>
  <c r="M40" i="3"/>
  <c r="M41" i="3"/>
  <c r="M46" i="3"/>
  <c r="M36" i="3"/>
  <c r="M27" i="3"/>
  <c r="M28" i="3"/>
  <c r="M29" i="3"/>
  <c r="M30" i="3"/>
  <c r="M31" i="3"/>
  <c r="M26" i="3"/>
  <c r="H63" i="2"/>
  <c r="H62" i="2"/>
  <c r="H61" i="2"/>
  <c r="H60" i="2"/>
  <c r="H59" i="2"/>
  <c r="D57" i="2"/>
  <c r="D58" i="2"/>
  <c r="D59" i="2"/>
  <c r="D60" i="2"/>
  <c r="D61" i="2"/>
  <c r="D62" i="2"/>
  <c r="D63" i="2"/>
  <c r="D56" i="2"/>
  <c r="D12" i="2"/>
  <c r="C61" i="2"/>
  <c r="C62" i="2"/>
  <c r="C63" i="2"/>
  <c r="C60" i="2"/>
  <c r="B57" i="2"/>
  <c r="B58" i="2"/>
  <c r="B59" i="2"/>
  <c r="B60" i="2"/>
  <c r="B61" i="2"/>
  <c r="B62" i="2"/>
  <c r="B63" i="2"/>
  <c r="B56" i="2"/>
  <c r="B45" i="2"/>
  <c r="D35" i="2"/>
  <c r="D36" i="2"/>
  <c r="D37" i="2"/>
  <c r="D38" i="2"/>
  <c r="D39" i="2"/>
  <c r="D40" i="2"/>
  <c r="D41" i="2"/>
  <c r="D34" i="2"/>
  <c r="D46" i="2"/>
  <c r="D48" i="2"/>
  <c r="D49" i="2"/>
  <c r="D50" i="2"/>
  <c r="D51" i="2"/>
  <c r="D52" i="2"/>
  <c r="D45" i="2"/>
  <c r="B46" i="2"/>
  <c r="B47" i="2"/>
  <c r="B48" i="2"/>
  <c r="B49" i="2"/>
  <c r="B50" i="2"/>
  <c r="B51" i="2"/>
  <c r="B52" i="2"/>
  <c r="K34" i="2"/>
  <c r="I34" i="2"/>
  <c r="E34" i="2"/>
  <c r="F34" i="2" s="1"/>
  <c r="B35" i="2"/>
  <c r="B36" i="2"/>
  <c r="B37" i="2"/>
  <c r="B38" i="2"/>
  <c r="B39" i="2"/>
  <c r="B40" i="2"/>
  <c r="B41" i="2"/>
  <c r="B34" i="2"/>
  <c r="L63" i="2"/>
  <c r="K63" i="2"/>
  <c r="M63" i="2" s="1"/>
  <c r="N63" i="2" s="1"/>
  <c r="J63" i="2"/>
  <c r="I63" i="2"/>
  <c r="E63" i="2"/>
  <c r="F63" i="2" s="1"/>
  <c r="L62" i="2"/>
  <c r="M62" i="2" s="1"/>
  <c r="N62" i="2" s="1"/>
  <c r="K62" i="2"/>
  <c r="J62" i="2"/>
  <c r="I62" i="2"/>
  <c r="E62" i="2"/>
  <c r="F62" i="2" s="1"/>
  <c r="L61" i="2"/>
  <c r="K61" i="2"/>
  <c r="M61" i="2" s="1"/>
  <c r="N61" i="2" s="1"/>
  <c r="J61" i="2"/>
  <c r="I61" i="2"/>
  <c r="E61" i="2"/>
  <c r="F61" i="2" s="1"/>
  <c r="L60" i="2"/>
  <c r="K60" i="2"/>
  <c r="M60" i="2" s="1"/>
  <c r="N60" i="2" s="1"/>
  <c r="J60" i="2"/>
  <c r="I60" i="2"/>
  <c r="E60" i="2"/>
  <c r="F60" i="2" s="1"/>
  <c r="G60" i="2" s="1"/>
  <c r="M59" i="2"/>
  <c r="N59" i="2" s="1"/>
  <c r="L59" i="2"/>
  <c r="K59" i="2"/>
  <c r="J59" i="2"/>
  <c r="I59" i="2"/>
  <c r="E59" i="2"/>
  <c r="F59" i="2" s="1"/>
  <c r="M58" i="2"/>
  <c r="N58" i="2" s="1"/>
  <c r="K58" i="2"/>
  <c r="J58" i="2"/>
  <c r="I58" i="2"/>
  <c r="E58" i="2"/>
  <c r="F58" i="2" s="1"/>
  <c r="L46" i="3" s="1"/>
  <c r="L57" i="2"/>
  <c r="K57" i="2"/>
  <c r="I57" i="2"/>
  <c r="G57" i="2"/>
  <c r="E57" i="2"/>
  <c r="F57" i="2" s="1"/>
  <c r="L56" i="2"/>
  <c r="K56" i="2"/>
  <c r="I56" i="2"/>
  <c r="G56" i="2"/>
  <c r="E56" i="2"/>
  <c r="F56" i="2" s="1"/>
  <c r="L52" i="2"/>
  <c r="K52" i="2"/>
  <c r="M52" i="2" s="1"/>
  <c r="N52" i="2" s="1"/>
  <c r="J52" i="2"/>
  <c r="I52" i="2"/>
  <c r="E52" i="2"/>
  <c r="F52" i="2" s="1"/>
  <c r="L41" i="3" s="1"/>
  <c r="L51" i="2"/>
  <c r="M51" i="2" s="1"/>
  <c r="N51" i="2" s="1"/>
  <c r="K51" i="2"/>
  <c r="J51" i="2"/>
  <c r="I51" i="2"/>
  <c r="E51" i="2"/>
  <c r="F51" i="2" s="1"/>
  <c r="L40" i="3" s="1"/>
  <c r="L50" i="2"/>
  <c r="K50" i="2"/>
  <c r="M50" i="2" s="1"/>
  <c r="N50" i="2" s="1"/>
  <c r="J50" i="2"/>
  <c r="I50" i="2"/>
  <c r="E50" i="2"/>
  <c r="F50" i="2" s="1"/>
  <c r="L39" i="3" s="1"/>
  <c r="L49" i="2"/>
  <c r="K49" i="2"/>
  <c r="M49" i="2" s="1"/>
  <c r="N49" i="2" s="1"/>
  <c r="J49" i="2"/>
  <c r="I49" i="2"/>
  <c r="E49" i="2"/>
  <c r="F49" i="2" s="1"/>
  <c r="L38" i="3" s="1"/>
  <c r="L48" i="2"/>
  <c r="K48" i="2"/>
  <c r="M48" i="2" s="1"/>
  <c r="N48" i="2" s="1"/>
  <c r="J48" i="2"/>
  <c r="I48" i="2"/>
  <c r="E48" i="2"/>
  <c r="F48" i="2" s="1"/>
  <c r="L37" i="3" s="1"/>
  <c r="J47" i="2"/>
  <c r="I47" i="2"/>
  <c r="E47" i="2"/>
  <c r="F47" i="2" s="1"/>
  <c r="L36" i="3" s="1"/>
  <c r="L46" i="2"/>
  <c r="K46" i="2"/>
  <c r="I46" i="2"/>
  <c r="G46" i="2"/>
  <c r="E46" i="2"/>
  <c r="F46" i="2" s="1"/>
  <c r="L45" i="2"/>
  <c r="K45" i="2"/>
  <c r="I45" i="2"/>
  <c r="G45" i="2"/>
  <c r="E45" i="2"/>
  <c r="F45" i="2" s="1"/>
  <c r="L41" i="2"/>
  <c r="K41" i="2"/>
  <c r="M41" i="2" s="1"/>
  <c r="N41" i="2" s="1"/>
  <c r="J41" i="2"/>
  <c r="I41" i="2"/>
  <c r="E41" i="2"/>
  <c r="F41" i="2" s="1"/>
  <c r="L31" i="3" s="1"/>
  <c r="L40" i="2"/>
  <c r="K40" i="2"/>
  <c r="M40" i="2" s="1"/>
  <c r="N40" i="2" s="1"/>
  <c r="J40" i="2"/>
  <c r="I40" i="2"/>
  <c r="E40" i="2"/>
  <c r="F40" i="2" s="1"/>
  <c r="L30" i="3" s="1"/>
  <c r="L39" i="2"/>
  <c r="M39" i="2" s="1"/>
  <c r="N39" i="2" s="1"/>
  <c r="K39" i="2"/>
  <c r="J39" i="2"/>
  <c r="I39" i="2"/>
  <c r="E39" i="2"/>
  <c r="F39" i="2" s="1"/>
  <c r="L29" i="3" s="1"/>
  <c r="L38" i="2"/>
  <c r="K38" i="2"/>
  <c r="M38" i="2" s="1"/>
  <c r="N38" i="2" s="1"/>
  <c r="J38" i="2"/>
  <c r="I38" i="2"/>
  <c r="E38" i="2"/>
  <c r="F38" i="2" s="1"/>
  <c r="L28" i="3" s="1"/>
  <c r="L37" i="2"/>
  <c r="K37" i="2"/>
  <c r="M37" i="2" s="1"/>
  <c r="N37" i="2" s="1"/>
  <c r="J37" i="2"/>
  <c r="I37" i="2"/>
  <c r="E37" i="2"/>
  <c r="F37" i="2" s="1"/>
  <c r="L27" i="3" s="1"/>
  <c r="K36" i="2"/>
  <c r="M36" i="2" s="1"/>
  <c r="N36" i="2" s="1"/>
  <c r="J36" i="2"/>
  <c r="I36" i="2"/>
  <c r="E36" i="2"/>
  <c r="F36" i="2" s="1"/>
  <c r="L26" i="3" s="1"/>
  <c r="L35" i="2"/>
  <c r="K35" i="2"/>
  <c r="I35" i="2"/>
  <c r="G35" i="2"/>
  <c r="E35" i="2"/>
  <c r="F35" i="2" s="1"/>
  <c r="L34" i="2"/>
  <c r="G34" i="2"/>
  <c r="W46" i="4"/>
  <c r="V46" i="4"/>
  <c r="U46" i="4"/>
  <c r="T46" i="4"/>
  <c r="S46" i="4"/>
  <c r="R46" i="4"/>
  <c r="Q46" i="4"/>
  <c r="P46" i="4"/>
  <c r="W45" i="4"/>
  <c r="V45" i="4"/>
  <c r="U45" i="4"/>
  <c r="T45" i="4"/>
  <c r="S45" i="4"/>
  <c r="R45" i="4"/>
  <c r="Q45" i="4"/>
  <c r="P45" i="4"/>
  <c r="W44" i="4"/>
  <c r="V44" i="4"/>
  <c r="U44" i="4"/>
  <c r="T44" i="4"/>
  <c r="S44" i="4"/>
  <c r="R44" i="4"/>
  <c r="Q44" i="4"/>
  <c r="P44" i="4"/>
  <c r="W43" i="4"/>
  <c r="V43" i="4"/>
  <c r="U43" i="4"/>
  <c r="T43" i="4"/>
  <c r="S43" i="4"/>
  <c r="R43" i="4"/>
  <c r="Q43" i="4"/>
  <c r="P43" i="4"/>
  <c r="W42" i="4"/>
  <c r="V42" i="4"/>
  <c r="U42" i="4"/>
  <c r="U39" i="4" s="1"/>
  <c r="U38" i="4" s="1"/>
  <c r="H5" i="19" s="1"/>
  <c r="T42" i="4"/>
  <c r="S42" i="4"/>
  <c r="R42" i="4"/>
  <c r="Q42" i="4"/>
  <c r="P42" i="4"/>
  <c r="C46" i="4"/>
  <c r="D46" i="4"/>
  <c r="E46" i="4"/>
  <c r="F46" i="4"/>
  <c r="G46" i="4"/>
  <c r="H46" i="4"/>
  <c r="I46" i="4"/>
  <c r="C45" i="4"/>
  <c r="D45" i="4"/>
  <c r="E45" i="4"/>
  <c r="F45" i="4"/>
  <c r="G45" i="4"/>
  <c r="H45" i="4"/>
  <c r="I45" i="4"/>
  <c r="C44" i="4"/>
  <c r="D44" i="4"/>
  <c r="E44" i="4"/>
  <c r="F44" i="4"/>
  <c r="G44" i="4"/>
  <c r="H44" i="4"/>
  <c r="I44" i="4"/>
  <c r="C43" i="4"/>
  <c r="D43" i="4"/>
  <c r="E43" i="4"/>
  <c r="F43" i="4"/>
  <c r="G43" i="4"/>
  <c r="H43" i="4"/>
  <c r="I43" i="4"/>
  <c r="C42" i="4"/>
  <c r="D42" i="4"/>
  <c r="E42" i="4"/>
  <c r="F42" i="4"/>
  <c r="G42" i="4"/>
  <c r="H42" i="4"/>
  <c r="H39" i="4" s="1"/>
  <c r="H38" i="4" s="1"/>
  <c r="I4" i="19" s="1"/>
  <c r="I42" i="4"/>
  <c r="B46" i="4"/>
  <c r="B45" i="4"/>
  <c r="B44" i="4"/>
  <c r="B43" i="4"/>
  <c r="B42" i="4"/>
  <c r="K9" i="19"/>
  <c r="K8" i="19"/>
  <c r="L12" i="19"/>
  <c r="C12" i="19" s="1"/>
  <c r="AA8" i="4"/>
  <c r="AA14" i="4"/>
  <c r="M14" i="4"/>
  <c r="M8" i="4"/>
  <c r="Z7" i="4"/>
  <c r="L7" i="4"/>
  <c r="M17" i="3"/>
  <c r="M18" i="3"/>
  <c r="M19" i="3"/>
  <c r="M20" i="3"/>
  <c r="M21" i="3"/>
  <c r="M16" i="3"/>
  <c r="M7" i="3"/>
  <c r="M8" i="3"/>
  <c r="M9" i="3"/>
  <c r="M10" i="3"/>
  <c r="M11" i="3"/>
  <c r="M6" i="3"/>
  <c r="L24" i="2"/>
  <c r="L23" i="2"/>
  <c r="L13" i="2"/>
  <c r="L12" i="2"/>
  <c r="K24" i="2"/>
  <c r="K23" i="2"/>
  <c r="K13" i="2"/>
  <c r="K12" i="2"/>
  <c r="I23" i="2"/>
  <c r="I24" i="2"/>
  <c r="E23" i="2"/>
  <c r="F23" i="2" s="1"/>
  <c r="D23" i="2"/>
  <c r="I12" i="2"/>
  <c r="D24" i="2"/>
  <c r="D25" i="2"/>
  <c r="D26" i="2"/>
  <c r="D27" i="2"/>
  <c r="D28" i="2"/>
  <c r="D29" i="2"/>
  <c r="D30" i="2"/>
  <c r="B24" i="2"/>
  <c r="B25" i="2"/>
  <c r="B26" i="2"/>
  <c r="B27" i="2"/>
  <c r="E27" i="2" s="1"/>
  <c r="F27" i="2" s="1"/>
  <c r="L18" i="3" s="1"/>
  <c r="B28" i="2"/>
  <c r="B29" i="2"/>
  <c r="B30" i="2"/>
  <c r="B23" i="2"/>
  <c r="B12" i="2"/>
  <c r="L30" i="2"/>
  <c r="K30" i="2"/>
  <c r="J30" i="2"/>
  <c r="L29" i="2"/>
  <c r="K29" i="2"/>
  <c r="J29" i="2"/>
  <c r="L28" i="2"/>
  <c r="K28" i="2"/>
  <c r="J28" i="2"/>
  <c r="L27" i="2"/>
  <c r="K27" i="2"/>
  <c r="M27" i="2" s="1"/>
  <c r="N27" i="2" s="1"/>
  <c r="J27" i="2"/>
  <c r="L26" i="2"/>
  <c r="K26" i="2"/>
  <c r="J26" i="2"/>
  <c r="I26" i="2"/>
  <c r="K25" i="2"/>
  <c r="M25" i="2" s="1"/>
  <c r="N25" i="2" s="1"/>
  <c r="J25" i="2"/>
  <c r="G24" i="2"/>
  <c r="G23" i="2"/>
  <c r="D13" i="2"/>
  <c r="D14" i="2"/>
  <c r="D15" i="2"/>
  <c r="D16" i="2"/>
  <c r="D17" i="2"/>
  <c r="D18" i="2"/>
  <c r="D19" i="2"/>
  <c r="B13" i="2"/>
  <c r="B14" i="2"/>
  <c r="B15" i="2"/>
  <c r="B16" i="2"/>
  <c r="B17" i="2"/>
  <c r="B18" i="2"/>
  <c r="B19" i="2"/>
  <c r="B5" i="2"/>
  <c r="I33" i="4"/>
  <c r="H33" i="4"/>
  <c r="G33" i="4"/>
  <c r="F33" i="4"/>
  <c r="E33" i="4"/>
  <c r="D33" i="4"/>
  <c r="C33" i="4"/>
  <c r="B33" i="4"/>
  <c r="B34" i="4" s="1"/>
  <c r="P31" i="4"/>
  <c r="B31" i="4"/>
  <c r="I27" i="4"/>
  <c r="H27" i="4"/>
  <c r="G27" i="4"/>
  <c r="F27" i="4"/>
  <c r="E27" i="4"/>
  <c r="D27" i="4"/>
  <c r="C27" i="4"/>
  <c r="P25" i="4"/>
  <c r="B25" i="4"/>
  <c r="I21" i="4"/>
  <c r="H21" i="4"/>
  <c r="G21" i="4"/>
  <c r="F21" i="4"/>
  <c r="E21" i="4"/>
  <c r="D21" i="4"/>
  <c r="C21" i="4"/>
  <c r="P19" i="4"/>
  <c r="B19" i="4"/>
  <c r="I15" i="4"/>
  <c r="H15" i="4"/>
  <c r="G15" i="4"/>
  <c r="F15" i="4"/>
  <c r="E15" i="4"/>
  <c r="D15" i="4"/>
  <c r="C15" i="4"/>
  <c r="B15" i="4"/>
  <c r="I9" i="4"/>
  <c r="H9" i="4"/>
  <c r="G9" i="4"/>
  <c r="F9" i="4"/>
  <c r="E9" i="4"/>
  <c r="D9" i="4"/>
  <c r="C9" i="4"/>
  <c r="P7" i="4"/>
  <c r="B7" i="4"/>
  <c r="J52" i="3"/>
  <c r="I52" i="3"/>
  <c r="H52" i="3"/>
  <c r="G52" i="3"/>
  <c r="F52" i="3"/>
  <c r="E52" i="3"/>
  <c r="D52" i="3"/>
  <c r="C52" i="3"/>
  <c r="J42" i="3"/>
  <c r="I42" i="3"/>
  <c r="H42" i="3"/>
  <c r="G42" i="3"/>
  <c r="F42" i="3"/>
  <c r="E42" i="3"/>
  <c r="D42" i="3"/>
  <c r="C42" i="3"/>
  <c r="J32" i="3"/>
  <c r="I32" i="3"/>
  <c r="H32" i="3"/>
  <c r="G32" i="3"/>
  <c r="F32" i="3"/>
  <c r="E32" i="3"/>
  <c r="D32" i="3"/>
  <c r="C32" i="3"/>
  <c r="J22" i="3"/>
  <c r="I22" i="3"/>
  <c r="H22" i="3"/>
  <c r="G22" i="3"/>
  <c r="F22" i="3"/>
  <c r="E22" i="3"/>
  <c r="D22" i="3"/>
  <c r="C22" i="3"/>
  <c r="J12" i="3"/>
  <c r="I12" i="3"/>
  <c r="H12" i="3"/>
  <c r="G12" i="3"/>
  <c r="F12" i="3"/>
  <c r="E12" i="3"/>
  <c r="D12" i="3"/>
  <c r="B11" i="3"/>
  <c r="B10" i="3"/>
  <c r="B9" i="3"/>
  <c r="B8" i="3"/>
  <c r="B7" i="3"/>
  <c r="B6" i="3"/>
  <c r="L19" i="2"/>
  <c r="K19" i="2"/>
  <c r="J19" i="2"/>
  <c r="L18" i="2"/>
  <c r="K18" i="2"/>
  <c r="J18" i="2"/>
  <c r="L17" i="2"/>
  <c r="K17" i="2"/>
  <c r="J17" i="2"/>
  <c r="L16" i="2"/>
  <c r="K16" i="2"/>
  <c r="M16" i="2" s="1"/>
  <c r="N16" i="2" s="1"/>
  <c r="J16" i="2"/>
  <c r="L15" i="2"/>
  <c r="K15" i="2"/>
  <c r="J15" i="2"/>
  <c r="L14" i="2"/>
  <c r="K14" i="2"/>
  <c r="M14" i="2" s="1"/>
  <c r="N14" i="2" s="1"/>
  <c r="J14" i="2"/>
  <c r="G13" i="2"/>
  <c r="G12" i="2"/>
  <c r="H91" i="1"/>
  <c r="E91" i="1"/>
  <c r="B91" i="1"/>
  <c r="I90" i="1"/>
  <c r="J90" i="1" s="1"/>
  <c r="F90" i="1"/>
  <c r="G90" i="1" s="1"/>
  <c r="C90" i="1"/>
  <c r="D90" i="1" s="1"/>
  <c r="I89" i="1"/>
  <c r="J89" i="1" s="1"/>
  <c r="F89" i="1"/>
  <c r="G89" i="1" s="1"/>
  <c r="C89" i="1"/>
  <c r="D89" i="1" s="1"/>
  <c r="I88" i="1"/>
  <c r="J88" i="1" s="1"/>
  <c r="F88" i="1"/>
  <c r="G88" i="1" s="1"/>
  <c r="C88" i="1"/>
  <c r="D88" i="1" s="1"/>
  <c r="I87" i="1"/>
  <c r="J87" i="1" s="1"/>
  <c r="F87" i="1"/>
  <c r="G87" i="1" s="1"/>
  <c r="D87" i="1"/>
  <c r="C87" i="1"/>
  <c r="I86" i="1"/>
  <c r="F86" i="1"/>
  <c r="G86" i="1" s="1"/>
  <c r="C86" i="1"/>
  <c r="D86" i="1" s="1"/>
  <c r="I85" i="1"/>
  <c r="J85" i="1" s="1"/>
  <c r="F85" i="1"/>
  <c r="G85" i="1" s="1"/>
  <c r="C85" i="1"/>
  <c r="D85" i="1" s="1"/>
  <c r="J84" i="1"/>
  <c r="I84" i="1"/>
  <c r="F84" i="1"/>
  <c r="G84" i="1" s="1"/>
  <c r="C84" i="1"/>
  <c r="D84" i="1" s="1"/>
  <c r="I83" i="1"/>
  <c r="J83" i="1" s="1"/>
  <c r="F83" i="1"/>
  <c r="G83" i="1" s="1"/>
  <c r="C83" i="1"/>
  <c r="I29" i="1"/>
  <c r="H29" i="1"/>
  <c r="G29" i="1"/>
  <c r="F29" i="1"/>
  <c r="E29" i="1"/>
  <c r="D29" i="1"/>
  <c r="C29" i="1"/>
  <c r="J28" i="1"/>
  <c r="J27" i="1"/>
  <c r="C52" i="2" s="1"/>
  <c r="H52" i="2" s="1"/>
  <c r="J26" i="1"/>
  <c r="C38" i="2" s="1"/>
  <c r="H38" i="2" s="1"/>
  <c r="J25" i="1"/>
  <c r="C29" i="2" s="1"/>
  <c r="H29" i="2" s="1"/>
  <c r="I20" i="1"/>
  <c r="H20" i="1"/>
  <c r="G20" i="1"/>
  <c r="F20" i="1"/>
  <c r="E20" i="1"/>
  <c r="D20" i="1"/>
  <c r="C20" i="1"/>
  <c r="B20" i="1"/>
  <c r="J19" i="1"/>
  <c r="H57" i="2" s="1"/>
  <c r="J18" i="1"/>
  <c r="H46" i="2" s="1"/>
  <c r="J17" i="1"/>
  <c r="C36" i="2" s="1"/>
  <c r="H36" i="2" s="1"/>
  <c r="J16" i="1"/>
  <c r="C24" i="2" s="1"/>
  <c r="J15" i="1"/>
  <c r="C14" i="2" s="1"/>
  <c r="I11" i="1"/>
  <c r="H11" i="1"/>
  <c r="G11" i="1"/>
  <c r="F11" i="1"/>
  <c r="E11" i="1"/>
  <c r="D11" i="1"/>
  <c r="C11" i="1"/>
  <c r="J10" i="1"/>
  <c r="K52" i="3" s="1"/>
  <c r="J9" i="1"/>
  <c r="K42" i="3" s="1"/>
  <c r="J8" i="1"/>
  <c r="K32" i="3" s="1"/>
  <c r="J7" i="1"/>
  <c r="K22" i="3" s="1"/>
  <c r="C35" i="2" l="1"/>
  <c r="C34" i="2"/>
  <c r="H34" i="2" s="1"/>
  <c r="M34" i="2" s="1"/>
  <c r="N34" i="2" s="1"/>
  <c r="E21" i="3"/>
  <c r="E19" i="3"/>
  <c r="I17" i="3"/>
  <c r="D21" i="3"/>
  <c r="D19" i="3"/>
  <c r="G17" i="3"/>
  <c r="E17" i="3"/>
  <c r="I20" i="3"/>
  <c r="J18" i="3"/>
  <c r="D17" i="3"/>
  <c r="F20" i="3"/>
  <c r="I18" i="3"/>
  <c r="R15" i="4"/>
  <c r="F16" i="3"/>
  <c r="C12" i="3"/>
  <c r="B11" i="1"/>
  <c r="B9" i="4"/>
  <c r="D16" i="3"/>
  <c r="W15" i="4"/>
  <c r="C16" i="3"/>
  <c r="V15" i="4"/>
  <c r="J16" i="3"/>
  <c r="U15" i="4"/>
  <c r="I16" i="3"/>
  <c r="T15" i="4"/>
  <c r="H16" i="3"/>
  <c r="S15" i="4"/>
  <c r="G16" i="3"/>
  <c r="J20" i="3"/>
  <c r="I19" i="3"/>
  <c r="H18" i="3"/>
  <c r="H17" i="3"/>
  <c r="C20" i="3"/>
  <c r="I21" i="3"/>
  <c r="H20" i="3"/>
  <c r="G19" i="3"/>
  <c r="F18" i="3"/>
  <c r="F17" i="3"/>
  <c r="H21" i="3"/>
  <c r="G20" i="3"/>
  <c r="F19" i="3"/>
  <c r="E18" i="3"/>
  <c r="I6" i="3"/>
  <c r="V9" i="4"/>
  <c r="P9" i="4"/>
  <c r="U9" i="4"/>
  <c r="G6" i="3"/>
  <c r="T9" i="4"/>
  <c r="F6" i="3"/>
  <c r="H8" i="3"/>
  <c r="G9" i="3"/>
  <c r="F10" i="3"/>
  <c r="E11" i="3"/>
  <c r="B29" i="1"/>
  <c r="F8" i="3"/>
  <c r="E9" i="3"/>
  <c r="D10" i="3"/>
  <c r="F7" i="3"/>
  <c r="C7" i="3"/>
  <c r="E8" i="3"/>
  <c r="D9" i="3"/>
  <c r="J11" i="3"/>
  <c r="E7" i="3"/>
  <c r="C8" i="3"/>
  <c r="D8" i="3"/>
  <c r="J10" i="3"/>
  <c r="I11" i="3"/>
  <c r="D7" i="3"/>
  <c r="C9" i="3"/>
  <c r="J24" i="1"/>
  <c r="K8" i="3" s="1"/>
  <c r="J9" i="3"/>
  <c r="I10" i="3"/>
  <c r="H11" i="3"/>
  <c r="C10" i="3"/>
  <c r="C11" i="3"/>
  <c r="I8" i="3"/>
  <c r="H9" i="3"/>
  <c r="G10" i="3"/>
  <c r="F11" i="3"/>
  <c r="I7" i="3"/>
  <c r="J8" i="3"/>
  <c r="I9" i="3"/>
  <c r="H10" i="3"/>
  <c r="G11" i="3"/>
  <c r="J7" i="3"/>
  <c r="H7" i="3"/>
  <c r="G8" i="3"/>
  <c r="F9" i="3"/>
  <c r="E10" i="3"/>
  <c r="D11" i="3"/>
  <c r="B39" i="4"/>
  <c r="B38" i="4" s="1"/>
  <c r="H24" i="2"/>
  <c r="J24" i="2" s="1"/>
  <c r="Y13" i="4" s="1"/>
  <c r="C23" i="2"/>
  <c r="H23" i="2" s="1"/>
  <c r="J23" i="2" s="1"/>
  <c r="K13" i="4" s="1"/>
  <c r="C13" i="2"/>
  <c r="H13" i="2" s="1"/>
  <c r="M13" i="2" s="1"/>
  <c r="N13" i="2" s="1"/>
  <c r="X7" i="4" s="1"/>
  <c r="Y9" i="4" s="1"/>
  <c r="C15" i="2"/>
  <c r="C12" i="2"/>
  <c r="H12" i="2" s="1"/>
  <c r="M12" i="2" s="1"/>
  <c r="E39" i="4"/>
  <c r="E38" i="4" s="1"/>
  <c r="F39" i="4"/>
  <c r="F38" i="4" s="1"/>
  <c r="G4" i="19" s="1"/>
  <c r="P39" i="4"/>
  <c r="P38" i="4" s="1"/>
  <c r="C5" i="19" s="1"/>
  <c r="S39" i="4"/>
  <c r="S38" i="4" s="1"/>
  <c r="F5" i="19" s="1"/>
  <c r="J20" i="20"/>
  <c r="P16" i="4"/>
  <c r="Q13" i="4" s="1"/>
  <c r="B16" i="4"/>
  <c r="C13" i="4" s="1"/>
  <c r="C16" i="4" s="1"/>
  <c r="H5" i="20"/>
  <c r="I4" i="20"/>
  <c r="C12" i="20"/>
  <c r="D12" i="20"/>
  <c r="E12" i="20"/>
  <c r="F12" i="20"/>
  <c r="D13" i="20"/>
  <c r="E13" i="20"/>
  <c r="G12" i="20"/>
  <c r="F13" i="20"/>
  <c r="H12" i="20"/>
  <c r="G13" i="20"/>
  <c r="I12" i="20"/>
  <c r="H13" i="20"/>
  <c r="I13" i="20"/>
  <c r="C13" i="20"/>
  <c r="G13" i="19"/>
  <c r="G39" i="4"/>
  <c r="G38" i="4" s="1"/>
  <c r="H4" i="19" s="1"/>
  <c r="H56" i="2"/>
  <c r="J56" i="2" s="1"/>
  <c r="H35" i="2"/>
  <c r="J35" i="2" s="1"/>
  <c r="C58" i="2"/>
  <c r="H58" i="2" s="1"/>
  <c r="C41" i="2"/>
  <c r="H41" i="2" s="1"/>
  <c r="C47" i="2"/>
  <c r="H47" i="2" s="1"/>
  <c r="W39" i="4"/>
  <c r="W38" i="4" s="1"/>
  <c r="I39" i="4"/>
  <c r="I38" i="4" s="1"/>
  <c r="C39" i="4"/>
  <c r="C38" i="4" s="1"/>
  <c r="C40" i="2"/>
  <c r="H40" i="2" s="1"/>
  <c r="C39" i="2"/>
  <c r="H39" i="2" s="1"/>
  <c r="G38" i="2"/>
  <c r="C37" i="2"/>
  <c r="H37" i="2" s="1"/>
  <c r="H45" i="2"/>
  <c r="J45" i="2" s="1"/>
  <c r="K25" i="4" s="1"/>
  <c r="C25" i="2"/>
  <c r="H25" i="2" s="1"/>
  <c r="H14" i="2"/>
  <c r="G36" i="2"/>
  <c r="D39" i="4"/>
  <c r="D38" i="4" s="1"/>
  <c r="Q39" i="4"/>
  <c r="Q38" i="4" s="1"/>
  <c r="T39" i="4"/>
  <c r="T38" i="4" s="1"/>
  <c r="R39" i="4"/>
  <c r="R38" i="4" s="1"/>
  <c r="V39" i="4"/>
  <c r="V38" i="4" s="1"/>
  <c r="C48" i="4"/>
  <c r="C48" i="2"/>
  <c r="G48" i="2" s="1"/>
  <c r="C51" i="2"/>
  <c r="H51" i="2" s="1"/>
  <c r="C50" i="2"/>
  <c r="H50" i="2" s="1"/>
  <c r="C26" i="2"/>
  <c r="H26" i="2" s="1"/>
  <c r="H15" i="2"/>
  <c r="F13" i="19"/>
  <c r="E13" i="19"/>
  <c r="D13" i="19"/>
  <c r="J13" i="19"/>
  <c r="I13" i="19"/>
  <c r="H12" i="19"/>
  <c r="G12" i="19"/>
  <c r="F12" i="19"/>
  <c r="E12" i="19"/>
  <c r="D12" i="19"/>
  <c r="J12" i="19"/>
  <c r="I12" i="19"/>
  <c r="C13" i="19"/>
  <c r="C20" i="19" s="1"/>
  <c r="B48" i="4"/>
  <c r="I48" i="4"/>
  <c r="H48" i="4"/>
  <c r="G48" i="4"/>
  <c r="F48" i="4"/>
  <c r="E48" i="4"/>
  <c r="D48" i="4"/>
  <c r="C49" i="2"/>
  <c r="H49" i="2" s="1"/>
  <c r="C28" i="2"/>
  <c r="H28" i="2" s="1"/>
  <c r="C27" i="2"/>
  <c r="H27" i="2" s="1"/>
  <c r="C30" i="2"/>
  <c r="H30" i="2" s="1"/>
  <c r="G62" i="2"/>
  <c r="G61" i="2"/>
  <c r="G59" i="2"/>
  <c r="G58" i="2"/>
  <c r="M56" i="2"/>
  <c r="N56" i="2" s="1"/>
  <c r="G52" i="2"/>
  <c r="M35" i="2"/>
  <c r="N35" i="2" s="1"/>
  <c r="G63" i="2"/>
  <c r="J57" i="2"/>
  <c r="J46" i="2"/>
  <c r="Y25" i="4" s="1"/>
  <c r="M19" i="2"/>
  <c r="N19" i="2" s="1"/>
  <c r="Q19" i="4"/>
  <c r="M29" i="2"/>
  <c r="N29" i="2" s="1"/>
  <c r="K6" i="3"/>
  <c r="J11" i="1"/>
  <c r="B8" i="2" s="1"/>
  <c r="M35" i="4"/>
  <c r="M28" i="2"/>
  <c r="N28" i="2" s="1"/>
  <c r="I91" i="1"/>
  <c r="M26" i="2"/>
  <c r="N26" i="2" s="1"/>
  <c r="C91" i="1"/>
  <c r="M17" i="2"/>
  <c r="N17" i="2" s="1"/>
  <c r="K26" i="3"/>
  <c r="N26" i="3" s="1"/>
  <c r="O26" i="3" s="1"/>
  <c r="K27" i="3"/>
  <c r="N27" i="3" s="1"/>
  <c r="O27" i="3" s="1"/>
  <c r="P27" i="3" s="1"/>
  <c r="K28" i="3"/>
  <c r="N28" i="3" s="1"/>
  <c r="O28" i="3" s="1"/>
  <c r="P28" i="3" s="1"/>
  <c r="K29" i="3"/>
  <c r="N29" i="3" s="1"/>
  <c r="O29" i="3" s="1"/>
  <c r="P29" i="3" s="1"/>
  <c r="K30" i="3"/>
  <c r="N30" i="3" s="1"/>
  <c r="O30" i="3" s="1"/>
  <c r="P30" i="3" s="1"/>
  <c r="K31" i="3"/>
  <c r="N31" i="3" s="1"/>
  <c r="O31" i="3" s="1"/>
  <c r="P31" i="3" s="1"/>
  <c r="K36" i="3"/>
  <c r="N36" i="3" s="1"/>
  <c r="O36" i="3" s="1"/>
  <c r="K37" i="3"/>
  <c r="N37" i="3" s="1"/>
  <c r="O37" i="3" s="1"/>
  <c r="P37" i="3" s="1"/>
  <c r="K38" i="3"/>
  <c r="N38" i="3" s="1"/>
  <c r="O38" i="3" s="1"/>
  <c r="P38" i="3" s="1"/>
  <c r="K39" i="3"/>
  <c r="N39" i="3" s="1"/>
  <c r="O39" i="3" s="1"/>
  <c r="P39" i="3" s="1"/>
  <c r="K40" i="3"/>
  <c r="K41" i="3"/>
  <c r="N41" i="3" s="1"/>
  <c r="O41" i="3" s="1"/>
  <c r="P41" i="3" s="1"/>
  <c r="K46" i="3"/>
  <c r="N46" i="3" s="1"/>
  <c r="P46" i="3" s="1"/>
  <c r="P52" i="3" s="1"/>
  <c r="K47" i="3"/>
  <c r="N47" i="3" s="1"/>
  <c r="O47" i="3" s="1"/>
  <c r="K48" i="3"/>
  <c r="N48" i="3" s="1"/>
  <c r="O48" i="3" s="1"/>
  <c r="K49" i="3"/>
  <c r="N49" i="3" s="1"/>
  <c r="O49" i="3" s="1"/>
  <c r="K50" i="3"/>
  <c r="N50" i="3" s="1"/>
  <c r="O50" i="3" s="1"/>
  <c r="K51" i="3"/>
  <c r="N51" i="3" s="1"/>
  <c r="O51" i="3" s="1"/>
  <c r="D83" i="1"/>
  <c r="D91" i="1" s="1"/>
  <c r="M15" i="2"/>
  <c r="N15" i="2" s="1"/>
  <c r="M30" i="2"/>
  <c r="N30" i="2" s="1"/>
  <c r="F91" i="1"/>
  <c r="M18" i="2"/>
  <c r="N18" i="2" s="1"/>
  <c r="C31" i="4"/>
  <c r="Q31" i="4"/>
  <c r="C19" i="4"/>
  <c r="Q25" i="4"/>
  <c r="E30" i="2"/>
  <c r="F30" i="2" s="1"/>
  <c r="L21" i="3" s="1"/>
  <c r="I30" i="2"/>
  <c r="E24" i="2"/>
  <c r="F24" i="2" s="1"/>
  <c r="I29" i="2"/>
  <c r="E29" i="2"/>
  <c r="F29" i="2" s="1"/>
  <c r="I28" i="2"/>
  <c r="E28" i="2"/>
  <c r="F28" i="2" s="1"/>
  <c r="I25" i="2"/>
  <c r="E26" i="2"/>
  <c r="F26" i="2" s="1"/>
  <c r="L17" i="3" s="1"/>
  <c r="I27" i="2"/>
  <c r="E25" i="2"/>
  <c r="F25" i="2" s="1"/>
  <c r="L16" i="3" s="1"/>
  <c r="J20" i="1"/>
  <c r="G91" i="1"/>
  <c r="J86" i="1"/>
  <c r="J91" i="1" s="1"/>
  <c r="C25" i="4"/>
  <c r="G39" i="2" l="1"/>
  <c r="K18" i="3"/>
  <c r="N18" i="3" s="1"/>
  <c r="O18" i="3" s="1"/>
  <c r="P18" i="3" s="1"/>
  <c r="P10" i="4"/>
  <c r="Q7" i="4" s="1"/>
  <c r="Q10" i="4" s="1"/>
  <c r="B10" i="4"/>
  <c r="C7" i="4" s="1"/>
  <c r="C10" i="4" s="1"/>
  <c r="K17" i="3"/>
  <c r="N17" i="3" s="1"/>
  <c r="O17" i="3" s="1"/>
  <c r="P17" i="3" s="1"/>
  <c r="K19" i="3"/>
  <c r="K21" i="3"/>
  <c r="N21" i="3" s="1"/>
  <c r="O21" i="3" s="1"/>
  <c r="P21" i="3" s="1"/>
  <c r="K16" i="3"/>
  <c r="N16" i="3" s="1"/>
  <c r="O16" i="3" s="1"/>
  <c r="K20" i="3"/>
  <c r="C17" i="2"/>
  <c r="H17" i="2" s="1"/>
  <c r="C16" i="2"/>
  <c r="H16" i="2" s="1"/>
  <c r="C18" i="2"/>
  <c r="H18" i="2" s="1"/>
  <c r="K7" i="3"/>
  <c r="K10" i="3"/>
  <c r="C19" i="2"/>
  <c r="H19" i="2" s="1"/>
  <c r="K9" i="3"/>
  <c r="J29" i="1"/>
  <c r="K11" i="3"/>
  <c r="G4" i="20"/>
  <c r="F4" i="19"/>
  <c r="F6" i="19" s="1"/>
  <c r="F4" i="20"/>
  <c r="G41" i="2"/>
  <c r="G37" i="2"/>
  <c r="J12" i="2"/>
  <c r="K7" i="4" s="1"/>
  <c r="E5" i="19"/>
  <c r="E5" i="20"/>
  <c r="J4" i="19"/>
  <c r="J4" i="20"/>
  <c r="E4" i="19"/>
  <c r="E4" i="20"/>
  <c r="C5" i="20"/>
  <c r="F5" i="20"/>
  <c r="C22" i="4"/>
  <c r="D19" i="4" s="1"/>
  <c r="D22" i="4" s="1"/>
  <c r="E19" i="4" s="1"/>
  <c r="I5" i="19"/>
  <c r="I6" i="19" s="1"/>
  <c r="I5" i="20"/>
  <c r="I6" i="20" s="1"/>
  <c r="C4" i="19"/>
  <c r="C6" i="19" s="1"/>
  <c r="C4" i="20"/>
  <c r="F20" i="20"/>
  <c r="C20" i="20"/>
  <c r="E20" i="20"/>
  <c r="J5" i="19"/>
  <c r="J5" i="20"/>
  <c r="G5" i="19"/>
  <c r="G6" i="19" s="1"/>
  <c r="G5" i="20"/>
  <c r="G20" i="20"/>
  <c r="D5" i="19"/>
  <c r="D5" i="20"/>
  <c r="D20" i="20"/>
  <c r="D4" i="19"/>
  <c r="D4" i="20"/>
  <c r="H6" i="19"/>
  <c r="H4" i="20"/>
  <c r="H6" i="20" s="1"/>
  <c r="H20" i="20"/>
  <c r="I20" i="20"/>
  <c r="J34" i="2"/>
  <c r="M45" i="2"/>
  <c r="N45" i="2" s="1"/>
  <c r="J25" i="4" s="1"/>
  <c r="C34" i="4"/>
  <c r="D31" i="4" s="1"/>
  <c r="D34" i="4" s="1"/>
  <c r="E31" i="4" s="1"/>
  <c r="P26" i="3"/>
  <c r="P32" i="3" s="1"/>
  <c r="G40" i="2"/>
  <c r="H48" i="2"/>
  <c r="G47" i="2"/>
  <c r="Q34" i="4"/>
  <c r="R31" i="4" s="1"/>
  <c r="R34" i="4" s="1"/>
  <c r="S31" i="4" s="1"/>
  <c r="Q22" i="4"/>
  <c r="R19" i="4" s="1"/>
  <c r="R22" i="4" s="1"/>
  <c r="S19" i="4" s="1"/>
  <c r="G50" i="2"/>
  <c r="G51" i="2"/>
  <c r="P36" i="3"/>
  <c r="N40" i="3"/>
  <c r="O40" i="3" s="1"/>
  <c r="P40" i="3" s="1"/>
  <c r="E20" i="19"/>
  <c r="J38" i="4"/>
  <c r="G49" i="2"/>
  <c r="G27" i="2"/>
  <c r="Q28" i="4"/>
  <c r="R25" i="4" s="1"/>
  <c r="R28" i="4" s="1"/>
  <c r="S25" i="4" s="1"/>
  <c r="C28" i="4"/>
  <c r="D25" i="4" s="1"/>
  <c r="D28" i="4" s="1"/>
  <c r="E25" i="4" s="1"/>
  <c r="G20" i="19"/>
  <c r="F20" i="19"/>
  <c r="I20" i="19"/>
  <c r="J20" i="19"/>
  <c r="G28" i="2"/>
  <c r="L19" i="3"/>
  <c r="G29" i="2"/>
  <c r="L20" i="3"/>
  <c r="M57" i="2"/>
  <c r="N57" i="2" s="1"/>
  <c r="M46" i="2"/>
  <c r="N46" i="2" s="1"/>
  <c r="X25" i="4" s="1"/>
  <c r="H20" i="19"/>
  <c r="D20" i="19"/>
  <c r="G25" i="2"/>
  <c r="G30" i="2"/>
  <c r="G26" i="2"/>
  <c r="Q16" i="4"/>
  <c r="R13" i="4" s="1"/>
  <c r="R16" i="4" s="1"/>
  <c r="S13" i="4" s="1"/>
  <c r="M24" i="2"/>
  <c r="N24" i="2" s="1"/>
  <c r="X13" i="4" s="1"/>
  <c r="Y15" i="4" s="1"/>
  <c r="M23" i="2"/>
  <c r="N23" i="2" s="1"/>
  <c r="J13" i="4" s="1"/>
  <c r="K15" i="4" s="1"/>
  <c r="E14" i="2"/>
  <c r="F14" i="2" s="1"/>
  <c r="L6" i="3" s="1"/>
  <c r="E15" i="2"/>
  <c r="F15" i="2" s="1"/>
  <c r="L7" i="3" s="1"/>
  <c r="E17" i="2"/>
  <c r="F17" i="2" s="1"/>
  <c r="L9" i="3" s="1"/>
  <c r="E19" i="2"/>
  <c r="F19" i="2" s="1"/>
  <c r="L11" i="3" s="1"/>
  <c r="D13" i="4"/>
  <c r="D16" i="4" s="1"/>
  <c r="E16" i="2"/>
  <c r="F16" i="2" s="1"/>
  <c r="L8" i="3" s="1"/>
  <c r="E18" i="2"/>
  <c r="F18" i="2" s="1"/>
  <c r="L10" i="3" s="1"/>
  <c r="P37" i="4" l="1"/>
  <c r="C9" i="20" s="1"/>
  <c r="B37" i="4"/>
  <c r="C8" i="20" s="1"/>
  <c r="N19" i="3"/>
  <c r="O19" i="3" s="1"/>
  <c r="P19" i="3" s="1"/>
  <c r="G6" i="20"/>
  <c r="N20" i="3"/>
  <c r="O20" i="3" s="1"/>
  <c r="P20" i="3" s="1"/>
  <c r="C6" i="20"/>
  <c r="F6" i="20"/>
  <c r="D6" i="19"/>
  <c r="D6" i="20"/>
  <c r="E6" i="19"/>
  <c r="J6" i="20"/>
  <c r="E6" i="20"/>
  <c r="J6" i="19"/>
  <c r="P16" i="3"/>
  <c r="C9" i="19"/>
  <c r="P42" i="3"/>
  <c r="C37" i="4"/>
  <c r="S34" i="4"/>
  <c r="T31" i="4" s="1"/>
  <c r="S22" i="4"/>
  <c r="T19" i="4" s="1"/>
  <c r="E34" i="4"/>
  <c r="F31" i="4" s="1"/>
  <c r="E22" i="4"/>
  <c r="F19" i="4" s="1"/>
  <c r="S28" i="4"/>
  <c r="T25" i="4" s="1"/>
  <c r="E28" i="4"/>
  <c r="F25" i="4" s="1"/>
  <c r="Q37" i="4"/>
  <c r="R7" i="4"/>
  <c r="R10" i="4" s="1"/>
  <c r="S16" i="4"/>
  <c r="T13" i="4" s="1"/>
  <c r="E13" i="2"/>
  <c r="F13" i="2" s="1"/>
  <c r="N12" i="2"/>
  <c r="J7" i="4" s="1"/>
  <c r="E12" i="2"/>
  <c r="F12" i="2" s="1"/>
  <c r="I19" i="2"/>
  <c r="N11" i="3" s="1"/>
  <c r="G19" i="2"/>
  <c r="I14" i="2"/>
  <c r="G14" i="2"/>
  <c r="I16" i="2"/>
  <c r="N8" i="3" s="1"/>
  <c r="G16" i="2"/>
  <c r="E13" i="4"/>
  <c r="E16" i="4" s="1"/>
  <c r="I18" i="2"/>
  <c r="N10" i="3" s="1"/>
  <c r="G18" i="2"/>
  <c r="G17" i="2"/>
  <c r="I17" i="2"/>
  <c r="N9" i="3" s="1"/>
  <c r="O9" i="3" s="1"/>
  <c r="P9" i="3" s="1"/>
  <c r="I15" i="2"/>
  <c r="N7" i="3" s="1"/>
  <c r="G15" i="2"/>
  <c r="C8" i="19" l="1"/>
  <c r="C10" i="20"/>
  <c r="B17" i="20"/>
  <c r="P22" i="3"/>
  <c r="C10" i="19"/>
  <c r="D9" i="19"/>
  <c r="D9" i="20"/>
  <c r="D8" i="19"/>
  <c r="D8" i="20"/>
  <c r="T34" i="4"/>
  <c r="U31" i="4" s="1"/>
  <c r="T22" i="4"/>
  <c r="U19" i="4" s="1"/>
  <c r="F34" i="4"/>
  <c r="G31" i="4" s="1"/>
  <c r="F22" i="4"/>
  <c r="G19" i="4" s="1"/>
  <c r="T28" i="4"/>
  <c r="U25" i="4" s="1"/>
  <c r="F28" i="4"/>
  <c r="G25" i="4" s="1"/>
  <c r="O8" i="3"/>
  <c r="O11" i="3"/>
  <c r="O10" i="3"/>
  <c r="O7" i="3"/>
  <c r="P7" i="3" s="1"/>
  <c r="B17" i="19"/>
  <c r="N6" i="3"/>
  <c r="O6" i="3" s="1"/>
  <c r="S7" i="4"/>
  <c r="S10" i="4" s="1"/>
  <c r="R37" i="4"/>
  <c r="T16" i="4"/>
  <c r="U13" i="4" s="1"/>
  <c r="I13" i="2"/>
  <c r="J13" i="2" s="1"/>
  <c r="Y7" i="4" s="1"/>
  <c r="F13" i="4"/>
  <c r="F16" i="4" s="1"/>
  <c r="D7" i="4"/>
  <c r="D10" i="4" s="1"/>
  <c r="D37" i="4" s="1"/>
  <c r="D10" i="19" l="1"/>
  <c r="D10" i="20"/>
  <c r="B15" i="19"/>
  <c r="B15" i="20"/>
  <c r="E9" i="19"/>
  <c r="E9" i="20"/>
  <c r="E8" i="19"/>
  <c r="E8" i="20"/>
  <c r="P8" i="3"/>
  <c r="P10" i="3"/>
  <c r="P11" i="3"/>
  <c r="U34" i="4"/>
  <c r="V31" i="4" s="1"/>
  <c r="U22" i="4"/>
  <c r="V19" i="4" s="1"/>
  <c r="G34" i="4"/>
  <c r="H31" i="4" s="1"/>
  <c r="G22" i="4"/>
  <c r="H19" i="4" s="1"/>
  <c r="U28" i="4"/>
  <c r="V25" i="4" s="1"/>
  <c r="G28" i="4"/>
  <c r="H25" i="4" s="1"/>
  <c r="P6" i="3"/>
  <c r="T7" i="4"/>
  <c r="T10" i="4" s="1"/>
  <c r="S37" i="4"/>
  <c r="U16" i="4"/>
  <c r="V13" i="4" s="1"/>
  <c r="E7" i="4"/>
  <c r="E10" i="4" s="1"/>
  <c r="E37" i="4" s="1"/>
  <c r="G13" i="4"/>
  <c r="G16" i="4" s="1"/>
  <c r="E10" i="20" l="1"/>
  <c r="E10" i="19"/>
  <c r="B16" i="19"/>
  <c r="B16" i="20"/>
  <c r="B18" i="19"/>
  <c r="B18" i="20"/>
  <c r="B19" i="19"/>
  <c r="B19" i="20"/>
  <c r="B14" i="19"/>
  <c r="B14" i="20"/>
  <c r="F9" i="19"/>
  <c r="F9" i="20"/>
  <c r="F8" i="19"/>
  <c r="F8" i="20"/>
  <c r="V34" i="4"/>
  <c r="W31" i="4" s="1"/>
  <c r="W34" i="4" s="1"/>
  <c r="V22" i="4"/>
  <c r="W19" i="4" s="1"/>
  <c r="W22" i="4" s="1"/>
  <c r="H34" i="4"/>
  <c r="I31" i="4" s="1"/>
  <c r="I34" i="4" s="1"/>
  <c r="H22" i="4"/>
  <c r="I19" i="4" s="1"/>
  <c r="I22" i="4" s="1"/>
  <c r="V28" i="4"/>
  <c r="W25" i="4" s="1"/>
  <c r="W28" i="4" s="1"/>
  <c r="H28" i="4"/>
  <c r="I25" i="4" s="1"/>
  <c r="I28" i="4" s="1"/>
  <c r="P12" i="3"/>
  <c r="P54" i="3" s="1"/>
  <c r="U7" i="4"/>
  <c r="U10" i="4" s="1"/>
  <c r="T37" i="4"/>
  <c r="V16" i="4"/>
  <c r="W13" i="4" s="1"/>
  <c r="W16" i="4" s="1"/>
  <c r="X15" i="4" s="1"/>
  <c r="Y16" i="4" s="1"/>
  <c r="H13" i="4"/>
  <c r="H16" i="4" s="1"/>
  <c r="B20" i="19" l="1"/>
  <c r="B20" i="20"/>
  <c r="F10" i="19"/>
  <c r="F10" i="20"/>
  <c r="G9" i="19"/>
  <c r="G9" i="20"/>
  <c r="V7" i="4"/>
  <c r="V10" i="4" s="1"/>
  <c r="U37" i="4"/>
  <c r="F7" i="4"/>
  <c r="F10" i="4" s="1"/>
  <c r="F37" i="4" s="1"/>
  <c r="I13" i="4"/>
  <c r="I16" i="4" s="1"/>
  <c r="J15" i="4" s="1"/>
  <c r="K16" i="4" s="1"/>
  <c r="H9" i="19" l="1"/>
  <c r="H9" i="20"/>
  <c r="G8" i="19"/>
  <c r="G10" i="19" s="1"/>
  <c r="G8" i="20"/>
  <c r="G10" i="20" s="1"/>
  <c r="W7" i="4"/>
  <c r="W10" i="4" s="1"/>
  <c r="V37" i="4"/>
  <c r="G7" i="4"/>
  <c r="G10" i="4" s="1"/>
  <c r="G37" i="4" s="1"/>
  <c r="W37" i="4" l="1"/>
  <c r="X9" i="4"/>
  <c r="Y10" i="4" s="1"/>
  <c r="J9" i="19"/>
  <c r="J9" i="20"/>
  <c r="I9" i="19"/>
  <c r="I9" i="20"/>
  <c r="H8" i="19"/>
  <c r="H10" i="19" s="1"/>
  <c r="H8" i="20"/>
  <c r="H10" i="20" s="1"/>
  <c r="H7" i="4"/>
  <c r="H10" i="4" s="1"/>
  <c r="H37" i="4" s="1"/>
  <c r="I8" i="19" l="1"/>
  <c r="I10" i="19" s="1"/>
  <c r="I8" i="20"/>
  <c r="I10" i="20" s="1"/>
  <c r="I7" i="4"/>
  <c r="I10" i="4" s="1"/>
  <c r="I37" i="4" l="1"/>
  <c r="J8" i="20" s="1"/>
  <c r="J10" i="20" s="1"/>
  <c r="J9" i="4"/>
  <c r="K10" i="4" s="1"/>
  <c r="J8" i="19"/>
  <c r="J10" i="19" s="1"/>
  <c r="J37" i="4" l="1"/>
  <c r="J40" i="4" s="1"/>
</calcChain>
</file>

<file path=xl/sharedStrings.xml><?xml version="1.0" encoding="utf-8"?>
<sst xmlns="http://schemas.openxmlformats.org/spreadsheetml/2006/main" count="731" uniqueCount="162">
  <si>
    <t>INPUTS - PURCHASING MANAGER</t>
  </si>
  <si>
    <t>Solo inputs manuales. AZUL = modificar según tu estrategia. Sin fórmulas en esta hoja.</t>
  </si>
  <si>
    <t>1. PRODUCCIÓN PLANEADA POR QUINCENA (Assembly A)</t>
  </si>
  <si>
    <t>Quincena →</t>
  </si>
  <si>
    <t>Q1</t>
  </si>
  <si>
    <t>Q2</t>
  </si>
  <si>
    <t>Q3</t>
  </si>
  <si>
    <t>Q4</t>
  </si>
  <si>
    <t>Q5</t>
  </si>
  <si>
    <t>Q6</t>
  </si>
  <si>
    <t>Q7</t>
  </si>
  <si>
    <t>Q8</t>
  </si>
  <si>
    <t>TOTAL</t>
  </si>
  <si>
    <t>Producción EC Planta Central</t>
  </si>
  <si>
    <t>Producción EC Planta West</t>
  </si>
  <si>
    <t>Producción EC Planta East</t>
  </si>
  <si>
    <t>Producción EC Planta North</t>
  </si>
  <si>
    <t>Producción EC Planta South</t>
  </si>
  <si>
    <t>Total</t>
  </si>
  <si>
    <t>1. PRODUCCIÓN PLANEADA POR QUINCENA (Assembly B)</t>
  </si>
  <si>
    <t>1. PRODUCCIÓN PLANEADA POR QUINCENA (Assembly D)</t>
  </si>
  <si>
    <t>Material</t>
  </si>
  <si>
    <t>Inventario Inicial Planta Central</t>
  </si>
  <si>
    <t>Inventario Inicial Planta West</t>
  </si>
  <si>
    <t>Inventario Inicial Planta East</t>
  </si>
  <si>
    <t>Inventario Inicial Planta North</t>
  </si>
  <si>
    <t>Inventario Inicial Planta South</t>
  </si>
  <si>
    <t>Unidad</t>
  </si>
  <si>
    <t>Fuente</t>
  </si>
  <si>
    <t>Parte A</t>
  </si>
  <si>
    <t>unidades</t>
  </si>
  <si>
    <t>Fin Periodo 6</t>
  </si>
  <si>
    <t>Parte B</t>
  </si>
  <si>
    <t>Pieza 1</t>
  </si>
  <si>
    <t>Pieza 2</t>
  </si>
  <si>
    <t>Pieza 3</t>
  </si>
  <si>
    <t>Pieza 4</t>
  </si>
  <si>
    <t>Pieza 5</t>
  </si>
  <si>
    <t>Pieza 6</t>
  </si>
  <si>
    <t>Assembly A</t>
  </si>
  <si>
    <t>Assembly B</t>
  </si>
  <si>
    <t>Assembly C</t>
  </si>
  <si>
    <t>Assembly D</t>
  </si>
  <si>
    <t>3. BILL OF MATERIALS (BOM) - Consumo por Electroclean</t>
  </si>
  <si>
    <t>Consumo por EC</t>
  </si>
  <si>
    <t>Observaciones</t>
  </si>
  <si>
    <t>unidades/EC</t>
  </si>
  <si>
    <t>1:1</t>
  </si>
  <si>
    <t>1:5</t>
  </si>
  <si>
    <t>1:100</t>
  </si>
  <si>
    <t>8:1</t>
  </si>
  <si>
    <t>30%</t>
  </si>
  <si>
    <t>60%</t>
  </si>
  <si>
    <t>2:1</t>
  </si>
  <si>
    <t>75%</t>
  </si>
  <si>
    <t>4. BATCH SIZES (Tamaño de Lote)</t>
  </si>
  <si>
    <t>Batch Size</t>
  </si>
  <si>
    <t>MOQ (Min Order)</t>
  </si>
  <si>
    <t>-</t>
  </si>
  <si>
    <t>Lote fijo</t>
  </si>
  <si>
    <t>Individual</t>
  </si>
  <si>
    <t>Caja 100</t>
  </si>
  <si>
    <t>Lote 30</t>
  </si>
  <si>
    <t>Lote 60</t>
  </si>
  <si>
    <t>Lote 100</t>
  </si>
  <si>
    <t>Pallet 150</t>
  </si>
  <si>
    <t>5. PRECIOS POR BATCH</t>
  </si>
  <si>
    <t>Precio, Proveedor A</t>
  </si>
  <si>
    <t>Precio por Unidad Proveedor A</t>
  </si>
  <si>
    <t>Precio por Electroclean Proveedor A</t>
  </si>
  <si>
    <t>Precio, Proveedor B</t>
  </si>
  <si>
    <t>Precio por Unidad Proveedor B</t>
  </si>
  <si>
    <t>Precio por Electroclean Proveedor B</t>
  </si>
  <si>
    <t>Precio, Proveedor C</t>
  </si>
  <si>
    <t>Precio por Unidad Proveedor C</t>
  </si>
  <si>
    <t>Precio por Electroclean Proveedor C</t>
  </si>
  <si>
    <t>Totales</t>
  </si>
  <si>
    <t>6. ORDERING COST &amp; HOLDING COST</t>
  </si>
  <si>
    <t>Ordering Cost</t>
  </si>
  <si>
    <t>Holding Cost/U/Q</t>
  </si>
  <si>
    <t>Notas</t>
  </si>
  <si>
    <t>Por pedido / Por unidad-quincena</t>
  </si>
  <si>
    <t>Piezas 1-6</t>
  </si>
  <si>
    <t>Solo compra en t=0, sin costos adicionales</t>
  </si>
  <si>
    <t>7. PROVEEDORES - PARTE A</t>
  </si>
  <si>
    <t>ID</t>
  </si>
  <si>
    <t>Precio Base</t>
  </si>
  <si>
    <t>Términos Pago</t>
  </si>
  <si>
    <t>Descuento</t>
  </si>
  <si>
    <t>MOQ Desc.</t>
  </si>
  <si>
    <t>Confiabilidad</t>
  </si>
  <si>
    <t>A</t>
  </si>
  <si>
    <t>Inmediato (0Q)</t>
  </si>
  <si>
    <t>No</t>
  </si>
  <si>
    <t>100%</t>
  </si>
  <si>
    <t>B</t>
  </si>
  <si>
    <t>+2 Quincenas</t>
  </si>
  <si>
    <t>16% si Q≥150</t>
  </si>
  <si>
    <t>80%</t>
  </si>
  <si>
    <t>C</t>
  </si>
  <si>
    <t>+8 Quincenas</t>
  </si>
  <si>
    <t>PROVEEDOR ELEGIDO →</t>
  </si>
  <si>
    <t>8. PROVEEDORES - PARTE B</t>
  </si>
  <si>
    <t>16% si Q≥80</t>
  </si>
  <si>
    <t>Políticas de Inventario (referenciado)</t>
  </si>
  <si>
    <t>Parámetros</t>
  </si>
  <si>
    <t>Service level (0-1)</t>
  </si>
  <si>
    <t>z</t>
  </si>
  <si>
    <t>CV demanda (σ/μ)</t>
  </si>
  <si>
    <t>(si lo dejas vacío, SS=0)</t>
  </si>
  <si>
    <t>Quincenas por periodo</t>
  </si>
  <si>
    <t>Demanda total EC</t>
  </si>
  <si>
    <t>Consumo/EC</t>
  </si>
  <si>
    <t>Demanda periodo (unid)</t>
  </si>
  <si>
    <t>σ periodo</t>
  </si>
  <si>
    <t>Safety Stock (periodo)</t>
  </si>
  <si>
    <t>ROP t0 (piezas)</t>
  </si>
  <si>
    <t>Demanda por quincena</t>
  </si>
  <si>
    <t>SS por quincena</t>
  </si>
  <si>
    <t>ROP por quincena (A/B)</t>
  </si>
  <si>
    <t>Holding Cost (por unid-quincena)</t>
  </si>
  <si>
    <t>EOQ (unid)</t>
  </si>
  <si>
    <t>EOQ (lotes)</t>
  </si>
  <si>
    <t>BOM_CONSUMO - Cálculo de Consumo por Quincena</t>
  </si>
  <si>
    <t>Fórmula: Consumo_Q = Producción_EC_Q × Consumo_por_EC</t>
  </si>
  <si>
    <t>VERDE = datos de Inputs | NEGRO = fórmulas calculadas</t>
  </si>
  <si>
    <t>Planta Centro</t>
  </si>
  <si>
    <t>PRODUCCIÓN TOTAL EC</t>
  </si>
  <si>
    <t>Planta West</t>
  </si>
  <si>
    <t>Planta East</t>
  </si>
  <si>
    <t>Planta North</t>
  </si>
  <si>
    <t>Planta South</t>
  </si>
  <si>
    <t>INVENTARIO DINÁMICO - Control por Quincena</t>
  </si>
  <si>
    <t>Planta Center</t>
  </si>
  <si>
    <t>Concepto</t>
  </si>
  <si>
    <t>Inv_Inicial</t>
  </si>
  <si>
    <t>Recepciones</t>
  </si>
  <si>
    <t>Consumo</t>
  </si>
  <si>
    <t>Inv_Final</t>
  </si>
  <si>
    <t>Pieza Planta East</t>
  </si>
  <si>
    <t>Costo Total</t>
  </si>
  <si>
    <t>Costo</t>
  </si>
  <si>
    <t>SS</t>
  </si>
  <si>
    <t>II</t>
  </si>
  <si>
    <t>A pedir</t>
  </si>
  <si>
    <t>Ordenar esta cantidad</t>
  </si>
  <si>
    <t>Siempre mantener</t>
  </si>
  <si>
    <t>Lotes</t>
  </si>
  <si>
    <t>Lotes a pedir</t>
  </si>
  <si>
    <t>Holding</t>
  </si>
  <si>
    <t>Ordering</t>
  </si>
  <si>
    <t>Ordenes</t>
  </si>
  <si>
    <t>Costo total</t>
  </si>
  <si>
    <t>Holding and Ordering</t>
  </si>
  <si>
    <t>Q0</t>
  </si>
  <si>
    <t>Raw Materials</t>
  </si>
  <si>
    <t>Costo de proveedor</t>
  </si>
  <si>
    <t>CashFlow</t>
  </si>
  <si>
    <t>ROP</t>
  </si>
  <si>
    <t>EOQ</t>
  </si>
  <si>
    <t xml:space="preserve">Recepciones </t>
  </si>
  <si>
    <t>Recuerda que pusiste en el pasado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</si>
</sst>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\$#,##0"/>
  </numFmts>
  <fonts count="21" x14ac:knownFonts="1">
    <font>
      <sz val="11"/>
      <color theme="1"/>
      <name val="Calibri"/>
      <family val="2"/>
    </font>
    <font>
      <sz val="10"/>
      <name val="Arial"/>
      <family val="2"/>
    </font>
    <font>
      <b/>
      <sz val="14"/>
      <name val="Cambria"/>
      <family val="1"/>
    </font>
    <font>
      <i/>
      <sz val="9"/>
      <color rgb="FF0000FF"/>
      <name val="Cambria"/>
      <family val="1"/>
    </font>
    <font>
      <b/>
      <sz val="11"/>
      <color rgb="FFFFFFFF"/>
      <name val="Cambria"/>
      <family val="1"/>
    </font>
    <font>
      <b/>
      <sz val="10"/>
      <name val="Cambria"/>
      <family val="1"/>
    </font>
    <font>
      <sz val="10"/>
      <color rgb="FF0000FF"/>
      <name val="Cambria"/>
      <family val="1"/>
    </font>
    <font>
      <sz val="10"/>
      <color rgb="FF000000"/>
      <name val="Cambria"/>
      <family val="1"/>
    </font>
    <font>
      <i/>
      <sz val="9"/>
      <name val="Cambria"/>
      <family val="1"/>
    </font>
    <font>
      <i/>
      <sz val="9"/>
      <color rgb="FFFF0000"/>
      <name val="Cambria"/>
      <family val="1"/>
    </font>
    <font>
      <i/>
      <sz val="9"/>
      <color rgb="FF008000"/>
      <name val="Cambria"/>
      <family val="1"/>
    </font>
    <font>
      <sz val="10"/>
      <color rgb="FF008000"/>
      <name val="Cambria"/>
      <family val="1"/>
    </font>
    <font>
      <sz val="11"/>
      <color rgb="FFFF0000"/>
      <name val="Calibri"/>
      <family val="2"/>
    </font>
    <font>
      <b/>
      <sz val="15"/>
      <color theme="3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8"/>
      <color theme="3"/>
      <name val="Cambria"/>
      <family val="2"/>
      <scheme val="major"/>
    </font>
    <font>
      <sz val="8"/>
      <name val="Calibri"/>
      <family val="2"/>
    </font>
    <font>
      <b/>
      <sz val="7"/>
      <color rgb="FF0F0F0F"/>
      <name val="Arial"/>
      <family val="2"/>
    </font>
    <font>
      <sz val="7"/>
      <color rgb="FF0F0F0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203764"/>
      </patternFill>
    </fill>
    <fill>
      <patternFill patternType="solid">
        <fgColor rgb="FFE7E6E6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44" fontId="1" fillId="0" borderId="0"/>
    <xf numFmtId="0" fontId="13" fillId="0" borderId="5"/>
    <xf numFmtId="0" fontId="17" fillId="0" borderId="0" applyNumberFormat="0" applyFill="0" applyBorder="0" applyAlignment="0" applyProtection="0"/>
  </cellStyleXfs>
  <cellXfs count="66">
    <xf numFmtId="0" fontId="0" fillId="0" borderId="0" xfId="0"/>
    <xf numFmtId="44" fontId="1" fillId="0" borderId="0" xfId="1"/>
    <xf numFmtId="0" fontId="5" fillId="0" borderId="0" xfId="0" applyFont="1"/>
    <xf numFmtId="0" fontId="8" fillId="0" borderId="0" xfId="0" applyFont="1"/>
    <xf numFmtId="0" fontId="5" fillId="3" borderId="1" xfId="0" applyFont="1" applyFill="1" applyBorder="1" applyAlignment="1">
      <alignment horizontal="center"/>
    </xf>
    <xf numFmtId="0" fontId="5" fillId="0" borderId="1" xfId="0" applyFont="1" applyBorder="1"/>
    <xf numFmtId="3" fontId="6" fillId="4" borderId="1" xfId="0" applyNumberFormat="1" applyFont="1" applyFill="1" applyBorder="1" applyAlignment="1">
      <alignment horizontal="right"/>
    </xf>
    <xf numFmtId="3" fontId="7" fillId="3" borderId="1" xfId="0" applyNumberFormat="1" applyFont="1" applyFill="1" applyBorder="1"/>
    <xf numFmtId="0" fontId="5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8" fillId="0" borderId="1" xfId="0" applyFont="1" applyBorder="1"/>
    <xf numFmtId="2" fontId="6" fillId="4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6" fillId="4" borderId="1" xfId="0" applyFont="1" applyFill="1" applyBorder="1" applyAlignment="1">
      <alignment horizontal="center"/>
    </xf>
    <xf numFmtId="3" fontId="7" fillId="0" borderId="1" xfId="0" applyNumberFormat="1" applyFon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3" fontId="7" fillId="3" borderId="1" xfId="0" applyNumberFormat="1" applyFont="1" applyFill="1" applyBorder="1" applyAlignment="1">
      <alignment horizontal="right"/>
    </xf>
    <xf numFmtId="3" fontId="11" fillId="3" borderId="1" xfId="0" applyNumberFormat="1" applyFont="1" applyFill="1" applyBorder="1" applyAlignment="1">
      <alignment horizontal="right"/>
    </xf>
    <xf numFmtId="3" fontId="11" fillId="0" borderId="1" xfId="0" applyNumberFormat="1" applyFont="1" applyBorder="1" applyAlignment="1">
      <alignment horizontal="right"/>
    </xf>
    <xf numFmtId="0" fontId="5" fillId="3" borderId="1" xfId="0" applyFont="1" applyFill="1" applyBorder="1" applyAlignment="1">
      <alignment wrapText="1"/>
    </xf>
    <xf numFmtId="0" fontId="5" fillId="0" borderId="2" xfId="0" applyFont="1" applyBorder="1"/>
    <xf numFmtId="3" fontId="0" fillId="0" borderId="0" xfId="0" applyNumberFormat="1"/>
    <xf numFmtId="44" fontId="1" fillId="0" borderId="1" xfId="1" applyBorder="1" applyAlignment="1">
      <alignment horizontal="left"/>
    </xf>
    <xf numFmtId="44" fontId="1" fillId="0" borderId="1" xfId="1" applyBorder="1" applyAlignment="1">
      <alignment horizontal="right"/>
    </xf>
    <xf numFmtId="0" fontId="0" fillId="0" borderId="2" xfId="0" applyBorder="1"/>
    <xf numFmtId="44" fontId="0" fillId="0" borderId="0" xfId="0" applyNumberFormat="1"/>
    <xf numFmtId="0" fontId="0" fillId="0" borderId="0" xfId="0" applyAlignment="1">
      <alignment horizontal="center"/>
    </xf>
    <xf numFmtId="44" fontId="1" fillId="0" borderId="0" xfId="1" applyAlignment="1">
      <alignment horizontal="right"/>
    </xf>
    <xf numFmtId="44" fontId="12" fillId="0" borderId="0" xfId="0" applyNumberFormat="1" applyFont="1"/>
    <xf numFmtId="0" fontId="9" fillId="0" borderId="0" xfId="0" applyFont="1"/>
    <xf numFmtId="0" fontId="14" fillId="0" borderId="0" xfId="0" applyFont="1"/>
    <xf numFmtId="0" fontId="15" fillId="0" borderId="0" xfId="0" applyFont="1"/>
    <xf numFmtId="1" fontId="16" fillId="5" borderId="6" xfId="0" applyNumberFormat="1" applyFont="1" applyFill="1" applyBorder="1" applyAlignment="1">
      <alignment horizontal="right" vertical="center" wrapText="1"/>
    </xf>
    <xf numFmtId="1" fontId="0" fillId="0" borderId="6" xfId="0" applyNumberFormat="1" applyBorder="1" applyAlignment="1">
      <alignment horizontal="right" vertical="center" wrapText="1"/>
    </xf>
    <xf numFmtId="2" fontId="0" fillId="0" borderId="6" xfId="0" applyNumberFormat="1" applyBorder="1" applyAlignment="1">
      <alignment horizontal="right" vertical="center" wrapText="1"/>
    </xf>
    <xf numFmtId="0" fontId="4" fillId="2" borderId="2" xfId="0" applyFont="1" applyFill="1" applyBorder="1" applyAlignment="1">
      <alignment horizontal="center"/>
    </xf>
    <xf numFmtId="1" fontId="0" fillId="0" borderId="0" xfId="0" applyNumberFormat="1"/>
    <xf numFmtId="0" fontId="9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indent="1"/>
    </xf>
    <xf numFmtId="44" fontId="0" fillId="0" borderId="3" xfId="0" applyNumberFormat="1" applyBorder="1"/>
    <xf numFmtId="44" fontId="1" fillId="0" borderId="3" xfId="1" applyBorder="1"/>
    <xf numFmtId="2" fontId="0" fillId="0" borderId="0" xfId="0" applyNumberFormat="1"/>
    <xf numFmtId="4" fontId="0" fillId="0" borderId="0" xfId="0" applyNumberFormat="1"/>
    <xf numFmtId="4" fontId="6" fillId="4" borderId="1" xfId="0" applyNumberFormat="1" applyFont="1" applyFill="1" applyBorder="1" applyAlignment="1">
      <alignment horizontal="right"/>
    </xf>
    <xf numFmtId="0" fontId="19" fillId="0" borderId="0" xfId="0" applyFont="1"/>
    <xf numFmtId="0" fontId="4" fillId="2" borderId="0" xfId="0" applyFont="1" applyFill="1"/>
    <xf numFmtId="0" fontId="0" fillId="0" borderId="0" xfId="0"/>
    <xf numFmtId="0" fontId="4" fillId="2" borderId="3" xfId="0" applyFont="1" applyFill="1" applyBorder="1"/>
    <xf numFmtId="0" fontId="0" fillId="0" borderId="3" xfId="0" applyBorder="1"/>
    <xf numFmtId="0" fontId="2" fillId="0" borderId="0" xfId="0" applyFont="1"/>
    <xf numFmtId="0" fontId="4" fillId="2" borderId="3" xfId="0" applyFont="1" applyFill="1" applyBorder="1" applyAlignment="1">
      <alignment horizontal="center"/>
    </xf>
    <xf numFmtId="0" fontId="3" fillId="0" borderId="0" xfId="0" applyFont="1"/>
    <xf numFmtId="0" fontId="10" fillId="0" borderId="0" xfId="0" applyFont="1"/>
    <xf numFmtId="0" fontId="8" fillId="0" borderId="0" xfId="0" applyFont="1"/>
    <xf numFmtId="0" fontId="4" fillId="2" borderId="4" xfId="0" applyFont="1" applyFill="1" applyBorder="1" applyAlignment="1">
      <alignment horizontal="center"/>
    </xf>
    <xf numFmtId="0" fontId="0" fillId="0" borderId="4" xfId="0" applyBorder="1"/>
    <xf numFmtId="0" fontId="13" fillId="0" borderId="5" xfId="2" applyAlignment="1">
      <alignment horizontal="center"/>
    </xf>
    <xf numFmtId="0" fontId="0" fillId="0" borderId="5" xfId="0" applyBorder="1"/>
    <xf numFmtId="0" fontId="17" fillId="0" borderId="0" xfId="3" applyAlignment="1">
      <alignment horizontal="center" wrapText="1"/>
    </xf>
    <xf numFmtId="3" fontId="19" fillId="0" borderId="0" xfId="0" applyNumberFormat="1" applyFont="1"/>
    <xf numFmtId="3" fontId="7" fillId="3" borderId="7" xfId="0" applyNumberFormat="1" applyFont="1" applyFill="1" applyBorder="1" applyAlignment="1">
      <alignment horizontal="right"/>
    </xf>
    <xf numFmtId="3" fontId="20" fillId="0" borderId="0" xfId="0" applyNumberFormat="1" applyFont="1"/>
  </cellXfs>
  <cellStyles count="4">
    <cellStyle name="Encabezado 1" xfId="2" builtinId="16"/>
    <cellStyle name="Moneda" xfId="1" builtinId="4"/>
    <cellStyle name="Normal" xfId="0" builtinId="0"/>
    <cellStyle name="Título" xfId="3" builtinId="15"/>
  </cellStyles>
  <dxfs count="1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A500"/>
      <rgbColor rgb="FFFF6B00"/>
      <rgbColor rgb="FF666699"/>
      <rgbColor rgb="FF969696"/>
      <rgbColor rgb="FF203764"/>
      <rgbColor rgb="FF228B22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topLeftCell="A42" zoomScaleNormal="100" workbookViewId="0">
      <selection activeCell="B24" sqref="B24:I25"/>
    </sheetView>
  </sheetViews>
  <sheetFormatPr baseColWidth="10" defaultColWidth="8.5546875" defaultRowHeight="14.4" x14ac:dyDescent="0.3"/>
  <cols>
    <col min="1" max="1" width="25" customWidth="1"/>
    <col min="2" max="7" width="14.88671875" customWidth="1"/>
    <col min="8" max="8" width="10.44140625" bestFit="1" customWidth="1"/>
    <col min="10" max="10" width="12.33203125" customWidth="1"/>
    <col min="13" max="14" width="12.33203125" bestFit="1" customWidth="1"/>
  </cols>
  <sheetData>
    <row r="1" spans="1:14" ht="17.25" customHeight="1" x14ac:dyDescent="0.3">
      <c r="A1" s="53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4" ht="15" customHeight="1" x14ac:dyDescent="0.3">
      <c r="A2" s="55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4" spans="1:14" ht="15" customHeight="1" x14ac:dyDescent="0.3">
      <c r="A4" s="49" t="s">
        <v>2</v>
      </c>
      <c r="B4" s="50"/>
      <c r="C4" s="50"/>
      <c r="D4" s="50"/>
      <c r="E4" s="50"/>
      <c r="F4" s="50"/>
      <c r="G4" s="50"/>
      <c r="H4" s="50"/>
      <c r="I4" s="50"/>
      <c r="J4" s="50"/>
      <c r="K4" s="50"/>
    </row>
    <row r="5" spans="1:14" ht="15" customHeight="1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4" ht="15" customHeight="1" x14ac:dyDescent="0.3">
      <c r="A6" s="5" t="s">
        <v>13</v>
      </c>
      <c r="B6" s="63">
        <v>1864</v>
      </c>
      <c r="C6" s="63">
        <v>1864</v>
      </c>
      <c r="D6" s="63">
        <v>1864</v>
      </c>
      <c r="E6" s="63">
        <v>1864</v>
      </c>
      <c r="F6" s="63">
        <v>1864</v>
      </c>
      <c r="G6" s="63">
        <v>1864</v>
      </c>
      <c r="H6" s="63">
        <v>1864</v>
      </c>
      <c r="I6" s="63">
        <v>1864</v>
      </c>
      <c r="J6" s="7">
        <f>SUM(B6:I6)</f>
        <v>14912</v>
      </c>
    </row>
    <row r="7" spans="1:14" x14ac:dyDescent="0.3">
      <c r="A7" s="5" t="s">
        <v>14</v>
      </c>
      <c r="B7" s="48">
        <v>1164</v>
      </c>
      <c r="C7" s="48">
        <v>1164</v>
      </c>
      <c r="D7" s="48">
        <v>1164</v>
      </c>
      <c r="E7" s="48">
        <v>1164</v>
      </c>
      <c r="F7" s="48">
        <v>1164</v>
      </c>
      <c r="G7" s="48">
        <v>1164</v>
      </c>
      <c r="H7" s="48">
        <v>1164</v>
      </c>
      <c r="I7" s="48">
        <v>1164</v>
      </c>
      <c r="J7" s="7">
        <f>SUM(B7:I7)</f>
        <v>9312</v>
      </c>
      <c r="N7">
        <f>1401/1.08</f>
        <v>1297.2222222222222</v>
      </c>
    </row>
    <row r="8" spans="1:14" x14ac:dyDescent="0.3">
      <c r="A8" s="5" t="s">
        <v>15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7">
        <f>SUM(B8:I8)</f>
        <v>0</v>
      </c>
    </row>
    <row r="9" spans="1:14" x14ac:dyDescent="0.3">
      <c r="A9" s="5" t="s">
        <v>16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f>SUM(B9:I9)</f>
        <v>0</v>
      </c>
      <c r="L9" s="63">
        <v>1512</v>
      </c>
      <c r="M9">
        <f>L9/B6</f>
        <v>0.81115879828326176</v>
      </c>
    </row>
    <row r="10" spans="1:14" x14ac:dyDescent="0.3">
      <c r="A10" s="5" t="s">
        <v>17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f>SUM(B10:I10)</f>
        <v>0</v>
      </c>
    </row>
    <row r="11" spans="1:14" x14ac:dyDescent="0.3">
      <c r="A11" s="23" t="s">
        <v>18</v>
      </c>
      <c r="B11" s="24">
        <f t="shared" ref="B11:I11" si="0">+SUM(B6:B10)</f>
        <v>3028</v>
      </c>
      <c r="C11" s="24">
        <f t="shared" si="0"/>
        <v>3028</v>
      </c>
      <c r="D11" s="24">
        <f t="shared" si="0"/>
        <v>3028</v>
      </c>
      <c r="E11" s="24">
        <f t="shared" si="0"/>
        <v>3028</v>
      </c>
      <c r="F11" s="24">
        <f t="shared" si="0"/>
        <v>3028</v>
      </c>
      <c r="G11" s="24">
        <f t="shared" si="0"/>
        <v>3028</v>
      </c>
      <c r="H11" s="24">
        <f t="shared" si="0"/>
        <v>3028</v>
      </c>
      <c r="I11" s="24">
        <f t="shared" si="0"/>
        <v>3028</v>
      </c>
      <c r="J11" s="24">
        <f>+SUM(J6:J10)</f>
        <v>24224</v>
      </c>
      <c r="N11">
        <f>745*0.97</f>
        <v>722.65</v>
      </c>
    </row>
    <row r="12" spans="1:14" x14ac:dyDescent="0.3">
      <c r="A12" s="2"/>
      <c r="B12" s="24"/>
      <c r="C12" s="24"/>
      <c r="D12" s="24"/>
      <c r="E12" s="24"/>
      <c r="F12" s="24"/>
      <c r="G12" s="24"/>
      <c r="H12" s="24"/>
      <c r="I12" s="24"/>
      <c r="J12" s="24"/>
    </row>
    <row r="13" spans="1:14" ht="15" customHeight="1" x14ac:dyDescent="0.3">
      <c r="A13" s="49" t="s">
        <v>19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</row>
    <row r="14" spans="1:14" ht="15" customHeight="1" x14ac:dyDescent="0.3">
      <c r="A14" s="4" t="s">
        <v>3</v>
      </c>
      <c r="B14" s="4" t="s">
        <v>4</v>
      </c>
      <c r="C14" s="4" t="s">
        <v>5</v>
      </c>
      <c r="D14" s="4" t="s">
        <v>6</v>
      </c>
      <c r="E14" s="4" t="s">
        <v>7</v>
      </c>
      <c r="F14" s="4" t="s">
        <v>8</v>
      </c>
      <c r="G14" s="4" t="s">
        <v>9</v>
      </c>
      <c r="H14" s="4" t="s">
        <v>10</v>
      </c>
      <c r="I14" s="4" t="s">
        <v>11</v>
      </c>
      <c r="J14" s="4" t="s">
        <v>12</v>
      </c>
    </row>
    <row r="15" spans="1:14" ht="15" customHeight="1" x14ac:dyDescent="0.3">
      <c r="A15" s="5" t="s">
        <v>13</v>
      </c>
      <c r="B15" s="63">
        <v>1863</v>
      </c>
      <c r="C15" s="63">
        <v>1863</v>
      </c>
      <c r="D15" s="63">
        <v>1863</v>
      </c>
      <c r="E15" s="63">
        <v>1863</v>
      </c>
      <c r="F15" s="63">
        <v>1863</v>
      </c>
      <c r="G15" s="63">
        <v>1863</v>
      </c>
      <c r="H15" s="63">
        <v>1863</v>
      </c>
      <c r="I15" s="63">
        <v>1863</v>
      </c>
      <c r="J15" s="7">
        <f>SUM(B15:I15)</f>
        <v>14904</v>
      </c>
    </row>
    <row r="16" spans="1:14" x14ac:dyDescent="0.3">
      <c r="A16" s="5" t="s">
        <v>14</v>
      </c>
      <c r="B16" s="48">
        <v>1163</v>
      </c>
      <c r="C16" s="48">
        <v>1163</v>
      </c>
      <c r="D16" s="48">
        <v>1163</v>
      </c>
      <c r="E16" s="48">
        <v>1163</v>
      </c>
      <c r="F16" s="48">
        <v>1163</v>
      </c>
      <c r="G16" s="48">
        <v>1163</v>
      </c>
      <c r="H16" s="48">
        <v>1163</v>
      </c>
      <c r="I16" s="48">
        <v>1163</v>
      </c>
      <c r="J16" s="7">
        <f>SUM(B16:I16)</f>
        <v>9304</v>
      </c>
      <c r="L16">
        <f>I16*0.2</f>
        <v>232.60000000000002</v>
      </c>
    </row>
    <row r="17" spans="1:11" x14ac:dyDescent="0.3">
      <c r="A17" s="5" t="s">
        <v>15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f>SUM(B17:I17)</f>
        <v>0</v>
      </c>
    </row>
    <row r="18" spans="1:11" x14ac:dyDescent="0.3">
      <c r="A18" s="5" t="s">
        <v>16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f>SUM(B18:I18)</f>
        <v>0</v>
      </c>
    </row>
    <row r="19" spans="1:11" x14ac:dyDescent="0.3">
      <c r="A19" s="5" t="s">
        <v>17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f>SUM(B19:I19)</f>
        <v>0</v>
      </c>
    </row>
    <row r="20" spans="1:11" x14ac:dyDescent="0.3">
      <c r="A20" s="23" t="s">
        <v>18</v>
      </c>
      <c r="B20" s="24">
        <f t="shared" ref="B20:J20" si="1">+SUM(B15:B19)</f>
        <v>3026</v>
      </c>
      <c r="C20" s="24">
        <f t="shared" si="1"/>
        <v>3026</v>
      </c>
      <c r="D20" s="24">
        <f t="shared" si="1"/>
        <v>3026</v>
      </c>
      <c r="E20" s="24">
        <f t="shared" si="1"/>
        <v>3026</v>
      </c>
      <c r="F20" s="24">
        <f t="shared" si="1"/>
        <v>3026</v>
      </c>
      <c r="G20" s="24">
        <f t="shared" si="1"/>
        <v>3026</v>
      </c>
      <c r="H20" s="24">
        <f t="shared" si="1"/>
        <v>3026</v>
      </c>
      <c r="I20" s="24">
        <f t="shared" si="1"/>
        <v>3026</v>
      </c>
      <c r="J20" s="24">
        <f t="shared" si="1"/>
        <v>24208</v>
      </c>
    </row>
    <row r="21" spans="1:11" x14ac:dyDescent="0.3">
      <c r="A21" s="2"/>
      <c r="B21" s="24"/>
      <c r="C21" s="24"/>
      <c r="D21" s="24"/>
      <c r="E21" s="24"/>
      <c r="F21" s="24"/>
      <c r="G21" s="24"/>
      <c r="H21" s="24"/>
      <c r="I21" s="24"/>
      <c r="J21" s="24"/>
    </row>
    <row r="22" spans="1:11" x14ac:dyDescent="0.3">
      <c r="A22" s="49" t="s">
        <v>20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</row>
    <row r="23" spans="1:11" x14ac:dyDescent="0.3">
      <c r="A23" s="4" t="s">
        <v>3</v>
      </c>
      <c r="B23" s="4" t="s">
        <v>4</v>
      </c>
      <c r="C23" s="4" t="s">
        <v>5</v>
      </c>
      <c r="D23" s="4" t="s">
        <v>6</v>
      </c>
      <c r="E23" s="4" t="s">
        <v>7</v>
      </c>
      <c r="F23" s="4" t="s">
        <v>8</v>
      </c>
      <c r="G23" s="4" t="s">
        <v>9</v>
      </c>
      <c r="H23" s="4" t="s">
        <v>10</v>
      </c>
      <c r="I23" s="4" t="s">
        <v>11</v>
      </c>
      <c r="J23" s="4" t="s">
        <v>12</v>
      </c>
    </row>
    <row r="24" spans="1:11" x14ac:dyDescent="0.3">
      <c r="A24" s="5" t="s">
        <v>13</v>
      </c>
      <c r="B24" s="63">
        <v>1863</v>
      </c>
      <c r="C24" s="63">
        <v>1863</v>
      </c>
      <c r="D24" s="63">
        <v>1863</v>
      </c>
      <c r="E24" s="63">
        <v>1863</v>
      </c>
      <c r="F24" s="63">
        <v>1863</v>
      </c>
      <c r="G24" s="63">
        <v>1863</v>
      </c>
      <c r="H24" s="63">
        <v>1863</v>
      </c>
      <c r="I24" s="63">
        <v>1863</v>
      </c>
      <c r="J24" s="7">
        <f>SUM(B24:I24)</f>
        <v>14904</v>
      </c>
    </row>
    <row r="25" spans="1:11" x14ac:dyDescent="0.3">
      <c r="A25" s="5" t="s">
        <v>14</v>
      </c>
      <c r="B25" s="48">
        <v>1163</v>
      </c>
      <c r="C25" s="48">
        <v>1163</v>
      </c>
      <c r="D25" s="48">
        <v>1163</v>
      </c>
      <c r="E25" s="48">
        <v>1163</v>
      </c>
      <c r="F25" s="48">
        <v>1163</v>
      </c>
      <c r="G25" s="48">
        <v>1163</v>
      </c>
      <c r="H25" s="48">
        <v>1163</v>
      </c>
      <c r="I25" s="48">
        <v>1163</v>
      </c>
      <c r="J25" s="7">
        <f>SUM(B25:I25)</f>
        <v>9304</v>
      </c>
    </row>
    <row r="26" spans="1:11" x14ac:dyDescent="0.3">
      <c r="A26" s="5" t="s">
        <v>15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f>SUM(B26:I26)</f>
        <v>0</v>
      </c>
    </row>
    <row r="27" spans="1:11" x14ac:dyDescent="0.3">
      <c r="A27" s="5" t="s">
        <v>16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f>SUM(B27:I27)</f>
        <v>0</v>
      </c>
    </row>
    <row r="28" spans="1:11" x14ac:dyDescent="0.3">
      <c r="A28" s="5" t="s">
        <v>17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f>SUM(B28:I28)</f>
        <v>0</v>
      </c>
    </row>
    <row r="29" spans="1:11" ht="15" customHeight="1" x14ac:dyDescent="0.3">
      <c r="A29" s="23" t="s">
        <v>18</v>
      </c>
      <c r="B29" s="24">
        <f t="shared" ref="B29:J29" si="2">+SUM(B24:B28)</f>
        <v>3026</v>
      </c>
      <c r="C29" s="24">
        <f t="shared" si="2"/>
        <v>3026</v>
      </c>
      <c r="D29" s="24">
        <f t="shared" si="2"/>
        <v>3026</v>
      </c>
      <c r="E29" s="24">
        <f t="shared" si="2"/>
        <v>3026</v>
      </c>
      <c r="F29" s="24">
        <f t="shared" si="2"/>
        <v>3026</v>
      </c>
      <c r="G29" s="24">
        <f t="shared" si="2"/>
        <v>3026</v>
      </c>
      <c r="H29" s="24">
        <f t="shared" si="2"/>
        <v>3026</v>
      </c>
      <c r="I29" s="24">
        <f t="shared" si="2"/>
        <v>3026</v>
      </c>
      <c r="J29" s="24">
        <f t="shared" si="2"/>
        <v>24208</v>
      </c>
    </row>
    <row r="30" spans="1:11" ht="15" customHeight="1" x14ac:dyDescent="0.3">
      <c r="A30" s="23"/>
      <c r="B30" s="24"/>
      <c r="C30" s="24"/>
      <c r="D30" s="24"/>
      <c r="E30" s="24"/>
      <c r="F30" s="24"/>
      <c r="G30" s="24"/>
      <c r="H30" s="24"/>
      <c r="I30" s="24"/>
      <c r="J30" s="24"/>
    </row>
    <row r="31" spans="1:11" ht="44.4" customHeight="1" x14ac:dyDescent="0.3">
      <c r="A31" s="8" t="s">
        <v>21</v>
      </c>
      <c r="B31" s="22" t="s">
        <v>22</v>
      </c>
      <c r="C31" s="22" t="s">
        <v>23</v>
      </c>
      <c r="D31" s="22" t="s">
        <v>24</v>
      </c>
      <c r="E31" s="22" t="s">
        <v>25</v>
      </c>
      <c r="F31" s="22" t="s">
        <v>26</v>
      </c>
      <c r="G31" s="8" t="s">
        <v>27</v>
      </c>
      <c r="H31" s="8" t="s">
        <v>28</v>
      </c>
    </row>
    <row r="32" spans="1:11" ht="15" customHeight="1" x14ac:dyDescent="0.3">
      <c r="A32" s="9" t="s">
        <v>29</v>
      </c>
      <c r="B32" s="48">
        <v>19552</v>
      </c>
      <c r="C32" s="48">
        <v>14864</v>
      </c>
      <c r="D32" s="6">
        <v>0</v>
      </c>
      <c r="E32" s="6">
        <v>0</v>
      </c>
      <c r="F32" s="6">
        <v>0</v>
      </c>
      <c r="G32" s="10" t="s">
        <v>30</v>
      </c>
      <c r="H32" s="11" t="s">
        <v>31</v>
      </c>
    </row>
    <row r="33" spans="1:8" ht="15" customHeight="1" x14ac:dyDescent="0.3">
      <c r="A33" s="9" t="s">
        <v>32</v>
      </c>
      <c r="B33" s="48">
        <v>4467</v>
      </c>
      <c r="C33" s="48">
        <v>19</v>
      </c>
      <c r="D33" s="6">
        <v>0</v>
      </c>
      <c r="E33" s="6">
        <v>0</v>
      </c>
      <c r="F33" s="6">
        <v>0</v>
      </c>
      <c r="G33" s="10" t="s">
        <v>30</v>
      </c>
      <c r="H33" s="11" t="s">
        <v>31</v>
      </c>
    </row>
    <row r="34" spans="1:8" ht="15" customHeight="1" x14ac:dyDescent="0.3">
      <c r="A34" s="9" t="s">
        <v>33</v>
      </c>
      <c r="B34" s="48">
        <v>2</v>
      </c>
      <c r="C34" s="48">
        <v>1</v>
      </c>
      <c r="D34" s="6">
        <v>0</v>
      </c>
      <c r="E34" s="6">
        <v>0</v>
      </c>
      <c r="F34" s="6">
        <v>0</v>
      </c>
      <c r="G34" s="10" t="s">
        <v>30</v>
      </c>
      <c r="H34" s="11" t="s">
        <v>31</v>
      </c>
    </row>
    <row r="35" spans="1:8" ht="15" customHeight="1" x14ac:dyDescent="0.3">
      <c r="A35" s="9" t="s">
        <v>34</v>
      </c>
      <c r="B35" s="48">
        <v>1380</v>
      </c>
      <c r="C35" s="48">
        <v>1076</v>
      </c>
      <c r="D35" s="6">
        <v>0</v>
      </c>
      <c r="E35" s="6">
        <v>0</v>
      </c>
      <c r="F35" s="6">
        <v>0</v>
      </c>
      <c r="G35" s="10" t="s">
        <v>30</v>
      </c>
      <c r="H35" s="11" t="s">
        <v>31</v>
      </c>
    </row>
    <row r="36" spans="1:8" ht="15" customHeight="1" x14ac:dyDescent="0.3">
      <c r="A36" s="9" t="s">
        <v>35</v>
      </c>
      <c r="B36" s="48">
        <v>18</v>
      </c>
      <c r="C36" s="48">
        <v>29</v>
      </c>
      <c r="D36" s="6">
        <v>0</v>
      </c>
      <c r="E36" s="6">
        <v>0</v>
      </c>
      <c r="F36" s="6">
        <v>0</v>
      </c>
      <c r="G36" s="10" t="s">
        <v>30</v>
      </c>
      <c r="H36" s="11" t="s">
        <v>31</v>
      </c>
    </row>
    <row r="37" spans="1:8" ht="15" customHeight="1" x14ac:dyDescent="0.3">
      <c r="A37" s="9" t="s">
        <v>36</v>
      </c>
      <c r="B37" s="48">
        <v>36</v>
      </c>
      <c r="C37" s="48">
        <v>58</v>
      </c>
      <c r="D37" s="6">
        <v>0</v>
      </c>
      <c r="E37" s="6">
        <v>0</v>
      </c>
      <c r="F37" s="6">
        <v>0</v>
      </c>
      <c r="G37" s="10" t="s">
        <v>30</v>
      </c>
      <c r="H37" s="11" t="s">
        <v>31</v>
      </c>
    </row>
    <row r="38" spans="1:8" ht="15" customHeight="1" x14ac:dyDescent="0.3">
      <c r="A38" s="9" t="s">
        <v>37</v>
      </c>
      <c r="B38" s="48">
        <v>20</v>
      </c>
      <c r="C38" s="48">
        <v>94</v>
      </c>
      <c r="D38" s="6">
        <v>0</v>
      </c>
      <c r="E38" s="6">
        <v>0</v>
      </c>
      <c r="F38" s="6">
        <v>0</v>
      </c>
      <c r="G38" s="10" t="s">
        <v>30</v>
      </c>
      <c r="H38" s="11" t="s">
        <v>31</v>
      </c>
    </row>
    <row r="39" spans="1:8" ht="15" customHeight="1" x14ac:dyDescent="0.3">
      <c r="A39" s="9" t="s">
        <v>38</v>
      </c>
      <c r="B39" s="48">
        <v>46</v>
      </c>
      <c r="C39" s="48">
        <v>148</v>
      </c>
      <c r="D39" s="6">
        <v>0</v>
      </c>
      <c r="E39" s="6">
        <v>0</v>
      </c>
      <c r="F39" s="6">
        <v>0</v>
      </c>
      <c r="G39" s="10" t="s">
        <v>30</v>
      </c>
      <c r="H39" s="11" t="s">
        <v>31</v>
      </c>
    </row>
    <row r="40" spans="1:8" ht="15" customHeight="1" x14ac:dyDescent="0.3">
      <c r="A40" s="9" t="s">
        <v>39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10" t="s">
        <v>30</v>
      </c>
      <c r="H40" s="11" t="s">
        <v>31</v>
      </c>
    </row>
    <row r="41" spans="1:8" ht="15" customHeight="1" x14ac:dyDescent="0.3">
      <c r="A41" s="9" t="s">
        <v>40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10" t="s">
        <v>30</v>
      </c>
      <c r="H41" s="11" t="s">
        <v>31</v>
      </c>
    </row>
    <row r="42" spans="1:8" ht="15" customHeight="1" x14ac:dyDescent="0.3">
      <c r="A42" s="9" t="s">
        <v>41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10" t="s">
        <v>30</v>
      </c>
      <c r="H42" s="11" t="s">
        <v>31</v>
      </c>
    </row>
    <row r="43" spans="1:8" ht="15" customHeight="1" x14ac:dyDescent="0.3">
      <c r="A43" s="9" t="s">
        <v>42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10" t="s">
        <v>30</v>
      </c>
      <c r="H43" s="11" t="s">
        <v>31</v>
      </c>
    </row>
    <row r="46" spans="1:8" ht="15" customHeight="1" x14ac:dyDescent="0.3">
      <c r="A46" s="49" t="s">
        <v>43</v>
      </c>
      <c r="B46" s="50"/>
      <c r="C46" s="50"/>
      <c r="D46" s="50"/>
    </row>
    <row r="47" spans="1:8" ht="15" customHeight="1" x14ac:dyDescent="0.3">
      <c r="A47" s="8" t="s">
        <v>21</v>
      </c>
      <c r="B47" s="8" t="s">
        <v>44</v>
      </c>
      <c r="C47" s="8" t="s">
        <v>27</v>
      </c>
      <c r="D47" s="8" t="s">
        <v>45</v>
      </c>
    </row>
    <row r="48" spans="1:8" ht="15" customHeight="1" x14ac:dyDescent="0.3">
      <c r="A48" s="9" t="s">
        <v>29</v>
      </c>
      <c r="B48" s="12">
        <v>1</v>
      </c>
      <c r="C48" s="9" t="s">
        <v>46</v>
      </c>
      <c r="D48" s="11" t="s">
        <v>47</v>
      </c>
    </row>
    <row r="49" spans="1:4" ht="15" customHeight="1" x14ac:dyDescent="0.3">
      <c r="A49" s="9" t="s">
        <v>32</v>
      </c>
      <c r="B49" s="12">
        <v>0.2</v>
      </c>
      <c r="C49" s="9" t="s">
        <v>46</v>
      </c>
      <c r="D49" s="11" t="s">
        <v>48</v>
      </c>
    </row>
    <row r="50" spans="1:4" ht="15" customHeight="1" x14ac:dyDescent="0.3">
      <c r="A50" s="9" t="s">
        <v>33</v>
      </c>
      <c r="B50" s="12">
        <v>0.01</v>
      </c>
      <c r="C50" s="9" t="s">
        <v>46</v>
      </c>
      <c r="D50" s="11" t="s">
        <v>49</v>
      </c>
    </row>
    <row r="51" spans="1:4" ht="15" customHeight="1" x14ac:dyDescent="0.3">
      <c r="A51" s="9" t="s">
        <v>34</v>
      </c>
      <c r="B51" s="12">
        <v>8</v>
      </c>
      <c r="C51" s="9" t="s">
        <v>46</v>
      </c>
      <c r="D51" s="11" t="s">
        <v>50</v>
      </c>
    </row>
    <row r="52" spans="1:4" ht="15" customHeight="1" x14ac:dyDescent="0.3">
      <c r="A52" s="9" t="s">
        <v>35</v>
      </c>
      <c r="B52" s="12">
        <v>0.3</v>
      </c>
      <c r="C52" s="9" t="s">
        <v>46</v>
      </c>
      <c r="D52" s="11" t="s">
        <v>51</v>
      </c>
    </row>
    <row r="53" spans="1:4" ht="15" customHeight="1" x14ac:dyDescent="0.3">
      <c r="A53" s="9" t="s">
        <v>36</v>
      </c>
      <c r="B53" s="12">
        <v>0.6</v>
      </c>
      <c r="C53" s="9" t="s">
        <v>46</v>
      </c>
      <c r="D53" s="11" t="s">
        <v>52</v>
      </c>
    </row>
    <row r="54" spans="1:4" ht="15" customHeight="1" x14ac:dyDescent="0.3">
      <c r="A54" s="9" t="s">
        <v>37</v>
      </c>
      <c r="B54" s="12">
        <v>2</v>
      </c>
      <c r="C54" s="9" t="s">
        <v>46</v>
      </c>
      <c r="D54" s="11" t="s">
        <v>53</v>
      </c>
    </row>
    <row r="55" spans="1:4" ht="15" customHeight="1" x14ac:dyDescent="0.3">
      <c r="A55" s="9" t="s">
        <v>38</v>
      </c>
      <c r="B55" s="12">
        <v>0.75</v>
      </c>
      <c r="C55" s="9" t="s">
        <v>46</v>
      </c>
      <c r="D55" s="11" t="s">
        <v>54</v>
      </c>
    </row>
    <row r="56" spans="1:4" ht="15" customHeight="1" x14ac:dyDescent="0.3">
      <c r="A56" s="9" t="s">
        <v>39</v>
      </c>
      <c r="B56" s="12">
        <v>1</v>
      </c>
      <c r="C56" s="9" t="s">
        <v>46</v>
      </c>
      <c r="D56" s="11" t="s">
        <v>47</v>
      </c>
    </row>
    <row r="57" spans="1:4" ht="15" customHeight="1" x14ac:dyDescent="0.3">
      <c r="A57" s="9" t="s">
        <v>40</v>
      </c>
      <c r="B57" s="12">
        <v>1</v>
      </c>
      <c r="C57" s="9" t="s">
        <v>46</v>
      </c>
      <c r="D57" s="11" t="s">
        <v>47</v>
      </c>
    </row>
    <row r="58" spans="1:4" ht="15" customHeight="1" x14ac:dyDescent="0.3">
      <c r="A58" s="9" t="s">
        <v>41</v>
      </c>
      <c r="B58" s="12">
        <v>1</v>
      </c>
      <c r="C58" s="9" t="s">
        <v>46</v>
      </c>
      <c r="D58" s="11" t="s">
        <v>47</v>
      </c>
    </row>
    <row r="59" spans="1:4" ht="15" customHeight="1" x14ac:dyDescent="0.3">
      <c r="A59" s="9" t="s">
        <v>42</v>
      </c>
      <c r="B59" s="12">
        <v>1</v>
      </c>
      <c r="C59" s="9" t="s">
        <v>46</v>
      </c>
      <c r="D59" s="11" t="s">
        <v>47</v>
      </c>
    </row>
    <row r="60" spans="1:4" ht="15" customHeight="1" x14ac:dyDescent="0.3">
      <c r="D60" s="3"/>
    </row>
    <row r="61" spans="1:4" ht="15" customHeight="1" x14ac:dyDescent="0.3">
      <c r="D61" s="3"/>
    </row>
    <row r="64" spans="1:4" ht="15" customHeight="1" x14ac:dyDescent="0.3">
      <c r="A64" s="51" t="s">
        <v>55</v>
      </c>
      <c r="B64" s="52"/>
      <c r="C64" s="52"/>
      <c r="D64" s="52"/>
    </row>
    <row r="65" spans="1:4" ht="15" customHeight="1" x14ac:dyDescent="0.3">
      <c r="A65" s="8" t="s">
        <v>21</v>
      </c>
      <c r="B65" s="8" t="s">
        <v>56</v>
      </c>
      <c r="C65" s="8" t="s">
        <v>57</v>
      </c>
      <c r="D65" s="8" t="s">
        <v>45</v>
      </c>
    </row>
    <row r="66" spans="1:4" ht="15" customHeight="1" x14ac:dyDescent="0.3">
      <c r="A66" s="9" t="s">
        <v>29</v>
      </c>
      <c r="B66" s="47">
        <v>30</v>
      </c>
      <c r="C66" s="10" t="s">
        <v>58</v>
      </c>
      <c r="D66" s="11" t="s">
        <v>59</v>
      </c>
    </row>
    <row r="67" spans="1:4" ht="15" customHeight="1" x14ac:dyDescent="0.3">
      <c r="A67" s="9" t="s">
        <v>32</v>
      </c>
      <c r="B67" s="47">
        <v>12</v>
      </c>
      <c r="C67" s="10" t="s">
        <v>58</v>
      </c>
      <c r="D67" s="11" t="s">
        <v>59</v>
      </c>
    </row>
    <row r="68" spans="1:4" ht="15" customHeight="1" x14ac:dyDescent="0.3">
      <c r="A68" s="9" t="s">
        <v>33</v>
      </c>
      <c r="B68" s="47">
        <v>1</v>
      </c>
      <c r="C68" s="10" t="s">
        <v>58</v>
      </c>
      <c r="D68" s="11" t="s">
        <v>60</v>
      </c>
    </row>
    <row r="69" spans="1:4" ht="15" customHeight="1" x14ac:dyDescent="0.3">
      <c r="A69" s="9" t="s">
        <v>34</v>
      </c>
      <c r="B69" s="47">
        <v>100</v>
      </c>
      <c r="C69" s="10" t="s">
        <v>58</v>
      </c>
      <c r="D69" s="11" t="s">
        <v>61</v>
      </c>
    </row>
    <row r="70" spans="1:4" ht="15" customHeight="1" x14ac:dyDescent="0.3">
      <c r="A70" s="9" t="s">
        <v>35</v>
      </c>
      <c r="B70" s="47">
        <v>30</v>
      </c>
      <c r="C70" s="10" t="s">
        <v>58</v>
      </c>
      <c r="D70" s="11" t="s">
        <v>62</v>
      </c>
    </row>
    <row r="71" spans="1:4" ht="15" customHeight="1" x14ac:dyDescent="0.3">
      <c r="A71" s="9" t="s">
        <v>36</v>
      </c>
      <c r="B71" s="47">
        <v>60</v>
      </c>
      <c r="C71" s="10" t="s">
        <v>58</v>
      </c>
      <c r="D71" s="11" t="s">
        <v>63</v>
      </c>
    </row>
    <row r="72" spans="1:4" ht="15" customHeight="1" x14ac:dyDescent="0.3">
      <c r="A72" s="9" t="s">
        <v>37</v>
      </c>
      <c r="B72" s="47">
        <v>100</v>
      </c>
      <c r="C72" s="10" t="s">
        <v>58</v>
      </c>
      <c r="D72" s="11" t="s">
        <v>64</v>
      </c>
    </row>
    <row r="73" spans="1:4" ht="15" customHeight="1" x14ac:dyDescent="0.3">
      <c r="A73" s="9" t="s">
        <v>38</v>
      </c>
      <c r="B73" s="47">
        <v>150</v>
      </c>
      <c r="C73" s="10" t="s">
        <v>58</v>
      </c>
      <c r="D73" s="11" t="s">
        <v>65</v>
      </c>
    </row>
    <row r="74" spans="1:4" ht="15" customHeight="1" x14ac:dyDescent="0.3">
      <c r="A74" s="9" t="s">
        <v>39</v>
      </c>
      <c r="B74" s="47">
        <v>1</v>
      </c>
      <c r="C74" s="10" t="s">
        <v>58</v>
      </c>
      <c r="D74" s="11" t="s">
        <v>60</v>
      </c>
    </row>
    <row r="75" spans="1:4" ht="15" customHeight="1" x14ac:dyDescent="0.3">
      <c r="A75" s="9" t="s">
        <v>40</v>
      </c>
      <c r="B75" s="47">
        <v>1</v>
      </c>
      <c r="C75" s="10" t="s">
        <v>58</v>
      </c>
      <c r="D75" s="11" t="s">
        <v>60</v>
      </c>
    </row>
    <row r="76" spans="1:4" ht="15" customHeight="1" x14ac:dyDescent="0.3">
      <c r="A76" s="9" t="s">
        <v>41</v>
      </c>
      <c r="B76" s="47">
        <v>1</v>
      </c>
      <c r="C76" s="10" t="s">
        <v>58</v>
      </c>
      <c r="D76" s="11" t="s">
        <v>60</v>
      </c>
    </row>
    <row r="77" spans="1:4" ht="15" customHeight="1" x14ac:dyDescent="0.3">
      <c r="A77" s="9" t="s">
        <v>42</v>
      </c>
      <c r="B77" s="47">
        <v>1</v>
      </c>
      <c r="C77" s="10" t="s">
        <v>58</v>
      </c>
      <c r="D77" s="11" t="s">
        <v>60</v>
      </c>
    </row>
    <row r="78" spans="1:4" ht="15" customHeight="1" x14ac:dyDescent="0.3">
      <c r="C78" s="29"/>
      <c r="D78" s="3"/>
    </row>
    <row r="79" spans="1:4" ht="15" customHeight="1" x14ac:dyDescent="0.3"/>
    <row r="80" spans="1:4" ht="15" customHeight="1" x14ac:dyDescent="0.3"/>
    <row r="81" spans="1:14" ht="15" customHeight="1" x14ac:dyDescent="0.3">
      <c r="A81" s="54" t="s">
        <v>66</v>
      </c>
      <c r="B81" s="52"/>
      <c r="C81" s="52"/>
      <c r="D81" s="52"/>
      <c r="E81" s="52"/>
      <c r="F81" s="52"/>
      <c r="G81" s="52"/>
      <c r="H81" s="52"/>
      <c r="I81" s="52"/>
      <c r="J81" s="52"/>
    </row>
    <row r="82" spans="1:14" ht="42" customHeight="1" x14ac:dyDescent="0.3">
      <c r="A82" s="22" t="s">
        <v>21</v>
      </c>
      <c r="B82" s="22" t="s">
        <v>67</v>
      </c>
      <c r="C82" s="22" t="s">
        <v>68</v>
      </c>
      <c r="D82" s="22" t="s">
        <v>69</v>
      </c>
      <c r="E82" s="22" t="s">
        <v>70</v>
      </c>
      <c r="F82" s="22" t="s">
        <v>71</v>
      </c>
      <c r="G82" s="22" t="s">
        <v>72</v>
      </c>
      <c r="H82" s="22" t="s">
        <v>73</v>
      </c>
      <c r="I82" s="22" t="s">
        <v>74</v>
      </c>
      <c r="J82" s="22" t="s">
        <v>75</v>
      </c>
    </row>
    <row r="83" spans="1:14" ht="15" customHeight="1" x14ac:dyDescent="0.3">
      <c r="A83" s="9" t="s">
        <v>29</v>
      </c>
      <c r="B83" s="25">
        <v>125</v>
      </c>
      <c r="C83" s="26">
        <f t="shared" ref="C83:C90" si="3">B83/B66</f>
        <v>4.166666666666667</v>
      </c>
      <c r="D83" s="26">
        <f t="shared" ref="D83:D90" si="4">C83*B48</f>
        <v>4.166666666666667</v>
      </c>
      <c r="E83" s="26">
        <v>100</v>
      </c>
      <c r="F83" s="26">
        <f t="shared" ref="F83:F90" si="5">E83/B66</f>
        <v>3.3333333333333335</v>
      </c>
      <c r="G83" s="26">
        <f t="shared" ref="G83:G90" si="6">F83*B48</f>
        <v>3.3333333333333335</v>
      </c>
      <c r="H83" s="26">
        <v>140</v>
      </c>
      <c r="I83" s="26">
        <f t="shared" ref="I83:I90" si="7">H83/B66</f>
        <v>4.666666666666667</v>
      </c>
      <c r="J83" s="26">
        <f t="shared" ref="J83:J90" si="8">I83*B48</f>
        <v>4.666666666666667</v>
      </c>
    </row>
    <row r="84" spans="1:14" ht="15" customHeight="1" x14ac:dyDescent="0.3">
      <c r="A84" s="9" t="s">
        <v>32</v>
      </c>
      <c r="B84" s="25">
        <v>330</v>
      </c>
      <c r="C84" s="26">
        <f t="shared" si="3"/>
        <v>27.5</v>
      </c>
      <c r="D84" s="26">
        <f t="shared" si="4"/>
        <v>5.5</v>
      </c>
      <c r="E84" s="26">
        <v>264</v>
      </c>
      <c r="F84" s="26">
        <f t="shared" si="5"/>
        <v>22</v>
      </c>
      <c r="G84" s="26">
        <f t="shared" si="6"/>
        <v>4.4000000000000004</v>
      </c>
      <c r="H84" s="26">
        <v>370</v>
      </c>
      <c r="I84" s="26">
        <f t="shared" si="7"/>
        <v>30.833333333333332</v>
      </c>
      <c r="J84" s="26">
        <f t="shared" si="8"/>
        <v>6.166666666666667</v>
      </c>
    </row>
    <row r="85" spans="1:14" ht="15" customHeight="1" x14ac:dyDescent="0.3">
      <c r="A85" s="9" t="s">
        <v>33</v>
      </c>
      <c r="B85" s="26">
        <v>60</v>
      </c>
      <c r="C85" s="26">
        <f t="shared" si="3"/>
        <v>60</v>
      </c>
      <c r="D85" s="26">
        <f t="shared" si="4"/>
        <v>0.6</v>
      </c>
      <c r="E85" s="26">
        <v>60</v>
      </c>
      <c r="F85" s="26">
        <f t="shared" si="5"/>
        <v>60</v>
      </c>
      <c r="G85" s="26">
        <f t="shared" si="6"/>
        <v>0.6</v>
      </c>
      <c r="H85" s="26">
        <v>60</v>
      </c>
      <c r="I85" s="26">
        <f t="shared" si="7"/>
        <v>60</v>
      </c>
      <c r="J85" s="26">
        <f t="shared" si="8"/>
        <v>0.6</v>
      </c>
      <c r="M85">
        <f>7*60</f>
        <v>420</v>
      </c>
    </row>
    <row r="86" spans="1:14" ht="15" customHeight="1" x14ac:dyDescent="0.3">
      <c r="A86" s="9" t="s">
        <v>34</v>
      </c>
      <c r="B86" s="26">
        <v>7</v>
      </c>
      <c r="C86" s="26">
        <f t="shared" si="3"/>
        <v>7.0000000000000007E-2</v>
      </c>
      <c r="D86" s="26">
        <f t="shared" si="4"/>
        <v>0.56000000000000005</v>
      </c>
      <c r="E86" s="26">
        <v>7</v>
      </c>
      <c r="F86" s="26">
        <f t="shared" si="5"/>
        <v>7.0000000000000007E-2</v>
      </c>
      <c r="G86" s="26">
        <f t="shared" si="6"/>
        <v>0.56000000000000005</v>
      </c>
      <c r="H86" s="26">
        <v>7</v>
      </c>
      <c r="I86" s="26">
        <f t="shared" si="7"/>
        <v>7.0000000000000007E-2</v>
      </c>
      <c r="J86" s="26">
        <f t="shared" si="8"/>
        <v>0.56000000000000005</v>
      </c>
    </row>
    <row r="87" spans="1:14" ht="15" customHeight="1" x14ac:dyDescent="0.3">
      <c r="A87" s="9" t="s">
        <v>35</v>
      </c>
      <c r="B87" s="26">
        <v>36</v>
      </c>
      <c r="C87" s="26">
        <f t="shared" si="3"/>
        <v>1.2</v>
      </c>
      <c r="D87" s="26">
        <f t="shared" si="4"/>
        <v>0.36</v>
      </c>
      <c r="E87" s="26">
        <v>36</v>
      </c>
      <c r="F87" s="26">
        <f t="shared" si="5"/>
        <v>1.2</v>
      </c>
      <c r="G87" s="26">
        <f t="shared" si="6"/>
        <v>0.36</v>
      </c>
      <c r="H87" s="26">
        <v>36</v>
      </c>
      <c r="I87" s="26">
        <f t="shared" si="7"/>
        <v>1.2</v>
      </c>
      <c r="J87" s="26">
        <f t="shared" si="8"/>
        <v>0.36</v>
      </c>
    </row>
    <row r="88" spans="1:14" ht="15" customHeight="1" x14ac:dyDescent="0.3">
      <c r="A88" s="9" t="s">
        <v>36</v>
      </c>
      <c r="B88" s="26">
        <v>24</v>
      </c>
      <c r="C88" s="26">
        <f t="shared" si="3"/>
        <v>0.4</v>
      </c>
      <c r="D88" s="26">
        <f t="shared" si="4"/>
        <v>0.24</v>
      </c>
      <c r="E88" s="26">
        <v>24</v>
      </c>
      <c r="F88" s="26">
        <f t="shared" si="5"/>
        <v>0.4</v>
      </c>
      <c r="G88" s="26">
        <f t="shared" si="6"/>
        <v>0.24</v>
      </c>
      <c r="H88" s="26">
        <v>24</v>
      </c>
      <c r="I88" s="26">
        <f t="shared" si="7"/>
        <v>0.4</v>
      </c>
      <c r="J88" s="26">
        <f t="shared" si="8"/>
        <v>0.24</v>
      </c>
      <c r="N88" s="1"/>
    </row>
    <row r="89" spans="1:14" ht="15" customHeight="1" x14ac:dyDescent="0.3">
      <c r="A89" s="9" t="s">
        <v>37</v>
      </c>
      <c r="B89" s="26">
        <v>30</v>
      </c>
      <c r="C89" s="26">
        <f t="shared" si="3"/>
        <v>0.3</v>
      </c>
      <c r="D89" s="26">
        <f t="shared" si="4"/>
        <v>0.6</v>
      </c>
      <c r="E89" s="26">
        <v>30</v>
      </c>
      <c r="F89" s="26">
        <f t="shared" si="5"/>
        <v>0.3</v>
      </c>
      <c r="G89" s="26">
        <f t="shared" si="6"/>
        <v>0.6</v>
      </c>
      <c r="H89" s="26">
        <v>30</v>
      </c>
      <c r="I89" s="26">
        <f t="shared" si="7"/>
        <v>0.3</v>
      </c>
      <c r="J89" s="26">
        <f t="shared" si="8"/>
        <v>0.6</v>
      </c>
    </row>
    <row r="90" spans="1:14" ht="15" customHeight="1" x14ac:dyDescent="0.3">
      <c r="A90" s="9" t="s">
        <v>38</v>
      </c>
      <c r="B90" s="26">
        <v>28</v>
      </c>
      <c r="C90" s="26">
        <f t="shared" si="3"/>
        <v>0.18666666666666668</v>
      </c>
      <c r="D90" s="26">
        <f t="shared" si="4"/>
        <v>0.14000000000000001</v>
      </c>
      <c r="E90" s="26">
        <v>28</v>
      </c>
      <c r="F90" s="26">
        <f t="shared" si="5"/>
        <v>0.18666666666666668</v>
      </c>
      <c r="G90" s="26">
        <f t="shared" si="6"/>
        <v>0.14000000000000001</v>
      </c>
      <c r="H90" s="26">
        <v>28</v>
      </c>
      <c r="I90" s="26">
        <f t="shared" si="7"/>
        <v>0.18666666666666668</v>
      </c>
      <c r="J90" s="26">
        <f t="shared" si="8"/>
        <v>0.14000000000000001</v>
      </c>
    </row>
    <row r="91" spans="1:14" x14ac:dyDescent="0.3">
      <c r="A91" s="27" t="s">
        <v>76</v>
      </c>
      <c r="B91" s="28">
        <f t="shared" ref="B91:J91" si="9">SUM(B83:B90)</f>
        <v>640</v>
      </c>
      <c r="C91" s="28">
        <f t="shared" si="9"/>
        <v>93.823333333333338</v>
      </c>
      <c r="D91" s="31">
        <f t="shared" si="9"/>
        <v>12.166666666666668</v>
      </c>
      <c r="E91" s="28">
        <f t="shared" si="9"/>
        <v>549</v>
      </c>
      <c r="F91" s="28">
        <f t="shared" si="9"/>
        <v>87.49</v>
      </c>
      <c r="G91" s="31">
        <f t="shared" si="9"/>
        <v>10.233333333333334</v>
      </c>
      <c r="H91" s="28">
        <f t="shared" si="9"/>
        <v>695</v>
      </c>
      <c r="I91" s="28">
        <f t="shared" si="9"/>
        <v>97.656666666666666</v>
      </c>
      <c r="J91" s="31">
        <f t="shared" si="9"/>
        <v>13.333333333333334</v>
      </c>
    </row>
    <row r="93" spans="1:14" ht="15" customHeight="1" x14ac:dyDescent="0.3">
      <c r="A93" s="49" t="s">
        <v>77</v>
      </c>
      <c r="B93" s="50"/>
      <c r="C93" s="50"/>
      <c r="D93" s="50"/>
      <c r="E93" s="50"/>
      <c r="M93" s="1"/>
      <c r="N93" s="1"/>
    </row>
    <row r="94" spans="1:14" ht="15" customHeight="1" x14ac:dyDescent="0.3">
      <c r="A94" s="8" t="s">
        <v>21</v>
      </c>
      <c r="B94" s="8" t="s">
        <v>78</v>
      </c>
      <c r="C94" s="8" t="s">
        <v>79</v>
      </c>
      <c r="D94" s="8" t="s">
        <v>80</v>
      </c>
    </row>
    <row r="95" spans="1:14" ht="15" customHeight="1" x14ac:dyDescent="0.3">
      <c r="A95" s="9" t="s">
        <v>29</v>
      </c>
      <c r="B95" s="26">
        <v>2300</v>
      </c>
      <c r="C95" s="26">
        <v>0.3</v>
      </c>
      <c r="D95" s="11" t="s">
        <v>81</v>
      </c>
    </row>
    <row r="96" spans="1:14" ht="15" customHeight="1" x14ac:dyDescent="0.3">
      <c r="A96" s="9" t="s">
        <v>32</v>
      </c>
      <c r="B96" s="26">
        <v>6000</v>
      </c>
      <c r="C96" s="26">
        <v>4.5</v>
      </c>
      <c r="D96" s="11" t="s">
        <v>81</v>
      </c>
    </row>
    <row r="97" spans="1:8" ht="15" customHeight="1" x14ac:dyDescent="0.3">
      <c r="A97" s="9" t="s">
        <v>82</v>
      </c>
      <c r="B97" s="26">
        <v>0</v>
      </c>
      <c r="C97" s="26">
        <v>0</v>
      </c>
      <c r="D97" s="11" t="s">
        <v>83</v>
      </c>
    </row>
    <row r="98" spans="1:8" ht="15" customHeight="1" x14ac:dyDescent="0.3">
      <c r="A98" s="9" t="s">
        <v>39</v>
      </c>
      <c r="B98" s="26">
        <v>0</v>
      </c>
      <c r="C98" s="26">
        <v>0.2</v>
      </c>
      <c r="D98" s="11" t="s">
        <v>81</v>
      </c>
    </row>
    <row r="99" spans="1:8" ht="15" customHeight="1" x14ac:dyDescent="0.3">
      <c r="A99" s="9" t="s">
        <v>40</v>
      </c>
      <c r="B99" s="26">
        <v>0</v>
      </c>
      <c r="C99" s="26">
        <v>0.4</v>
      </c>
      <c r="D99" s="11" t="s">
        <v>81</v>
      </c>
    </row>
    <row r="100" spans="1:8" ht="15" customHeight="1" x14ac:dyDescent="0.3">
      <c r="A100" s="9" t="s">
        <v>41</v>
      </c>
      <c r="B100" s="26">
        <v>0</v>
      </c>
      <c r="C100" s="26">
        <v>0.6</v>
      </c>
      <c r="D100" s="11" t="s">
        <v>81</v>
      </c>
    </row>
    <row r="101" spans="1:8" ht="15" customHeight="1" x14ac:dyDescent="0.3">
      <c r="A101" s="9" t="s">
        <v>42</v>
      </c>
      <c r="B101" s="26">
        <v>0</v>
      </c>
      <c r="C101" s="26">
        <v>0.2</v>
      </c>
      <c r="D101" s="11" t="s">
        <v>81</v>
      </c>
    </row>
    <row r="102" spans="1:8" ht="15" customHeight="1" x14ac:dyDescent="0.3">
      <c r="B102" s="30"/>
      <c r="C102" s="30"/>
      <c r="D102" s="11"/>
    </row>
    <row r="105" spans="1:8" ht="15" customHeight="1" x14ac:dyDescent="0.3">
      <c r="A105" s="49" t="s">
        <v>84</v>
      </c>
      <c r="B105" s="50"/>
      <c r="C105" s="50"/>
      <c r="D105" s="50"/>
      <c r="E105" s="50"/>
      <c r="F105" s="50"/>
      <c r="G105" s="50"/>
    </row>
    <row r="106" spans="1:8" ht="15" customHeight="1" x14ac:dyDescent="0.3">
      <c r="A106" s="8" t="s">
        <v>85</v>
      </c>
      <c r="B106" s="8" t="s">
        <v>86</v>
      </c>
      <c r="C106" s="8" t="s">
        <v>87</v>
      </c>
      <c r="D106" s="8" t="s">
        <v>88</v>
      </c>
      <c r="E106" s="8" t="s">
        <v>89</v>
      </c>
      <c r="F106" s="8" t="s">
        <v>90</v>
      </c>
    </row>
    <row r="107" spans="1:8" ht="15" customHeight="1" x14ac:dyDescent="0.3">
      <c r="A107" s="10" t="s">
        <v>91</v>
      </c>
      <c r="B107" s="13">
        <v>125</v>
      </c>
      <c r="C107" s="14" t="s">
        <v>92</v>
      </c>
      <c r="D107" s="14" t="s">
        <v>93</v>
      </c>
      <c r="E107" s="14" t="s">
        <v>58</v>
      </c>
      <c r="F107" s="10" t="s">
        <v>94</v>
      </c>
    </row>
    <row r="108" spans="1:8" ht="15" customHeight="1" x14ac:dyDescent="0.3">
      <c r="A108" s="10" t="s">
        <v>95</v>
      </c>
      <c r="B108" s="13">
        <v>100</v>
      </c>
      <c r="C108" s="14" t="s">
        <v>96</v>
      </c>
      <c r="D108" s="14" t="s">
        <v>97</v>
      </c>
      <c r="E108" s="14">
        <v>150</v>
      </c>
      <c r="F108" s="10" t="s">
        <v>98</v>
      </c>
      <c r="H108">
        <f>B109/B107</f>
        <v>1.1200000000000001</v>
      </c>
    </row>
    <row r="109" spans="1:8" ht="15" customHeight="1" x14ac:dyDescent="0.3">
      <c r="A109" s="10" t="s">
        <v>99</v>
      </c>
      <c r="B109" s="13">
        <v>140</v>
      </c>
      <c r="C109" s="14" t="s">
        <v>100</v>
      </c>
      <c r="D109" s="14" t="s">
        <v>93</v>
      </c>
      <c r="E109" s="14" t="s">
        <v>58</v>
      </c>
      <c r="F109" s="10" t="s">
        <v>94</v>
      </c>
    </row>
    <row r="110" spans="1:8" ht="15" customHeight="1" x14ac:dyDescent="0.3">
      <c r="A110" s="2" t="s">
        <v>101</v>
      </c>
      <c r="B110" s="15" t="s">
        <v>91</v>
      </c>
    </row>
    <row r="113" spans="1:7" ht="15" customHeight="1" x14ac:dyDescent="0.3">
      <c r="A113" s="49" t="s">
        <v>102</v>
      </c>
      <c r="B113" s="50"/>
      <c r="C113" s="50"/>
      <c r="D113" s="50"/>
      <c r="E113" s="50"/>
      <c r="F113" s="50"/>
      <c r="G113" s="50"/>
    </row>
    <row r="114" spans="1:7" ht="15" customHeight="1" x14ac:dyDescent="0.3">
      <c r="A114" s="8" t="s">
        <v>85</v>
      </c>
      <c r="B114" s="8" t="s">
        <v>86</v>
      </c>
      <c r="C114" s="8" t="s">
        <v>87</v>
      </c>
      <c r="D114" s="8" t="s">
        <v>88</v>
      </c>
      <c r="E114" s="8" t="s">
        <v>89</v>
      </c>
      <c r="F114" s="8" t="s">
        <v>90</v>
      </c>
    </row>
    <row r="115" spans="1:7" ht="15" customHeight="1" x14ac:dyDescent="0.3">
      <c r="A115" s="10" t="s">
        <v>91</v>
      </c>
      <c r="B115" s="13">
        <v>330</v>
      </c>
      <c r="C115" s="14" t="s">
        <v>92</v>
      </c>
      <c r="D115" s="14" t="s">
        <v>93</v>
      </c>
      <c r="E115" s="14" t="s">
        <v>58</v>
      </c>
      <c r="F115" s="10" t="s">
        <v>94</v>
      </c>
    </row>
    <row r="116" spans="1:7" ht="15" customHeight="1" x14ac:dyDescent="0.3">
      <c r="A116" s="10" t="s">
        <v>95</v>
      </c>
      <c r="B116" s="13">
        <v>264</v>
      </c>
      <c r="C116" s="14" t="s">
        <v>96</v>
      </c>
      <c r="D116" s="14" t="s">
        <v>103</v>
      </c>
      <c r="E116" s="14">
        <v>80</v>
      </c>
      <c r="F116" s="10" t="s">
        <v>98</v>
      </c>
    </row>
    <row r="117" spans="1:7" ht="15" customHeight="1" x14ac:dyDescent="0.3">
      <c r="A117" s="10" t="s">
        <v>99</v>
      </c>
      <c r="B117" s="13">
        <v>370</v>
      </c>
      <c r="C117" s="14" t="s">
        <v>100</v>
      </c>
      <c r="D117" s="14" t="s">
        <v>93</v>
      </c>
      <c r="E117" s="14" t="s">
        <v>58</v>
      </c>
      <c r="F117" s="10" t="s">
        <v>94</v>
      </c>
    </row>
    <row r="118" spans="1:7" ht="15" customHeight="1" x14ac:dyDescent="0.3">
      <c r="A118" s="2" t="s">
        <v>101</v>
      </c>
      <c r="B118" s="15" t="s">
        <v>91</v>
      </c>
    </row>
    <row r="119" spans="1:7" x14ac:dyDescent="0.3">
      <c r="E119">
        <f>B117/B115</f>
        <v>1.1212121212121211</v>
      </c>
    </row>
    <row r="121" spans="1:7" ht="15" customHeight="1" x14ac:dyDescent="0.3"/>
  </sheetData>
  <mergeCells count="11">
    <mergeCell ref="A1:K1"/>
    <mergeCell ref="A46:D46"/>
    <mergeCell ref="A81:J81"/>
    <mergeCell ref="A93:E93"/>
    <mergeCell ref="A13:K13"/>
    <mergeCell ref="A2:K2"/>
    <mergeCell ref="A113:G113"/>
    <mergeCell ref="A22:K22"/>
    <mergeCell ref="A4:K4"/>
    <mergeCell ref="A105:G105"/>
    <mergeCell ref="A64:D64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3"/>
  <sheetViews>
    <sheetView workbookViewId="0">
      <pane ySplit="1" topLeftCell="A2" activePane="bottomLeft" state="frozen"/>
      <selection pane="bottomLeft" activeCell="C58" sqref="C58"/>
    </sheetView>
  </sheetViews>
  <sheetFormatPr baseColWidth="10" defaultColWidth="8.88671875" defaultRowHeight="14.4" x14ac:dyDescent="0.3"/>
  <cols>
    <col min="1" max="1" width="26.33203125" customWidth="1"/>
    <col min="2" max="2" width="12" customWidth="1"/>
    <col min="3" max="3" width="18" customWidth="1"/>
    <col min="4" max="4" width="11.33203125" bestFit="1" customWidth="1"/>
    <col min="5" max="5" width="10" customWidth="1"/>
    <col min="6" max="6" width="16" customWidth="1"/>
    <col min="7" max="7" width="14" customWidth="1"/>
    <col min="8" max="8" width="16" customWidth="1"/>
    <col min="9" max="9" width="14" customWidth="1"/>
    <col min="10" max="10" width="18" customWidth="1"/>
    <col min="11" max="11" width="12" customWidth="1"/>
    <col min="12" max="12" width="18" customWidth="1"/>
    <col min="13" max="13" width="12" customWidth="1"/>
    <col min="14" max="14" width="10" customWidth="1"/>
  </cols>
  <sheetData>
    <row r="1" spans="1:14" ht="18" x14ac:dyDescent="0.35">
      <c r="A1" s="33" t="s">
        <v>104</v>
      </c>
    </row>
    <row r="3" spans="1:14" x14ac:dyDescent="0.3">
      <c r="A3" s="34" t="s">
        <v>105</v>
      </c>
    </row>
    <row r="4" spans="1:14" x14ac:dyDescent="0.3">
      <c r="A4" s="34" t="s">
        <v>106</v>
      </c>
      <c r="B4">
        <v>0.95</v>
      </c>
    </row>
    <row r="5" spans="1:14" x14ac:dyDescent="0.3">
      <c r="A5" s="34" t="s">
        <v>107</v>
      </c>
      <c r="B5" s="45">
        <f>_xlfn.NORM.S.INV(B4)</f>
        <v>1.6448536269514715</v>
      </c>
    </row>
    <row r="6" spans="1:14" x14ac:dyDescent="0.3">
      <c r="A6" s="34" t="s">
        <v>108</v>
      </c>
      <c r="C6" t="s">
        <v>109</v>
      </c>
    </row>
    <row r="7" spans="1:14" x14ac:dyDescent="0.3">
      <c r="A7" s="34" t="s">
        <v>110</v>
      </c>
      <c r="B7">
        <v>8</v>
      </c>
    </row>
    <row r="8" spans="1:14" x14ac:dyDescent="0.3">
      <c r="A8" s="34" t="s">
        <v>111</v>
      </c>
      <c r="B8" s="24">
        <f>Inputs!J11</f>
        <v>24224</v>
      </c>
    </row>
    <row r="10" spans="1:14" x14ac:dyDescent="0.3">
      <c r="A10" s="34" t="s">
        <v>126</v>
      </c>
    </row>
    <row r="11" spans="1:14" ht="28.8" x14ac:dyDescent="0.3">
      <c r="A11" s="35" t="s">
        <v>21</v>
      </c>
      <c r="B11" s="35" t="s">
        <v>112</v>
      </c>
      <c r="C11" s="35" t="s">
        <v>113</v>
      </c>
      <c r="D11" s="35" t="s">
        <v>56</v>
      </c>
      <c r="E11" s="35" t="s">
        <v>114</v>
      </c>
      <c r="F11" s="35" t="s">
        <v>115</v>
      </c>
      <c r="G11" s="35" t="s">
        <v>116</v>
      </c>
      <c r="H11" s="35" t="s">
        <v>117</v>
      </c>
      <c r="I11" s="35" t="s">
        <v>118</v>
      </c>
      <c r="J11" s="35" t="s">
        <v>119</v>
      </c>
      <c r="K11" s="35" t="s">
        <v>78</v>
      </c>
      <c r="L11" s="35" t="s">
        <v>120</v>
      </c>
      <c r="M11" s="35" t="s">
        <v>121</v>
      </c>
      <c r="N11" s="35" t="s">
        <v>122</v>
      </c>
    </row>
    <row r="12" spans="1:14" x14ac:dyDescent="0.3">
      <c r="A12" s="36" t="s">
        <v>29</v>
      </c>
      <c r="B12" s="37">
        <f>Inputs!B48</f>
        <v>1</v>
      </c>
      <c r="C12" s="36">
        <f>Inputs!J6</f>
        <v>14912</v>
      </c>
      <c r="D12" s="36">
        <f>Inputs!B66</f>
        <v>30</v>
      </c>
      <c r="E12" s="36">
        <f t="shared" ref="E12:E19" si="0">IF($B$6="",0,C12*$B$6)</f>
        <v>0</v>
      </c>
      <c r="F12" s="36">
        <f t="shared" ref="F12:F19" si="1">$B$5*E12</f>
        <v>0</v>
      </c>
      <c r="G12" s="36" t="str">
        <f t="shared" ref="G12:G19" si="2">IF(LEFT(A12,5)="Pieza",C12+F12,"")</f>
        <v/>
      </c>
      <c r="H12" s="36">
        <f>B12*(C12/8)</f>
        <v>1864</v>
      </c>
      <c r="I12" s="36">
        <f>IF($B$6="",0,$B$5*H12*$B$6)</f>
        <v>0</v>
      </c>
      <c r="J12" s="36">
        <f>IF(LEFT(A12,5)="Parte",H12+I12,"")</f>
        <v>1864</v>
      </c>
      <c r="K12" s="1">
        <f>Inputs!$B$95</f>
        <v>2300</v>
      </c>
      <c r="L12" s="1">
        <f>Inputs!$C$95</f>
        <v>0.3</v>
      </c>
      <c r="M12" s="36">
        <f>IF(AND(K12&gt;0,L12&gt;0),SQRT(2*H12*K12/L12),"")</f>
        <v>5346.1512636038779</v>
      </c>
      <c r="N12" s="36">
        <f t="shared" ref="N12:N19" si="3">IF(M12="","",ROUNDUP(M12/D12,0))</f>
        <v>179</v>
      </c>
    </row>
    <row r="13" spans="1:14" x14ac:dyDescent="0.3">
      <c r="A13" s="36" t="s">
        <v>32</v>
      </c>
      <c r="B13" s="37">
        <f>Inputs!B49</f>
        <v>0.2</v>
      </c>
      <c r="C13" s="36">
        <f>Inputs!J15</f>
        <v>14904</v>
      </c>
      <c r="D13" s="36">
        <f>Inputs!B67</f>
        <v>12</v>
      </c>
      <c r="E13" s="36">
        <f t="shared" si="0"/>
        <v>0</v>
      </c>
      <c r="F13" s="36">
        <f t="shared" si="1"/>
        <v>0</v>
      </c>
      <c r="G13" s="36" t="str">
        <f t="shared" si="2"/>
        <v/>
      </c>
      <c r="H13" s="36">
        <f>B13*(C13/8)</f>
        <v>372.6</v>
      </c>
      <c r="I13" s="36">
        <f t="shared" ref="I13:I19" si="4">IF($B$6="",0,$B$5*H13*$B$6)</f>
        <v>0</v>
      </c>
      <c r="J13" s="36">
        <f>IF(LEFT(A13,5)="Parte",H13+I13,"")</f>
        <v>372.6</v>
      </c>
      <c r="K13" s="1">
        <f>Inputs!$B$96</f>
        <v>6000</v>
      </c>
      <c r="L13" s="1">
        <f>Inputs!$C$96</f>
        <v>4.5</v>
      </c>
      <c r="M13" s="36">
        <f>IF(AND(K13&gt;0,L13&gt;0),SQRT(2*H13*K13/L13),"")</f>
        <v>996.794863550169</v>
      </c>
      <c r="N13" s="36">
        <f>IF(M13="","",ROUNDUP(M13/D13,0))</f>
        <v>84</v>
      </c>
    </row>
    <row r="14" spans="1:14" x14ac:dyDescent="0.3">
      <c r="A14" s="36" t="s">
        <v>33</v>
      </c>
      <c r="B14" s="37">
        <f>Inputs!B50</f>
        <v>0.01</v>
      </c>
      <c r="C14" s="36">
        <f>B14*Inputs!$J$15</f>
        <v>149.04</v>
      </c>
      <c r="D14" s="36">
        <f>Inputs!B68</f>
        <v>1</v>
      </c>
      <c r="E14" s="36">
        <f t="shared" si="0"/>
        <v>0</v>
      </c>
      <c r="F14" s="36">
        <f t="shared" si="1"/>
        <v>0</v>
      </c>
      <c r="G14" s="36">
        <f t="shared" si="2"/>
        <v>149.04</v>
      </c>
      <c r="H14" s="36">
        <f t="shared" ref="H14:H19" si="5">B14*(C14/8)</f>
        <v>0.18629999999999999</v>
      </c>
      <c r="I14" s="36">
        <f t="shared" si="4"/>
        <v>0</v>
      </c>
      <c r="J14" s="36" t="str">
        <f t="shared" ref="J14:J19" si="6">IF(LEFT(A14,5)="Parte",H14+I14,"")</f>
        <v/>
      </c>
      <c r="K14" s="1">
        <f>IF(LEFT(A14,5)="Parte",_xludf.XLOOKUP(A14,Inputs!$A$95:$A$96,Inputs!$B$95:$B$96,0,0),0)</f>
        <v>0</v>
      </c>
      <c r="L14" s="1">
        <f>IF(LEFT(A14,5)="Parte",_xludf.XLOOKUP(A14,Inputs!$A$95:$A$96,Inputs!$C$95:$C$96,0,0),0)</f>
        <v>0</v>
      </c>
      <c r="M14" s="36" t="str">
        <f t="shared" ref="M14:M19" si="7">IF(AND(K14&gt;0,L14&gt;0),SQRT(2*H14*K14/L14),"")</f>
        <v/>
      </c>
      <c r="N14" s="36" t="str">
        <f t="shared" si="3"/>
        <v/>
      </c>
    </row>
    <row r="15" spans="1:14" x14ac:dyDescent="0.3">
      <c r="A15" s="36" t="s">
        <v>34</v>
      </c>
      <c r="B15" s="37">
        <f>Inputs!B51</f>
        <v>8</v>
      </c>
      <c r="C15" s="36">
        <f>B15*Inputs!$J$15</f>
        <v>119232</v>
      </c>
      <c r="D15" s="36">
        <f>Inputs!B69</f>
        <v>100</v>
      </c>
      <c r="E15" s="36">
        <f t="shared" si="0"/>
        <v>0</v>
      </c>
      <c r="F15" s="36">
        <f t="shared" si="1"/>
        <v>0</v>
      </c>
      <c r="G15" s="36">
        <f t="shared" si="2"/>
        <v>119232</v>
      </c>
      <c r="H15" s="36">
        <f t="shared" si="5"/>
        <v>119232</v>
      </c>
      <c r="I15" s="36">
        <f t="shared" si="4"/>
        <v>0</v>
      </c>
      <c r="J15" s="36" t="str">
        <f t="shared" si="6"/>
        <v/>
      </c>
      <c r="K15" s="1">
        <f>IF(LEFT(A15,5)="Parte",_xludf.XLOOKUP(A15,Inputs!$A$95:$A$96,Inputs!$B$95:$B$96,0,0),0)</f>
        <v>0</v>
      </c>
      <c r="L15" s="1">
        <f>IF(LEFT(A15,5)="Parte",_xludf.XLOOKUP(A15,Inputs!$A$95:$A$96,Inputs!$C$95:$C$96,0,0),0)</f>
        <v>0</v>
      </c>
      <c r="M15" s="36" t="str">
        <f t="shared" si="7"/>
        <v/>
      </c>
      <c r="N15" s="36" t="str">
        <f t="shared" si="3"/>
        <v/>
      </c>
    </row>
    <row r="16" spans="1:14" x14ac:dyDescent="0.3">
      <c r="A16" s="36" t="s">
        <v>35</v>
      </c>
      <c r="B16" s="37">
        <f>Inputs!B52</f>
        <v>0.3</v>
      </c>
      <c r="C16" s="36">
        <f>B16*Inputs!$J$24</f>
        <v>4471.2</v>
      </c>
      <c r="D16" s="36">
        <f>Inputs!B70</f>
        <v>30</v>
      </c>
      <c r="E16" s="36">
        <f t="shared" si="0"/>
        <v>0</v>
      </c>
      <c r="F16" s="36">
        <f t="shared" si="1"/>
        <v>0</v>
      </c>
      <c r="G16" s="36">
        <f t="shared" si="2"/>
        <v>4471.2</v>
      </c>
      <c r="H16" s="36">
        <f t="shared" si="5"/>
        <v>167.67</v>
      </c>
      <c r="I16" s="36">
        <f t="shared" si="4"/>
        <v>0</v>
      </c>
      <c r="J16" s="36" t="str">
        <f t="shared" si="6"/>
        <v/>
      </c>
      <c r="K16" s="1">
        <f>IF(LEFT(A16,5)="Parte",_xludf.XLOOKUP(A16,Inputs!$A$95:$A$96,Inputs!$B$95:$B$96,0,0),0)</f>
        <v>0</v>
      </c>
      <c r="L16" s="1">
        <f>IF(LEFT(A16,5)="Parte",_xludf.XLOOKUP(A16,Inputs!$A$95:$A$96,Inputs!$C$95:$C$96,0,0),0)</f>
        <v>0</v>
      </c>
      <c r="M16" s="36" t="str">
        <f t="shared" si="7"/>
        <v/>
      </c>
      <c r="N16" s="36" t="str">
        <f t="shared" si="3"/>
        <v/>
      </c>
    </row>
    <row r="17" spans="1:14" x14ac:dyDescent="0.3">
      <c r="A17" s="36" t="s">
        <v>36</v>
      </c>
      <c r="B17" s="37">
        <f>Inputs!B53</f>
        <v>0.6</v>
      </c>
      <c r="C17" s="36">
        <f>B17*Inputs!$J$24</f>
        <v>8942.4</v>
      </c>
      <c r="D17" s="36">
        <f>Inputs!B71</f>
        <v>60</v>
      </c>
      <c r="E17" s="36">
        <f t="shared" si="0"/>
        <v>0</v>
      </c>
      <c r="F17" s="36">
        <f t="shared" si="1"/>
        <v>0</v>
      </c>
      <c r="G17" s="36">
        <f t="shared" si="2"/>
        <v>8942.4</v>
      </c>
      <c r="H17" s="36">
        <f t="shared" si="5"/>
        <v>670.68</v>
      </c>
      <c r="I17" s="36">
        <f t="shared" si="4"/>
        <v>0</v>
      </c>
      <c r="J17" s="36" t="str">
        <f t="shared" si="6"/>
        <v/>
      </c>
      <c r="K17" s="1">
        <f>IF(LEFT(A17,5)="Parte",_xludf.XLOOKUP(A17,Inputs!$A$95:$A$96,Inputs!$B$95:$B$96,0,0),0)</f>
        <v>0</v>
      </c>
      <c r="L17" s="1">
        <f>IF(LEFT(A17,5)="Parte",_xludf.XLOOKUP(A17,Inputs!$A$95:$A$96,Inputs!$C$95:$C$96,0,0),0)</f>
        <v>0</v>
      </c>
      <c r="M17" s="36" t="str">
        <f t="shared" si="7"/>
        <v/>
      </c>
      <c r="N17" s="36" t="str">
        <f t="shared" si="3"/>
        <v/>
      </c>
    </row>
    <row r="18" spans="1:14" x14ac:dyDescent="0.3">
      <c r="A18" s="36" t="s">
        <v>37</v>
      </c>
      <c r="B18" s="37">
        <f>Inputs!B54</f>
        <v>2</v>
      </c>
      <c r="C18" s="36">
        <f>B18*Inputs!$J$24</f>
        <v>29808</v>
      </c>
      <c r="D18" s="36">
        <f>Inputs!B72</f>
        <v>100</v>
      </c>
      <c r="E18" s="36">
        <f t="shared" si="0"/>
        <v>0</v>
      </c>
      <c r="F18" s="36">
        <f t="shared" si="1"/>
        <v>0</v>
      </c>
      <c r="G18" s="36">
        <f t="shared" si="2"/>
        <v>29808</v>
      </c>
      <c r="H18" s="36">
        <f t="shared" si="5"/>
        <v>7452</v>
      </c>
      <c r="I18" s="36">
        <f t="shared" si="4"/>
        <v>0</v>
      </c>
      <c r="J18" s="36" t="str">
        <f t="shared" si="6"/>
        <v/>
      </c>
      <c r="K18" s="1">
        <f>IF(LEFT(A18,5)="Parte",_xludf.XLOOKUP(A18,Inputs!$A$95:$A$96,Inputs!$B$95:$B$96,0,0),0)</f>
        <v>0</v>
      </c>
      <c r="L18" s="1">
        <f>IF(LEFT(A18,5)="Parte",_xludf.XLOOKUP(A18,Inputs!$A$95:$A$96,Inputs!$C$95:$C$96,0,0),0)</f>
        <v>0</v>
      </c>
      <c r="M18" s="36" t="str">
        <f t="shared" si="7"/>
        <v/>
      </c>
      <c r="N18" s="36" t="str">
        <f t="shared" si="3"/>
        <v/>
      </c>
    </row>
    <row r="19" spans="1:14" x14ac:dyDescent="0.3">
      <c r="A19" s="36" t="s">
        <v>38</v>
      </c>
      <c r="B19" s="37">
        <f>Inputs!B55</f>
        <v>0.75</v>
      </c>
      <c r="C19" s="36">
        <f>B19*Inputs!$J$24</f>
        <v>11178</v>
      </c>
      <c r="D19" s="36">
        <f>Inputs!B73</f>
        <v>150</v>
      </c>
      <c r="E19" s="36">
        <f t="shared" si="0"/>
        <v>0</v>
      </c>
      <c r="F19" s="36">
        <f t="shared" si="1"/>
        <v>0</v>
      </c>
      <c r="G19" s="36">
        <f t="shared" si="2"/>
        <v>11178</v>
      </c>
      <c r="H19" s="36">
        <f t="shared" si="5"/>
        <v>1047.9375</v>
      </c>
      <c r="I19" s="36">
        <f t="shared" si="4"/>
        <v>0</v>
      </c>
      <c r="J19" s="36" t="str">
        <f t="shared" si="6"/>
        <v/>
      </c>
      <c r="K19" s="1">
        <f>IF(LEFT(A19,5)="Parte",_xludf.XLOOKUP(A19,Inputs!$A$95:$A$96,Inputs!$B$95:$B$96,0,0),0)</f>
        <v>0</v>
      </c>
      <c r="L19" s="1">
        <f>IF(LEFT(A19,5)="Parte",_xludf.XLOOKUP(A19,Inputs!$A$95:$A$96,Inputs!$C$95:$C$96,0,0),0)</f>
        <v>0</v>
      </c>
      <c r="M19" s="36" t="str">
        <f t="shared" si="7"/>
        <v/>
      </c>
      <c r="N19" s="36" t="str">
        <f t="shared" si="3"/>
        <v/>
      </c>
    </row>
    <row r="21" spans="1:14" x14ac:dyDescent="0.3">
      <c r="A21" s="34" t="s">
        <v>128</v>
      </c>
    </row>
    <row r="22" spans="1:14" ht="28.8" x14ac:dyDescent="0.3">
      <c r="A22" s="35" t="s">
        <v>21</v>
      </c>
      <c r="B22" s="35" t="s">
        <v>112</v>
      </c>
      <c r="C22" s="35" t="s">
        <v>113</v>
      </c>
      <c r="D22" s="35" t="s">
        <v>56</v>
      </c>
      <c r="E22" s="35" t="s">
        <v>114</v>
      </c>
      <c r="F22" s="35" t="s">
        <v>115</v>
      </c>
      <c r="G22" s="35" t="s">
        <v>116</v>
      </c>
      <c r="H22" s="35" t="s">
        <v>117</v>
      </c>
      <c r="I22" s="35" t="s">
        <v>118</v>
      </c>
      <c r="J22" s="35" t="s">
        <v>119</v>
      </c>
      <c r="K22" s="35" t="s">
        <v>78</v>
      </c>
      <c r="L22" s="35" t="s">
        <v>120</v>
      </c>
      <c r="M22" s="35" t="s">
        <v>121</v>
      </c>
      <c r="N22" s="35" t="s">
        <v>122</v>
      </c>
    </row>
    <row r="23" spans="1:14" x14ac:dyDescent="0.3">
      <c r="A23" s="36" t="s">
        <v>29</v>
      </c>
      <c r="B23" s="37">
        <f>Inputs!B48</f>
        <v>1</v>
      </c>
      <c r="C23" s="36">
        <f>Inputs!J7</f>
        <v>9312</v>
      </c>
      <c r="D23" s="36">
        <f>Inputs!B66</f>
        <v>30</v>
      </c>
      <c r="E23" s="36">
        <f>IF($B$6="",0,C23*$B$6)</f>
        <v>0</v>
      </c>
      <c r="F23" s="36">
        <f>$B$5*E23</f>
        <v>0</v>
      </c>
      <c r="G23" s="36" t="str">
        <f t="shared" ref="G23:G30" si="8">IF(LEFT(A23,5)="Pieza",C23+F23,"")</f>
        <v/>
      </c>
      <c r="H23" s="36">
        <f>B23*(C23/8)</f>
        <v>1164</v>
      </c>
      <c r="I23" s="36">
        <f>IF($B$6="",0,$B$5*H23*$B$6)</f>
        <v>0</v>
      </c>
      <c r="J23" s="36">
        <f>IF(LEFT(A23,5)="Parte",H23+I23,"")</f>
        <v>1164</v>
      </c>
      <c r="K23" s="1">
        <f>Inputs!$B$95</f>
        <v>2300</v>
      </c>
      <c r="L23" s="1">
        <f>Inputs!$C$95</f>
        <v>0.3</v>
      </c>
      <c r="M23" s="36">
        <f t="shared" ref="M23:M30" si="9">IF(AND(K23&gt;0,L23&gt;0),SQRT(2*H23*K23/L23),"")</f>
        <v>4224.6893376909975</v>
      </c>
      <c r="N23" s="36">
        <f t="shared" ref="N23:N30" si="10">IF(M23="","",ROUNDUP(M23/D23,0))</f>
        <v>141</v>
      </c>
    </row>
    <row r="24" spans="1:14" x14ac:dyDescent="0.3">
      <c r="A24" s="36" t="s">
        <v>32</v>
      </c>
      <c r="B24" s="37">
        <f>Inputs!B49</f>
        <v>0.2</v>
      </c>
      <c r="C24" s="36">
        <f>Inputs!J16</f>
        <v>9304</v>
      </c>
      <c r="D24" s="36">
        <f>Inputs!B67</f>
        <v>12</v>
      </c>
      <c r="E24" s="36">
        <f t="shared" ref="E24:E30" si="11">IF($B$6="",0,C24*$B$6)</f>
        <v>0</v>
      </c>
      <c r="F24" s="36">
        <f t="shared" ref="F24:F30" si="12">$B$5*E24</f>
        <v>0</v>
      </c>
      <c r="G24" s="36" t="str">
        <f t="shared" si="8"/>
        <v/>
      </c>
      <c r="H24" s="36">
        <f t="shared" ref="H24:H30" si="13">B24*(C24/8)</f>
        <v>232.60000000000002</v>
      </c>
      <c r="I24" s="36">
        <f>IF($B$6="",0,$B$5*H24*$B$6)</f>
        <v>0</v>
      </c>
      <c r="J24" s="36">
        <f>IF(LEFT(A24,5)="Parte",H24+I24,"")</f>
        <v>232.60000000000002</v>
      </c>
      <c r="K24" s="1">
        <f>Inputs!$B$96</f>
        <v>6000</v>
      </c>
      <c r="L24" s="1">
        <f>Inputs!$C$96</f>
        <v>4.5</v>
      </c>
      <c r="M24" s="36">
        <f t="shared" si="9"/>
        <v>787.57010269985915</v>
      </c>
      <c r="N24" s="36">
        <f t="shared" si="10"/>
        <v>66</v>
      </c>
    </row>
    <row r="25" spans="1:14" x14ac:dyDescent="0.3">
      <c r="A25" s="36" t="s">
        <v>33</v>
      </c>
      <c r="B25" s="37">
        <f>Inputs!B50</f>
        <v>0.01</v>
      </c>
      <c r="C25" s="36">
        <f>B25*Inputs!$J$16</f>
        <v>93.04</v>
      </c>
      <c r="D25" s="36">
        <f>Inputs!B68</f>
        <v>1</v>
      </c>
      <c r="E25" s="36">
        <f t="shared" si="11"/>
        <v>0</v>
      </c>
      <c r="F25" s="36">
        <f t="shared" si="12"/>
        <v>0</v>
      </c>
      <c r="G25" s="36">
        <f>IF(LEFT(A25,5)="Pieza",C25+F25,"")</f>
        <v>93.04</v>
      </c>
      <c r="H25" s="36">
        <f t="shared" si="13"/>
        <v>0.11630000000000001</v>
      </c>
      <c r="I25" s="36">
        <f t="shared" ref="I25:I30" si="14">IF($B$6="",0,$B$5*H25*$B$6)</f>
        <v>0</v>
      </c>
      <c r="J25" s="36" t="str">
        <f t="shared" ref="J25:J30" si="15">IF(LEFT(A25,5)="Parte",H25+I25,"")</f>
        <v/>
      </c>
      <c r="K25" s="1">
        <f>IF(LEFT(A25,5)="Parte",_xludf.XLOOKUP(A25,Inputs!$A$95:$A$96,Inputs!$B$95:$B$96,0,0),0)</f>
        <v>0</v>
      </c>
      <c r="L25" s="1">
        <v>0</v>
      </c>
      <c r="M25" s="36" t="str">
        <f t="shared" si="9"/>
        <v/>
      </c>
      <c r="N25" s="36" t="str">
        <f t="shared" si="10"/>
        <v/>
      </c>
    </row>
    <row r="26" spans="1:14" x14ac:dyDescent="0.3">
      <c r="A26" s="36" t="s">
        <v>34</v>
      </c>
      <c r="B26" s="37">
        <f>Inputs!B51</f>
        <v>8</v>
      </c>
      <c r="C26" s="36">
        <f>B26*Inputs!$J$25</f>
        <v>74432</v>
      </c>
      <c r="D26" s="36">
        <f>Inputs!B69</f>
        <v>100</v>
      </c>
      <c r="E26" s="36">
        <f t="shared" si="11"/>
        <v>0</v>
      </c>
      <c r="F26" s="36">
        <f t="shared" si="12"/>
        <v>0</v>
      </c>
      <c r="G26" s="36">
        <f>IF(LEFT(A26,5)="Pieza",C26+F26,"")</f>
        <v>74432</v>
      </c>
      <c r="H26" s="36">
        <f t="shared" si="13"/>
        <v>74432</v>
      </c>
      <c r="I26" s="36">
        <f t="shared" si="14"/>
        <v>0</v>
      </c>
      <c r="J26" s="36" t="str">
        <f t="shared" si="15"/>
        <v/>
      </c>
      <c r="K26" s="1">
        <f>IF(LEFT(A26,5)="Parte",_xludf.XLOOKUP(A26,Inputs!$A$95:$A$96,Inputs!$B$95:$B$96,0,0),0)</f>
        <v>0</v>
      </c>
      <c r="L26" s="1">
        <f>IF(LEFT(A26,5)="Parte",_xludf.XLOOKUP(A26,Inputs!$A$95:$A$96,Inputs!$C$95:$C$96,0,0),0)</f>
        <v>0</v>
      </c>
      <c r="M26" s="36" t="str">
        <f t="shared" si="9"/>
        <v/>
      </c>
      <c r="N26" s="36" t="str">
        <f t="shared" si="10"/>
        <v/>
      </c>
    </row>
    <row r="27" spans="1:14" x14ac:dyDescent="0.3">
      <c r="A27" s="36" t="s">
        <v>35</v>
      </c>
      <c r="B27" s="37">
        <f>Inputs!B52</f>
        <v>0.3</v>
      </c>
      <c r="C27" s="36">
        <f>B27*Inputs!$J$25</f>
        <v>2791.2</v>
      </c>
      <c r="D27" s="36">
        <f>Inputs!B70</f>
        <v>30</v>
      </c>
      <c r="E27" s="36">
        <f t="shared" si="11"/>
        <v>0</v>
      </c>
      <c r="F27" s="36">
        <f t="shared" si="12"/>
        <v>0</v>
      </c>
      <c r="G27" s="36">
        <f t="shared" si="8"/>
        <v>2791.2</v>
      </c>
      <c r="H27" s="36">
        <f t="shared" si="13"/>
        <v>104.66999999999999</v>
      </c>
      <c r="I27" s="36">
        <f t="shared" si="14"/>
        <v>0</v>
      </c>
      <c r="J27" s="36" t="str">
        <f t="shared" si="15"/>
        <v/>
      </c>
      <c r="K27" s="1">
        <f>IF(LEFT(A27,5)="Parte",_xludf.XLOOKUP(A27,Inputs!$A$95:$A$96,Inputs!$B$95:$B$96,0,0),0)</f>
        <v>0</v>
      </c>
      <c r="L27" s="1">
        <f>IF(LEFT(A27,5)="Parte",_xludf.XLOOKUP(A27,Inputs!$A$95:$A$96,Inputs!$C$95:$C$96,0,0),0)</f>
        <v>0</v>
      </c>
      <c r="M27" s="36" t="str">
        <f t="shared" si="9"/>
        <v/>
      </c>
      <c r="N27" s="36" t="str">
        <f t="shared" si="10"/>
        <v/>
      </c>
    </row>
    <row r="28" spans="1:14" x14ac:dyDescent="0.3">
      <c r="A28" s="36" t="s">
        <v>36</v>
      </c>
      <c r="B28" s="37">
        <f>Inputs!B53</f>
        <v>0.6</v>
      </c>
      <c r="C28" s="36">
        <f>B28*Inputs!$J$25</f>
        <v>5582.4</v>
      </c>
      <c r="D28" s="36">
        <f>Inputs!B71</f>
        <v>60</v>
      </c>
      <c r="E28" s="36">
        <f t="shared" si="11"/>
        <v>0</v>
      </c>
      <c r="F28" s="36">
        <f t="shared" si="12"/>
        <v>0</v>
      </c>
      <c r="G28" s="36">
        <f t="shared" si="8"/>
        <v>5582.4</v>
      </c>
      <c r="H28" s="36">
        <f t="shared" si="13"/>
        <v>418.67999999999995</v>
      </c>
      <c r="I28" s="36">
        <f t="shared" si="14"/>
        <v>0</v>
      </c>
      <c r="J28" s="36" t="str">
        <f t="shared" si="15"/>
        <v/>
      </c>
      <c r="K28" s="1">
        <f>IF(LEFT(A28,5)="Parte",_xludf.XLOOKUP(A28,Inputs!$A$95:$A$96,Inputs!$B$95:$B$96,0,0),0)</f>
        <v>0</v>
      </c>
      <c r="L28" s="1">
        <f>IF(LEFT(A28,5)="Parte",_xludf.XLOOKUP(A28,Inputs!$A$95:$A$96,Inputs!$C$95:$C$96,0,0),0)</f>
        <v>0</v>
      </c>
      <c r="M28" s="36" t="str">
        <f t="shared" si="9"/>
        <v/>
      </c>
      <c r="N28" s="36" t="str">
        <f t="shared" si="10"/>
        <v/>
      </c>
    </row>
    <row r="29" spans="1:14" x14ac:dyDescent="0.3">
      <c r="A29" s="36" t="s">
        <v>37</v>
      </c>
      <c r="B29" s="37">
        <f>Inputs!B54</f>
        <v>2</v>
      </c>
      <c r="C29" s="36">
        <f>B29*Inputs!$J$25</f>
        <v>18608</v>
      </c>
      <c r="D29" s="36">
        <f>Inputs!B72</f>
        <v>100</v>
      </c>
      <c r="E29" s="36">
        <f t="shared" si="11"/>
        <v>0</v>
      </c>
      <c r="F29" s="36">
        <f t="shared" si="12"/>
        <v>0</v>
      </c>
      <c r="G29" s="36">
        <f t="shared" si="8"/>
        <v>18608</v>
      </c>
      <c r="H29" s="36">
        <f t="shared" si="13"/>
        <v>4652</v>
      </c>
      <c r="I29" s="36">
        <f t="shared" si="14"/>
        <v>0</v>
      </c>
      <c r="J29" s="36" t="str">
        <f t="shared" si="15"/>
        <v/>
      </c>
      <c r="K29" s="1">
        <f>IF(LEFT(A29,5)="Parte",_xludf.XLOOKUP(A29,Inputs!$A$95:$A$96,Inputs!$B$95:$B$96,0,0),0)</f>
        <v>0</v>
      </c>
      <c r="L29" s="1">
        <f>IF(LEFT(A29,5)="Parte",_xludf.XLOOKUP(A29,Inputs!$A$95:$A$96,Inputs!$C$95:$C$96,0,0),0)</f>
        <v>0</v>
      </c>
      <c r="M29" s="36" t="str">
        <f t="shared" si="9"/>
        <v/>
      </c>
      <c r="N29" s="36" t="str">
        <f t="shared" si="10"/>
        <v/>
      </c>
    </row>
    <row r="30" spans="1:14" x14ac:dyDescent="0.3">
      <c r="A30" s="36" t="s">
        <v>38</v>
      </c>
      <c r="B30" s="37">
        <f>Inputs!B55</f>
        <v>0.75</v>
      </c>
      <c r="C30" s="36">
        <f>B30*Inputs!$J$25</f>
        <v>6978</v>
      </c>
      <c r="D30" s="36">
        <f>Inputs!B73</f>
        <v>150</v>
      </c>
      <c r="E30" s="36">
        <f t="shared" si="11"/>
        <v>0</v>
      </c>
      <c r="F30" s="36">
        <f t="shared" si="12"/>
        <v>0</v>
      </c>
      <c r="G30" s="36">
        <f t="shared" si="8"/>
        <v>6978</v>
      </c>
      <c r="H30" s="36">
        <f t="shared" si="13"/>
        <v>654.1875</v>
      </c>
      <c r="I30" s="36">
        <f t="shared" si="14"/>
        <v>0</v>
      </c>
      <c r="J30" s="36" t="str">
        <f t="shared" si="15"/>
        <v/>
      </c>
      <c r="K30" s="1">
        <f>IF(LEFT(A30,5)="Parte",_xludf.XLOOKUP(A30,Inputs!$A$95:$A$96,Inputs!$B$95:$B$96,0,0),0)</f>
        <v>0</v>
      </c>
      <c r="L30" s="1">
        <f>IF(LEFT(A30,5)="Parte",_xludf.XLOOKUP(A30,Inputs!$A$95:$A$96,Inputs!$C$95:$C$96,0,0),0)</f>
        <v>0</v>
      </c>
      <c r="M30" s="36" t="str">
        <f t="shared" si="9"/>
        <v/>
      </c>
      <c r="N30" s="36" t="str">
        <f t="shared" si="10"/>
        <v/>
      </c>
    </row>
    <row r="32" spans="1:14" x14ac:dyDescent="0.3">
      <c r="A32" t="s">
        <v>129</v>
      </c>
    </row>
    <row r="33" spans="1:14" ht="28.8" x14ac:dyDescent="0.3">
      <c r="A33" s="35" t="s">
        <v>21</v>
      </c>
      <c r="B33" s="35" t="s">
        <v>112</v>
      </c>
      <c r="C33" s="35" t="s">
        <v>113</v>
      </c>
      <c r="D33" s="35" t="s">
        <v>56</v>
      </c>
      <c r="E33" s="35" t="s">
        <v>114</v>
      </c>
      <c r="F33" s="35" t="s">
        <v>115</v>
      </c>
      <c r="G33" s="35" t="s">
        <v>116</v>
      </c>
      <c r="H33" s="35" t="s">
        <v>117</v>
      </c>
      <c r="I33" s="35" t="s">
        <v>118</v>
      </c>
      <c r="J33" s="35" t="s">
        <v>119</v>
      </c>
      <c r="K33" s="35" t="s">
        <v>78</v>
      </c>
      <c r="L33" s="35" t="s">
        <v>120</v>
      </c>
      <c r="M33" s="35" t="s">
        <v>121</v>
      </c>
      <c r="N33" s="35" t="s">
        <v>122</v>
      </c>
    </row>
    <row r="34" spans="1:14" x14ac:dyDescent="0.3">
      <c r="A34" s="36" t="s">
        <v>29</v>
      </c>
      <c r="B34" s="37">
        <f>Inputs!B48</f>
        <v>1</v>
      </c>
      <c r="C34" s="36">
        <f>Inputs!J8</f>
        <v>0</v>
      </c>
      <c r="D34" s="36">
        <f>Inputs!B66</f>
        <v>30</v>
      </c>
      <c r="E34" s="36">
        <f>IF($B$6="",0,C34*$B$6)</f>
        <v>0</v>
      </c>
      <c r="F34" s="36">
        <f>$B$5*E34</f>
        <v>0</v>
      </c>
      <c r="G34" s="36" t="str">
        <f t="shared" ref="G34:G35" si="16">IF(LEFT(A34,5)="Pieza",C34+F34,"")</f>
        <v/>
      </c>
      <c r="H34" s="36">
        <f>B34*(C34/8)</f>
        <v>0</v>
      </c>
      <c r="I34" s="36">
        <f>IF($B$6="",0,$B$5*H34*$B$6)</f>
        <v>0</v>
      </c>
      <c r="J34" s="36">
        <f>IF(LEFT(A34,5)="Parte",H34+I34,"")</f>
        <v>0</v>
      </c>
      <c r="K34" s="1">
        <f>Inputs!$B$95</f>
        <v>2300</v>
      </c>
      <c r="L34" s="1">
        <f>Inputs!$C$95</f>
        <v>0.3</v>
      </c>
      <c r="M34" s="36">
        <f>IF(AND(K34&gt;0,L34&gt;0),SQRT(2*H34*K34/L34),"")</f>
        <v>0</v>
      </c>
      <c r="N34" s="36">
        <f>IF(M34="","",ROUNDUP(M34/D34,0))</f>
        <v>0</v>
      </c>
    </row>
    <row r="35" spans="1:14" x14ac:dyDescent="0.3">
      <c r="A35" s="36" t="s">
        <v>32</v>
      </c>
      <c r="B35" s="37">
        <f>Inputs!B49</f>
        <v>0.2</v>
      </c>
      <c r="C35" s="36">
        <f>Inputs!$J$17</f>
        <v>0</v>
      </c>
      <c r="D35" s="36">
        <f>Inputs!B67</f>
        <v>12</v>
      </c>
      <c r="E35" s="36">
        <f t="shared" ref="E35:E41" si="17">IF($B$6="",0,C35*$B$6)</f>
        <v>0</v>
      </c>
      <c r="F35" s="36">
        <f t="shared" ref="F35:F41" si="18">$B$5*E35</f>
        <v>0</v>
      </c>
      <c r="G35" s="36" t="str">
        <f t="shared" si="16"/>
        <v/>
      </c>
      <c r="H35" s="36">
        <f t="shared" ref="H35:H41" si="19">B35*(C35/8)</f>
        <v>0</v>
      </c>
      <c r="I35" s="36">
        <f>IF($B$6="",0,$B$5*H35*$B$6)</f>
        <v>0</v>
      </c>
      <c r="J35" s="36">
        <f>IF(LEFT(A35,5)="Parte",H35+I35,"")</f>
        <v>0</v>
      </c>
      <c r="K35" s="1">
        <f>Inputs!$B$96</f>
        <v>6000</v>
      </c>
      <c r="L35" s="1">
        <f>Inputs!$C$96</f>
        <v>4.5</v>
      </c>
      <c r="M35" s="36">
        <f t="shared" ref="M35:M41" si="20">IF(AND(K35&gt;0,L35&gt;0),SQRT(2*H35*K35/L35),"")</f>
        <v>0</v>
      </c>
      <c r="N35" s="36">
        <f t="shared" ref="N35:N41" si="21">IF(M35="","",ROUNDUP(M35/D35,0))</f>
        <v>0</v>
      </c>
    </row>
    <row r="36" spans="1:14" x14ac:dyDescent="0.3">
      <c r="A36" s="36" t="s">
        <v>33</v>
      </c>
      <c r="B36" s="37">
        <f>Inputs!B50</f>
        <v>0.01</v>
      </c>
      <c r="C36" s="36">
        <f>B36*Inputs!$J$17</f>
        <v>0</v>
      </c>
      <c r="D36" s="36">
        <f>Inputs!B68</f>
        <v>1</v>
      </c>
      <c r="E36" s="36">
        <f t="shared" si="17"/>
        <v>0</v>
      </c>
      <c r="F36" s="36">
        <f t="shared" si="18"/>
        <v>0</v>
      </c>
      <c r="G36" s="36">
        <f>IF(LEFT(A36,5)="Pieza",C36+F36,"")</f>
        <v>0</v>
      </c>
      <c r="H36" s="36">
        <f t="shared" si="19"/>
        <v>0</v>
      </c>
      <c r="I36" s="36">
        <f t="shared" ref="I36:I41" si="22">IF($B$6="",0,$B$5*H36*$B$6)</f>
        <v>0</v>
      </c>
      <c r="J36" s="36" t="str">
        <f t="shared" ref="J36:J41" si="23">IF(LEFT(A36,5)="Parte",H36+I36,"")</f>
        <v/>
      </c>
      <c r="K36" s="1">
        <f>IF(LEFT(A36,5)="Parte",_xludf.XLOOKUP(A36,Inputs!$A$95:$A$96,Inputs!$B$95:$B$96,0,0),0)</f>
        <v>0</v>
      </c>
      <c r="L36" s="1">
        <v>0</v>
      </c>
      <c r="M36" s="36" t="str">
        <f t="shared" si="20"/>
        <v/>
      </c>
      <c r="N36" s="36" t="str">
        <f t="shared" si="21"/>
        <v/>
      </c>
    </row>
    <row r="37" spans="1:14" x14ac:dyDescent="0.3">
      <c r="A37" s="36" t="s">
        <v>34</v>
      </c>
      <c r="B37" s="37">
        <f>Inputs!B51</f>
        <v>8</v>
      </c>
      <c r="C37" s="36">
        <f>B37*Inputs!$J$26</f>
        <v>0</v>
      </c>
      <c r="D37" s="36">
        <f>Inputs!B69</f>
        <v>100</v>
      </c>
      <c r="E37" s="36">
        <f t="shared" si="17"/>
        <v>0</v>
      </c>
      <c r="F37" s="36">
        <f t="shared" si="18"/>
        <v>0</v>
      </c>
      <c r="G37" s="36">
        <f>IF(LEFT(A37,5)="Pieza",C37+F37,"")</f>
        <v>0</v>
      </c>
      <c r="H37" s="36">
        <f t="shared" si="19"/>
        <v>0</v>
      </c>
      <c r="I37" s="36">
        <f t="shared" si="22"/>
        <v>0</v>
      </c>
      <c r="J37" s="36" t="str">
        <f t="shared" si="23"/>
        <v/>
      </c>
      <c r="K37" s="1">
        <f>IF(LEFT(A37,5)="Parte",_xludf.XLOOKUP(A37,Inputs!$A$95:$A$96,Inputs!$B$95:$B$96,0,0),0)</f>
        <v>0</v>
      </c>
      <c r="L37" s="1">
        <f>IF(LEFT(A37,5)="Parte",_xludf.XLOOKUP(A37,Inputs!$A$95:$A$96,Inputs!$C$95:$C$96,0,0),0)</f>
        <v>0</v>
      </c>
      <c r="M37" s="36" t="str">
        <f t="shared" si="20"/>
        <v/>
      </c>
      <c r="N37" s="36" t="str">
        <f t="shared" si="21"/>
        <v/>
      </c>
    </row>
    <row r="38" spans="1:14" x14ac:dyDescent="0.3">
      <c r="A38" s="36" t="s">
        <v>35</v>
      </c>
      <c r="B38" s="37">
        <f>Inputs!B52</f>
        <v>0.3</v>
      </c>
      <c r="C38" s="36">
        <f>B38*Inputs!$J$26</f>
        <v>0</v>
      </c>
      <c r="D38" s="36">
        <f>Inputs!B70</f>
        <v>30</v>
      </c>
      <c r="E38" s="36">
        <f t="shared" si="17"/>
        <v>0</v>
      </c>
      <c r="F38" s="36">
        <f t="shared" si="18"/>
        <v>0</v>
      </c>
      <c r="G38" s="36">
        <f t="shared" ref="G38:G41" si="24">IF(LEFT(A38,5)="Pieza",C38+F38,"")</f>
        <v>0</v>
      </c>
      <c r="H38" s="36">
        <f t="shared" si="19"/>
        <v>0</v>
      </c>
      <c r="I38" s="36">
        <f t="shared" si="22"/>
        <v>0</v>
      </c>
      <c r="J38" s="36" t="str">
        <f t="shared" si="23"/>
        <v/>
      </c>
      <c r="K38" s="1">
        <f>IF(LEFT(A38,5)="Parte",_xludf.XLOOKUP(A38,Inputs!$A$95:$A$96,Inputs!$B$95:$B$96,0,0),0)</f>
        <v>0</v>
      </c>
      <c r="L38" s="1">
        <f>IF(LEFT(A38,5)="Parte",_xludf.XLOOKUP(A38,Inputs!$A$95:$A$96,Inputs!$C$95:$C$96,0,0),0)</f>
        <v>0</v>
      </c>
      <c r="M38" s="36" t="str">
        <f t="shared" si="20"/>
        <v/>
      </c>
      <c r="N38" s="36" t="str">
        <f t="shared" si="21"/>
        <v/>
      </c>
    </row>
    <row r="39" spans="1:14" x14ac:dyDescent="0.3">
      <c r="A39" s="36" t="s">
        <v>36</v>
      </c>
      <c r="B39" s="37">
        <f>Inputs!B53</f>
        <v>0.6</v>
      </c>
      <c r="C39" s="36">
        <f>B39*Inputs!$J$26</f>
        <v>0</v>
      </c>
      <c r="D39" s="36">
        <f>Inputs!B71</f>
        <v>60</v>
      </c>
      <c r="E39" s="36">
        <f t="shared" si="17"/>
        <v>0</v>
      </c>
      <c r="F39" s="36">
        <f t="shared" si="18"/>
        <v>0</v>
      </c>
      <c r="G39" s="36">
        <f t="shared" si="24"/>
        <v>0</v>
      </c>
      <c r="H39" s="36">
        <f t="shared" si="19"/>
        <v>0</v>
      </c>
      <c r="I39" s="36">
        <f t="shared" si="22"/>
        <v>0</v>
      </c>
      <c r="J39" s="36" t="str">
        <f t="shared" si="23"/>
        <v/>
      </c>
      <c r="K39" s="1">
        <f>IF(LEFT(A39,5)="Parte",_xludf.XLOOKUP(A39,Inputs!$A$95:$A$96,Inputs!$B$95:$B$96,0,0),0)</f>
        <v>0</v>
      </c>
      <c r="L39" s="1">
        <f>IF(LEFT(A39,5)="Parte",_xludf.XLOOKUP(A39,Inputs!$A$95:$A$96,Inputs!$C$95:$C$96,0,0),0)</f>
        <v>0</v>
      </c>
      <c r="M39" s="36" t="str">
        <f t="shared" si="20"/>
        <v/>
      </c>
      <c r="N39" s="36" t="str">
        <f t="shared" si="21"/>
        <v/>
      </c>
    </row>
    <row r="40" spans="1:14" x14ac:dyDescent="0.3">
      <c r="A40" s="36" t="s">
        <v>37</v>
      </c>
      <c r="B40" s="37">
        <f>Inputs!B54</f>
        <v>2</v>
      </c>
      <c r="C40" s="36">
        <f>B40*Inputs!$J$26</f>
        <v>0</v>
      </c>
      <c r="D40" s="36">
        <f>Inputs!B72</f>
        <v>100</v>
      </c>
      <c r="E40" s="36">
        <f t="shared" si="17"/>
        <v>0</v>
      </c>
      <c r="F40" s="36">
        <f t="shared" si="18"/>
        <v>0</v>
      </c>
      <c r="G40" s="36">
        <f t="shared" si="24"/>
        <v>0</v>
      </c>
      <c r="H40" s="36">
        <f t="shared" si="19"/>
        <v>0</v>
      </c>
      <c r="I40" s="36">
        <f t="shared" si="22"/>
        <v>0</v>
      </c>
      <c r="J40" s="36" t="str">
        <f t="shared" si="23"/>
        <v/>
      </c>
      <c r="K40" s="1">
        <f>IF(LEFT(A40,5)="Parte",_xludf.XLOOKUP(A40,Inputs!$A$95:$A$96,Inputs!$B$95:$B$96,0,0),0)</f>
        <v>0</v>
      </c>
      <c r="L40" s="1">
        <f>IF(LEFT(A40,5)="Parte",_xludf.XLOOKUP(A40,Inputs!$A$95:$A$96,Inputs!$C$95:$C$96,0,0),0)</f>
        <v>0</v>
      </c>
      <c r="M40" s="36" t="str">
        <f t="shared" si="20"/>
        <v/>
      </c>
      <c r="N40" s="36" t="str">
        <f t="shared" si="21"/>
        <v/>
      </c>
    </row>
    <row r="41" spans="1:14" x14ac:dyDescent="0.3">
      <c r="A41" s="36" t="s">
        <v>38</v>
      </c>
      <c r="B41" s="37">
        <f>Inputs!B55</f>
        <v>0.75</v>
      </c>
      <c r="C41" s="36">
        <f>B41*Inputs!$J$26</f>
        <v>0</v>
      </c>
      <c r="D41" s="36">
        <f>Inputs!B73</f>
        <v>150</v>
      </c>
      <c r="E41" s="36">
        <f t="shared" si="17"/>
        <v>0</v>
      </c>
      <c r="F41" s="36">
        <f t="shared" si="18"/>
        <v>0</v>
      </c>
      <c r="G41" s="36">
        <f t="shared" si="24"/>
        <v>0</v>
      </c>
      <c r="H41" s="36">
        <f t="shared" si="19"/>
        <v>0</v>
      </c>
      <c r="I41" s="36">
        <f t="shared" si="22"/>
        <v>0</v>
      </c>
      <c r="J41" s="36" t="str">
        <f t="shared" si="23"/>
        <v/>
      </c>
      <c r="K41" s="1">
        <f>IF(LEFT(A41,5)="Parte",_xludf.XLOOKUP(A41,Inputs!$A$95:$A$96,Inputs!$B$95:$B$96,0,0),0)</f>
        <v>0</v>
      </c>
      <c r="L41" s="1">
        <f>IF(LEFT(A41,5)="Parte",_xludf.XLOOKUP(A41,Inputs!$A$95:$A$96,Inputs!$C$95:$C$96,0,0),0)</f>
        <v>0</v>
      </c>
      <c r="M41" s="36" t="str">
        <f t="shared" si="20"/>
        <v/>
      </c>
      <c r="N41" s="36" t="str">
        <f t="shared" si="21"/>
        <v/>
      </c>
    </row>
    <row r="43" spans="1:14" x14ac:dyDescent="0.3">
      <c r="A43" t="s">
        <v>130</v>
      </c>
    </row>
    <row r="44" spans="1:14" ht="28.8" x14ac:dyDescent="0.3">
      <c r="A44" s="35" t="s">
        <v>21</v>
      </c>
      <c r="B44" s="35" t="s">
        <v>112</v>
      </c>
      <c r="C44" s="35" t="s">
        <v>113</v>
      </c>
      <c r="D44" s="35" t="s">
        <v>56</v>
      </c>
      <c r="E44" s="35" t="s">
        <v>114</v>
      </c>
      <c r="F44" s="35" t="s">
        <v>115</v>
      </c>
      <c r="G44" s="35" t="s">
        <v>116</v>
      </c>
      <c r="H44" s="35" t="s">
        <v>117</v>
      </c>
      <c r="I44" s="35" t="s">
        <v>118</v>
      </c>
      <c r="J44" s="35" t="s">
        <v>119</v>
      </c>
      <c r="K44" s="35" t="s">
        <v>78</v>
      </c>
      <c r="L44" s="35" t="s">
        <v>120</v>
      </c>
      <c r="M44" s="35" t="s">
        <v>121</v>
      </c>
      <c r="N44" s="35" t="s">
        <v>122</v>
      </c>
    </row>
    <row r="45" spans="1:14" x14ac:dyDescent="0.3">
      <c r="A45" s="36" t="s">
        <v>29</v>
      </c>
      <c r="B45" s="37">
        <f>Inputs!B48</f>
        <v>1</v>
      </c>
      <c r="C45" s="36">
        <f>Inputs!J9</f>
        <v>0</v>
      </c>
      <c r="D45" s="36">
        <f>Inputs!B66</f>
        <v>30</v>
      </c>
      <c r="E45" s="36">
        <f>IF($B$6="",0,C45*$B$6)</f>
        <v>0</v>
      </c>
      <c r="F45" s="36">
        <f>$B$5*E45</f>
        <v>0</v>
      </c>
      <c r="G45" s="36" t="str">
        <f t="shared" ref="G45:G46" si="25">IF(LEFT(A45,5)="Pieza",C45+F45,"")</f>
        <v/>
      </c>
      <c r="H45" s="36">
        <f>B45*(C45/8)</f>
        <v>0</v>
      </c>
      <c r="I45" s="36">
        <f>IF($B$6="",0,$B$5*H45*$B$6)</f>
        <v>0</v>
      </c>
      <c r="J45" s="36">
        <f>IF(LEFT(A45,5)="Parte",H45+I45,"")</f>
        <v>0</v>
      </c>
      <c r="K45" s="1">
        <f>Inputs!$B$95</f>
        <v>2300</v>
      </c>
      <c r="L45" s="1">
        <f>Inputs!$C$95</f>
        <v>0.3</v>
      </c>
      <c r="M45" s="36">
        <f t="shared" ref="M45:M52" si="26">IF(AND(K45&gt;0,L45&gt;0),SQRT(2*H45*K45/L45),"")</f>
        <v>0</v>
      </c>
      <c r="N45" s="36">
        <f t="shared" ref="N45:N52" si="27">IF(M45="","",ROUNDUP(M45/D45,0))</f>
        <v>0</v>
      </c>
    </row>
    <row r="46" spans="1:14" x14ac:dyDescent="0.3">
      <c r="A46" s="36" t="s">
        <v>32</v>
      </c>
      <c r="B46" s="37">
        <f>Inputs!B49</f>
        <v>0.2</v>
      </c>
      <c r="C46" s="36">
        <f>Inputs!$J$18</f>
        <v>0</v>
      </c>
      <c r="D46" s="36">
        <f>Inputs!B67</f>
        <v>12</v>
      </c>
      <c r="E46" s="36">
        <f t="shared" ref="E46:E52" si="28">IF($B$6="",0,C46*$B$6)</f>
        <v>0</v>
      </c>
      <c r="F46" s="36">
        <f t="shared" ref="F46:F52" si="29">$B$5*E46</f>
        <v>0</v>
      </c>
      <c r="G46" s="36" t="str">
        <f t="shared" si="25"/>
        <v/>
      </c>
      <c r="H46" s="36">
        <f t="shared" ref="H46:H52" si="30">B46*(C46/8)</f>
        <v>0</v>
      </c>
      <c r="I46" s="36">
        <f>IF($B$6="",0,$B$5*H46*$B$6)</f>
        <v>0</v>
      </c>
      <c r="J46" s="36">
        <f>IF(LEFT(A46,5)="Parte",H46+I46,"")</f>
        <v>0</v>
      </c>
      <c r="K46" s="1">
        <f>Inputs!$B$96</f>
        <v>6000</v>
      </c>
      <c r="L46" s="1">
        <f>Inputs!$C$96</f>
        <v>4.5</v>
      </c>
      <c r="M46" s="36">
        <f t="shared" si="26"/>
        <v>0</v>
      </c>
      <c r="N46" s="36">
        <f t="shared" si="27"/>
        <v>0</v>
      </c>
    </row>
    <row r="47" spans="1:14" x14ac:dyDescent="0.3">
      <c r="A47" s="36" t="s">
        <v>33</v>
      </c>
      <c r="B47" s="37">
        <f>Inputs!B50</f>
        <v>0.01</v>
      </c>
      <c r="C47" s="36">
        <f>B47*Inputs!$J$18</f>
        <v>0</v>
      </c>
      <c r="D47" s="36">
        <f>Inputs!B68</f>
        <v>1</v>
      </c>
      <c r="E47" s="36">
        <f t="shared" si="28"/>
        <v>0</v>
      </c>
      <c r="F47" s="36">
        <f t="shared" si="29"/>
        <v>0</v>
      </c>
      <c r="G47" s="36">
        <f>IF(LEFT(A47,5)="Pieza",C47+F47,"")</f>
        <v>0</v>
      </c>
      <c r="H47" s="36">
        <f>B47*(C47/8)</f>
        <v>0</v>
      </c>
      <c r="I47" s="36">
        <f t="shared" ref="I47:I52" si="31">IF($B$6="",0,$B$5*H47*$B$6)</f>
        <v>0</v>
      </c>
      <c r="J47" s="36" t="str">
        <f t="shared" ref="J47:J52" si="32">IF(LEFT(A47,5)="Parte",H47+I47,"")</f>
        <v/>
      </c>
      <c r="K47" s="1">
        <f>IF(LEFT(A47,5)="Parte",_xludf.XLOOKUP(A47,Inputs!$A$95:$A$96,Inputs!$B$95:$B$96,0,0),0)</f>
        <v>0</v>
      </c>
      <c r="L47" s="1">
        <v>0</v>
      </c>
      <c r="M47" s="36" t="str">
        <f t="shared" si="26"/>
        <v/>
      </c>
      <c r="N47" s="36" t="str">
        <f t="shared" si="27"/>
        <v/>
      </c>
    </row>
    <row r="48" spans="1:14" x14ac:dyDescent="0.3">
      <c r="A48" s="36" t="s">
        <v>34</v>
      </c>
      <c r="B48" s="37">
        <f>Inputs!B51</f>
        <v>8</v>
      </c>
      <c r="C48" s="36">
        <f>B37*Inputs!$J$27</f>
        <v>0</v>
      </c>
      <c r="D48" s="36">
        <f>Inputs!B69</f>
        <v>100</v>
      </c>
      <c r="E48" s="36">
        <f t="shared" si="28"/>
        <v>0</v>
      </c>
      <c r="F48" s="36">
        <f t="shared" si="29"/>
        <v>0</v>
      </c>
      <c r="G48" s="36">
        <f>IF(LEFT(A48,5)="Pieza",C48+F48,"")</f>
        <v>0</v>
      </c>
      <c r="H48" s="36">
        <f t="shared" si="30"/>
        <v>0</v>
      </c>
      <c r="I48" s="36">
        <f t="shared" si="31"/>
        <v>0</v>
      </c>
      <c r="J48" s="36" t="str">
        <f t="shared" si="32"/>
        <v/>
      </c>
      <c r="K48" s="1">
        <f>IF(LEFT(A48,5)="Parte",_xludf.XLOOKUP(A48,Inputs!$A$95:$A$96,Inputs!$B$95:$B$96,0,0),0)</f>
        <v>0</v>
      </c>
      <c r="L48" s="1">
        <f>IF(LEFT(A48,5)="Parte",_xludf.XLOOKUP(A48,Inputs!$A$95:$A$96,Inputs!$C$95:$C$96,0,0),0)</f>
        <v>0</v>
      </c>
      <c r="M48" s="36" t="str">
        <f t="shared" si="26"/>
        <v/>
      </c>
      <c r="N48" s="36" t="str">
        <f t="shared" si="27"/>
        <v/>
      </c>
    </row>
    <row r="49" spans="1:14" x14ac:dyDescent="0.3">
      <c r="A49" s="36" t="s">
        <v>35</v>
      </c>
      <c r="B49" s="37">
        <f>Inputs!B52</f>
        <v>0.3</v>
      </c>
      <c r="C49" s="36">
        <f>B38*Inputs!$J$27</f>
        <v>0</v>
      </c>
      <c r="D49" s="36">
        <f>Inputs!B70</f>
        <v>30</v>
      </c>
      <c r="E49" s="36">
        <f t="shared" si="28"/>
        <v>0</v>
      </c>
      <c r="F49" s="36">
        <f t="shared" si="29"/>
        <v>0</v>
      </c>
      <c r="G49" s="36">
        <f t="shared" ref="G49:G52" si="33">IF(LEFT(A49,5)="Pieza",C49+F49,"")</f>
        <v>0</v>
      </c>
      <c r="H49" s="36">
        <f t="shared" si="30"/>
        <v>0</v>
      </c>
      <c r="I49" s="36">
        <f t="shared" si="31"/>
        <v>0</v>
      </c>
      <c r="J49" s="36" t="str">
        <f t="shared" si="32"/>
        <v/>
      </c>
      <c r="K49" s="1">
        <f>IF(LEFT(A49,5)="Parte",_xludf.XLOOKUP(A49,Inputs!$A$95:$A$96,Inputs!$B$95:$B$96,0,0),0)</f>
        <v>0</v>
      </c>
      <c r="L49" s="1">
        <f>IF(LEFT(A49,5)="Parte",_xludf.XLOOKUP(A49,Inputs!$A$95:$A$96,Inputs!$C$95:$C$96,0,0),0)</f>
        <v>0</v>
      </c>
      <c r="M49" s="36" t="str">
        <f t="shared" si="26"/>
        <v/>
      </c>
      <c r="N49" s="36" t="str">
        <f t="shared" si="27"/>
        <v/>
      </c>
    </row>
    <row r="50" spans="1:14" x14ac:dyDescent="0.3">
      <c r="A50" s="36" t="s">
        <v>36</v>
      </c>
      <c r="B50" s="37">
        <f>Inputs!B53</f>
        <v>0.6</v>
      </c>
      <c r="C50" s="36">
        <f>B39*Inputs!$J$27</f>
        <v>0</v>
      </c>
      <c r="D50" s="36">
        <f>Inputs!B71</f>
        <v>60</v>
      </c>
      <c r="E50" s="36">
        <f t="shared" si="28"/>
        <v>0</v>
      </c>
      <c r="F50" s="36">
        <f t="shared" si="29"/>
        <v>0</v>
      </c>
      <c r="G50" s="36">
        <f t="shared" si="33"/>
        <v>0</v>
      </c>
      <c r="H50" s="36">
        <f t="shared" si="30"/>
        <v>0</v>
      </c>
      <c r="I50" s="36">
        <f t="shared" si="31"/>
        <v>0</v>
      </c>
      <c r="J50" s="36" t="str">
        <f t="shared" si="32"/>
        <v/>
      </c>
      <c r="K50" s="1">
        <f>IF(LEFT(A50,5)="Parte",_xludf.XLOOKUP(A50,Inputs!$A$95:$A$96,Inputs!$B$95:$B$96,0,0),0)</f>
        <v>0</v>
      </c>
      <c r="L50" s="1">
        <f>IF(LEFT(A50,5)="Parte",_xludf.XLOOKUP(A50,Inputs!$A$95:$A$96,Inputs!$C$95:$C$96,0,0),0)</f>
        <v>0</v>
      </c>
      <c r="M50" s="36" t="str">
        <f t="shared" si="26"/>
        <v/>
      </c>
      <c r="N50" s="36" t="str">
        <f t="shared" si="27"/>
        <v/>
      </c>
    </row>
    <row r="51" spans="1:14" x14ac:dyDescent="0.3">
      <c r="A51" s="36" t="s">
        <v>37</v>
      </c>
      <c r="B51" s="37">
        <f>Inputs!B54</f>
        <v>2</v>
      </c>
      <c r="C51" s="36">
        <f>B40*Inputs!$J$27</f>
        <v>0</v>
      </c>
      <c r="D51" s="36">
        <f>Inputs!B72</f>
        <v>100</v>
      </c>
      <c r="E51" s="36">
        <f t="shared" si="28"/>
        <v>0</v>
      </c>
      <c r="F51" s="36">
        <f t="shared" si="29"/>
        <v>0</v>
      </c>
      <c r="G51" s="36">
        <f t="shared" si="33"/>
        <v>0</v>
      </c>
      <c r="H51" s="36">
        <f t="shared" si="30"/>
        <v>0</v>
      </c>
      <c r="I51" s="36">
        <f t="shared" si="31"/>
        <v>0</v>
      </c>
      <c r="J51" s="36" t="str">
        <f t="shared" si="32"/>
        <v/>
      </c>
      <c r="K51" s="1">
        <f>IF(LEFT(A51,5)="Parte",_xludf.XLOOKUP(A51,Inputs!$A$95:$A$96,Inputs!$B$95:$B$96,0,0),0)</f>
        <v>0</v>
      </c>
      <c r="L51" s="1">
        <f>IF(LEFT(A51,5)="Parte",_xludf.XLOOKUP(A51,Inputs!$A$95:$A$96,Inputs!$C$95:$C$96,0,0),0)</f>
        <v>0</v>
      </c>
      <c r="M51" s="36" t="str">
        <f t="shared" si="26"/>
        <v/>
      </c>
      <c r="N51" s="36" t="str">
        <f t="shared" si="27"/>
        <v/>
      </c>
    </row>
    <row r="52" spans="1:14" x14ac:dyDescent="0.3">
      <c r="A52" s="36" t="s">
        <v>38</v>
      </c>
      <c r="B52" s="37">
        <f>Inputs!B55</f>
        <v>0.75</v>
      </c>
      <c r="C52" s="36">
        <f>B41*Inputs!$J$27</f>
        <v>0</v>
      </c>
      <c r="D52" s="36">
        <f>Inputs!B73</f>
        <v>150</v>
      </c>
      <c r="E52" s="36">
        <f t="shared" si="28"/>
        <v>0</v>
      </c>
      <c r="F52" s="36">
        <f t="shared" si="29"/>
        <v>0</v>
      </c>
      <c r="G52" s="36">
        <f t="shared" si="33"/>
        <v>0</v>
      </c>
      <c r="H52" s="36">
        <f t="shared" si="30"/>
        <v>0</v>
      </c>
      <c r="I52" s="36">
        <f t="shared" si="31"/>
        <v>0</v>
      </c>
      <c r="J52" s="36" t="str">
        <f t="shared" si="32"/>
        <v/>
      </c>
      <c r="K52" s="1">
        <f>IF(LEFT(A52,5)="Parte",_xludf.XLOOKUP(A52,Inputs!$A$95:$A$96,Inputs!$B$95:$B$96,0,0),0)</f>
        <v>0</v>
      </c>
      <c r="L52" s="1">
        <f>IF(LEFT(A52,5)="Parte",_xludf.XLOOKUP(A52,Inputs!$A$95:$A$96,Inputs!$C$95:$C$96,0,0),0)</f>
        <v>0</v>
      </c>
      <c r="M52" s="36" t="str">
        <f t="shared" si="26"/>
        <v/>
      </c>
      <c r="N52" s="36" t="str">
        <f t="shared" si="27"/>
        <v/>
      </c>
    </row>
    <row r="54" spans="1:14" x14ac:dyDescent="0.3">
      <c r="A54" t="s">
        <v>131</v>
      </c>
    </row>
    <row r="55" spans="1:14" ht="28.8" x14ac:dyDescent="0.3">
      <c r="A55" s="35" t="s">
        <v>21</v>
      </c>
      <c r="B55" s="35" t="s">
        <v>112</v>
      </c>
      <c r="C55" s="35" t="s">
        <v>113</v>
      </c>
      <c r="D55" s="35" t="s">
        <v>56</v>
      </c>
      <c r="E55" s="35" t="s">
        <v>114</v>
      </c>
      <c r="F55" s="35" t="s">
        <v>115</v>
      </c>
      <c r="G55" s="35" t="s">
        <v>116</v>
      </c>
      <c r="H55" s="35" t="s">
        <v>117</v>
      </c>
      <c r="I55" s="35" t="s">
        <v>118</v>
      </c>
      <c r="J55" s="35" t="s">
        <v>119</v>
      </c>
      <c r="K55" s="35" t="s">
        <v>78</v>
      </c>
      <c r="L55" s="35" t="s">
        <v>120</v>
      </c>
      <c r="M55" s="35" t="s">
        <v>121</v>
      </c>
      <c r="N55" s="35" t="s">
        <v>122</v>
      </c>
    </row>
    <row r="56" spans="1:14" x14ac:dyDescent="0.3">
      <c r="A56" s="36" t="s">
        <v>29</v>
      </c>
      <c r="B56" s="37">
        <f>Inputs!B48</f>
        <v>1</v>
      </c>
      <c r="C56" s="36">
        <f>Inputs!J10</f>
        <v>0</v>
      </c>
      <c r="D56" s="36">
        <f>Inputs!B66</f>
        <v>30</v>
      </c>
      <c r="E56" s="36">
        <f>IF($B$6="",0,C56*$B$6)</f>
        <v>0</v>
      </c>
      <c r="F56" s="36">
        <f>$B$5*E56</f>
        <v>0</v>
      </c>
      <c r="G56" s="36" t="str">
        <f t="shared" ref="G56:G57" si="34">IF(LEFT(A56,5)="Pieza",C56+F56,"")</f>
        <v/>
      </c>
      <c r="H56" s="36">
        <f>B56*(C56/8)</f>
        <v>0</v>
      </c>
      <c r="I56" s="36">
        <f>IF($B$6="",0,$B$5*H56*$B$6)</f>
        <v>0</v>
      </c>
      <c r="J56" s="36">
        <f>IF(LEFT(A56,5)="Parte",H56+I56,"")</f>
        <v>0</v>
      </c>
      <c r="K56" s="1">
        <f>Inputs!$B$95</f>
        <v>2300</v>
      </c>
      <c r="L56" s="1">
        <f>Inputs!$C$95</f>
        <v>0.3</v>
      </c>
      <c r="M56" s="36">
        <f t="shared" ref="M56:M63" si="35">IF(AND(K56&gt;0,L56&gt;0),SQRT(2*H56*K56/L56),"")</f>
        <v>0</v>
      </c>
      <c r="N56" s="36">
        <f t="shared" ref="N56:N63" si="36">IF(M56="","",ROUNDUP(M56/D56,0))</f>
        <v>0</v>
      </c>
    </row>
    <row r="57" spans="1:14" x14ac:dyDescent="0.3">
      <c r="A57" s="36" t="s">
        <v>32</v>
      </c>
      <c r="B57" s="37">
        <f>Inputs!B49</f>
        <v>0.2</v>
      </c>
      <c r="C57" s="36">
        <f>Inputs!$J$19</f>
        <v>0</v>
      </c>
      <c r="D57" s="36">
        <f>Inputs!B67</f>
        <v>12</v>
      </c>
      <c r="E57" s="36">
        <f t="shared" ref="E57:E63" si="37">IF($B$6="",0,C57*$B$6)</f>
        <v>0</v>
      </c>
      <c r="F57" s="36">
        <f t="shared" ref="F57:F63" si="38">$B$5*E57</f>
        <v>0</v>
      </c>
      <c r="G57" s="36" t="str">
        <f t="shared" si="34"/>
        <v/>
      </c>
      <c r="H57" s="36">
        <f t="shared" ref="H57:H63" si="39">B57*(C57/8)</f>
        <v>0</v>
      </c>
      <c r="I57" s="36">
        <f>IF($B$6="",0,$B$5*H57*$B$6)</f>
        <v>0</v>
      </c>
      <c r="J57" s="36">
        <f>IF(LEFT(A57,5)="Parte",H57+I57,"")</f>
        <v>0</v>
      </c>
      <c r="K57" s="1">
        <f>Inputs!$B$96</f>
        <v>6000</v>
      </c>
      <c r="L57" s="1">
        <f>Inputs!$C$96</f>
        <v>4.5</v>
      </c>
      <c r="M57" s="36">
        <f t="shared" si="35"/>
        <v>0</v>
      </c>
      <c r="N57" s="36">
        <f t="shared" si="36"/>
        <v>0</v>
      </c>
    </row>
    <row r="58" spans="1:14" x14ac:dyDescent="0.3">
      <c r="A58" s="36" t="s">
        <v>33</v>
      </c>
      <c r="B58" s="37">
        <f>Inputs!B50</f>
        <v>0.01</v>
      </c>
      <c r="C58" s="36">
        <f>B58*Inputs!$J$19</f>
        <v>0</v>
      </c>
      <c r="D58" s="36">
        <f>Inputs!B68</f>
        <v>1</v>
      </c>
      <c r="E58" s="36">
        <f t="shared" si="37"/>
        <v>0</v>
      </c>
      <c r="F58" s="36">
        <f t="shared" si="38"/>
        <v>0</v>
      </c>
      <c r="G58" s="36">
        <f>IF(LEFT(A58,5)="Pieza",C58+F58,"")</f>
        <v>0</v>
      </c>
      <c r="H58" s="36">
        <f t="shared" si="39"/>
        <v>0</v>
      </c>
      <c r="I58" s="36">
        <f t="shared" ref="I58:I63" si="40">IF($B$6="",0,$B$5*H58*$B$6)</f>
        <v>0</v>
      </c>
      <c r="J58" s="36" t="str">
        <f t="shared" ref="J58:J63" si="41">IF(LEFT(A58,5)="Parte",H58+I58,"")</f>
        <v/>
      </c>
      <c r="K58" s="1">
        <f>IF(LEFT(A58,5)="Parte",_xludf.XLOOKUP(A58,Inputs!$A$95:$A$96,Inputs!$B$95:$B$96,0,0),0)</f>
        <v>0</v>
      </c>
      <c r="L58" s="1">
        <v>0</v>
      </c>
      <c r="M58" s="36" t="str">
        <f t="shared" si="35"/>
        <v/>
      </c>
      <c r="N58" s="36" t="str">
        <f t="shared" si="36"/>
        <v/>
      </c>
    </row>
    <row r="59" spans="1:14" x14ac:dyDescent="0.3">
      <c r="A59" s="36" t="s">
        <v>34</v>
      </c>
      <c r="B59" s="37">
        <f>Inputs!B51</f>
        <v>8</v>
      </c>
      <c r="C59" s="36">
        <f>B59*Inputs!$J$28</f>
        <v>0</v>
      </c>
      <c r="D59" s="36">
        <f>Inputs!B69</f>
        <v>100</v>
      </c>
      <c r="E59" s="36">
        <f t="shared" si="37"/>
        <v>0</v>
      </c>
      <c r="F59" s="36">
        <f t="shared" si="38"/>
        <v>0</v>
      </c>
      <c r="G59" s="36">
        <f>IF(LEFT(A59,5)="Pieza",C59+F59,"")</f>
        <v>0</v>
      </c>
      <c r="H59" s="36">
        <f t="shared" si="39"/>
        <v>0</v>
      </c>
      <c r="I59" s="36">
        <f t="shared" si="40"/>
        <v>0</v>
      </c>
      <c r="J59" s="36" t="str">
        <f t="shared" si="41"/>
        <v/>
      </c>
      <c r="K59" s="1">
        <f>IF(LEFT(A59,5)="Parte",_xludf.XLOOKUP(A59,Inputs!$A$95:$A$96,Inputs!$B$95:$B$96,0,0),0)</f>
        <v>0</v>
      </c>
      <c r="L59" s="1">
        <f>IF(LEFT(A59,5)="Parte",_xludf.XLOOKUP(A59,Inputs!$A$95:$A$96,Inputs!$C$95:$C$96,0,0),0)</f>
        <v>0</v>
      </c>
      <c r="M59" s="36" t="str">
        <f t="shared" si="35"/>
        <v/>
      </c>
      <c r="N59" s="36" t="str">
        <f t="shared" si="36"/>
        <v/>
      </c>
    </row>
    <row r="60" spans="1:14" x14ac:dyDescent="0.3">
      <c r="A60" s="36" t="s">
        <v>35</v>
      </c>
      <c r="B60" s="37">
        <f>Inputs!B52</f>
        <v>0.3</v>
      </c>
      <c r="C60" s="36">
        <f>B60*Inputs!$J$28</f>
        <v>0</v>
      </c>
      <c r="D60" s="36">
        <f>Inputs!B70</f>
        <v>30</v>
      </c>
      <c r="E60" s="36">
        <f t="shared" si="37"/>
        <v>0</v>
      </c>
      <c r="F60" s="36">
        <f t="shared" si="38"/>
        <v>0</v>
      </c>
      <c r="G60" s="36">
        <f t="shared" ref="G60:G63" si="42">IF(LEFT(A60,5)="Pieza",C60+F60,"")</f>
        <v>0</v>
      </c>
      <c r="H60" s="36">
        <f t="shared" si="39"/>
        <v>0</v>
      </c>
      <c r="I60" s="36">
        <f t="shared" si="40"/>
        <v>0</v>
      </c>
      <c r="J60" s="36" t="str">
        <f t="shared" si="41"/>
        <v/>
      </c>
      <c r="K60" s="1">
        <f>IF(LEFT(A60,5)="Parte",_xludf.XLOOKUP(A60,Inputs!$A$95:$A$96,Inputs!$B$95:$B$96,0,0),0)</f>
        <v>0</v>
      </c>
      <c r="L60" s="1">
        <f>IF(LEFT(A60,5)="Parte",_xludf.XLOOKUP(A60,Inputs!$A$95:$A$96,Inputs!$C$95:$C$96,0,0),0)</f>
        <v>0</v>
      </c>
      <c r="M60" s="36" t="str">
        <f t="shared" si="35"/>
        <v/>
      </c>
      <c r="N60" s="36" t="str">
        <f t="shared" si="36"/>
        <v/>
      </c>
    </row>
    <row r="61" spans="1:14" x14ac:dyDescent="0.3">
      <c r="A61" s="36" t="s">
        <v>36</v>
      </c>
      <c r="B61" s="37">
        <f>Inputs!B53</f>
        <v>0.6</v>
      </c>
      <c r="C61" s="36">
        <f>B61*Inputs!$J$28</f>
        <v>0</v>
      </c>
      <c r="D61" s="36">
        <f>Inputs!B71</f>
        <v>60</v>
      </c>
      <c r="E61" s="36">
        <f t="shared" si="37"/>
        <v>0</v>
      </c>
      <c r="F61" s="36">
        <f t="shared" si="38"/>
        <v>0</v>
      </c>
      <c r="G61" s="36">
        <f t="shared" si="42"/>
        <v>0</v>
      </c>
      <c r="H61" s="36">
        <f t="shared" si="39"/>
        <v>0</v>
      </c>
      <c r="I61" s="36">
        <f t="shared" si="40"/>
        <v>0</v>
      </c>
      <c r="J61" s="36" t="str">
        <f t="shared" si="41"/>
        <v/>
      </c>
      <c r="K61" s="1">
        <f>IF(LEFT(A61,5)="Parte",_xludf.XLOOKUP(A61,Inputs!$A$95:$A$96,Inputs!$B$95:$B$96,0,0),0)</f>
        <v>0</v>
      </c>
      <c r="L61" s="1">
        <f>IF(LEFT(A61,5)="Parte",_xludf.XLOOKUP(A61,Inputs!$A$95:$A$96,Inputs!$C$95:$C$96,0,0),0)</f>
        <v>0</v>
      </c>
      <c r="M61" s="36" t="str">
        <f t="shared" si="35"/>
        <v/>
      </c>
      <c r="N61" s="36" t="str">
        <f t="shared" si="36"/>
        <v/>
      </c>
    </row>
    <row r="62" spans="1:14" x14ac:dyDescent="0.3">
      <c r="A62" s="36" t="s">
        <v>37</v>
      </c>
      <c r="B62" s="37">
        <f>Inputs!B54</f>
        <v>2</v>
      </c>
      <c r="C62" s="36">
        <f>B62*Inputs!$J$28</f>
        <v>0</v>
      </c>
      <c r="D62" s="36">
        <f>Inputs!B72</f>
        <v>100</v>
      </c>
      <c r="E62" s="36">
        <f t="shared" si="37"/>
        <v>0</v>
      </c>
      <c r="F62" s="36">
        <f t="shared" si="38"/>
        <v>0</v>
      </c>
      <c r="G62" s="36">
        <f t="shared" si="42"/>
        <v>0</v>
      </c>
      <c r="H62" s="36">
        <f t="shared" si="39"/>
        <v>0</v>
      </c>
      <c r="I62" s="36">
        <f t="shared" si="40"/>
        <v>0</v>
      </c>
      <c r="J62" s="36" t="str">
        <f t="shared" si="41"/>
        <v/>
      </c>
      <c r="K62" s="1">
        <f>IF(LEFT(A62,5)="Parte",_xludf.XLOOKUP(A62,Inputs!$A$95:$A$96,Inputs!$B$95:$B$96,0,0),0)</f>
        <v>0</v>
      </c>
      <c r="L62" s="1">
        <f>IF(LEFT(A62,5)="Parte",_xludf.XLOOKUP(A62,Inputs!$A$95:$A$96,Inputs!$C$95:$C$96,0,0),0)</f>
        <v>0</v>
      </c>
      <c r="M62" s="36" t="str">
        <f t="shared" si="35"/>
        <v/>
      </c>
      <c r="N62" s="36" t="str">
        <f t="shared" si="36"/>
        <v/>
      </c>
    </row>
    <row r="63" spans="1:14" x14ac:dyDescent="0.3">
      <c r="A63" s="36" t="s">
        <v>38</v>
      </c>
      <c r="B63" s="37">
        <f>Inputs!B55</f>
        <v>0.75</v>
      </c>
      <c r="C63" s="36">
        <f>B63*Inputs!$J$28</f>
        <v>0</v>
      </c>
      <c r="D63" s="36">
        <f>Inputs!B73</f>
        <v>150</v>
      </c>
      <c r="E63" s="36">
        <f t="shared" si="37"/>
        <v>0</v>
      </c>
      <c r="F63" s="36">
        <f t="shared" si="38"/>
        <v>0</v>
      </c>
      <c r="G63" s="36">
        <f t="shared" si="42"/>
        <v>0</v>
      </c>
      <c r="H63" s="36">
        <f t="shared" si="39"/>
        <v>0</v>
      </c>
      <c r="I63" s="36">
        <f t="shared" si="40"/>
        <v>0</v>
      </c>
      <c r="J63" s="36" t="str">
        <f t="shared" si="41"/>
        <v/>
      </c>
      <c r="K63" s="1">
        <f>IF(LEFT(A63,5)="Parte",_xludf.XLOOKUP(A63,Inputs!$A$95:$A$96,Inputs!$B$95:$B$96,0,0),0)</f>
        <v>0</v>
      </c>
      <c r="L63" s="1">
        <f>IF(LEFT(A63,5)="Parte",_xludf.XLOOKUP(A63,Inputs!$A$95:$A$96,Inputs!$C$95:$C$96,0,0),0)</f>
        <v>0</v>
      </c>
      <c r="M63" s="36" t="str">
        <f t="shared" si="35"/>
        <v/>
      </c>
      <c r="N63" s="36" t="str">
        <f t="shared" si="36"/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4"/>
  <sheetViews>
    <sheetView tabSelected="1" topLeftCell="E3" zoomScaleNormal="100" workbookViewId="0">
      <selection activeCell="R20" sqref="R20"/>
    </sheetView>
  </sheetViews>
  <sheetFormatPr baseColWidth="10" defaultColWidth="8.5546875" defaultRowHeight="14.4" x14ac:dyDescent="0.3"/>
  <cols>
    <col min="1" max="1" width="14.88671875" customWidth="1"/>
    <col min="2" max="11" width="12" customWidth="1"/>
    <col min="15" max="15" width="13.77734375" customWidth="1"/>
    <col min="16" max="16" width="11.33203125" bestFit="1" customWidth="1"/>
    <col min="18" max="18" width="11.33203125" bestFit="1" customWidth="1"/>
  </cols>
  <sheetData>
    <row r="1" spans="1:23" ht="17.25" customHeight="1" x14ac:dyDescent="0.3">
      <c r="A1" s="53" t="s">
        <v>123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23" ht="15" customHeight="1" x14ac:dyDescent="0.3">
      <c r="A2" s="57" t="s">
        <v>124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23" ht="15" customHeight="1" x14ac:dyDescent="0.3">
      <c r="A3" s="56" t="s">
        <v>125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23" x14ac:dyDescent="0.3">
      <c r="A4" t="s">
        <v>126</v>
      </c>
    </row>
    <row r="5" spans="1:23" ht="15" customHeight="1" x14ac:dyDescent="0.3">
      <c r="A5" s="17" t="s">
        <v>21</v>
      </c>
      <c r="B5" s="17" t="s">
        <v>112</v>
      </c>
      <c r="C5" s="17" t="s">
        <v>4</v>
      </c>
      <c r="D5" s="17" t="s">
        <v>5</v>
      </c>
      <c r="E5" s="17" t="s">
        <v>6</v>
      </c>
      <c r="F5" s="17" t="s">
        <v>7</v>
      </c>
      <c r="G5" s="17" t="s">
        <v>8</v>
      </c>
      <c r="H5" s="17" t="s">
        <v>9</v>
      </c>
      <c r="I5" s="17" t="s">
        <v>10</v>
      </c>
      <c r="J5" s="17" t="s">
        <v>11</v>
      </c>
      <c r="K5" s="17" t="s">
        <v>12</v>
      </c>
      <c r="L5" s="38" t="s">
        <v>142</v>
      </c>
      <c r="M5" s="38" t="s">
        <v>143</v>
      </c>
      <c r="N5" s="38" t="s">
        <v>144</v>
      </c>
      <c r="O5" s="38" t="s">
        <v>148</v>
      </c>
      <c r="P5" s="38" t="s">
        <v>141</v>
      </c>
    </row>
    <row r="6" spans="1:23" ht="15" customHeight="1" x14ac:dyDescent="0.3">
      <c r="A6" s="9" t="s">
        <v>33</v>
      </c>
      <c r="B6" s="12">
        <f>Inputs!B50</f>
        <v>0.01</v>
      </c>
      <c r="C6" s="18">
        <f>Inputs!$B$15*$B$6</f>
        <v>18.63</v>
      </c>
      <c r="D6" s="18">
        <f>Inputs!$B$15*$B$6</f>
        <v>18.63</v>
      </c>
      <c r="E6" s="18">
        <f>Inputs!$B$15*$B$6</f>
        <v>18.63</v>
      </c>
      <c r="F6" s="18">
        <f>Inputs!$B$15*$B$6</f>
        <v>18.63</v>
      </c>
      <c r="G6" s="18">
        <f>Inputs!$B$15*$B$6</f>
        <v>18.63</v>
      </c>
      <c r="H6" s="18">
        <f>Inputs!$B$15*$B$6</f>
        <v>18.63</v>
      </c>
      <c r="I6" s="18">
        <f>Inputs!$B$15*$B$6</f>
        <v>18.63</v>
      </c>
      <c r="J6" s="18">
        <f>Inputs!$B$15*$B$6</f>
        <v>18.63</v>
      </c>
      <c r="K6" s="19">
        <f>Inputs!J6*B6</f>
        <v>149.12</v>
      </c>
      <c r="L6" s="39">
        <f>Politica_Inventarios!F14</f>
        <v>0</v>
      </c>
      <c r="M6" s="24">
        <f>Inputs!B34</f>
        <v>2</v>
      </c>
      <c r="N6" s="24">
        <f>K6+L6-M6</f>
        <v>147.12</v>
      </c>
      <c r="O6" s="39">
        <f>IF(ROUNDUP(N6/Inputs!$B$68,0)&lt;0,0,ROUNDUP(N6/Inputs!$B$68,0))+1</f>
        <v>149</v>
      </c>
      <c r="P6" s="28">
        <f>O6*Inputs!$B$85</f>
        <v>8940</v>
      </c>
    </row>
    <row r="7" spans="1:23" ht="15" customHeight="1" x14ac:dyDescent="0.3">
      <c r="A7" s="9" t="s">
        <v>34</v>
      </c>
      <c r="B7" s="12">
        <f>Inputs!B51</f>
        <v>8</v>
      </c>
      <c r="C7" s="18">
        <f>Inputs!$B$24*$B$7</f>
        <v>14904</v>
      </c>
      <c r="D7" s="18">
        <f>Inputs!$B$24*$B$7</f>
        <v>14904</v>
      </c>
      <c r="E7" s="18">
        <f>Inputs!$B$24*$B$7</f>
        <v>14904</v>
      </c>
      <c r="F7" s="18">
        <f>Inputs!$B$24*$B$7</f>
        <v>14904</v>
      </c>
      <c r="G7" s="18">
        <f>Inputs!$B$24*$B$7</f>
        <v>14904</v>
      </c>
      <c r="H7" s="18">
        <f>Inputs!$B$24*$B$7</f>
        <v>14904</v>
      </c>
      <c r="I7" s="18">
        <f>Inputs!$B$24*$B$7</f>
        <v>14904</v>
      </c>
      <c r="J7" s="18">
        <f>Inputs!$B$24*$B$7</f>
        <v>14904</v>
      </c>
      <c r="K7" s="19">
        <f>SUM(C7:J7)</f>
        <v>119232</v>
      </c>
      <c r="L7" s="39">
        <f>Politica_Inventarios!F15</f>
        <v>0</v>
      </c>
      <c r="M7" s="24">
        <f>Inputs!B35</f>
        <v>1380</v>
      </c>
      <c r="N7" s="24">
        <f>K7+L7-M7</f>
        <v>117852</v>
      </c>
      <c r="O7" s="39">
        <f>IF(ROUNDUP(N7/Inputs!$B$69,0)&lt;0,0,ROUNDUP(N7/Inputs!$B$69,0))</f>
        <v>1179</v>
      </c>
      <c r="P7" s="28">
        <f>O7*Inputs!$B$86</f>
        <v>8253</v>
      </c>
    </row>
    <row r="8" spans="1:23" ht="15" customHeight="1" x14ac:dyDescent="0.3">
      <c r="A8" s="9" t="s">
        <v>35</v>
      </c>
      <c r="B8" s="12">
        <f>Inputs!B52</f>
        <v>0.3</v>
      </c>
      <c r="C8" s="18">
        <f>Inputs!$B$24*$B$8</f>
        <v>558.9</v>
      </c>
      <c r="D8" s="18">
        <f>Inputs!$B$24*$B$8</f>
        <v>558.9</v>
      </c>
      <c r="E8" s="18">
        <f>Inputs!$B$24*$B$8</f>
        <v>558.9</v>
      </c>
      <c r="F8" s="18">
        <f>Inputs!$B$24*$B$8</f>
        <v>558.9</v>
      </c>
      <c r="G8" s="18">
        <f>Inputs!$B$24*$B$8</f>
        <v>558.9</v>
      </c>
      <c r="H8" s="18">
        <f>Inputs!$B$24*$B$8</f>
        <v>558.9</v>
      </c>
      <c r="I8" s="18">
        <f>Inputs!$B$24*$B$8</f>
        <v>558.9</v>
      </c>
      <c r="J8" s="18">
        <f>Inputs!$B$24*$B$8</f>
        <v>558.9</v>
      </c>
      <c r="K8" s="19">
        <f>Inputs!$J$24*B8</f>
        <v>4471.2</v>
      </c>
      <c r="L8" s="39">
        <f>Politica_Inventarios!F16</f>
        <v>0</v>
      </c>
      <c r="M8" s="24">
        <f>Inputs!B36</f>
        <v>18</v>
      </c>
      <c r="N8" s="24">
        <f t="shared" ref="N8:N11" si="0">K8+L8-M8</f>
        <v>4453.2</v>
      </c>
      <c r="O8" s="39">
        <f>IF(ROUNDUP(N8/Inputs!$B$70,0)&lt;0,0,ROUNDUP(N8/Inputs!$B$70,0))</f>
        <v>149</v>
      </c>
      <c r="P8" s="28">
        <f>O8*Inputs!$B$87</f>
        <v>5364</v>
      </c>
    </row>
    <row r="9" spans="1:23" ht="15" customHeight="1" x14ac:dyDescent="0.3">
      <c r="A9" s="9" t="s">
        <v>36</v>
      </c>
      <c r="B9" s="12">
        <f>Inputs!B53</f>
        <v>0.6</v>
      </c>
      <c r="C9" s="18">
        <f>Inputs!$B$24*$B$9</f>
        <v>1117.8</v>
      </c>
      <c r="D9" s="18">
        <f>Inputs!$B$24*$B$9</f>
        <v>1117.8</v>
      </c>
      <c r="E9" s="18">
        <f>Inputs!$B$24*$B$9</f>
        <v>1117.8</v>
      </c>
      <c r="F9" s="18">
        <f>Inputs!$B$24*$B$9</f>
        <v>1117.8</v>
      </c>
      <c r="G9" s="18">
        <f>Inputs!$B$24*$B$9</f>
        <v>1117.8</v>
      </c>
      <c r="H9" s="18">
        <f>Inputs!$B$24*$B$9</f>
        <v>1117.8</v>
      </c>
      <c r="I9" s="18">
        <f>Inputs!$B$24*$B$9</f>
        <v>1117.8</v>
      </c>
      <c r="J9" s="18">
        <f>Inputs!$B$24*$B$9</f>
        <v>1117.8</v>
      </c>
      <c r="K9" s="19">
        <f>Inputs!$J$24*B9</f>
        <v>8942.4</v>
      </c>
      <c r="L9" s="39">
        <f>Politica_Inventarios!F17</f>
        <v>0</v>
      </c>
      <c r="M9" s="24">
        <f>Inputs!B37</f>
        <v>36</v>
      </c>
      <c r="N9" s="24">
        <f t="shared" si="0"/>
        <v>8906.4</v>
      </c>
      <c r="O9" s="39">
        <f>IF(ROUNDUP(N9/Inputs!$B$71,0)&lt;0,0,ROUNDUP(N9/Inputs!$B$71,0))</f>
        <v>149</v>
      </c>
      <c r="P9" s="28">
        <f>O9*Inputs!$B$88</f>
        <v>3576</v>
      </c>
      <c r="S9" s="24">
        <f>R11-R12</f>
        <v>36</v>
      </c>
    </row>
    <row r="10" spans="1:23" ht="15" customHeight="1" x14ac:dyDescent="0.3">
      <c r="A10" s="9" t="s">
        <v>37</v>
      </c>
      <c r="B10" s="12">
        <f>Inputs!B54</f>
        <v>2</v>
      </c>
      <c r="C10" s="18">
        <f>Inputs!$B$24*$B$10</f>
        <v>3726</v>
      </c>
      <c r="D10" s="18">
        <f>Inputs!$B$24*$B$10</f>
        <v>3726</v>
      </c>
      <c r="E10" s="18">
        <f>Inputs!$B$24*$B$10</f>
        <v>3726</v>
      </c>
      <c r="F10" s="18">
        <f>Inputs!$B$24*$B$10</f>
        <v>3726</v>
      </c>
      <c r="G10" s="18">
        <f>Inputs!$B$24*$B$10</f>
        <v>3726</v>
      </c>
      <c r="H10" s="18">
        <f>Inputs!$B$24*$B$10</f>
        <v>3726</v>
      </c>
      <c r="I10" s="18">
        <f>Inputs!$B$24*$B$10</f>
        <v>3726</v>
      </c>
      <c r="J10" s="18">
        <f>Inputs!$B$24*$B$10</f>
        <v>3726</v>
      </c>
      <c r="K10" s="19">
        <f>Inputs!$J$24*B10</f>
        <v>29808</v>
      </c>
      <c r="L10" s="39">
        <f>Politica_Inventarios!F18</f>
        <v>0</v>
      </c>
      <c r="M10" s="24">
        <f>Inputs!B38</f>
        <v>20</v>
      </c>
      <c r="N10" s="24">
        <f t="shared" si="0"/>
        <v>29788</v>
      </c>
      <c r="O10" s="39">
        <f>IF(ROUNDUP(N10/Inputs!$B$72,0)&lt;0,0,ROUNDUP(N10/Inputs!$B$72,0))</f>
        <v>298</v>
      </c>
      <c r="P10" s="28">
        <f>O10*Inputs!$B$89</f>
        <v>8940</v>
      </c>
    </row>
    <row r="11" spans="1:23" ht="15" customHeight="1" x14ac:dyDescent="0.3">
      <c r="A11" s="9" t="s">
        <v>38</v>
      </c>
      <c r="B11" s="12">
        <f>Inputs!B55</f>
        <v>0.75</v>
      </c>
      <c r="C11" s="18">
        <f>Inputs!$B$24*$B$11</f>
        <v>1397.25</v>
      </c>
      <c r="D11" s="18">
        <f>Inputs!$B$24*$B$11</f>
        <v>1397.25</v>
      </c>
      <c r="E11" s="18">
        <f>Inputs!$B$24*$B$11</f>
        <v>1397.25</v>
      </c>
      <c r="F11" s="18">
        <f>Inputs!$B$24*$B$11</f>
        <v>1397.25</v>
      </c>
      <c r="G11" s="18">
        <f>Inputs!$B$24*$B$11</f>
        <v>1397.25</v>
      </c>
      <c r="H11" s="18">
        <f>Inputs!$B$24*$B$11</f>
        <v>1397.25</v>
      </c>
      <c r="I11" s="18">
        <f>Inputs!$B$24*$B$11</f>
        <v>1397.25</v>
      </c>
      <c r="J11" s="18">
        <f>Inputs!$B$24*$B$11</f>
        <v>1397.25</v>
      </c>
      <c r="K11" s="19">
        <f>Inputs!$J$24*B11</f>
        <v>11178</v>
      </c>
      <c r="L11" s="39">
        <f>Politica_Inventarios!F19</f>
        <v>0</v>
      </c>
      <c r="M11" s="24">
        <f>Inputs!B39</f>
        <v>46</v>
      </c>
      <c r="N11" s="24">
        <f t="shared" si="0"/>
        <v>11132</v>
      </c>
      <c r="O11" s="39">
        <f>IF(ROUNDUP(N11/Inputs!$B$73,0)&lt;0,0,ROUNDUP(N11/Inputs!$B$73,0))</f>
        <v>75</v>
      </c>
      <c r="P11" s="28">
        <f>O11*Inputs!$B$90</f>
        <v>2100</v>
      </c>
      <c r="R11" s="65">
        <v>3732</v>
      </c>
      <c r="W11" s="65">
        <v>14928</v>
      </c>
    </row>
    <row r="12" spans="1:23" x14ac:dyDescent="0.3">
      <c r="A12" s="2" t="s">
        <v>127</v>
      </c>
      <c r="B12" s="2"/>
      <c r="C12" s="20">
        <f>Inputs!B6</f>
        <v>1864</v>
      </c>
      <c r="D12" s="20">
        <f>Inputs!C6</f>
        <v>1864</v>
      </c>
      <c r="E12" s="20">
        <f>Inputs!D6</f>
        <v>1864</v>
      </c>
      <c r="F12" s="20">
        <f>Inputs!E6</f>
        <v>1864</v>
      </c>
      <c r="G12" s="20">
        <f>Inputs!F6</f>
        <v>1864</v>
      </c>
      <c r="H12" s="20">
        <f>Inputs!G6</f>
        <v>1864</v>
      </c>
      <c r="I12" s="20">
        <f>Inputs!H6</f>
        <v>1864</v>
      </c>
      <c r="J12" s="20">
        <f>Inputs!I6</f>
        <v>1864</v>
      </c>
      <c r="K12" s="20">
        <f>Inputs!J6</f>
        <v>14912</v>
      </c>
      <c r="N12" s="24"/>
      <c r="P12" s="28">
        <f>SUM(P6:P11)</f>
        <v>37173</v>
      </c>
      <c r="R12" s="48">
        <v>3696</v>
      </c>
      <c r="V12" s="65">
        <v>117900</v>
      </c>
      <c r="W12" s="48">
        <v>14784</v>
      </c>
    </row>
    <row r="13" spans="1:23" ht="15" customHeight="1" x14ac:dyDescent="0.3"/>
    <row r="14" spans="1:23" x14ac:dyDescent="0.3">
      <c r="A14" t="s">
        <v>128</v>
      </c>
      <c r="V14" s="24">
        <f>W11-W12</f>
        <v>144</v>
      </c>
    </row>
    <row r="15" spans="1:23" x14ac:dyDescent="0.3">
      <c r="A15" s="17" t="s">
        <v>21</v>
      </c>
      <c r="B15" s="17" t="s">
        <v>112</v>
      </c>
      <c r="C15" s="17" t="s">
        <v>4</v>
      </c>
      <c r="D15" s="17" t="s">
        <v>5</v>
      </c>
      <c r="E15" s="17" t="s">
        <v>6</v>
      </c>
      <c r="F15" s="17" t="s">
        <v>7</v>
      </c>
      <c r="G15" s="17" t="s">
        <v>8</v>
      </c>
      <c r="H15" s="17" t="s">
        <v>9</v>
      </c>
      <c r="I15" s="17" t="s">
        <v>10</v>
      </c>
      <c r="J15" s="17" t="s">
        <v>11</v>
      </c>
      <c r="K15" s="17" t="s">
        <v>12</v>
      </c>
      <c r="L15" s="38" t="s">
        <v>142</v>
      </c>
      <c r="M15" s="38" t="s">
        <v>143</v>
      </c>
      <c r="N15" s="38" t="s">
        <v>144</v>
      </c>
      <c r="O15" s="38" t="s">
        <v>147</v>
      </c>
      <c r="P15" s="38" t="s">
        <v>141</v>
      </c>
    </row>
    <row r="16" spans="1:23" x14ac:dyDescent="0.3">
      <c r="A16" s="9" t="s">
        <v>33</v>
      </c>
      <c r="B16" s="12">
        <v>0.01</v>
      </c>
      <c r="C16" s="18">
        <f>Inputs!$B$16*$B$16</f>
        <v>11.63</v>
      </c>
      <c r="D16" s="18">
        <f>Inputs!$B$16*$B$16</f>
        <v>11.63</v>
      </c>
      <c r="E16" s="18">
        <f>Inputs!$B$16*$B$16</f>
        <v>11.63</v>
      </c>
      <c r="F16" s="18">
        <f>Inputs!$B$16*$B$16</f>
        <v>11.63</v>
      </c>
      <c r="G16" s="18">
        <f>Inputs!$B$16*$B$16</f>
        <v>11.63</v>
      </c>
      <c r="H16" s="18">
        <f>Inputs!$B$16*$B$16</f>
        <v>11.63</v>
      </c>
      <c r="I16" s="18">
        <f>Inputs!$B$16*$B$16</f>
        <v>11.63</v>
      </c>
      <c r="J16" s="18">
        <f>Inputs!$B$16*$B$16</f>
        <v>11.63</v>
      </c>
      <c r="K16" s="19">
        <f t="shared" ref="K16:K21" si="1">SUM(C16:J16)</f>
        <v>93.039999999999992</v>
      </c>
      <c r="L16" s="39">
        <f>Politica_Inventarios!F25</f>
        <v>0</v>
      </c>
      <c r="M16" s="24">
        <f>Inputs!C34</f>
        <v>1</v>
      </c>
      <c r="N16" s="46">
        <f>K16+L16-M16</f>
        <v>92.039999999999992</v>
      </c>
      <c r="O16" s="39">
        <f>IF(ROUNDUP(N16/Inputs!$B$68,0)&lt;0,0,ROUNDUP(N16/Inputs!$B$68,0))+1</f>
        <v>94</v>
      </c>
      <c r="P16" s="28">
        <f>O16*Inputs!$B$85</f>
        <v>5640</v>
      </c>
      <c r="T16" s="24">
        <f>298+S9</f>
        <v>334</v>
      </c>
    </row>
    <row r="17" spans="1:22" x14ac:dyDescent="0.3">
      <c r="A17" s="9" t="s">
        <v>34</v>
      </c>
      <c r="B17" s="12">
        <v>8</v>
      </c>
      <c r="C17" s="18">
        <f>Inputs!$B$25*$B$17</f>
        <v>9304</v>
      </c>
      <c r="D17" s="18">
        <f>Inputs!$B$25*$B$17</f>
        <v>9304</v>
      </c>
      <c r="E17" s="18">
        <f>Inputs!$B$25*$B$17</f>
        <v>9304</v>
      </c>
      <c r="F17" s="18">
        <f>Inputs!$B$25*$B$17</f>
        <v>9304</v>
      </c>
      <c r="G17" s="18">
        <f>Inputs!$B$25*$B$17</f>
        <v>9304</v>
      </c>
      <c r="H17" s="18">
        <f>Inputs!$B$25*$B$17</f>
        <v>9304</v>
      </c>
      <c r="I17" s="18">
        <f>Inputs!$B$25*$B$17</f>
        <v>9304</v>
      </c>
      <c r="J17" s="18">
        <f>Inputs!$B$25*$B$17</f>
        <v>9304</v>
      </c>
      <c r="K17" s="19">
        <f t="shared" si="1"/>
        <v>74432</v>
      </c>
      <c r="L17" s="39">
        <f>Politica_Inventarios!F26</f>
        <v>0</v>
      </c>
      <c r="M17" s="24">
        <f>Inputs!C35</f>
        <v>1076</v>
      </c>
      <c r="N17" s="24">
        <f>K17+L17-M17</f>
        <v>73356</v>
      </c>
      <c r="O17" s="39">
        <f>IF(ROUNDUP(N17/Inputs!$B$69,0)&lt;0,0,ROUNDUP(N17/Inputs!$B$69,0))</f>
        <v>734</v>
      </c>
      <c r="P17" s="28">
        <f>O17*Inputs!$B$86</f>
        <v>5138</v>
      </c>
    </row>
    <row r="18" spans="1:22" x14ac:dyDescent="0.3">
      <c r="A18" s="9" t="s">
        <v>35</v>
      </c>
      <c r="B18" s="12">
        <v>0.3</v>
      </c>
      <c r="C18" s="18">
        <f>Inputs!$B$25*$B$18</f>
        <v>348.9</v>
      </c>
      <c r="D18" s="18">
        <f>Inputs!$B$25*$B$18</f>
        <v>348.9</v>
      </c>
      <c r="E18" s="18">
        <f>Inputs!$B$25*$B$18</f>
        <v>348.9</v>
      </c>
      <c r="F18" s="18">
        <f>Inputs!$B$25*$B$18</f>
        <v>348.9</v>
      </c>
      <c r="G18" s="18">
        <f>Inputs!$B$25*$B$18</f>
        <v>348.9</v>
      </c>
      <c r="H18" s="18">
        <f>Inputs!$B$25*$B$18</f>
        <v>348.9</v>
      </c>
      <c r="I18" s="18">
        <f>Inputs!$B$25*$B$18</f>
        <v>348.9</v>
      </c>
      <c r="J18" s="18">
        <f>Inputs!$B$25*$B$18</f>
        <v>348.9</v>
      </c>
      <c r="K18" s="19">
        <f t="shared" si="1"/>
        <v>2791.2000000000003</v>
      </c>
      <c r="L18" s="39">
        <f>Politica_Inventarios!F27</f>
        <v>0</v>
      </c>
      <c r="M18" s="24">
        <f>Inputs!C36</f>
        <v>29</v>
      </c>
      <c r="N18" s="24">
        <f t="shared" ref="N18:N21" si="2">K18+L18-M18</f>
        <v>2762.2000000000003</v>
      </c>
      <c r="O18" s="39">
        <f>IF(ROUNDUP(N18/Inputs!$B$70,0)&lt;0,0,ROUNDUP(N18/Inputs!$B$70,0))</f>
        <v>93</v>
      </c>
      <c r="P18" s="28">
        <f>O18*Inputs!$B$87</f>
        <v>3348</v>
      </c>
      <c r="V18" s="24">
        <f>V12+V14</f>
        <v>118044</v>
      </c>
    </row>
    <row r="19" spans="1:22" x14ac:dyDescent="0.3">
      <c r="A19" s="9" t="s">
        <v>36</v>
      </c>
      <c r="B19" s="12">
        <v>0.6</v>
      </c>
      <c r="C19" s="18">
        <f>Inputs!$B$25*$B$19</f>
        <v>697.8</v>
      </c>
      <c r="D19" s="18">
        <f>Inputs!$B$25*$B$19</f>
        <v>697.8</v>
      </c>
      <c r="E19" s="18">
        <f>Inputs!$B$25*$B$19</f>
        <v>697.8</v>
      </c>
      <c r="F19" s="18">
        <f>Inputs!$B$25*$B$19</f>
        <v>697.8</v>
      </c>
      <c r="G19" s="18">
        <f>Inputs!$B$25*$B$19</f>
        <v>697.8</v>
      </c>
      <c r="H19" s="18">
        <f>Inputs!$B$25*$B$19</f>
        <v>697.8</v>
      </c>
      <c r="I19" s="18">
        <f>Inputs!$B$25*$B$19</f>
        <v>697.8</v>
      </c>
      <c r="J19" s="18">
        <f>Inputs!$B$25*$B$19</f>
        <v>697.8</v>
      </c>
      <c r="K19" s="19">
        <f t="shared" si="1"/>
        <v>5582.4000000000005</v>
      </c>
      <c r="L19" s="39">
        <f>Politica_Inventarios!F28</f>
        <v>0</v>
      </c>
      <c r="M19" s="24">
        <f>Inputs!C37</f>
        <v>58</v>
      </c>
      <c r="N19" s="24">
        <f t="shared" si="2"/>
        <v>5524.4000000000005</v>
      </c>
      <c r="O19" s="39">
        <f>IF(ROUNDUP(N19/Inputs!$B$71,0)&lt;0,0,ROUNDUP(N19/Inputs!$B$71,0))</f>
        <v>93</v>
      </c>
      <c r="P19" s="28">
        <f>O19*Inputs!$B$88</f>
        <v>2232</v>
      </c>
      <c r="R19">
        <f>117900/8</f>
        <v>14737.5</v>
      </c>
    </row>
    <row r="20" spans="1:22" x14ac:dyDescent="0.3">
      <c r="A20" s="9" t="s">
        <v>37</v>
      </c>
      <c r="B20" s="12">
        <v>2</v>
      </c>
      <c r="C20" s="18">
        <f>Inputs!$B$25*$B$20</f>
        <v>2326</v>
      </c>
      <c r="D20" s="18">
        <f>Inputs!$B$25*$B$20</f>
        <v>2326</v>
      </c>
      <c r="E20" s="18">
        <f>Inputs!$B$25*$B$20</f>
        <v>2326</v>
      </c>
      <c r="F20" s="18">
        <f>Inputs!$B$25*$B$20</f>
        <v>2326</v>
      </c>
      <c r="G20" s="18">
        <f>Inputs!$B$25*$B$20</f>
        <v>2326</v>
      </c>
      <c r="H20" s="18">
        <f>Inputs!$B$25*$B$20</f>
        <v>2326</v>
      </c>
      <c r="I20" s="18">
        <f>Inputs!$B$25*$B$20</f>
        <v>2326</v>
      </c>
      <c r="J20" s="18">
        <f>Inputs!$B$25*$B$20</f>
        <v>2326</v>
      </c>
      <c r="K20" s="19">
        <f t="shared" si="1"/>
        <v>18608</v>
      </c>
      <c r="L20" s="39">
        <f>Politica_Inventarios!F29</f>
        <v>0</v>
      </c>
      <c r="M20" s="24">
        <f>Inputs!C38</f>
        <v>94</v>
      </c>
      <c r="N20" s="24">
        <f t="shared" si="2"/>
        <v>18514</v>
      </c>
      <c r="O20" s="39">
        <f>IF(ROUNDUP(N20/Inputs!$B$72,0)&lt;0,0,ROUNDUP(N20/Inputs!$B$72,0))</f>
        <v>186</v>
      </c>
      <c r="P20" s="28">
        <f>O20*Inputs!$B$89</f>
        <v>5580</v>
      </c>
      <c r="V20">
        <f>+V18/8</f>
        <v>14755.5</v>
      </c>
    </row>
    <row r="21" spans="1:22" x14ac:dyDescent="0.3">
      <c r="A21" s="9" t="s">
        <v>38</v>
      </c>
      <c r="B21" s="12">
        <v>0.75</v>
      </c>
      <c r="C21" s="18">
        <f>Inputs!$B$25*$B$21</f>
        <v>872.25</v>
      </c>
      <c r="D21" s="18">
        <f>Inputs!$B$25*$B$21</f>
        <v>872.25</v>
      </c>
      <c r="E21" s="18">
        <f>Inputs!$B$25*$B$21</f>
        <v>872.25</v>
      </c>
      <c r="F21" s="18">
        <f>Inputs!$B$25*$B$21</f>
        <v>872.25</v>
      </c>
      <c r="G21" s="18">
        <f>Inputs!$B$25*$B$21</f>
        <v>872.25</v>
      </c>
      <c r="H21" s="18">
        <f>Inputs!$B$25*$B$21</f>
        <v>872.25</v>
      </c>
      <c r="I21" s="18">
        <f>Inputs!$B$25*$B$21</f>
        <v>872.25</v>
      </c>
      <c r="J21" s="18">
        <f>Inputs!$B$25*$B$21</f>
        <v>872.25</v>
      </c>
      <c r="K21" s="19">
        <f t="shared" si="1"/>
        <v>6978</v>
      </c>
      <c r="L21" s="39">
        <f>Politica_Inventarios!F30</f>
        <v>0</v>
      </c>
      <c r="M21" s="24">
        <f>Inputs!C39</f>
        <v>148</v>
      </c>
      <c r="N21" s="24">
        <f t="shared" si="2"/>
        <v>6830</v>
      </c>
      <c r="O21" s="39">
        <f>IF(ROUNDUP(N21/Inputs!$B$73,0)&lt;0,0,ROUNDUP(N21/Inputs!$B$73,0))</f>
        <v>46</v>
      </c>
      <c r="P21" s="28">
        <f>O21*Inputs!$B$90</f>
        <v>1288</v>
      </c>
    </row>
    <row r="22" spans="1:22" x14ac:dyDescent="0.3">
      <c r="A22" s="2" t="s">
        <v>127</v>
      </c>
      <c r="B22" s="2"/>
      <c r="C22" s="20">
        <f>Inputs!B7</f>
        <v>1164</v>
      </c>
      <c r="D22" s="20">
        <f>Inputs!C7</f>
        <v>1164</v>
      </c>
      <c r="E22" s="20">
        <f>Inputs!D7</f>
        <v>1164</v>
      </c>
      <c r="F22" s="20">
        <f>Inputs!E7</f>
        <v>1164</v>
      </c>
      <c r="G22" s="20">
        <f>Inputs!F7</f>
        <v>1164</v>
      </c>
      <c r="H22" s="20">
        <f>Inputs!G7</f>
        <v>1164</v>
      </c>
      <c r="I22" s="20">
        <f>Inputs!H7</f>
        <v>1164</v>
      </c>
      <c r="J22" s="20">
        <f>Inputs!I7</f>
        <v>1164</v>
      </c>
      <c r="K22" s="20">
        <f>Inputs!J7</f>
        <v>9312</v>
      </c>
      <c r="P22" s="28">
        <f>SUM(P16:P21)</f>
        <v>23226</v>
      </c>
      <c r="R22" s="28"/>
    </row>
    <row r="24" spans="1:22" x14ac:dyDescent="0.3">
      <c r="A24" t="s">
        <v>129</v>
      </c>
    </row>
    <row r="25" spans="1:22" x14ac:dyDescent="0.3">
      <c r="A25" s="17" t="s">
        <v>21</v>
      </c>
      <c r="B25" s="17" t="s">
        <v>112</v>
      </c>
      <c r="C25" s="17" t="s">
        <v>4</v>
      </c>
      <c r="D25" s="17" t="s">
        <v>5</v>
      </c>
      <c r="E25" s="17" t="s">
        <v>6</v>
      </c>
      <c r="F25" s="17" t="s">
        <v>7</v>
      </c>
      <c r="G25" s="17" t="s">
        <v>8</v>
      </c>
      <c r="H25" s="17" t="s">
        <v>9</v>
      </c>
      <c r="I25" s="17" t="s">
        <v>10</v>
      </c>
      <c r="J25" s="17" t="s">
        <v>11</v>
      </c>
      <c r="K25" s="17" t="s">
        <v>12</v>
      </c>
      <c r="L25" s="38" t="s">
        <v>142</v>
      </c>
      <c r="M25" s="38" t="s">
        <v>143</v>
      </c>
      <c r="N25" s="38" t="s">
        <v>144</v>
      </c>
      <c r="O25" s="38" t="s">
        <v>147</v>
      </c>
      <c r="P25" s="38" t="s">
        <v>141</v>
      </c>
    </row>
    <row r="26" spans="1:22" x14ac:dyDescent="0.3">
      <c r="A26" s="9" t="s">
        <v>33</v>
      </c>
      <c r="B26" s="12">
        <v>0.01</v>
      </c>
      <c r="C26" s="18">
        <f>Inputs!$B$17*$B$26</f>
        <v>0</v>
      </c>
      <c r="D26" s="18">
        <f>Inputs!$B$17*$B$26</f>
        <v>0</v>
      </c>
      <c r="E26" s="18">
        <f>Inputs!$B$17*$B$26</f>
        <v>0</v>
      </c>
      <c r="F26" s="18">
        <f>Inputs!$B$17*$B$26</f>
        <v>0</v>
      </c>
      <c r="G26" s="18">
        <f>Inputs!$B$17*$B$26</f>
        <v>0</v>
      </c>
      <c r="H26" s="18">
        <f>Inputs!$B$17*$B$26</f>
        <v>0</v>
      </c>
      <c r="I26" s="18">
        <f>Inputs!$B$17*$B$26</f>
        <v>0</v>
      </c>
      <c r="J26" s="18">
        <f>Inputs!$B$17*$B$26</f>
        <v>0</v>
      </c>
      <c r="K26" s="19">
        <f t="shared" ref="K26:K31" si="3">SUM(C26:J26)</f>
        <v>0</v>
      </c>
      <c r="L26" s="39">
        <f>Politica_Inventarios!F36</f>
        <v>0</v>
      </c>
      <c r="M26" s="24">
        <f>Inputs!D34</f>
        <v>0</v>
      </c>
      <c r="N26" s="24">
        <f>K26+L26-M26</f>
        <v>0</v>
      </c>
      <c r="O26" s="39">
        <f>IF(ROUNDUP(N26/Inputs!$B$68,0)&lt;0,0,ROUNDUP(N26/Inputs!$B$68,0))*1.1+0</f>
        <v>0</v>
      </c>
      <c r="P26" s="28">
        <f>O26*Inputs!$B$85</f>
        <v>0</v>
      </c>
    </row>
    <row r="27" spans="1:22" x14ac:dyDescent="0.3">
      <c r="A27" s="9" t="s">
        <v>34</v>
      </c>
      <c r="B27" s="12">
        <v>8</v>
      </c>
      <c r="C27" s="18">
        <f>Inputs!B26*$B$27</f>
        <v>0</v>
      </c>
      <c r="D27" s="18">
        <f>Inputs!C17*$B$27</f>
        <v>0</v>
      </c>
      <c r="E27" s="18">
        <f>Inputs!D17*$B$27</f>
        <v>0</v>
      </c>
      <c r="F27" s="18">
        <f>Inputs!E17*$B$27</f>
        <v>0</v>
      </c>
      <c r="G27" s="18">
        <f>Inputs!F17*$B$27</f>
        <v>0</v>
      </c>
      <c r="H27" s="18">
        <f>Inputs!G17*$B$27</f>
        <v>0</v>
      </c>
      <c r="I27" s="18">
        <f>Inputs!H17*$B$27</f>
        <v>0</v>
      </c>
      <c r="J27" s="18">
        <f>Inputs!I17*$B$27</f>
        <v>0</v>
      </c>
      <c r="K27" s="19">
        <f t="shared" si="3"/>
        <v>0</v>
      </c>
      <c r="L27" s="39">
        <f>Politica_Inventarios!F37</f>
        <v>0</v>
      </c>
      <c r="M27" s="24">
        <f>Inputs!D35</f>
        <v>0</v>
      </c>
      <c r="N27" s="24">
        <f>K27+L27-M27</f>
        <v>0</v>
      </c>
      <c r="O27" s="39">
        <f>IF(ROUNDUP(N27/Inputs!$B$69,0)&lt;0,0,ROUNDUP(N27/Inputs!$B$69,0))</f>
        <v>0</v>
      </c>
      <c r="P27" s="28">
        <f>O27*Inputs!$B$86</f>
        <v>0</v>
      </c>
    </row>
    <row r="28" spans="1:22" x14ac:dyDescent="0.3">
      <c r="A28" s="9" t="s">
        <v>35</v>
      </c>
      <c r="B28" s="12">
        <v>0.3</v>
      </c>
      <c r="C28" s="18">
        <f>Inputs!$B$26*$B$28</f>
        <v>0</v>
      </c>
      <c r="D28" s="18">
        <f>Inputs!$B$26*$B$28</f>
        <v>0</v>
      </c>
      <c r="E28" s="18">
        <f>Inputs!$B$26*$B$28</f>
        <v>0</v>
      </c>
      <c r="F28" s="18">
        <f>Inputs!$B$26*$B$28</f>
        <v>0</v>
      </c>
      <c r="G28" s="18">
        <f>Inputs!$B$26*$B$28</f>
        <v>0</v>
      </c>
      <c r="H28" s="18">
        <f>Inputs!$B$26*$B$28</f>
        <v>0</v>
      </c>
      <c r="I28" s="18">
        <f>Inputs!$B$26*$B$28</f>
        <v>0</v>
      </c>
      <c r="J28" s="18">
        <f>Inputs!$B$26*$B$28</f>
        <v>0</v>
      </c>
      <c r="K28" s="19">
        <f t="shared" si="3"/>
        <v>0</v>
      </c>
      <c r="L28" s="39">
        <f>Politica_Inventarios!F38</f>
        <v>0</v>
      </c>
      <c r="M28" s="24">
        <f>Inputs!D36</f>
        <v>0</v>
      </c>
      <c r="N28" s="24">
        <f t="shared" ref="N28:N31" si="4">K28+L28-M28</f>
        <v>0</v>
      </c>
      <c r="O28" s="39">
        <f>IF(ROUNDUP(N28/Inputs!$B$70,0)&lt;0,0,ROUNDUP(N28/Inputs!$B$70,0))</f>
        <v>0</v>
      </c>
      <c r="P28" s="28">
        <f>O28*Inputs!$B$87</f>
        <v>0</v>
      </c>
    </row>
    <row r="29" spans="1:22" x14ac:dyDescent="0.3">
      <c r="A29" s="9" t="s">
        <v>36</v>
      </c>
      <c r="B29" s="12">
        <v>0.6</v>
      </c>
      <c r="C29" s="18">
        <f>Inputs!$B$26*$B$29</f>
        <v>0</v>
      </c>
      <c r="D29" s="18">
        <f>Inputs!$B$26*$B$29</f>
        <v>0</v>
      </c>
      <c r="E29" s="18">
        <f>Inputs!$B$26*$B$29</f>
        <v>0</v>
      </c>
      <c r="F29" s="18">
        <f>Inputs!$B$26*$B$29</f>
        <v>0</v>
      </c>
      <c r="G29" s="18">
        <f>Inputs!$B$26*$B$29</f>
        <v>0</v>
      </c>
      <c r="H29" s="18">
        <f>Inputs!$B$26*$B$29</f>
        <v>0</v>
      </c>
      <c r="I29" s="18">
        <f>Inputs!$B$26*$B$29</f>
        <v>0</v>
      </c>
      <c r="J29" s="18">
        <f>Inputs!$B$26*$B$29</f>
        <v>0</v>
      </c>
      <c r="K29" s="19">
        <f t="shared" si="3"/>
        <v>0</v>
      </c>
      <c r="L29" s="39">
        <f>Politica_Inventarios!F39</f>
        <v>0</v>
      </c>
      <c r="M29" s="24">
        <f>Inputs!D37</f>
        <v>0</v>
      </c>
      <c r="N29" s="24">
        <f t="shared" si="4"/>
        <v>0</v>
      </c>
      <c r="O29" s="39">
        <f>IF(ROUNDUP(N29/Inputs!$B$71,0)&lt;0,0,ROUNDUP(N29/Inputs!$B$71,0))</f>
        <v>0</v>
      </c>
      <c r="P29" s="28">
        <f>O29*Inputs!$B$88</f>
        <v>0</v>
      </c>
    </row>
    <row r="30" spans="1:22" x14ac:dyDescent="0.3">
      <c r="A30" s="9" t="s">
        <v>37</v>
      </c>
      <c r="B30" s="12">
        <v>2</v>
      </c>
      <c r="C30" s="18">
        <f>Inputs!$B$26*$B$30</f>
        <v>0</v>
      </c>
      <c r="D30" s="18">
        <f>Inputs!$B$26*$B$30</f>
        <v>0</v>
      </c>
      <c r="E30" s="18">
        <f>Inputs!$B$26*$B$30</f>
        <v>0</v>
      </c>
      <c r="F30" s="18">
        <f>Inputs!$B$26*$B$30</f>
        <v>0</v>
      </c>
      <c r="G30" s="18">
        <f>Inputs!$B$26*$B$30</f>
        <v>0</v>
      </c>
      <c r="H30" s="18">
        <f>Inputs!$B$26*$B$30</f>
        <v>0</v>
      </c>
      <c r="I30" s="18">
        <f>Inputs!$B$26*$B$30</f>
        <v>0</v>
      </c>
      <c r="J30" s="18">
        <f>Inputs!$B$26*$B$30</f>
        <v>0</v>
      </c>
      <c r="K30" s="19">
        <f t="shared" si="3"/>
        <v>0</v>
      </c>
      <c r="L30" s="39">
        <f>Politica_Inventarios!F40</f>
        <v>0</v>
      </c>
      <c r="M30" s="24">
        <f>Inputs!D38</f>
        <v>0</v>
      </c>
      <c r="N30" s="24">
        <f t="shared" si="4"/>
        <v>0</v>
      </c>
      <c r="O30" s="39">
        <f>IF(ROUNDUP(N30/Inputs!$B$72,0)&lt;0,0,ROUNDUP(N30/Inputs!$B$72,0))</f>
        <v>0</v>
      </c>
      <c r="P30" s="28">
        <f>O30*Inputs!$B$89</f>
        <v>0</v>
      </c>
    </row>
    <row r="31" spans="1:22" x14ac:dyDescent="0.3">
      <c r="A31" s="9" t="s">
        <v>38</v>
      </c>
      <c r="B31" s="12">
        <v>0.75</v>
      </c>
      <c r="C31" s="18">
        <f>Inputs!$B$26*$B$31</f>
        <v>0</v>
      </c>
      <c r="D31" s="18">
        <f>Inputs!$B$26*$B$31</f>
        <v>0</v>
      </c>
      <c r="E31" s="18">
        <f>Inputs!$B$26*$B$31</f>
        <v>0</v>
      </c>
      <c r="F31" s="18">
        <f>Inputs!$B$26*$B$31</f>
        <v>0</v>
      </c>
      <c r="G31" s="18">
        <f>Inputs!$B$26*$B$31</f>
        <v>0</v>
      </c>
      <c r="H31" s="18">
        <f>Inputs!$B$26*$B$31</f>
        <v>0</v>
      </c>
      <c r="I31" s="18">
        <f>Inputs!$B$26*$B$31</f>
        <v>0</v>
      </c>
      <c r="J31" s="18">
        <f>Inputs!$B$26*$B$31</f>
        <v>0</v>
      </c>
      <c r="K31" s="19">
        <f t="shared" si="3"/>
        <v>0</v>
      </c>
      <c r="L31" s="39">
        <f>Politica_Inventarios!F41</f>
        <v>0</v>
      </c>
      <c r="M31" s="24">
        <f>Inputs!D39</f>
        <v>0</v>
      </c>
      <c r="N31" s="24">
        <f t="shared" si="4"/>
        <v>0</v>
      </c>
      <c r="O31" s="39">
        <f>IF(ROUNDUP(N31/Inputs!$B$73,0)&lt;0,0,ROUNDUP(N31/Inputs!$B$73,0))</f>
        <v>0</v>
      </c>
      <c r="P31" s="28">
        <f>O31*Inputs!$B$90</f>
        <v>0</v>
      </c>
    </row>
    <row r="32" spans="1:22" x14ac:dyDescent="0.3">
      <c r="A32" s="2" t="s">
        <v>127</v>
      </c>
      <c r="B32" s="2"/>
      <c r="C32" s="20">
        <f>Inputs!B8</f>
        <v>0</v>
      </c>
      <c r="D32" s="20">
        <f>Inputs!C8</f>
        <v>0</v>
      </c>
      <c r="E32" s="20">
        <f>Inputs!D8</f>
        <v>0</v>
      </c>
      <c r="F32" s="20">
        <f>Inputs!E8</f>
        <v>0</v>
      </c>
      <c r="G32" s="20">
        <f>Inputs!F8</f>
        <v>0</v>
      </c>
      <c r="H32" s="20">
        <f>Inputs!G8</f>
        <v>0</v>
      </c>
      <c r="I32" s="20">
        <f>Inputs!H8</f>
        <v>0</v>
      </c>
      <c r="J32" s="20">
        <f>Inputs!I8</f>
        <v>0</v>
      </c>
      <c r="K32" s="20">
        <f>Inputs!J8</f>
        <v>0</v>
      </c>
      <c r="P32" s="28">
        <f>SUM(P26:P31)</f>
        <v>0</v>
      </c>
    </row>
    <row r="34" spans="1:16" x14ac:dyDescent="0.3">
      <c r="A34" t="s">
        <v>130</v>
      </c>
    </row>
    <row r="35" spans="1:16" x14ac:dyDescent="0.3">
      <c r="A35" s="17" t="s">
        <v>21</v>
      </c>
      <c r="B35" s="17" t="s">
        <v>112</v>
      </c>
      <c r="C35" s="17" t="s">
        <v>4</v>
      </c>
      <c r="D35" s="17" t="s">
        <v>5</v>
      </c>
      <c r="E35" s="17" t="s">
        <v>6</v>
      </c>
      <c r="F35" s="17" t="s">
        <v>7</v>
      </c>
      <c r="G35" s="17" t="s">
        <v>8</v>
      </c>
      <c r="H35" s="17" t="s">
        <v>9</v>
      </c>
      <c r="I35" s="17" t="s">
        <v>10</v>
      </c>
      <c r="J35" s="17" t="s">
        <v>11</v>
      </c>
      <c r="K35" s="17" t="s">
        <v>12</v>
      </c>
      <c r="L35" s="38" t="s">
        <v>142</v>
      </c>
      <c r="M35" s="38" t="s">
        <v>143</v>
      </c>
      <c r="N35" s="38" t="s">
        <v>144</v>
      </c>
      <c r="O35" s="38" t="s">
        <v>147</v>
      </c>
      <c r="P35" s="38" t="s">
        <v>141</v>
      </c>
    </row>
    <row r="36" spans="1:16" x14ac:dyDescent="0.3">
      <c r="A36" s="9" t="s">
        <v>33</v>
      </c>
      <c r="B36" s="12">
        <v>0.01</v>
      </c>
      <c r="C36" s="18">
        <f>Inputs!$B$18*$B$36</f>
        <v>0</v>
      </c>
      <c r="D36" s="18">
        <f>Inputs!$B$18*$B$36</f>
        <v>0</v>
      </c>
      <c r="E36" s="18">
        <f>Inputs!$B$18*$B$36</f>
        <v>0</v>
      </c>
      <c r="F36" s="18">
        <f>Inputs!$B$18*$B$36</f>
        <v>0</v>
      </c>
      <c r="G36" s="18">
        <f>Inputs!$B$18*$B$36</f>
        <v>0</v>
      </c>
      <c r="H36" s="18">
        <f>Inputs!$B$18*$B$36</f>
        <v>0</v>
      </c>
      <c r="I36" s="18">
        <f>Inputs!$B$18*$B$36</f>
        <v>0</v>
      </c>
      <c r="J36" s="18">
        <f>Inputs!$B$18*$B$36</f>
        <v>0</v>
      </c>
      <c r="K36" s="19">
        <f t="shared" ref="K36:K41" si="5">SUM(C36:J36)</f>
        <v>0</v>
      </c>
      <c r="L36" s="39">
        <f>Politica_Inventarios!F47</f>
        <v>0</v>
      </c>
      <c r="M36" s="24">
        <f>Inputs!E34</f>
        <v>0</v>
      </c>
      <c r="N36" s="24">
        <f>K36+L36-M36</f>
        <v>0</v>
      </c>
      <c r="O36" s="39">
        <f>IF(ROUNDUP(N36/Inputs!$B$68,0)&lt;0,0,ROUNDUP(N36/Inputs!$B$68,0))*1.1+0</f>
        <v>0</v>
      </c>
      <c r="P36" s="28">
        <f>O36*Inputs!$B$85</f>
        <v>0</v>
      </c>
    </row>
    <row r="37" spans="1:16" x14ac:dyDescent="0.3">
      <c r="A37" s="9" t="s">
        <v>34</v>
      </c>
      <c r="B37" s="12">
        <v>8</v>
      </c>
      <c r="C37" s="18">
        <f>Inputs!$B$27*$B$37</f>
        <v>0</v>
      </c>
      <c r="D37" s="18">
        <f>Inputs!$B$27*$B$37</f>
        <v>0</v>
      </c>
      <c r="E37" s="18">
        <f>Inputs!$B$27*$B$37</f>
        <v>0</v>
      </c>
      <c r="F37" s="18">
        <f>Inputs!$B$27*$B$37</f>
        <v>0</v>
      </c>
      <c r="G37" s="18">
        <f>Inputs!$B$27*$B$37</f>
        <v>0</v>
      </c>
      <c r="H37" s="18">
        <f>Inputs!$B$27*$B$37</f>
        <v>0</v>
      </c>
      <c r="I37" s="18">
        <f>Inputs!$B$27*$B$37</f>
        <v>0</v>
      </c>
      <c r="J37" s="18">
        <f>Inputs!$B$27*$B$37</f>
        <v>0</v>
      </c>
      <c r="K37" s="19">
        <f t="shared" si="5"/>
        <v>0</v>
      </c>
      <c r="L37" s="39">
        <f>Politica_Inventarios!F48</f>
        <v>0</v>
      </c>
      <c r="M37" s="24">
        <f>Inputs!E35</f>
        <v>0</v>
      </c>
      <c r="N37" s="24">
        <f>K37+L37-M37</f>
        <v>0</v>
      </c>
      <c r="O37" s="39">
        <f>IF(ROUNDUP(N37/Inputs!$B$69,0)&lt;0,0,ROUNDUP(N37/Inputs!$B$69,0))</f>
        <v>0</v>
      </c>
      <c r="P37" s="28">
        <f>O37*Inputs!$B$86</f>
        <v>0</v>
      </c>
    </row>
    <row r="38" spans="1:16" x14ac:dyDescent="0.3">
      <c r="A38" s="9" t="s">
        <v>35</v>
      </c>
      <c r="B38" s="12">
        <v>0.3</v>
      </c>
      <c r="C38" s="18">
        <f>Inputs!$B$27*$B$38</f>
        <v>0</v>
      </c>
      <c r="D38" s="18">
        <f>Inputs!$B$27*$B$38</f>
        <v>0</v>
      </c>
      <c r="E38" s="18">
        <f>Inputs!$B$27*$B$38</f>
        <v>0</v>
      </c>
      <c r="F38" s="18">
        <f>Inputs!$B$27*$B$38</f>
        <v>0</v>
      </c>
      <c r="G38" s="18">
        <f>Inputs!$B$27*$B$38</f>
        <v>0</v>
      </c>
      <c r="H38" s="18">
        <f>Inputs!$B$27*$B$38</f>
        <v>0</v>
      </c>
      <c r="I38" s="18">
        <f>Inputs!$B$27*$B$38</f>
        <v>0</v>
      </c>
      <c r="J38" s="18">
        <f>Inputs!$B$27*$B$38</f>
        <v>0</v>
      </c>
      <c r="K38" s="19">
        <f t="shared" si="5"/>
        <v>0</v>
      </c>
      <c r="L38" s="39">
        <f>Politica_Inventarios!F49</f>
        <v>0</v>
      </c>
      <c r="M38" s="24">
        <f>Inputs!E36</f>
        <v>0</v>
      </c>
      <c r="N38" s="24">
        <f t="shared" ref="N38:N41" si="6">K38+L38-M38</f>
        <v>0</v>
      </c>
      <c r="O38" s="39">
        <f>IF(ROUNDUP(N38/Inputs!$B$70,0)&lt;0,0,ROUNDUP(N38/Inputs!$B$70,0))</f>
        <v>0</v>
      </c>
      <c r="P38" s="28">
        <f>O38*Inputs!$B$87</f>
        <v>0</v>
      </c>
    </row>
    <row r="39" spans="1:16" x14ac:dyDescent="0.3">
      <c r="A39" s="9" t="s">
        <v>36</v>
      </c>
      <c r="B39" s="12">
        <v>0.6</v>
      </c>
      <c r="C39" s="18">
        <f>Inputs!$B$27*$B$39</f>
        <v>0</v>
      </c>
      <c r="D39" s="18">
        <f>Inputs!$B$27*$B$39</f>
        <v>0</v>
      </c>
      <c r="E39" s="18">
        <f>Inputs!$B$27*$B$39</f>
        <v>0</v>
      </c>
      <c r="F39" s="18">
        <f>Inputs!$B$27*$B$39</f>
        <v>0</v>
      </c>
      <c r="G39" s="18">
        <f>Inputs!$B$27*$B$39</f>
        <v>0</v>
      </c>
      <c r="H39" s="18">
        <f>Inputs!$B$27*$B$39</f>
        <v>0</v>
      </c>
      <c r="I39" s="18">
        <f>Inputs!$B$27*$B$39</f>
        <v>0</v>
      </c>
      <c r="J39" s="18">
        <f>Inputs!$B$27*$B$39</f>
        <v>0</v>
      </c>
      <c r="K39" s="19">
        <f t="shared" si="5"/>
        <v>0</v>
      </c>
      <c r="L39" s="39">
        <f>Politica_Inventarios!F50</f>
        <v>0</v>
      </c>
      <c r="M39" s="24">
        <f>Inputs!E37</f>
        <v>0</v>
      </c>
      <c r="N39" s="24">
        <f t="shared" si="6"/>
        <v>0</v>
      </c>
      <c r="O39" s="39">
        <f>IF(ROUNDUP(N39/Inputs!$B$71,0)&lt;0,0,ROUNDUP(N39/Inputs!$B$71,0))</f>
        <v>0</v>
      </c>
      <c r="P39" s="28">
        <f>O39*Inputs!$B$88</f>
        <v>0</v>
      </c>
    </row>
    <row r="40" spans="1:16" x14ac:dyDescent="0.3">
      <c r="A40" s="9" t="s">
        <v>37</v>
      </c>
      <c r="B40" s="12">
        <v>2</v>
      </c>
      <c r="C40" s="18">
        <f>Inputs!$B$27*$B$40</f>
        <v>0</v>
      </c>
      <c r="D40" s="18">
        <f>Inputs!$B$27*$B$40</f>
        <v>0</v>
      </c>
      <c r="E40" s="18">
        <f>Inputs!$B$27*$B$40</f>
        <v>0</v>
      </c>
      <c r="F40" s="18">
        <f>Inputs!$B$27*$B$40</f>
        <v>0</v>
      </c>
      <c r="G40" s="18">
        <f>Inputs!$B$27*$B$40</f>
        <v>0</v>
      </c>
      <c r="H40" s="18">
        <f>Inputs!$B$27*$B$40</f>
        <v>0</v>
      </c>
      <c r="I40" s="18">
        <f>Inputs!$B$27*$B$40</f>
        <v>0</v>
      </c>
      <c r="J40" s="18">
        <f>Inputs!$B$27*$B$40</f>
        <v>0</v>
      </c>
      <c r="K40" s="19">
        <f t="shared" si="5"/>
        <v>0</v>
      </c>
      <c r="L40" s="39">
        <f>Politica_Inventarios!F51</f>
        <v>0</v>
      </c>
      <c r="M40" s="24">
        <f>Inputs!E38</f>
        <v>0</v>
      </c>
      <c r="N40" s="24">
        <f>K40+L40-M40</f>
        <v>0</v>
      </c>
      <c r="O40" s="39">
        <f>IF(ROUNDUP(N40/Inputs!$B$72,0)&lt;0,0,ROUNDUP(N40/Inputs!$B$72,0))</f>
        <v>0</v>
      </c>
      <c r="P40" s="28">
        <f>O40*Inputs!$B$89</f>
        <v>0</v>
      </c>
    </row>
    <row r="41" spans="1:16" x14ac:dyDescent="0.3">
      <c r="A41" s="9" t="s">
        <v>38</v>
      </c>
      <c r="B41" s="12">
        <v>0.75</v>
      </c>
      <c r="C41" s="18">
        <f>Inputs!$B$27*$B$41</f>
        <v>0</v>
      </c>
      <c r="D41" s="18">
        <f>Inputs!$B$27*$B$41</f>
        <v>0</v>
      </c>
      <c r="E41" s="18">
        <f>Inputs!$B$27*$B$41</f>
        <v>0</v>
      </c>
      <c r="F41" s="18">
        <f>Inputs!$B$27*$B$41</f>
        <v>0</v>
      </c>
      <c r="G41" s="18">
        <f>Inputs!$B$27*$B$41</f>
        <v>0</v>
      </c>
      <c r="H41" s="18">
        <f>Inputs!$B$27*$B$41</f>
        <v>0</v>
      </c>
      <c r="I41" s="18">
        <f>Inputs!$B$27*$B$41</f>
        <v>0</v>
      </c>
      <c r="J41" s="18">
        <f>Inputs!$B$27*$B$41</f>
        <v>0</v>
      </c>
      <c r="K41" s="19">
        <f t="shared" si="5"/>
        <v>0</v>
      </c>
      <c r="L41" s="39">
        <f>Politica_Inventarios!F52</f>
        <v>0</v>
      </c>
      <c r="M41" s="24">
        <f>Inputs!E39</f>
        <v>0</v>
      </c>
      <c r="N41" s="24">
        <f t="shared" si="6"/>
        <v>0</v>
      </c>
      <c r="O41" s="39">
        <f>IF(ROUNDUP(N41/Inputs!$B$73,0)&lt;0,0,ROUNDUP(N41/Inputs!$B$73,0))</f>
        <v>0</v>
      </c>
      <c r="P41" s="28">
        <f>O41*Inputs!$B$90</f>
        <v>0</v>
      </c>
    </row>
    <row r="42" spans="1:16" x14ac:dyDescent="0.3">
      <c r="A42" s="2" t="s">
        <v>127</v>
      </c>
      <c r="B42" s="2"/>
      <c r="C42" s="20">
        <f>Inputs!B9</f>
        <v>0</v>
      </c>
      <c r="D42" s="20">
        <f>Inputs!C9</f>
        <v>0</v>
      </c>
      <c r="E42" s="20">
        <f>Inputs!D9</f>
        <v>0</v>
      </c>
      <c r="F42" s="20">
        <f>Inputs!E9</f>
        <v>0</v>
      </c>
      <c r="G42" s="20">
        <f>Inputs!F9</f>
        <v>0</v>
      </c>
      <c r="H42" s="20">
        <f>Inputs!G9</f>
        <v>0</v>
      </c>
      <c r="I42" s="20">
        <f>Inputs!H9</f>
        <v>0</v>
      </c>
      <c r="J42" s="20">
        <f>Inputs!I9</f>
        <v>0</v>
      </c>
      <c r="K42" s="20">
        <f>Inputs!J9</f>
        <v>0</v>
      </c>
      <c r="L42" s="39"/>
      <c r="P42" s="28">
        <f>SUM(P36:P41)</f>
        <v>0</v>
      </c>
    </row>
    <row r="44" spans="1:16" x14ac:dyDescent="0.3">
      <c r="A44" t="s">
        <v>131</v>
      </c>
    </row>
    <row r="45" spans="1:16" x14ac:dyDescent="0.3">
      <c r="A45" s="17" t="s">
        <v>21</v>
      </c>
      <c r="B45" s="17" t="s">
        <v>112</v>
      </c>
      <c r="C45" s="17" t="s">
        <v>4</v>
      </c>
      <c r="D45" s="17" t="s">
        <v>5</v>
      </c>
      <c r="E45" s="17" t="s">
        <v>6</v>
      </c>
      <c r="F45" s="17" t="s">
        <v>7</v>
      </c>
      <c r="G45" s="17" t="s">
        <v>8</v>
      </c>
      <c r="H45" s="17" t="s">
        <v>9</v>
      </c>
      <c r="I45" s="17" t="s">
        <v>10</v>
      </c>
      <c r="J45" s="17" t="s">
        <v>11</v>
      </c>
      <c r="K45" s="17" t="s">
        <v>12</v>
      </c>
      <c r="L45" s="38" t="s">
        <v>142</v>
      </c>
      <c r="M45" s="38" t="s">
        <v>143</v>
      </c>
      <c r="N45" s="38" t="s">
        <v>144</v>
      </c>
      <c r="O45" s="38" t="s">
        <v>147</v>
      </c>
      <c r="P45" s="38" t="s">
        <v>141</v>
      </c>
    </row>
    <row r="46" spans="1:16" x14ac:dyDescent="0.3">
      <c r="A46" s="9" t="s">
        <v>33</v>
      </c>
      <c r="B46" s="12">
        <v>0.01</v>
      </c>
      <c r="C46" s="18">
        <f>Inputs!$B$19*$B$46</f>
        <v>0</v>
      </c>
      <c r="D46" s="18">
        <f>Inputs!$B$19*$B$46</f>
        <v>0</v>
      </c>
      <c r="E46" s="18">
        <f>Inputs!$B$19*$B$46</f>
        <v>0</v>
      </c>
      <c r="F46" s="18">
        <f>Inputs!$B$19*$B$46</f>
        <v>0</v>
      </c>
      <c r="G46" s="18">
        <f>Inputs!$B$19*$B$46</f>
        <v>0</v>
      </c>
      <c r="H46" s="18">
        <f>Inputs!$B$19*$B$46</f>
        <v>0</v>
      </c>
      <c r="I46" s="18">
        <f>Inputs!$B$19*$B$46</f>
        <v>0</v>
      </c>
      <c r="J46" s="18">
        <f>Inputs!$B$19*$B$46</f>
        <v>0</v>
      </c>
      <c r="K46" s="19">
        <f t="shared" ref="K46:K51" si="7">SUM(C46:J46)</f>
        <v>0</v>
      </c>
      <c r="L46" s="39">
        <f>Politica_Inventarios!F58</f>
        <v>0</v>
      </c>
      <c r="M46" s="24">
        <f>Inputs!F34</f>
        <v>0</v>
      </c>
      <c r="N46" s="24">
        <f>K46+L46-M46</f>
        <v>0</v>
      </c>
      <c r="O46" s="39">
        <v>0</v>
      </c>
      <c r="P46" s="28">
        <f>O46*Inputs!$B$85</f>
        <v>0</v>
      </c>
    </row>
    <row r="47" spans="1:16" x14ac:dyDescent="0.3">
      <c r="A47" s="9" t="s">
        <v>34</v>
      </c>
      <c r="B47" s="12">
        <v>8</v>
      </c>
      <c r="C47" s="18">
        <f>Inputs!$B$28*$B$47</f>
        <v>0</v>
      </c>
      <c r="D47" s="18">
        <f>Inputs!$B$28*$B$47</f>
        <v>0</v>
      </c>
      <c r="E47" s="18">
        <f>Inputs!$B$28*$B$47</f>
        <v>0</v>
      </c>
      <c r="F47" s="18">
        <f>Inputs!$B$28*$B$47</f>
        <v>0</v>
      </c>
      <c r="G47" s="18">
        <f>Inputs!$B$28*$B$47</f>
        <v>0</v>
      </c>
      <c r="H47" s="18">
        <f>Inputs!$B$28*$B$47</f>
        <v>0</v>
      </c>
      <c r="I47" s="18">
        <f>Inputs!$B$28*$B$47</f>
        <v>0</v>
      </c>
      <c r="J47" s="18">
        <f>Inputs!$B$28*$B$47</f>
        <v>0</v>
      </c>
      <c r="K47" s="19">
        <f t="shared" si="7"/>
        <v>0</v>
      </c>
      <c r="L47" s="39">
        <f>Politica_Inventarios!F59</f>
        <v>0</v>
      </c>
      <c r="M47" s="24">
        <f>Inputs!F35</f>
        <v>0</v>
      </c>
      <c r="N47" s="24">
        <f>K47+L47-M47</f>
        <v>0</v>
      </c>
      <c r="O47" s="39">
        <f>IF(ROUNDUP(N47/Inputs!$B$69,0)&lt;0,0,ROUNDUP(N47/Inputs!$B$69,0))</f>
        <v>0</v>
      </c>
      <c r="P47" s="28">
        <f>O47*Inputs!$B$86</f>
        <v>0</v>
      </c>
    </row>
    <row r="48" spans="1:16" x14ac:dyDescent="0.3">
      <c r="A48" s="9" t="s">
        <v>35</v>
      </c>
      <c r="B48" s="12">
        <v>0.3</v>
      </c>
      <c r="C48" s="18">
        <f>Inputs!$B$28*$B$48</f>
        <v>0</v>
      </c>
      <c r="D48" s="18">
        <f>Inputs!$B$28*$B$48</f>
        <v>0</v>
      </c>
      <c r="E48" s="18">
        <f>Inputs!$B$28*$B$48</f>
        <v>0</v>
      </c>
      <c r="F48" s="18">
        <f>Inputs!$B$28*$B$48</f>
        <v>0</v>
      </c>
      <c r="G48" s="18">
        <f>Inputs!$B$28*$B$48</f>
        <v>0</v>
      </c>
      <c r="H48" s="18">
        <f>Inputs!$B$28*$B$48</f>
        <v>0</v>
      </c>
      <c r="I48" s="18">
        <f>Inputs!$B$28*$B$48</f>
        <v>0</v>
      </c>
      <c r="J48" s="18">
        <f>Inputs!$B$28*$B$48</f>
        <v>0</v>
      </c>
      <c r="K48" s="19">
        <f t="shared" si="7"/>
        <v>0</v>
      </c>
      <c r="L48" s="39">
        <f>Politica_Inventarios!F60</f>
        <v>0</v>
      </c>
      <c r="M48" s="24">
        <f>Inputs!F36</f>
        <v>0</v>
      </c>
      <c r="N48" s="24">
        <f t="shared" ref="N48:N51" si="8">K48+L48-M48</f>
        <v>0</v>
      </c>
      <c r="O48" s="39">
        <f>IF(ROUNDUP(N48/Inputs!$B$70,0)&lt;0,0,ROUNDUP(N48/Inputs!$B$70,0))</f>
        <v>0</v>
      </c>
      <c r="P48" s="28">
        <f>O48*Inputs!$B$87</f>
        <v>0</v>
      </c>
    </row>
    <row r="49" spans="1:16" x14ac:dyDescent="0.3">
      <c r="A49" s="9" t="s">
        <v>36</v>
      </c>
      <c r="B49" s="12">
        <v>0.6</v>
      </c>
      <c r="C49" s="18">
        <f>Inputs!$B$28*$B$49</f>
        <v>0</v>
      </c>
      <c r="D49" s="18">
        <f>Inputs!$B$28*$B$49</f>
        <v>0</v>
      </c>
      <c r="E49" s="18">
        <f>Inputs!$B$28*$B$49</f>
        <v>0</v>
      </c>
      <c r="F49" s="18">
        <f>Inputs!$B$28*$B$49</f>
        <v>0</v>
      </c>
      <c r="G49" s="18">
        <f>Inputs!$B$28*$B$49</f>
        <v>0</v>
      </c>
      <c r="H49" s="18">
        <f>Inputs!$B$28*$B$49</f>
        <v>0</v>
      </c>
      <c r="I49" s="18">
        <f>Inputs!$B$28*$B$49</f>
        <v>0</v>
      </c>
      <c r="J49" s="18">
        <f>Inputs!$B$28*$B$49</f>
        <v>0</v>
      </c>
      <c r="K49" s="19">
        <f t="shared" si="7"/>
        <v>0</v>
      </c>
      <c r="L49" s="39">
        <f>Politica_Inventarios!F61</f>
        <v>0</v>
      </c>
      <c r="M49" s="24">
        <f>Inputs!F37</f>
        <v>0</v>
      </c>
      <c r="N49" s="24">
        <f t="shared" si="8"/>
        <v>0</v>
      </c>
      <c r="O49" s="39">
        <f>IF(ROUNDUP(N49/Inputs!$B$71,0)&lt;0,0,ROUNDUP(N49/Inputs!$B$71,0))</f>
        <v>0</v>
      </c>
      <c r="P49" s="28">
        <f>O49*Inputs!$B$88</f>
        <v>0</v>
      </c>
    </row>
    <row r="50" spans="1:16" x14ac:dyDescent="0.3">
      <c r="A50" s="9" t="s">
        <v>37</v>
      </c>
      <c r="B50" s="12">
        <v>2</v>
      </c>
      <c r="C50" s="18">
        <f>Inputs!$B$28*$B$50</f>
        <v>0</v>
      </c>
      <c r="D50" s="18">
        <f>Inputs!$B$28*$B$50</f>
        <v>0</v>
      </c>
      <c r="E50" s="18">
        <f>Inputs!$B$28*$B$50</f>
        <v>0</v>
      </c>
      <c r="F50" s="18">
        <f>Inputs!$B$28*$B$50</f>
        <v>0</v>
      </c>
      <c r="G50" s="18">
        <f>Inputs!$B$28*$B$50</f>
        <v>0</v>
      </c>
      <c r="H50" s="18">
        <f>Inputs!$B$28*$B$50</f>
        <v>0</v>
      </c>
      <c r="I50" s="18">
        <f>Inputs!$B$28*$B$50</f>
        <v>0</v>
      </c>
      <c r="J50" s="18">
        <f>Inputs!$B$28*$B$50</f>
        <v>0</v>
      </c>
      <c r="K50" s="19">
        <f t="shared" si="7"/>
        <v>0</v>
      </c>
      <c r="L50" s="39">
        <f>Politica_Inventarios!F62</f>
        <v>0</v>
      </c>
      <c r="M50" s="24">
        <f>Inputs!F38</f>
        <v>0</v>
      </c>
      <c r="N50" s="24">
        <f t="shared" si="8"/>
        <v>0</v>
      </c>
      <c r="O50" s="39">
        <f>IF(ROUNDUP(N50/Inputs!$B$72,0)&lt;0,0,ROUNDUP(N50/Inputs!$B$72,0))</f>
        <v>0</v>
      </c>
      <c r="P50" s="28">
        <f>O50*Inputs!$B$89</f>
        <v>0</v>
      </c>
    </row>
    <row r="51" spans="1:16" x14ac:dyDescent="0.3">
      <c r="A51" s="9" t="s">
        <v>38</v>
      </c>
      <c r="B51" s="12">
        <v>0.75</v>
      </c>
      <c r="C51" s="18">
        <f>Inputs!$B$28*$B$51</f>
        <v>0</v>
      </c>
      <c r="D51" s="18">
        <f>Inputs!$B$28*$B$51</f>
        <v>0</v>
      </c>
      <c r="E51" s="18">
        <f>Inputs!$B$28*$B$51</f>
        <v>0</v>
      </c>
      <c r="F51" s="18">
        <f>Inputs!$B$28*$B$51</f>
        <v>0</v>
      </c>
      <c r="G51" s="18">
        <f>Inputs!$B$28*$B$51</f>
        <v>0</v>
      </c>
      <c r="H51" s="18">
        <f>Inputs!$B$28*$B$51</f>
        <v>0</v>
      </c>
      <c r="I51" s="18">
        <f>Inputs!$B$28*$B$51</f>
        <v>0</v>
      </c>
      <c r="J51" s="18">
        <f>Inputs!$B$28*$B$51</f>
        <v>0</v>
      </c>
      <c r="K51" s="19">
        <f t="shared" si="7"/>
        <v>0</v>
      </c>
      <c r="L51" s="39">
        <f>Politica_Inventarios!F63</f>
        <v>0</v>
      </c>
      <c r="M51" s="24">
        <f>Inputs!F39</f>
        <v>0</v>
      </c>
      <c r="N51" s="24">
        <f t="shared" si="8"/>
        <v>0</v>
      </c>
      <c r="O51" s="39">
        <f>IF(ROUNDUP(N51/Inputs!$B$73,0)&lt;0,0,ROUNDUP(N51/Inputs!$B$73,0))</f>
        <v>0</v>
      </c>
      <c r="P51" s="28">
        <f>O51*Inputs!$B$90</f>
        <v>0</v>
      </c>
    </row>
    <row r="52" spans="1:16" x14ac:dyDescent="0.3">
      <c r="A52" s="2" t="s">
        <v>127</v>
      </c>
      <c r="B52" s="2"/>
      <c r="C52" s="20">
        <f>Inputs!B10</f>
        <v>0</v>
      </c>
      <c r="D52" s="20">
        <f>Inputs!C10</f>
        <v>0</v>
      </c>
      <c r="E52" s="20">
        <f>Inputs!D10</f>
        <v>0</v>
      </c>
      <c r="F52" s="20">
        <f>Inputs!E10</f>
        <v>0</v>
      </c>
      <c r="G52" s="20">
        <f>Inputs!F10</f>
        <v>0</v>
      </c>
      <c r="H52" s="20">
        <f>Inputs!G10</f>
        <v>0</v>
      </c>
      <c r="I52" s="20">
        <f>Inputs!H10</f>
        <v>0</v>
      </c>
      <c r="J52" s="20">
        <f>Inputs!I10</f>
        <v>0</v>
      </c>
      <c r="K52" s="20">
        <f>Inputs!J10</f>
        <v>0</v>
      </c>
      <c r="P52" s="28">
        <f>SUM(P46:P51)</f>
        <v>0</v>
      </c>
    </row>
    <row r="54" spans="1:16" x14ac:dyDescent="0.3">
      <c r="P54" s="28">
        <f>SUM(P12,P22,P32,P42)</f>
        <v>60399</v>
      </c>
    </row>
    <row r="64" spans="1:16" x14ac:dyDescent="0.3">
      <c r="A64" s="2"/>
    </row>
  </sheetData>
  <mergeCells count="3">
    <mergeCell ref="A3:L3"/>
    <mergeCell ref="A2:L2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8"/>
  <sheetViews>
    <sheetView topLeftCell="J3" zoomScaleNormal="100" workbookViewId="0">
      <selection activeCell="Y16" sqref="Y16"/>
    </sheetView>
  </sheetViews>
  <sheetFormatPr baseColWidth="10" defaultColWidth="8.5546875" defaultRowHeight="14.4" x14ac:dyDescent="0.3"/>
  <cols>
    <col min="1" max="1" width="12.33203125" bestFit="1" customWidth="1"/>
    <col min="2" max="9" width="11.109375" bestFit="1" customWidth="1"/>
    <col min="10" max="10" width="12.21875" bestFit="1" customWidth="1"/>
    <col min="11" max="11" width="8" customWidth="1"/>
    <col min="12" max="12" width="5.5546875" bestFit="1" customWidth="1"/>
    <col min="13" max="13" width="12.21875" bestFit="1" customWidth="1"/>
    <col min="14" max="14" width="7.21875" customWidth="1"/>
    <col min="15" max="15" width="12.33203125" bestFit="1" customWidth="1"/>
    <col min="16" max="16" width="11.109375" bestFit="1" customWidth="1"/>
    <col min="17" max="17" width="9.44140625" bestFit="1" customWidth="1"/>
    <col min="18" max="18" width="12.21875" bestFit="1" customWidth="1"/>
    <col min="19" max="19" width="9.44140625" bestFit="1" customWidth="1"/>
    <col min="20" max="23" width="11.109375" bestFit="1" customWidth="1"/>
    <col min="24" max="24" width="10.21875" bestFit="1" customWidth="1"/>
    <col min="25" max="25" width="8" bestFit="1" customWidth="1"/>
    <col min="26" max="26" width="5.44140625" bestFit="1" customWidth="1"/>
    <col min="27" max="27" width="12.21875" bestFit="1" customWidth="1"/>
  </cols>
  <sheetData>
    <row r="1" spans="1:27" ht="17.25" customHeight="1" x14ac:dyDescent="0.3">
      <c r="A1" s="53" t="s">
        <v>132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27" ht="15" customHeight="1" x14ac:dyDescent="0.3"/>
    <row r="3" spans="1:27" ht="15" customHeight="1" x14ac:dyDescent="0.3">
      <c r="E3" s="32"/>
      <c r="G3" s="32"/>
      <c r="H3" s="32"/>
      <c r="I3" s="32"/>
      <c r="J3" s="32" t="s">
        <v>159</v>
      </c>
      <c r="K3" s="32" t="s">
        <v>158</v>
      </c>
      <c r="L3" s="32"/>
      <c r="M3" s="32"/>
      <c r="N3" s="32"/>
      <c r="Q3" s="39"/>
      <c r="X3" s="32" t="s">
        <v>159</v>
      </c>
      <c r="Y3" s="32" t="s">
        <v>158</v>
      </c>
    </row>
    <row r="4" spans="1:27" ht="45.6" customHeight="1" thickBot="1" x14ac:dyDescent="0.45">
      <c r="A4" s="60" t="s">
        <v>29</v>
      </c>
      <c r="B4" s="61"/>
      <c r="C4" s="61"/>
      <c r="D4" s="61"/>
      <c r="E4" s="61"/>
      <c r="F4" s="61"/>
      <c r="G4" s="61"/>
      <c r="H4" s="61"/>
      <c r="I4" s="61"/>
      <c r="J4" s="40" t="s">
        <v>145</v>
      </c>
      <c r="K4" s="40" t="s">
        <v>146</v>
      </c>
      <c r="L4" t="s">
        <v>147</v>
      </c>
      <c r="M4" t="s">
        <v>152</v>
      </c>
      <c r="O4" s="60" t="s">
        <v>32</v>
      </c>
      <c r="P4" s="61"/>
      <c r="Q4" s="61"/>
      <c r="R4" s="61"/>
      <c r="S4" s="61"/>
      <c r="T4" s="61"/>
      <c r="U4" s="61"/>
      <c r="V4" s="61"/>
      <c r="W4" s="61"/>
      <c r="X4" s="40" t="s">
        <v>145</v>
      </c>
      <c r="Y4" s="40" t="s">
        <v>146</v>
      </c>
      <c r="Z4" s="41" t="s">
        <v>147</v>
      </c>
      <c r="AA4" t="s">
        <v>140</v>
      </c>
    </row>
    <row r="5" spans="1:27" ht="15" customHeight="1" thickTop="1" x14ac:dyDescent="0.3">
      <c r="A5" s="54" t="s">
        <v>133</v>
      </c>
      <c r="B5" s="52"/>
      <c r="C5" s="52"/>
      <c r="D5" s="52"/>
      <c r="E5" s="52"/>
      <c r="F5" s="52"/>
      <c r="G5" s="52"/>
      <c r="H5" s="52"/>
      <c r="I5" s="52"/>
      <c r="O5" s="54" t="s">
        <v>133</v>
      </c>
      <c r="P5" s="52"/>
      <c r="Q5" s="52"/>
      <c r="R5" s="52"/>
      <c r="S5" s="52"/>
      <c r="T5" s="52"/>
      <c r="U5" s="52"/>
      <c r="V5" s="52"/>
      <c r="W5" s="52"/>
    </row>
    <row r="6" spans="1:27" ht="15" customHeight="1" x14ac:dyDescent="0.3">
      <c r="A6" s="4" t="s">
        <v>134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O6" s="4" t="s">
        <v>134</v>
      </c>
      <c r="P6" s="4" t="s">
        <v>4</v>
      </c>
      <c r="Q6" s="4" t="s">
        <v>5</v>
      </c>
      <c r="R6" s="4" t="s">
        <v>6</v>
      </c>
      <c r="S6" s="4" t="s">
        <v>7</v>
      </c>
      <c r="T6" s="4" t="s">
        <v>8</v>
      </c>
      <c r="U6" s="4" t="s">
        <v>9</v>
      </c>
      <c r="V6" s="4" t="s">
        <v>10</v>
      </c>
      <c r="W6" s="4" t="s">
        <v>11</v>
      </c>
    </row>
    <row r="7" spans="1:27" ht="15" customHeight="1" x14ac:dyDescent="0.3">
      <c r="A7" s="9" t="s">
        <v>135</v>
      </c>
      <c r="B7" s="21">
        <f>Inputs!B32</f>
        <v>19552</v>
      </c>
      <c r="C7" s="16">
        <f t="shared" ref="C7:I7" si="0">B10</f>
        <v>17688</v>
      </c>
      <c r="D7" s="16">
        <f t="shared" si="0"/>
        <v>15824</v>
      </c>
      <c r="E7" s="16">
        <f t="shared" si="0"/>
        <v>13960</v>
      </c>
      <c r="F7" s="16">
        <f t="shared" si="0"/>
        <v>12096</v>
      </c>
      <c r="G7" s="16">
        <f t="shared" si="0"/>
        <v>10232</v>
      </c>
      <c r="H7" s="16">
        <f t="shared" si="0"/>
        <v>8368</v>
      </c>
      <c r="I7" s="16">
        <f t="shared" si="0"/>
        <v>6504</v>
      </c>
      <c r="J7" s="39">
        <f>Politica_Inventarios!N12</f>
        <v>179</v>
      </c>
      <c r="K7" s="39">
        <f>Politica_Inventarios!J12</f>
        <v>1864</v>
      </c>
      <c r="L7" s="39">
        <f>Inputs!B66</f>
        <v>30</v>
      </c>
      <c r="O7" s="9" t="s">
        <v>135</v>
      </c>
      <c r="P7" s="21">
        <f>Inputs!B33</f>
        <v>4467</v>
      </c>
      <c r="Q7" s="16">
        <f t="shared" ref="Q7:W7" si="1">P10</f>
        <v>4094.4</v>
      </c>
      <c r="R7" s="16">
        <f t="shared" si="1"/>
        <v>3721.8</v>
      </c>
      <c r="S7" s="16">
        <f t="shared" si="1"/>
        <v>3349.2000000000003</v>
      </c>
      <c r="T7" s="16">
        <f t="shared" si="1"/>
        <v>2976.6000000000004</v>
      </c>
      <c r="U7" s="16">
        <f t="shared" si="1"/>
        <v>2604.0000000000005</v>
      </c>
      <c r="V7" s="16">
        <f t="shared" si="1"/>
        <v>2231.4000000000005</v>
      </c>
      <c r="W7" s="16">
        <f t="shared" si="1"/>
        <v>1858.8000000000006</v>
      </c>
      <c r="X7" s="39">
        <f>Politica_Inventarios!N13</f>
        <v>84</v>
      </c>
      <c r="Y7" s="39">
        <f>Politica_Inventarios!J13</f>
        <v>372.6</v>
      </c>
      <c r="Z7" s="24">
        <f>Inputs!B67</f>
        <v>12</v>
      </c>
    </row>
    <row r="8" spans="1:27" ht="15" customHeight="1" x14ac:dyDescent="0.3">
      <c r="A8" s="9" t="s">
        <v>136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M8" s="28">
        <f>SUM(B8:I8)*VLOOKUP(Inputs!B110,Inputs!A107:B109,2,FALSE)</f>
        <v>0</v>
      </c>
      <c r="O8" s="9" t="s">
        <v>136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AA8" s="1">
        <f>SUM(P8:W8)*VLOOKUP(Inputs!B118,Inputs!A114:B117,2,FALSE)</f>
        <v>0</v>
      </c>
    </row>
    <row r="9" spans="1:27" ht="15" customHeight="1" x14ac:dyDescent="0.3">
      <c r="A9" s="9" t="s">
        <v>137</v>
      </c>
      <c r="B9" s="21">
        <f>Inputs!B6*Inputs!$B$48</f>
        <v>1864</v>
      </c>
      <c r="C9" s="21">
        <f>Inputs!C6*Inputs!$B$48</f>
        <v>1864</v>
      </c>
      <c r="D9" s="21">
        <f>Inputs!D6*Inputs!$B$48</f>
        <v>1864</v>
      </c>
      <c r="E9" s="21">
        <f>Inputs!E6*Inputs!$B$48</f>
        <v>1864</v>
      </c>
      <c r="F9" s="21">
        <f>Inputs!F6*Inputs!$B$48</f>
        <v>1864</v>
      </c>
      <c r="G9" s="21">
        <f>Inputs!G6*Inputs!$B$48</f>
        <v>1864</v>
      </c>
      <c r="H9" s="21">
        <f>Inputs!H6*Inputs!$B$48</f>
        <v>1864</v>
      </c>
      <c r="I9" s="21">
        <f>Inputs!I6*Inputs!$B$48</f>
        <v>1864</v>
      </c>
      <c r="J9" s="24">
        <f>SUM(B9:I9)-I10</f>
        <v>10272</v>
      </c>
      <c r="K9" s="24"/>
      <c r="O9" s="9" t="s">
        <v>137</v>
      </c>
      <c r="P9" s="21">
        <f>Inputs!$B$15*Inputs!$B$49</f>
        <v>372.6</v>
      </c>
      <c r="Q9" s="21">
        <f>Inputs!$B$15*Inputs!$B$49</f>
        <v>372.6</v>
      </c>
      <c r="R9" s="21">
        <f>Inputs!$B$15*Inputs!$B$49</f>
        <v>372.6</v>
      </c>
      <c r="S9" s="21">
        <f>Inputs!$B$15*Inputs!$B$49</f>
        <v>372.6</v>
      </c>
      <c r="T9" s="21">
        <f>Inputs!$B$15*Inputs!$B$49</f>
        <v>372.6</v>
      </c>
      <c r="U9" s="21">
        <f>Inputs!$B$15*Inputs!$B$49</f>
        <v>372.6</v>
      </c>
      <c r="V9" s="21">
        <f>Inputs!$B$15*Inputs!$B$49</f>
        <v>372.6</v>
      </c>
      <c r="W9" s="21">
        <f>Inputs!$B$15*Inputs!$B$49</f>
        <v>372.6</v>
      </c>
      <c r="X9" s="24">
        <f>SUM(P9:W9)-W10</f>
        <v>1494.599999999999</v>
      </c>
      <c r="Y9">
        <f>X7/2</f>
        <v>42</v>
      </c>
    </row>
    <row r="10" spans="1:27" ht="15" customHeight="1" x14ac:dyDescent="0.3">
      <c r="A10" s="5" t="s">
        <v>138</v>
      </c>
      <c r="B10" s="19">
        <f>B7+(B8*$L$7)-B9</f>
        <v>17688</v>
      </c>
      <c r="C10" s="19">
        <f t="shared" ref="C10:I10" si="2">C7+(C8*$L$7)-C9</f>
        <v>15824</v>
      </c>
      <c r="D10" s="19">
        <f t="shared" si="2"/>
        <v>13960</v>
      </c>
      <c r="E10" s="19">
        <f t="shared" si="2"/>
        <v>12096</v>
      </c>
      <c r="F10" s="19">
        <f t="shared" si="2"/>
        <v>10232</v>
      </c>
      <c r="G10" s="19">
        <f t="shared" si="2"/>
        <v>8368</v>
      </c>
      <c r="H10" s="19">
        <f t="shared" si="2"/>
        <v>6504</v>
      </c>
      <c r="I10" s="19">
        <f t="shared" si="2"/>
        <v>4640</v>
      </c>
      <c r="J10">
        <v>380.8</v>
      </c>
      <c r="K10" s="64">
        <f>J9/L7</f>
        <v>342.4</v>
      </c>
      <c r="O10" s="5" t="s">
        <v>138</v>
      </c>
      <c r="P10" s="19">
        <f>P7+(P8*$Z$7)-P9</f>
        <v>4094.4</v>
      </c>
      <c r="Q10" s="19">
        <f t="shared" ref="Q10:W10" si="3">Q7+(Q8*$Z$7)-Q9</f>
        <v>3721.8</v>
      </c>
      <c r="R10" s="19">
        <f t="shared" si="3"/>
        <v>3349.2000000000003</v>
      </c>
      <c r="S10" s="19">
        <f>S7+(S8*$Z$7)-S9</f>
        <v>2976.6000000000004</v>
      </c>
      <c r="T10" s="19">
        <f t="shared" si="3"/>
        <v>2604.0000000000005</v>
      </c>
      <c r="U10" s="19">
        <f t="shared" si="3"/>
        <v>2231.4000000000005</v>
      </c>
      <c r="V10" s="19">
        <f t="shared" si="3"/>
        <v>1858.8000000000006</v>
      </c>
      <c r="W10" s="19">
        <f t="shared" si="3"/>
        <v>1486.2000000000007</v>
      </c>
      <c r="X10">
        <v>144</v>
      </c>
      <c r="Y10" s="64">
        <f>X9/Z7</f>
        <v>124.54999999999991</v>
      </c>
    </row>
    <row r="11" spans="1:27" ht="15" customHeight="1" x14ac:dyDescent="0.3">
      <c r="A11" s="58" t="s">
        <v>128</v>
      </c>
      <c r="B11" s="59"/>
      <c r="C11" s="59"/>
      <c r="D11" s="59"/>
      <c r="E11" s="59"/>
      <c r="F11" s="59"/>
      <c r="G11" s="59"/>
      <c r="H11" s="59"/>
      <c r="I11" s="59"/>
      <c r="O11" s="58" t="s">
        <v>128</v>
      </c>
      <c r="P11" s="59"/>
      <c r="Q11" s="59"/>
      <c r="R11" s="59"/>
      <c r="S11" s="59"/>
      <c r="T11" s="59"/>
      <c r="U11" s="59"/>
      <c r="V11" s="59"/>
      <c r="W11" s="59"/>
    </row>
    <row r="12" spans="1:27" ht="15" customHeight="1" x14ac:dyDescent="0.3">
      <c r="A12" s="4" t="s">
        <v>134</v>
      </c>
      <c r="B12" s="4" t="s">
        <v>4</v>
      </c>
      <c r="C12" s="4" t="s">
        <v>5</v>
      </c>
      <c r="D12" s="4" t="s">
        <v>6</v>
      </c>
      <c r="E12" s="4" t="s">
        <v>7</v>
      </c>
      <c r="F12" s="4" t="s">
        <v>8</v>
      </c>
      <c r="G12" s="4" t="s">
        <v>9</v>
      </c>
      <c r="H12" s="4" t="s">
        <v>10</v>
      </c>
      <c r="I12" s="4" t="s">
        <v>11</v>
      </c>
      <c r="O12" s="4" t="s">
        <v>134</v>
      </c>
      <c r="P12" s="4" t="s">
        <v>4</v>
      </c>
      <c r="Q12" s="4" t="s">
        <v>5</v>
      </c>
      <c r="R12" s="4" t="s">
        <v>6</v>
      </c>
      <c r="S12" s="4" t="s">
        <v>7</v>
      </c>
      <c r="T12" s="4" t="s">
        <v>8</v>
      </c>
      <c r="U12" s="4" t="s">
        <v>9</v>
      </c>
      <c r="V12" s="4" t="s">
        <v>10</v>
      </c>
      <c r="W12" s="4" t="s">
        <v>11</v>
      </c>
    </row>
    <row r="13" spans="1:27" ht="15" customHeight="1" x14ac:dyDescent="0.3">
      <c r="A13" s="9" t="s">
        <v>135</v>
      </c>
      <c r="B13" s="21">
        <f>Inputs!C32</f>
        <v>14864</v>
      </c>
      <c r="C13" s="16">
        <f t="shared" ref="C13:I13" si="4">B16</f>
        <v>13700</v>
      </c>
      <c r="D13" s="16">
        <f t="shared" si="4"/>
        <v>12536</v>
      </c>
      <c r="E13" s="16">
        <f t="shared" si="4"/>
        <v>11372</v>
      </c>
      <c r="F13" s="16">
        <f t="shared" si="4"/>
        <v>10208</v>
      </c>
      <c r="G13" s="16">
        <f t="shared" si="4"/>
        <v>9044</v>
      </c>
      <c r="H13" s="16">
        <f t="shared" si="4"/>
        <v>7880</v>
      </c>
      <c r="I13" s="16">
        <f t="shared" si="4"/>
        <v>6716</v>
      </c>
      <c r="J13" s="39">
        <f>Politica_Inventarios!N23</f>
        <v>141</v>
      </c>
      <c r="K13" s="39">
        <f>Politica_Inventarios!J23</f>
        <v>1164</v>
      </c>
      <c r="L13">
        <v>30</v>
      </c>
      <c r="O13" s="9" t="s">
        <v>135</v>
      </c>
      <c r="P13" s="21">
        <f>Inputs!C32</f>
        <v>14864</v>
      </c>
      <c r="Q13" s="16">
        <f t="shared" ref="Q13:W13" si="5">P16</f>
        <v>15435.4</v>
      </c>
      <c r="R13" s="16">
        <f t="shared" si="5"/>
        <v>15202.8</v>
      </c>
      <c r="S13" s="16">
        <f t="shared" si="5"/>
        <v>14970.199999999999</v>
      </c>
      <c r="T13" s="16">
        <f t="shared" si="5"/>
        <v>15541.599999999999</v>
      </c>
      <c r="U13" s="16">
        <f t="shared" si="5"/>
        <v>15308.999999999998</v>
      </c>
      <c r="V13" s="16">
        <f t="shared" si="5"/>
        <v>15076.399999999998</v>
      </c>
      <c r="W13" s="16">
        <f t="shared" si="5"/>
        <v>15647.799999999997</v>
      </c>
      <c r="X13" s="39">
        <f>Politica_Inventarios!N24</f>
        <v>66</v>
      </c>
      <c r="Y13" s="39">
        <f>Politica_Inventarios!J24</f>
        <v>232.60000000000002</v>
      </c>
      <c r="Z13">
        <v>12</v>
      </c>
    </row>
    <row r="14" spans="1:27" ht="15" customHeight="1" x14ac:dyDescent="0.3">
      <c r="A14" s="9" t="s">
        <v>136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M14" s="28">
        <f>SUM(B14:I14)*VLOOKUP(Inputs!B110,Inputs!A107:B109,2,FALSE)</f>
        <v>0</v>
      </c>
      <c r="O14" s="9" t="s">
        <v>136</v>
      </c>
      <c r="P14" s="6">
        <v>67</v>
      </c>
      <c r="Q14" s="6">
        <v>0</v>
      </c>
      <c r="R14" s="6">
        <v>0</v>
      </c>
      <c r="S14" s="6">
        <v>67</v>
      </c>
      <c r="T14" s="6">
        <v>0</v>
      </c>
      <c r="U14" s="6">
        <v>0</v>
      </c>
      <c r="V14" s="6">
        <v>67</v>
      </c>
      <c r="W14" s="6">
        <v>0</v>
      </c>
      <c r="AA14" s="1">
        <f>SUM(P14:W14)*VLOOKUP(Inputs!B118,Inputs!A114:B117,2,FALSE)</f>
        <v>66330</v>
      </c>
    </row>
    <row r="15" spans="1:27" ht="15" customHeight="1" x14ac:dyDescent="0.3">
      <c r="A15" s="9" t="s">
        <v>137</v>
      </c>
      <c r="B15" s="21">
        <f>Inputs!B7*Inputs!$B$48</f>
        <v>1164</v>
      </c>
      <c r="C15" s="21">
        <f>Inputs!C7*Inputs!$B$48</f>
        <v>1164</v>
      </c>
      <c r="D15" s="21">
        <f>Inputs!D7*Inputs!$B$48</f>
        <v>1164</v>
      </c>
      <c r="E15" s="21">
        <f>Inputs!E7*Inputs!$B$48</f>
        <v>1164</v>
      </c>
      <c r="F15" s="21">
        <f>Inputs!F7*Inputs!$B$48</f>
        <v>1164</v>
      </c>
      <c r="G15" s="21">
        <f>Inputs!G7*Inputs!$B$48</f>
        <v>1164</v>
      </c>
      <c r="H15" s="21">
        <f>Inputs!H7*Inputs!$B$48</f>
        <v>1164</v>
      </c>
      <c r="I15" s="21">
        <f>Inputs!I7*Inputs!$B$48</f>
        <v>1164</v>
      </c>
      <c r="J15" s="24">
        <f>SUM(B15:I15)-I16</f>
        <v>3760</v>
      </c>
      <c r="K15">
        <f>J13/2</f>
        <v>70.5</v>
      </c>
      <c r="O15" s="9" t="s">
        <v>137</v>
      </c>
      <c r="P15" s="21">
        <f>Inputs!$B$16*Inputs!$B$49</f>
        <v>232.60000000000002</v>
      </c>
      <c r="Q15" s="21">
        <f>Inputs!$B$16*Inputs!$B$49</f>
        <v>232.60000000000002</v>
      </c>
      <c r="R15" s="21">
        <f>Inputs!$B$16*Inputs!$B$49</f>
        <v>232.60000000000002</v>
      </c>
      <c r="S15" s="21">
        <f>Inputs!$B$16*Inputs!$B$49</f>
        <v>232.60000000000002</v>
      </c>
      <c r="T15" s="21">
        <f>Inputs!$B$16*Inputs!$B$49</f>
        <v>232.60000000000002</v>
      </c>
      <c r="U15" s="21">
        <f>Inputs!$B$16*Inputs!$B$49</f>
        <v>232.60000000000002</v>
      </c>
      <c r="V15" s="21">
        <f>Inputs!$B$16*Inputs!$B$49</f>
        <v>232.60000000000002</v>
      </c>
      <c r="W15" s="21">
        <f>Inputs!$B$16*Inputs!$B$49</f>
        <v>232.60000000000002</v>
      </c>
      <c r="X15" s="24">
        <f>SUM(P15:W15)-W16</f>
        <v>-13554.399999999998</v>
      </c>
      <c r="Y15">
        <f>X13/2</f>
        <v>33</v>
      </c>
    </row>
    <row r="16" spans="1:27" ht="15" customHeight="1" x14ac:dyDescent="0.3">
      <c r="A16" s="5" t="s">
        <v>138</v>
      </c>
      <c r="B16" s="19">
        <f>B13+(B14*$L$13)-B15</f>
        <v>13700</v>
      </c>
      <c r="C16" s="19">
        <f t="shared" ref="C16:I16" si="6">C13+(C14*$L$7)-C15</f>
        <v>12536</v>
      </c>
      <c r="D16" s="19">
        <f t="shared" si="6"/>
        <v>11372</v>
      </c>
      <c r="E16" s="19">
        <f t="shared" si="6"/>
        <v>10208</v>
      </c>
      <c r="F16" s="19">
        <f t="shared" si="6"/>
        <v>9044</v>
      </c>
      <c r="G16" s="19">
        <f t="shared" si="6"/>
        <v>7880</v>
      </c>
      <c r="H16" s="19">
        <f t="shared" si="6"/>
        <v>6716</v>
      </c>
      <c r="I16" s="19">
        <f t="shared" si="6"/>
        <v>5552</v>
      </c>
      <c r="J16">
        <v>149.33333333333334</v>
      </c>
      <c r="K16" s="64">
        <f>J15/L13</f>
        <v>125.33333333333333</v>
      </c>
      <c r="O16" s="5" t="s">
        <v>138</v>
      </c>
      <c r="P16" s="19">
        <f>P13+(P14*$Z$7)-P15</f>
        <v>15435.4</v>
      </c>
      <c r="Q16" s="19">
        <f t="shared" ref="Q16:W16" si="7">Q13+(Q14*$Z$7)-Q15</f>
        <v>15202.8</v>
      </c>
      <c r="R16" s="19">
        <f t="shared" si="7"/>
        <v>14970.199999999999</v>
      </c>
      <c r="S16" s="19">
        <f t="shared" si="7"/>
        <v>15541.599999999999</v>
      </c>
      <c r="T16" s="19">
        <f t="shared" si="7"/>
        <v>15308.999999999998</v>
      </c>
      <c r="U16" s="19">
        <f t="shared" si="7"/>
        <v>15076.399999999998</v>
      </c>
      <c r="V16" s="19">
        <f t="shared" si="7"/>
        <v>15647.799999999997</v>
      </c>
      <c r="W16" s="19">
        <f t="shared" si="7"/>
        <v>15415.199999999997</v>
      </c>
      <c r="X16">
        <v>120</v>
      </c>
      <c r="Y16" s="64">
        <f>X15/Z13</f>
        <v>-1129.5333333333331</v>
      </c>
    </row>
    <row r="17" spans="1:26" ht="15" customHeight="1" x14ac:dyDescent="0.3">
      <c r="A17" s="58" t="s">
        <v>139</v>
      </c>
      <c r="B17" s="59"/>
      <c r="C17" s="59"/>
      <c r="D17" s="59"/>
      <c r="E17" s="59"/>
      <c r="F17" s="59"/>
      <c r="G17" s="59"/>
      <c r="H17" s="59"/>
      <c r="I17" s="59"/>
      <c r="O17" s="58" t="s">
        <v>139</v>
      </c>
      <c r="P17" s="59"/>
      <c r="Q17" s="59"/>
      <c r="R17" s="59"/>
      <c r="S17" s="59"/>
      <c r="T17" s="59"/>
      <c r="U17" s="59"/>
      <c r="V17" s="59"/>
      <c r="W17" s="59"/>
    </row>
    <row r="18" spans="1:26" ht="15" customHeight="1" x14ac:dyDescent="0.3">
      <c r="A18" s="4" t="s">
        <v>134</v>
      </c>
      <c r="B18" s="4" t="s">
        <v>4</v>
      </c>
      <c r="C18" s="4" t="s">
        <v>5</v>
      </c>
      <c r="D18" s="4" t="s">
        <v>6</v>
      </c>
      <c r="E18" s="4" t="s">
        <v>7</v>
      </c>
      <c r="F18" s="4" t="s">
        <v>8</v>
      </c>
      <c r="G18" s="4" t="s">
        <v>9</v>
      </c>
      <c r="H18" s="4" t="s">
        <v>10</v>
      </c>
      <c r="I18" s="4" t="s">
        <v>11</v>
      </c>
      <c r="O18" s="4" t="s">
        <v>134</v>
      </c>
      <c r="P18" s="4" t="s">
        <v>4</v>
      </c>
      <c r="Q18" s="4" t="s">
        <v>5</v>
      </c>
      <c r="R18" s="4" t="s">
        <v>6</v>
      </c>
      <c r="S18" s="4" t="s">
        <v>7</v>
      </c>
      <c r="T18" s="4" t="s">
        <v>8</v>
      </c>
      <c r="U18" s="4" t="s">
        <v>9</v>
      </c>
      <c r="V18" s="4" t="s">
        <v>10</v>
      </c>
      <c r="W18" s="4" t="s">
        <v>11</v>
      </c>
    </row>
    <row r="19" spans="1:26" ht="15" customHeight="1" x14ac:dyDescent="0.3">
      <c r="A19" s="9" t="s">
        <v>135</v>
      </c>
      <c r="B19" s="21">
        <f>Inputs!D32</f>
        <v>0</v>
      </c>
      <c r="C19" s="16">
        <f t="shared" ref="C19:I19" si="8">B22</f>
        <v>0</v>
      </c>
      <c r="D19" s="16">
        <f t="shared" si="8"/>
        <v>0</v>
      </c>
      <c r="E19" s="16">
        <f t="shared" si="8"/>
        <v>0</v>
      </c>
      <c r="F19" s="16">
        <f t="shared" si="8"/>
        <v>0</v>
      </c>
      <c r="G19" s="16">
        <f t="shared" si="8"/>
        <v>0</v>
      </c>
      <c r="H19" s="16">
        <f t="shared" si="8"/>
        <v>0</v>
      </c>
      <c r="I19" s="16">
        <f t="shared" si="8"/>
        <v>0</v>
      </c>
      <c r="O19" s="9" t="s">
        <v>135</v>
      </c>
      <c r="P19" s="21">
        <f>Inputs!D33</f>
        <v>0</v>
      </c>
      <c r="Q19" s="16">
        <f t="shared" ref="Q19:W19" si="9">P22</f>
        <v>0</v>
      </c>
      <c r="R19" s="16">
        <f t="shared" si="9"/>
        <v>0</v>
      </c>
      <c r="S19" s="16">
        <f t="shared" si="9"/>
        <v>0</v>
      </c>
      <c r="T19" s="16">
        <f t="shared" si="9"/>
        <v>0</v>
      </c>
      <c r="U19" s="16">
        <f t="shared" si="9"/>
        <v>0</v>
      </c>
      <c r="V19" s="16">
        <f t="shared" si="9"/>
        <v>0</v>
      </c>
      <c r="W19" s="16">
        <f t="shared" si="9"/>
        <v>0</v>
      </c>
    </row>
    <row r="20" spans="1:26" ht="15" customHeight="1" x14ac:dyDescent="0.3">
      <c r="A20" s="9" t="s">
        <v>136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O20" s="9" t="s">
        <v>136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pans="1:26" ht="15" customHeight="1" x14ac:dyDescent="0.3">
      <c r="A21" s="9" t="s">
        <v>137</v>
      </c>
      <c r="B21" s="21">
        <f>Inputs!B8*Inputs!$B$48</f>
        <v>0</v>
      </c>
      <c r="C21" s="21">
        <f>Inputs!C8*Inputs!$B$48</f>
        <v>0</v>
      </c>
      <c r="D21" s="21">
        <f>Inputs!D8*Inputs!$B$48</f>
        <v>0</v>
      </c>
      <c r="E21" s="21">
        <f>Inputs!E8*Inputs!$B$48</f>
        <v>0</v>
      </c>
      <c r="F21" s="21">
        <f>Inputs!F8*Inputs!$B$48</f>
        <v>0</v>
      </c>
      <c r="G21" s="21">
        <f>Inputs!G8*Inputs!$B$48</f>
        <v>0</v>
      </c>
      <c r="H21" s="21">
        <f>Inputs!H8*Inputs!$B$48</f>
        <v>0</v>
      </c>
      <c r="I21" s="21">
        <f>Inputs!I8*Inputs!$B$48</f>
        <v>0</v>
      </c>
      <c r="O21" s="9" t="s">
        <v>137</v>
      </c>
      <c r="P21" s="21">
        <f>Inputs!$B$17*Inputs!$B$49</f>
        <v>0</v>
      </c>
      <c r="Q21" s="21">
        <f>Inputs!$B$17*Inputs!$B$49</f>
        <v>0</v>
      </c>
      <c r="R21" s="21">
        <f>Inputs!$B$17*Inputs!$B$49</f>
        <v>0</v>
      </c>
      <c r="S21" s="21">
        <f>Inputs!$B$17*Inputs!$B$49</f>
        <v>0</v>
      </c>
      <c r="T21" s="21">
        <f>Inputs!$B$17*Inputs!$B$49</f>
        <v>0</v>
      </c>
      <c r="U21" s="21">
        <f>Inputs!$B$17*Inputs!$B$49</f>
        <v>0</v>
      </c>
      <c r="V21" s="21">
        <f>Inputs!$B$17*Inputs!$B$49</f>
        <v>0</v>
      </c>
      <c r="W21" s="21">
        <f>Inputs!$B$17*Inputs!$B$49</f>
        <v>0</v>
      </c>
    </row>
    <row r="22" spans="1:26" ht="15" customHeight="1" x14ac:dyDescent="0.3">
      <c r="A22" s="5" t="s">
        <v>138</v>
      </c>
      <c r="B22" s="19">
        <f>B19+(B20*$L$13)-B21</f>
        <v>0</v>
      </c>
      <c r="C22" s="19">
        <f t="shared" ref="C22:I22" si="10">C19+(C20*$L$13)-C21</f>
        <v>0</v>
      </c>
      <c r="D22" s="19">
        <f t="shared" si="10"/>
        <v>0</v>
      </c>
      <c r="E22" s="19">
        <f t="shared" si="10"/>
        <v>0</v>
      </c>
      <c r="F22" s="19">
        <f t="shared" si="10"/>
        <v>0</v>
      </c>
      <c r="G22" s="19">
        <f t="shared" si="10"/>
        <v>0</v>
      </c>
      <c r="H22" s="19">
        <f t="shared" si="10"/>
        <v>0</v>
      </c>
      <c r="I22" s="19">
        <f t="shared" si="10"/>
        <v>0</v>
      </c>
      <c r="O22" s="5" t="s">
        <v>138</v>
      </c>
      <c r="P22" s="19">
        <f>P19+(P20*$Z$7)-P21</f>
        <v>0</v>
      </c>
      <c r="Q22" s="19">
        <f t="shared" ref="Q22:W22" si="11">Q19+(Q20*$Z$7)-Q21</f>
        <v>0</v>
      </c>
      <c r="R22" s="19">
        <f t="shared" si="11"/>
        <v>0</v>
      </c>
      <c r="S22" s="19">
        <f t="shared" si="11"/>
        <v>0</v>
      </c>
      <c r="T22" s="19">
        <f t="shared" si="11"/>
        <v>0</v>
      </c>
      <c r="U22" s="19">
        <f t="shared" si="11"/>
        <v>0</v>
      </c>
      <c r="V22" s="19">
        <f t="shared" si="11"/>
        <v>0</v>
      </c>
      <c r="W22" s="19">
        <f t="shared" si="11"/>
        <v>0</v>
      </c>
    </row>
    <row r="23" spans="1:26" ht="15" customHeight="1" x14ac:dyDescent="0.3">
      <c r="A23" s="58" t="s">
        <v>130</v>
      </c>
      <c r="B23" s="59"/>
      <c r="C23" s="59"/>
      <c r="D23" s="59"/>
      <c r="E23" s="59"/>
      <c r="F23" s="59"/>
      <c r="G23" s="59"/>
      <c r="H23" s="59"/>
      <c r="I23" s="59"/>
      <c r="O23" s="58" t="s">
        <v>130</v>
      </c>
      <c r="P23" s="59"/>
      <c r="Q23" s="59"/>
      <c r="R23" s="59"/>
      <c r="S23" s="59"/>
      <c r="T23" s="59"/>
      <c r="U23" s="59"/>
      <c r="V23" s="59"/>
      <c r="W23" s="59"/>
    </row>
    <row r="24" spans="1:26" ht="15" customHeight="1" x14ac:dyDescent="0.3">
      <c r="A24" s="4" t="s">
        <v>134</v>
      </c>
      <c r="B24" s="4" t="s">
        <v>4</v>
      </c>
      <c r="C24" s="4" t="s">
        <v>5</v>
      </c>
      <c r="D24" s="4" t="s">
        <v>6</v>
      </c>
      <c r="E24" s="4" t="s">
        <v>7</v>
      </c>
      <c r="F24" s="4" t="s">
        <v>8</v>
      </c>
      <c r="G24" s="4" t="s">
        <v>9</v>
      </c>
      <c r="H24" s="4" t="s">
        <v>10</v>
      </c>
      <c r="I24" s="4" t="s">
        <v>11</v>
      </c>
      <c r="O24" s="4" t="s">
        <v>134</v>
      </c>
      <c r="P24" s="4" t="s">
        <v>4</v>
      </c>
      <c r="Q24" s="4" t="s">
        <v>5</v>
      </c>
      <c r="R24" s="4" t="s">
        <v>6</v>
      </c>
      <c r="S24" s="4" t="s">
        <v>7</v>
      </c>
      <c r="T24" s="4" t="s">
        <v>8</v>
      </c>
      <c r="U24" s="4" t="s">
        <v>9</v>
      </c>
      <c r="V24" s="4" t="s">
        <v>10</v>
      </c>
      <c r="W24" s="4" t="s">
        <v>11</v>
      </c>
    </row>
    <row r="25" spans="1:26" ht="15" customHeight="1" x14ac:dyDescent="0.3">
      <c r="A25" s="9" t="s">
        <v>135</v>
      </c>
      <c r="B25" s="21">
        <f>Inputs!E32</f>
        <v>0</v>
      </c>
      <c r="C25" s="16">
        <f t="shared" ref="C25:I25" si="12">B28</f>
        <v>0</v>
      </c>
      <c r="D25" s="16">
        <f t="shared" si="12"/>
        <v>0</v>
      </c>
      <c r="E25" s="16">
        <f t="shared" si="12"/>
        <v>0</v>
      </c>
      <c r="F25" s="16">
        <f t="shared" si="12"/>
        <v>0</v>
      </c>
      <c r="G25" s="16">
        <f t="shared" si="12"/>
        <v>0</v>
      </c>
      <c r="H25" s="16">
        <f t="shared" si="12"/>
        <v>0</v>
      </c>
      <c r="I25" s="16">
        <f t="shared" si="12"/>
        <v>0</v>
      </c>
      <c r="J25" s="39">
        <f>Politica_Inventarios!N45</f>
        <v>0</v>
      </c>
      <c r="K25" s="39">
        <f>Politica_Inventarios!J45</f>
        <v>0</v>
      </c>
      <c r="L25">
        <v>30</v>
      </c>
      <c r="O25" s="9" t="s">
        <v>135</v>
      </c>
      <c r="P25" s="21">
        <f>Inputs!E33</f>
        <v>0</v>
      </c>
      <c r="Q25" s="16">
        <f t="shared" ref="Q25:W25" si="13">P28</f>
        <v>0</v>
      </c>
      <c r="R25" s="16">
        <f t="shared" si="13"/>
        <v>0</v>
      </c>
      <c r="S25" s="16">
        <f t="shared" si="13"/>
        <v>0</v>
      </c>
      <c r="T25" s="16">
        <f t="shared" si="13"/>
        <v>0</v>
      </c>
      <c r="U25" s="16">
        <f t="shared" si="13"/>
        <v>0</v>
      </c>
      <c r="V25" s="16">
        <f t="shared" si="13"/>
        <v>0</v>
      </c>
      <c r="W25" s="16">
        <f t="shared" si="13"/>
        <v>0</v>
      </c>
      <c r="X25" s="39">
        <f>Politica_Inventarios!N46</f>
        <v>0</v>
      </c>
      <c r="Y25" s="39">
        <f>Politica_Inventarios!J46</f>
        <v>0</v>
      </c>
      <c r="Z25">
        <v>12</v>
      </c>
    </row>
    <row r="26" spans="1:26" ht="15" customHeight="1" x14ac:dyDescent="0.3">
      <c r="A26" s="9" t="s">
        <v>136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O26" s="9" t="s">
        <v>136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</row>
    <row r="27" spans="1:26" ht="15" customHeight="1" x14ac:dyDescent="0.3">
      <c r="A27" s="9" t="s">
        <v>137</v>
      </c>
      <c r="B27" s="21">
        <f>Inputs!B9*Inputs!$B$48</f>
        <v>0</v>
      </c>
      <c r="C27" s="21">
        <f>Inputs!C9*Inputs!$B$48</f>
        <v>0</v>
      </c>
      <c r="D27" s="21">
        <f>Inputs!D9*Inputs!$B$48</f>
        <v>0</v>
      </c>
      <c r="E27" s="21">
        <f>Inputs!E9*Inputs!$B$48</f>
        <v>0</v>
      </c>
      <c r="F27" s="21">
        <f>Inputs!F9*Inputs!$B$48</f>
        <v>0</v>
      </c>
      <c r="G27" s="21">
        <f>Inputs!G9*Inputs!$B$48</f>
        <v>0</v>
      </c>
      <c r="H27" s="21">
        <f>Inputs!H9*Inputs!$B$48</f>
        <v>0</v>
      </c>
      <c r="I27" s="21">
        <f>Inputs!I9*Inputs!$B$48</f>
        <v>0</v>
      </c>
      <c r="O27" s="9" t="s">
        <v>137</v>
      </c>
      <c r="P27" s="21">
        <f>Inputs!$B$18*Inputs!$B$49</f>
        <v>0</v>
      </c>
      <c r="Q27" s="21">
        <f>Inputs!$B$18*Inputs!$B$49</f>
        <v>0</v>
      </c>
      <c r="R27" s="21">
        <f>Inputs!$B$18*Inputs!$B$49</f>
        <v>0</v>
      </c>
      <c r="S27" s="21">
        <f>Inputs!$B$18*Inputs!$B$49</f>
        <v>0</v>
      </c>
      <c r="T27" s="21">
        <f>Inputs!$B$18*Inputs!$B$49</f>
        <v>0</v>
      </c>
      <c r="U27" s="21">
        <f>Inputs!$B$18*Inputs!$B$49</f>
        <v>0</v>
      </c>
      <c r="V27" s="21">
        <f>Inputs!$B$18*Inputs!$B$49</f>
        <v>0</v>
      </c>
      <c r="W27" s="21">
        <f>Inputs!$B$18*Inputs!$B$49</f>
        <v>0</v>
      </c>
    </row>
    <row r="28" spans="1:26" ht="15" customHeight="1" x14ac:dyDescent="0.3">
      <c r="A28" s="5" t="s">
        <v>138</v>
      </c>
      <c r="B28" s="19">
        <f>B25+(B26*$L$25)-B27</f>
        <v>0</v>
      </c>
      <c r="C28" s="19">
        <f t="shared" ref="C28:I28" si="14">C25+(C26*$L$25)-C27</f>
        <v>0</v>
      </c>
      <c r="D28" s="19">
        <f t="shared" si="14"/>
        <v>0</v>
      </c>
      <c r="E28" s="19">
        <f t="shared" si="14"/>
        <v>0</v>
      </c>
      <c r="F28" s="19">
        <f t="shared" si="14"/>
        <v>0</v>
      </c>
      <c r="G28" s="19">
        <f t="shared" si="14"/>
        <v>0</v>
      </c>
      <c r="H28" s="19">
        <f t="shared" si="14"/>
        <v>0</v>
      </c>
      <c r="I28" s="19">
        <f t="shared" si="14"/>
        <v>0</v>
      </c>
      <c r="O28" s="5" t="s">
        <v>138</v>
      </c>
      <c r="P28" s="19">
        <f>P25+(P26*$Z$7)-P27</f>
        <v>0</v>
      </c>
      <c r="Q28" s="19">
        <f t="shared" ref="Q28:W28" si="15">Q25+(Q26*$Z$7)-Q27</f>
        <v>0</v>
      </c>
      <c r="R28" s="19">
        <f t="shared" si="15"/>
        <v>0</v>
      </c>
      <c r="S28" s="19">
        <f t="shared" si="15"/>
        <v>0</v>
      </c>
      <c r="T28" s="19">
        <f t="shared" si="15"/>
        <v>0</v>
      </c>
      <c r="U28" s="19">
        <f t="shared" si="15"/>
        <v>0</v>
      </c>
      <c r="V28" s="19">
        <f t="shared" si="15"/>
        <v>0</v>
      </c>
      <c r="W28" s="19">
        <f t="shared" si="15"/>
        <v>0</v>
      </c>
    </row>
    <row r="29" spans="1:26" ht="15" customHeight="1" x14ac:dyDescent="0.3">
      <c r="A29" s="58" t="s">
        <v>131</v>
      </c>
      <c r="B29" s="59"/>
      <c r="C29" s="59"/>
      <c r="D29" s="59"/>
      <c r="E29" s="59"/>
      <c r="F29" s="59"/>
      <c r="G29" s="59"/>
      <c r="H29" s="59"/>
      <c r="I29" s="59"/>
      <c r="O29" s="58" t="s">
        <v>131</v>
      </c>
      <c r="P29" s="59"/>
      <c r="Q29" s="59"/>
      <c r="R29" s="59"/>
      <c r="S29" s="59"/>
      <c r="T29" s="59"/>
      <c r="U29" s="59"/>
      <c r="V29" s="59"/>
      <c r="W29" s="59"/>
    </row>
    <row r="30" spans="1:26" ht="15" customHeight="1" x14ac:dyDescent="0.3">
      <c r="A30" s="4" t="s">
        <v>134</v>
      </c>
      <c r="B30" s="4" t="s">
        <v>4</v>
      </c>
      <c r="C30" s="4" t="s">
        <v>5</v>
      </c>
      <c r="D30" s="4" t="s">
        <v>6</v>
      </c>
      <c r="E30" s="4" t="s">
        <v>7</v>
      </c>
      <c r="F30" s="4" t="s">
        <v>8</v>
      </c>
      <c r="G30" s="4" t="s">
        <v>9</v>
      </c>
      <c r="H30" s="4" t="s">
        <v>10</v>
      </c>
      <c r="I30" s="4" t="s">
        <v>11</v>
      </c>
      <c r="O30" s="4" t="s">
        <v>134</v>
      </c>
      <c r="P30" s="4" t="s">
        <v>4</v>
      </c>
      <c r="Q30" s="4" t="s">
        <v>5</v>
      </c>
      <c r="R30" s="4" t="s">
        <v>6</v>
      </c>
      <c r="S30" s="4" t="s">
        <v>7</v>
      </c>
      <c r="T30" s="4" t="s">
        <v>8</v>
      </c>
      <c r="U30" s="4" t="s">
        <v>9</v>
      </c>
      <c r="V30" s="4" t="s">
        <v>10</v>
      </c>
      <c r="W30" s="4" t="s">
        <v>11</v>
      </c>
    </row>
    <row r="31" spans="1:26" ht="15" customHeight="1" x14ac:dyDescent="0.3">
      <c r="A31" s="9" t="s">
        <v>135</v>
      </c>
      <c r="B31" s="21">
        <f>Inputs!F32</f>
        <v>0</v>
      </c>
      <c r="C31" s="16">
        <f t="shared" ref="C31:I31" si="16">B34</f>
        <v>0</v>
      </c>
      <c r="D31" s="16">
        <f t="shared" si="16"/>
        <v>0</v>
      </c>
      <c r="E31" s="16">
        <f t="shared" si="16"/>
        <v>0</v>
      </c>
      <c r="F31" s="16">
        <f t="shared" si="16"/>
        <v>0</v>
      </c>
      <c r="G31" s="16">
        <f t="shared" si="16"/>
        <v>0</v>
      </c>
      <c r="H31" s="16">
        <f t="shared" si="16"/>
        <v>0</v>
      </c>
      <c r="I31" s="16">
        <f t="shared" si="16"/>
        <v>0</v>
      </c>
      <c r="O31" s="9" t="s">
        <v>135</v>
      </c>
      <c r="P31" s="21">
        <f>Inputs!E33</f>
        <v>0</v>
      </c>
      <c r="Q31" s="16">
        <f t="shared" ref="Q31:W31" si="17">P34</f>
        <v>0</v>
      </c>
      <c r="R31" s="16">
        <f t="shared" si="17"/>
        <v>0</v>
      </c>
      <c r="S31" s="16">
        <f t="shared" si="17"/>
        <v>0</v>
      </c>
      <c r="T31" s="16">
        <f t="shared" si="17"/>
        <v>0</v>
      </c>
      <c r="U31" s="16">
        <f t="shared" si="17"/>
        <v>0</v>
      </c>
      <c r="V31" s="16">
        <f t="shared" si="17"/>
        <v>0</v>
      </c>
      <c r="W31" s="16">
        <f t="shared" si="17"/>
        <v>0</v>
      </c>
    </row>
    <row r="32" spans="1:26" ht="15" customHeight="1" x14ac:dyDescent="0.3">
      <c r="A32" s="9" t="s">
        <v>136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O32" s="9" t="s">
        <v>136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</row>
    <row r="33" spans="1:26" ht="15" customHeight="1" x14ac:dyDescent="0.3">
      <c r="A33" s="9" t="s">
        <v>137</v>
      </c>
      <c r="B33" s="21">
        <f>Inputs!B10*Inputs!$B$48</f>
        <v>0</v>
      </c>
      <c r="C33" s="21">
        <f>Inputs!C10*Inputs!$B$48</f>
        <v>0</v>
      </c>
      <c r="D33" s="21">
        <f>Inputs!D10*Inputs!$B$48</f>
        <v>0</v>
      </c>
      <c r="E33" s="21">
        <f>Inputs!E10*Inputs!$B$48</f>
        <v>0</v>
      </c>
      <c r="F33" s="21">
        <f>Inputs!F10*Inputs!$B$48</f>
        <v>0</v>
      </c>
      <c r="G33" s="21">
        <f>Inputs!G10*Inputs!$B$48</f>
        <v>0</v>
      </c>
      <c r="H33" s="21">
        <f>Inputs!H10*Inputs!$B$48</f>
        <v>0</v>
      </c>
      <c r="I33" s="21">
        <f>Inputs!I10*Inputs!$B$48</f>
        <v>0</v>
      </c>
      <c r="O33" s="9" t="s">
        <v>137</v>
      </c>
      <c r="P33" s="21">
        <f>Inputs!$B$19*Inputs!$B$49</f>
        <v>0</v>
      </c>
      <c r="Q33" s="21">
        <f>Inputs!$B$19*Inputs!$B$49</f>
        <v>0</v>
      </c>
      <c r="R33" s="21">
        <f>Inputs!$B$19*Inputs!$B$49</f>
        <v>0</v>
      </c>
      <c r="S33" s="21">
        <f>Inputs!$B$19*Inputs!$B$49</f>
        <v>0</v>
      </c>
      <c r="T33" s="21">
        <f>Inputs!$B$19*Inputs!$B$49</f>
        <v>0</v>
      </c>
      <c r="U33" s="21">
        <f>Inputs!$B$19*Inputs!$B$49</f>
        <v>0</v>
      </c>
      <c r="V33" s="21">
        <f>Inputs!$B$19*Inputs!$B$49</f>
        <v>0</v>
      </c>
      <c r="W33" s="21">
        <f>Inputs!$B$19*Inputs!$B$49</f>
        <v>0</v>
      </c>
    </row>
    <row r="34" spans="1:26" ht="15" customHeight="1" x14ac:dyDescent="0.3">
      <c r="A34" s="5" t="s">
        <v>138</v>
      </c>
      <c r="B34" s="19">
        <f>B31+(B32*$L$13)-B33</f>
        <v>0</v>
      </c>
      <c r="C34" s="19">
        <f t="shared" ref="C34:I34" si="18">C31+(C32*$L$13)-C33</f>
        <v>0</v>
      </c>
      <c r="D34" s="19">
        <f t="shared" si="18"/>
        <v>0</v>
      </c>
      <c r="E34" s="19">
        <f t="shared" si="18"/>
        <v>0</v>
      </c>
      <c r="F34" s="19">
        <f t="shared" si="18"/>
        <v>0</v>
      </c>
      <c r="G34" s="19">
        <f t="shared" si="18"/>
        <v>0</v>
      </c>
      <c r="H34" s="19">
        <f t="shared" si="18"/>
        <v>0</v>
      </c>
      <c r="I34" s="19">
        <f t="shared" si="18"/>
        <v>0</v>
      </c>
      <c r="O34" s="5" t="s">
        <v>138</v>
      </c>
      <c r="P34" s="19">
        <f>P31+(P32*$Z$7)-P33</f>
        <v>0</v>
      </c>
      <c r="Q34" s="19">
        <f t="shared" ref="Q34:W34" si="19">Q31+(Q32*$Z$7)-Q33</f>
        <v>0</v>
      </c>
      <c r="R34" s="19">
        <f t="shared" si="19"/>
        <v>0</v>
      </c>
      <c r="S34" s="19">
        <f t="shared" si="19"/>
        <v>0</v>
      </c>
      <c r="T34" s="19">
        <f t="shared" si="19"/>
        <v>0</v>
      </c>
      <c r="U34" s="19">
        <f t="shared" si="19"/>
        <v>0</v>
      </c>
      <c r="V34" s="19">
        <f t="shared" si="19"/>
        <v>0</v>
      </c>
      <c r="W34" s="19">
        <f t="shared" si="19"/>
        <v>0</v>
      </c>
    </row>
    <row r="35" spans="1:26" x14ac:dyDescent="0.3">
      <c r="J35" t="s">
        <v>76</v>
      </c>
      <c r="M35" s="28">
        <f>SUM(M14,M8)</f>
        <v>0</v>
      </c>
    </row>
    <row r="36" spans="1:26" x14ac:dyDescent="0.3">
      <c r="A36" t="s">
        <v>141</v>
      </c>
      <c r="O36" t="s">
        <v>141</v>
      </c>
    </row>
    <row r="37" spans="1:26" x14ac:dyDescent="0.3">
      <c r="A37" t="s">
        <v>149</v>
      </c>
      <c r="B37" s="28">
        <f>SUM(B10+B16+B22+B28+B34)*Inputs!$C$95</f>
        <v>9416.4</v>
      </c>
      <c r="C37" s="28">
        <f>SUM(C10+C16+C22+C28+C34)*Inputs!$C$95</f>
        <v>8508</v>
      </c>
      <c r="D37" s="28">
        <f>SUM(D10+D16+D22+D28+D34)*Inputs!$C$95</f>
        <v>7599.5999999999995</v>
      </c>
      <c r="E37" s="28">
        <f>SUM(E10+E16+E22+E28+E34)*Inputs!$C$95</f>
        <v>6691.2</v>
      </c>
      <c r="F37" s="28">
        <f>SUM(F10+F16+F22+F28+F34)*Inputs!$C$95</f>
        <v>5782.8</v>
      </c>
      <c r="G37" s="28">
        <f>SUM(G10+G16+G22+G28+G34)*Inputs!$C$95</f>
        <v>4874.3999999999996</v>
      </c>
      <c r="H37" s="28">
        <f>SUM(H10+H16+H22+H28+H34)*Inputs!$C$95</f>
        <v>3966</v>
      </c>
      <c r="I37" s="28">
        <f>SUM(I10+I16+I22+I28+I34)*Inputs!$C$95</f>
        <v>3057.6</v>
      </c>
      <c r="J37" s="28">
        <f>SUM(B37:I37)</f>
        <v>49896</v>
      </c>
      <c r="O37" t="s">
        <v>149</v>
      </c>
      <c r="P37" s="28">
        <f>SUM(P10+P16+P22+P28+P34)*Inputs!$C$95</f>
        <v>5858.94</v>
      </c>
      <c r="Q37" s="28">
        <f>SUM(Q10+Q16+Q22+Q28+Q34)*Inputs!$C$95</f>
        <v>5677.3799999999992</v>
      </c>
      <c r="R37" s="28">
        <f>SUM(R10+R16+R22+R28+R34)*Inputs!$C$95</f>
        <v>5495.8199999999988</v>
      </c>
      <c r="S37" s="28">
        <f>SUM(S10+S16+S22+S28+S34)*Inputs!$C$95</f>
        <v>5555.4599999999991</v>
      </c>
      <c r="T37" s="28">
        <f>SUM(T10+T16+T22+T28+T34)*Inputs!$C$95</f>
        <v>5373.9</v>
      </c>
      <c r="U37" s="28">
        <f>SUM(U10+U16+U22+U28+U34)*Inputs!$C$95</f>
        <v>5192.3399999999992</v>
      </c>
      <c r="V37" s="28">
        <f>SUM(V10+V16+V22+V28+V34)*Inputs!$C$95</f>
        <v>5251.98</v>
      </c>
      <c r="W37" s="28">
        <f>SUM(W10+W16+W22+W28+W34)*Inputs!$C$95</f>
        <v>5070.4199999999992</v>
      </c>
      <c r="X37" s="28"/>
      <c r="Z37" s="28"/>
    </row>
    <row r="38" spans="1:26" x14ac:dyDescent="0.3">
      <c r="A38" t="s">
        <v>150</v>
      </c>
      <c r="B38" s="28">
        <f>B39*Inputs!$B$95</f>
        <v>0</v>
      </c>
      <c r="C38" s="28">
        <f>C39*Inputs!$B$95</f>
        <v>0</v>
      </c>
      <c r="D38" s="28">
        <f>D39*Inputs!$B$95</f>
        <v>0</v>
      </c>
      <c r="E38" s="28">
        <f>E39*Inputs!$B$95</f>
        <v>0</v>
      </c>
      <c r="F38" s="28">
        <f>F39*Inputs!$B$95</f>
        <v>0</v>
      </c>
      <c r="G38" s="28">
        <f>G39*Inputs!$B$95</f>
        <v>0</v>
      </c>
      <c r="H38" s="28">
        <f>H39*Inputs!$B$95</f>
        <v>0</v>
      </c>
      <c r="I38" s="28">
        <f>I39*Inputs!$B$95</f>
        <v>0</v>
      </c>
      <c r="J38" s="28">
        <f>SUM(B38:I38)</f>
        <v>0</v>
      </c>
      <c r="O38" t="s">
        <v>150</v>
      </c>
      <c r="P38" s="28">
        <f>P39*Inputs!$B$96</f>
        <v>6000</v>
      </c>
      <c r="Q38" s="28">
        <f>Q39*Inputs!$B$96</f>
        <v>0</v>
      </c>
      <c r="R38" s="28">
        <f>R39*Inputs!$B$96</f>
        <v>0</v>
      </c>
      <c r="S38" s="28">
        <f>S39*Inputs!$B$96</f>
        <v>6000</v>
      </c>
      <c r="T38" s="28">
        <f>T39*Inputs!$B$96</f>
        <v>0</v>
      </c>
      <c r="U38" s="28">
        <f>U39*Inputs!$B$96</f>
        <v>0</v>
      </c>
      <c r="V38" s="28">
        <f>V39*Inputs!$B$96</f>
        <v>6000</v>
      </c>
      <c r="W38" s="28">
        <f>W39*Inputs!$B$96</f>
        <v>0</v>
      </c>
      <c r="X38" s="28"/>
      <c r="Z38" s="28"/>
    </row>
    <row r="39" spans="1:26" x14ac:dyDescent="0.3">
      <c r="A39" t="s">
        <v>151</v>
      </c>
      <c r="B39">
        <f>+COUNTIF(B42:B46,"&gt;0")</f>
        <v>0</v>
      </c>
      <c r="C39">
        <f t="shared" ref="C39:I39" si="20">+COUNTIF(C42:C46,"&gt;0")</f>
        <v>0</v>
      </c>
      <c r="D39">
        <f t="shared" si="20"/>
        <v>0</v>
      </c>
      <c r="E39">
        <f t="shared" si="20"/>
        <v>0</v>
      </c>
      <c r="F39">
        <f t="shared" si="20"/>
        <v>0</v>
      </c>
      <c r="G39">
        <f t="shared" si="20"/>
        <v>0</v>
      </c>
      <c r="H39">
        <f t="shared" si="20"/>
        <v>0</v>
      </c>
      <c r="I39">
        <f t="shared" si="20"/>
        <v>0</v>
      </c>
      <c r="O39" t="s">
        <v>151</v>
      </c>
      <c r="P39">
        <f>+COUNTIF(P42:P46,"&gt;0")</f>
        <v>1</v>
      </c>
      <c r="Q39">
        <f t="shared" ref="Q39:W39" si="21">+COUNTIF(Q42:Q46,"&gt;0")</f>
        <v>0</v>
      </c>
      <c r="R39">
        <f t="shared" si="21"/>
        <v>0</v>
      </c>
      <c r="S39">
        <f t="shared" si="21"/>
        <v>1</v>
      </c>
      <c r="T39">
        <f t="shared" si="21"/>
        <v>0</v>
      </c>
      <c r="U39">
        <f t="shared" si="21"/>
        <v>0</v>
      </c>
      <c r="V39">
        <f t="shared" si="21"/>
        <v>1</v>
      </c>
      <c r="W39">
        <f t="shared" si="21"/>
        <v>0</v>
      </c>
    </row>
    <row r="40" spans="1:26" x14ac:dyDescent="0.3">
      <c r="J40" s="28">
        <f>+SUM(J37:J38)</f>
        <v>49896</v>
      </c>
      <c r="X40" s="28"/>
    </row>
    <row r="41" spans="1:26" x14ac:dyDescent="0.3">
      <c r="A41" t="s">
        <v>160</v>
      </c>
      <c r="O41" t="s">
        <v>160</v>
      </c>
    </row>
    <row r="42" spans="1:26" x14ac:dyDescent="0.3">
      <c r="B42" s="24">
        <f>B8</f>
        <v>0</v>
      </c>
      <c r="C42" s="24">
        <f t="shared" ref="C42:I42" si="22">C8</f>
        <v>0</v>
      </c>
      <c r="D42" s="24">
        <f t="shared" si="22"/>
        <v>0</v>
      </c>
      <c r="E42" s="24">
        <f t="shared" si="22"/>
        <v>0</v>
      </c>
      <c r="F42" s="24">
        <f t="shared" si="22"/>
        <v>0</v>
      </c>
      <c r="G42" s="24">
        <f t="shared" si="22"/>
        <v>0</v>
      </c>
      <c r="H42" s="24">
        <f t="shared" si="22"/>
        <v>0</v>
      </c>
      <c r="I42" s="24">
        <f t="shared" si="22"/>
        <v>0</v>
      </c>
      <c r="P42" s="24">
        <f>P8</f>
        <v>0</v>
      </c>
      <c r="Q42" s="24">
        <f t="shared" ref="Q42:W42" si="23">Q8</f>
        <v>0</v>
      </c>
      <c r="R42" s="24">
        <f t="shared" si="23"/>
        <v>0</v>
      </c>
      <c r="S42" s="24">
        <f t="shared" si="23"/>
        <v>0</v>
      </c>
      <c r="T42" s="24">
        <f t="shared" si="23"/>
        <v>0</v>
      </c>
      <c r="U42" s="24">
        <f t="shared" si="23"/>
        <v>0</v>
      </c>
      <c r="V42" s="24">
        <f t="shared" si="23"/>
        <v>0</v>
      </c>
      <c r="W42" s="24">
        <f t="shared" si="23"/>
        <v>0</v>
      </c>
    </row>
    <row r="43" spans="1:26" x14ac:dyDescent="0.3">
      <c r="B43" s="24">
        <f>B14</f>
        <v>0</v>
      </c>
      <c r="C43" s="24">
        <f t="shared" ref="C43:I43" si="24">C14</f>
        <v>0</v>
      </c>
      <c r="D43" s="24">
        <f t="shared" si="24"/>
        <v>0</v>
      </c>
      <c r="E43" s="24">
        <f t="shared" si="24"/>
        <v>0</v>
      </c>
      <c r="F43" s="24">
        <f t="shared" si="24"/>
        <v>0</v>
      </c>
      <c r="G43" s="24">
        <f t="shared" si="24"/>
        <v>0</v>
      </c>
      <c r="H43" s="24">
        <f t="shared" si="24"/>
        <v>0</v>
      </c>
      <c r="I43" s="24">
        <f t="shared" si="24"/>
        <v>0</v>
      </c>
      <c r="K43">
        <f>+VLOOKUP(Inputs!B110,Inputs!A107:B109,2,FALSE)</f>
        <v>125</v>
      </c>
      <c r="P43" s="24">
        <f>P14</f>
        <v>67</v>
      </c>
      <c r="Q43" s="24">
        <f t="shared" ref="Q43:W43" si="25">Q14</f>
        <v>0</v>
      </c>
      <c r="R43" s="24">
        <f t="shared" si="25"/>
        <v>0</v>
      </c>
      <c r="S43" s="24">
        <f t="shared" si="25"/>
        <v>67</v>
      </c>
      <c r="T43" s="24">
        <f t="shared" si="25"/>
        <v>0</v>
      </c>
      <c r="U43" s="24">
        <f t="shared" si="25"/>
        <v>0</v>
      </c>
      <c r="V43" s="24">
        <f t="shared" si="25"/>
        <v>67</v>
      </c>
      <c r="W43" s="24">
        <f t="shared" si="25"/>
        <v>0</v>
      </c>
    </row>
    <row r="44" spans="1:26" x14ac:dyDescent="0.3">
      <c r="B44" s="24">
        <f>B20</f>
        <v>0</v>
      </c>
      <c r="C44" s="24">
        <f t="shared" ref="C44:I44" si="26">C20</f>
        <v>0</v>
      </c>
      <c r="D44" s="24">
        <f t="shared" si="26"/>
        <v>0</v>
      </c>
      <c r="E44" s="24">
        <f t="shared" si="26"/>
        <v>0</v>
      </c>
      <c r="F44" s="24">
        <f t="shared" si="26"/>
        <v>0</v>
      </c>
      <c r="G44" s="24">
        <f t="shared" si="26"/>
        <v>0</v>
      </c>
      <c r="H44" s="24">
        <f t="shared" si="26"/>
        <v>0</v>
      </c>
      <c r="I44" s="24">
        <f t="shared" si="26"/>
        <v>0</v>
      </c>
      <c r="P44" s="24">
        <f>P20</f>
        <v>0</v>
      </c>
      <c r="Q44" s="24">
        <f t="shared" ref="Q44:W44" si="27">Q20</f>
        <v>0</v>
      </c>
      <c r="R44" s="24">
        <f t="shared" si="27"/>
        <v>0</v>
      </c>
      <c r="S44" s="24">
        <f t="shared" si="27"/>
        <v>0</v>
      </c>
      <c r="T44" s="24">
        <f t="shared" si="27"/>
        <v>0</v>
      </c>
      <c r="U44" s="24">
        <f t="shared" si="27"/>
        <v>0</v>
      </c>
      <c r="V44" s="24">
        <f t="shared" si="27"/>
        <v>0</v>
      </c>
      <c r="W44" s="24">
        <f t="shared" si="27"/>
        <v>0</v>
      </c>
    </row>
    <row r="45" spans="1:26" x14ac:dyDescent="0.3">
      <c r="B45" s="24">
        <f>B26</f>
        <v>0</v>
      </c>
      <c r="C45" s="24">
        <f t="shared" ref="C45:I45" si="28">C26</f>
        <v>0</v>
      </c>
      <c r="D45" s="24">
        <f t="shared" si="28"/>
        <v>0</v>
      </c>
      <c r="E45" s="24">
        <f t="shared" si="28"/>
        <v>0</v>
      </c>
      <c r="F45" s="24">
        <f t="shared" si="28"/>
        <v>0</v>
      </c>
      <c r="G45" s="24">
        <f t="shared" si="28"/>
        <v>0</v>
      </c>
      <c r="H45" s="24">
        <f t="shared" si="28"/>
        <v>0</v>
      </c>
      <c r="I45" s="24">
        <f t="shared" si="28"/>
        <v>0</v>
      </c>
      <c r="P45" s="24">
        <f>P26</f>
        <v>0</v>
      </c>
      <c r="Q45" s="24">
        <f t="shared" ref="Q45:W45" si="29">Q26</f>
        <v>0</v>
      </c>
      <c r="R45" s="24">
        <f t="shared" si="29"/>
        <v>0</v>
      </c>
      <c r="S45" s="24">
        <f t="shared" si="29"/>
        <v>0</v>
      </c>
      <c r="T45" s="24">
        <f t="shared" si="29"/>
        <v>0</v>
      </c>
      <c r="U45" s="24">
        <f t="shared" si="29"/>
        <v>0</v>
      </c>
      <c r="V45" s="24">
        <f t="shared" si="29"/>
        <v>0</v>
      </c>
      <c r="W45" s="24">
        <f t="shared" si="29"/>
        <v>0</v>
      </c>
    </row>
    <row r="46" spans="1:26" x14ac:dyDescent="0.3">
      <c r="B46" s="24">
        <f>B32</f>
        <v>0</v>
      </c>
      <c r="C46" s="24">
        <f t="shared" ref="C46:I46" si="30">C32</f>
        <v>0</v>
      </c>
      <c r="D46" s="24">
        <f t="shared" si="30"/>
        <v>0</v>
      </c>
      <c r="E46" s="24">
        <f t="shared" si="30"/>
        <v>0</v>
      </c>
      <c r="F46" s="24">
        <f t="shared" si="30"/>
        <v>0</v>
      </c>
      <c r="G46" s="24">
        <f t="shared" si="30"/>
        <v>0</v>
      </c>
      <c r="H46" s="24">
        <f t="shared" si="30"/>
        <v>0</v>
      </c>
      <c r="I46" s="24">
        <f t="shared" si="30"/>
        <v>0</v>
      </c>
      <c r="P46" s="24">
        <f>P32</f>
        <v>0</v>
      </c>
      <c r="Q46" s="24">
        <f t="shared" ref="Q46:W46" si="31">Q32</f>
        <v>0</v>
      </c>
      <c r="R46" s="24">
        <f t="shared" si="31"/>
        <v>0</v>
      </c>
      <c r="S46" s="24">
        <f t="shared" si="31"/>
        <v>0</v>
      </c>
      <c r="T46" s="24">
        <f t="shared" si="31"/>
        <v>0</v>
      </c>
      <c r="U46" s="24">
        <f t="shared" si="31"/>
        <v>0</v>
      </c>
      <c r="V46" s="24">
        <f t="shared" si="31"/>
        <v>0</v>
      </c>
      <c r="W46" s="24">
        <f t="shared" si="31"/>
        <v>0</v>
      </c>
    </row>
    <row r="48" spans="1:26" x14ac:dyDescent="0.3">
      <c r="B48">
        <f>SUM(B42:B46)*$K$43</f>
        <v>0</v>
      </c>
      <c r="C48">
        <f t="shared" ref="C48:I48" si="32">SUM(C42:C46)*$K$43</f>
        <v>0</v>
      </c>
      <c r="D48">
        <f t="shared" si="32"/>
        <v>0</v>
      </c>
      <c r="E48">
        <f t="shared" si="32"/>
        <v>0</v>
      </c>
      <c r="F48">
        <f t="shared" si="32"/>
        <v>0</v>
      </c>
      <c r="G48">
        <f t="shared" si="32"/>
        <v>0</v>
      </c>
      <c r="H48">
        <f t="shared" si="32"/>
        <v>0</v>
      </c>
      <c r="I48">
        <f t="shared" si="32"/>
        <v>0</v>
      </c>
    </row>
  </sheetData>
  <mergeCells count="13">
    <mergeCell ref="A1:O1"/>
    <mergeCell ref="O29:W29"/>
    <mergeCell ref="O11:W11"/>
    <mergeCell ref="O4:W4"/>
    <mergeCell ref="A23:I23"/>
    <mergeCell ref="O23:W23"/>
    <mergeCell ref="O17:W17"/>
    <mergeCell ref="A4:I4"/>
    <mergeCell ref="A29:I29"/>
    <mergeCell ref="A11:I11"/>
    <mergeCell ref="A5:I5"/>
    <mergeCell ref="O5:W5"/>
    <mergeCell ref="A17:I17"/>
  </mergeCells>
  <conditionalFormatting sqref="B10:I10 K10">
    <cfRule type="cellIs" dxfId="3" priority="12" operator="lessThan">
      <formula>0</formula>
    </cfRule>
  </conditionalFormatting>
  <conditionalFormatting sqref="B16:I16">
    <cfRule type="cellIs" dxfId="12" priority="5" operator="lessThan">
      <formula>0</formula>
    </cfRule>
  </conditionalFormatting>
  <conditionalFormatting sqref="B22:I22">
    <cfRule type="cellIs" dxfId="11" priority="28" operator="lessThan">
      <formula>0</formula>
    </cfRule>
  </conditionalFormatting>
  <conditionalFormatting sqref="B28:I28">
    <cfRule type="cellIs" dxfId="10" priority="36" operator="lessThan">
      <formula>0</formula>
    </cfRule>
  </conditionalFormatting>
  <conditionalFormatting sqref="B34:I34">
    <cfRule type="cellIs" dxfId="9" priority="44" operator="lessThan">
      <formula>0</formula>
    </cfRule>
  </conditionalFormatting>
  <conditionalFormatting sqref="P10:W10">
    <cfRule type="cellIs" dxfId="8" priority="6" operator="lessThan">
      <formula>0</formula>
    </cfRule>
  </conditionalFormatting>
  <conditionalFormatting sqref="P16:W16">
    <cfRule type="cellIs" dxfId="7" priority="4" operator="lessThan">
      <formula>0</formula>
    </cfRule>
  </conditionalFormatting>
  <conditionalFormatting sqref="P22:W22">
    <cfRule type="cellIs" dxfId="6" priority="8" operator="lessThan">
      <formula>0</formula>
    </cfRule>
  </conditionalFormatting>
  <conditionalFormatting sqref="P28:W28">
    <cfRule type="cellIs" dxfId="5" priority="9" operator="lessThan">
      <formula>0</formula>
    </cfRule>
  </conditionalFormatting>
  <conditionalFormatting sqref="P34:W34">
    <cfRule type="cellIs" dxfId="4" priority="10" operator="lessThan">
      <formula>0</formula>
    </cfRule>
  </conditionalFormatting>
  <conditionalFormatting sqref="K16">
    <cfRule type="cellIs" dxfId="2" priority="3" operator="lessThan">
      <formula>0</formula>
    </cfRule>
  </conditionalFormatting>
  <conditionalFormatting sqref="Y10">
    <cfRule type="cellIs" dxfId="1" priority="2" operator="lessThan">
      <formula>0</formula>
    </cfRule>
  </conditionalFormatting>
  <conditionalFormatting sqref="Y16">
    <cfRule type="cellIs" dxfId="0" priority="1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B233-5C68-4FDC-B7E2-591CBA53034B}">
  <dimension ref="A1:N20"/>
  <sheetViews>
    <sheetView workbookViewId="0">
      <selection sqref="A1:L20"/>
    </sheetView>
  </sheetViews>
  <sheetFormatPr baseColWidth="10" defaultRowHeight="14.4" x14ac:dyDescent="0.3"/>
  <cols>
    <col min="1" max="1" width="12.6640625" bestFit="1" customWidth="1"/>
    <col min="2" max="10" width="11.44140625" bestFit="1" customWidth="1"/>
    <col min="11" max="11" width="13.21875" bestFit="1" customWidth="1"/>
    <col min="12" max="12" width="18.21875" bestFit="1" customWidth="1"/>
  </cols>
  <sheetData>
    <row r="1" spans="1:14" ht="19.2" customHeight="1" x14ac:dyDescent="0.4">
      <c r="A1" s="62" t="s">
        <v>153</v>
      </c>
      <c r="B1" s="62"/>
      <c r="C1" s="62"/>
      <c r="D1" s="62"/>
      <c r="E1" s="62"/>
      <c r="F1" s="62"/>
      <c r="G1" s="62"/>
      <c r="H1" s="62"/>
      <c r="I1" s="62"/>
      <c r="J1" s="62"/>
    </row>
    <row r="2" spans="1:14" x14ac:dyDescent="0.3">
      <c r="B2" s="4" t="s">
        <v>154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157</v>
      </c>
      <c r="L2" s="4" t="s">
        <v>156</v>
      </c>
    </row>
    <row r="3" spans="1:14" x14ac:dyDescent="0.3">
      <c r="A3" t="s">
        <v>150</v>
      </c>
      <c r="C3" s="28"/>
      <c r="D3" s="28"/>
      <c r="E3" s="28"/>
      <c r="F3" s="28"/>
      <c r="G3" s="28"/>
      <c r="H3" s="28"/>
      <c r="I3" s="28"/>
      <c r="J3" s="28"/>
    </row>
    <row r="4" spans="1:14" x14ac:dyDescent="0.3">
      <c r="A4" s="42" t="s">
        <v>29</v>
      </c>
      <c r="C4" s="28">
        <f>Inventario_Dinamico!B38</f>
        <v>0</v>
      </c>
      <c r="D4" s="28">
        <f>Inventario_Dinamico!C38</f>
        <v>0</v>
      </c>
      <c r="E4" s="28">
        <f>Inventario_Dinamico!D38</f>
        <v>0</v>
      </c>
      <c r="F4" s="28">
        <f>Inventario_Dinamico!E38</f>
        <v>0</v>
      </c>
      <c r="G4" s="28">
        <f>Inventario_Dinamico!F38</f>
        <v>0</v>
      </c>
      <c r="H4" s="28">
        <f>Inventario_Dinamico!G38</f>
        <v>0</v>
      </c>
      <c r="I4" s="28">
        <f>Inventario_Dinamico!H38</f>
        <v>0</v>
      </c>
      <c r="J4" s="28">
        <f>Inventario_Dinamico!I38</f>
        <v>0</v>
      </c>
    </row>
    <row r="5" spans="1:14" x14ac:dyDescent="0.3">
      <c r="A5" s="42" t="s">
        <v>32</v>
      </c>
      <c r="C5" s="43">
        <f>Inventario_Dinamico!P38</f>
        <v>6000</v>
      </c>
      <c r="D5" s="43">
        <f>Inventario_Dinamico!Q38</f>
        <v>0</v>
      </c>
      <c r="E5" s="43">
        <f>Inventario_Dinamico!R38</f>
        <v>0</v>
      </c>
      <c r="F5" s="43">
        <f>Inventario_Dinamico!S38</f>
        <v>6000</v>
      </c>
      <c r="G5" s="43">
        <f>Inventario_Dinamico!T38</f>
        <v>0</v>
      </c>
      <c r="H5" s="43">
        <f>Inventario_Dinamico!U38</f>
        <v>0</v>
      </c>
      <c r="I5" s="43">
        <f>Inventario_Dinamico!V38</f>
        <v>6000</v>
      </c>
      <c r="J5" s="43">
        <f>Inventario_Dinamico!W38</f>
        <v>0</v>
      </c>
    </row>
    <row r="6" spans="1:14" x14ac:dyDescent="0.3">
      <c r="A6" s="42"/>
      <c r="C6" s="28">
        <f t="shared" ref="C6:J6" si="0">SUM(C4:C5)</f>
        <v>6000</v>
      </c>
      <c r="D6" s="28">
        <f t="shared" si="0"/>
        <v>0</v>
      </c>
      <c r="E6" s="28">
        <f t="shared" si="0"/>
        <v>0</v>
      </c>
      <c r="F6" s="28">
        <f t="shared" si="0"/>
        <v>6000</v>
      </c>
      <c r="G6" s="28">
        <f t="shared" si="0"/>
        <v>0</v>
      </c>
      <c r="H6" s="28">
        <f t="shared" si="0"/>
        <v>0</v>
      </c>
      <c r="I6" s="28">
        <f t="shared" si="0"/>
        <v>6000</v>
      </c>
      <c r="J6" s="28">
        <f t="shared" si="0"/>
        <v>0</v>
      </c>
    </row>
    <row r="7" spans="1:14" x14ac:dyDescent="0.3">
      <c r="A7" t="s">
        <v>149</v>
      </c>
      <c r="D7" s="28"/>
      <c r="E7" s="28"/>
      <c r="F7" s="28"/>
      <c r="G7" s="28"/>
      <c r="H7" s="28"/>
      <c r="I7" s="28"/>
      <c r="J7" s="28"/>
    </row>
    <row r="8" spans="1:14" x14ac:dyDescent="0.3">
      <c r="A8" s="42" t="s">
        <v>29</v>
      </c>
      <c r="C8" s="28">
        <f>Inventario_Dinamico!B37</f>
        <v>9416.4</v>
      </c>
      <c r="D8" s="28">
        <f>Inventario_Dinamico!C37</f>
        <v>8508</v>
      </c>
      <c r="E8" s="28">
        <f>Inventario_Dinamico!D37</f>
        <v>7599.5999999999995</v>
      </c>
      <c r="F8" s="28">
        <f>Inventario_Dinamico!E37</f>
        <v>6691.2</v>
      </c>
      <c r="G8" s="28">
        <f>Inventario_Dinamico!F37</f>
        <v>5782.8</v>
      </c>
      <c r="H8" s="28">
        <f>Inventario_Dinamico!G37</f>
        <v>4874.3999999999996</v>
      </c>
      <c r="I8" s="28">
        <f>Inventario_Dinamico!H37</f>
        <v>3966</v>
      </c>
      <c r="J8" s="28">
        <f>Inventario_Dinamico!I37</f>
        <v>3057.6</v>
      </c>
      <c r="K8" t="str">
        <f>+VLOOKUP(Inputs!B110,Inputs!A107:C109,3,FALSE)</f>
        <v>Inmediato (0Q)</v>
      </c>
    </row>
    <row r="9" spans="1:14" x14ac:dyDescent="0.3">
      <c r="A9" s="42" t="s">
        <v>32</v>
      </c>
      <c r="C9" s="43">
        <f>Inventario_Dinamico!P37</f>
        <v>5858.94</v>
      </c>
      <c r="D9" s="43">
        <f>Inventario_Dinamico!Q37</f>
        <v>5677.3799999999992</v>
      </c>
      <c r="E9" s="43">
        <f>Inventario_Dinamico!R37</f>
        <v>5495.8199999999988</v>
      </c>
      <c r="F9" s="43">
        <f>Inventario_Dinamico!S37</f>
        <v>5555.4599999999991</v>
      </c>
      <c r="G9" s="43">
        <f>Inventario_Dinamico!T37</f>
        <v>5373.9</v>
      </c>
      <c r="H9" s="43">
        <f>Inventario_Dinamico!U37</f>
        <v>5192.3399999999992</v>
      </c>
      <c r="I9" s="43">
        <f>Inventario_Dinamico!V37</f>
        <v>5251.98</v>
      </c>
      <c r="J9" s="43">
        <f>Inventario_Dinamico!W37</f>
        <v>5070.4199999999992</v>
      </c>
      <c r="K9" t="str">
        <f>VLOOKUP(Inputs!B118,Inputs!A114:C117,3,FALSE)</f>
        <v>Inmediato (0Q)</v>
      </c>
    </row>
    <row r="10" spans="1:14" x14ac:dyDescent="0.3">
      <c r="C10" s="28">
        <f t="shared" ref="C10:J10" si="1">+SUM(C8:C9)</f>
        <v>15275.34</v>
      </c>
      <c r="D10" s="28">
        <f t="shared" si="1"/>
        <v>14185.38</v>
      </c>
      <c r="E10" s="28">
        <f t="shared" si="1"/>
        <v>13095.419999999998</v>
      </c>
      <c r="F10" s="28">
        <f t="shared" si="1"/>
        <v>12246.66</v>
      </c>
      <c r="G10" s="28">
        <f t="shared" si="1"/>
        <v>11156.7</v>
      </c>
      <c r="H10" s="28">
        <f t="shared" si="1"/>
        <v>10066.739999999998</v>
      </c>
      <c r="I10" s="28">
        <f t="shared" si="1"/>
        <v>9217.98</v>
      </c>
      <c r="J10" s="28">
        <f t="shared" si="1"/>
        <v>8128.0199999999986</v>
      </c>
    </row>
    <row r="11" spans="1:14" x14ac:dyDescent="0.3">
      <c r="A11" t="s">
        <v>155</v>
      </c>
      <c r="N11" t="s">
        <v>161</v>
      </c>
    </row>
    <row r="12" spans="1:14" x14ac:dyDescent="0.3">
      <c r="A12" s="42" t="s">
        <v>29</v>
      </c>
      <c r="C12" s="1">
        <f>(Inventario_Dinamico!B8+Inventario_Dinamico!B14+Inventario_Dinamico!B20+Inventario_Dinamico!B26+Inventario_Dinamico!B32)*$L$12</f>
        <v>0</v>
      </c>
      <c r="D12" s="1">
        <f>(Inventario_Dinamico!C8+Inventario_Dinamico!C14+Inventario_Dinamico!C20+Inventario_Dinamico!C26+Inventario_Dinamico!C32)*$L$12</f>
        <v>0</v>
      </c>
      <c r="E12" s="1">
        <f>(Inventario_Dinamico!D8+Inventario_Dinamico!D14+Inventario_Dinamico!D20+Inventario_Dinamico!D26+Inventario_Dinamico!D32)*$L$12</f>
        <v>0</v>
      </c>
      <c r="F12" s="1">
        <f>(Inventario_Dinamico!E8+Inventario_Dinamico!E14+Inventario_Dinamico!E20+Inventario_Dinamico!E26+Inventario_Dinamico!E32)*$L$12</f>
        <v>0</v>
      </c>
      <c r="G12" s="1">
        <f>(Inventario_Dinamico!F8+Inventario_Dinamico!F14+Inventario_Dinamico!F20+Inventario_Dinamico!F26+Inventario_Dinamico!F32)*$L$12</f>
        <v>0</v>
      </c>
      <c r="H12" s="1">
        <f>(Inventario_Dinamico!G8+Inventario_Dinamico!G14+Inventario_Dinamico!G20+Inventario_Dinamico!G26+Inventario_Dinamico!G32)*$L$12</f>
        <v>0</v>
      </c>
      <c r="I12" s="1">
        <f>(Inventario_Dinamico!H8+Inventario_Dinamico!H14+Inventario_Dinamico!H20+Inventario_Dinamico!H26+Inventario_Dinamico!H32)*$L$12</f>
        <v>0</v>
      </c>
      <c r="J12" s="1">
        <f>(Inventario_Dinamico!I8+Inventario_Dinamico!I14+Inventario_Dinamico!I20+Inventario_Dinamico!I26+Inventario_Dinamico!I32)*$L$12</f>
        <v>0</v>
      </c>
      <c r="L12">
        <f>+VLOOKUP(Inputs!B110,Inputs!A107:B109,2,FALSE)</f>
        <v>125</v>
      </c>
    </row>
    <row r="13" spans="1:14" x14ac:dyDescent="0.3">
      <c r="A13" s="42" t="s">
        <v>32</v>
      </c>
      <c r="C13" s="1">
        <f>(Inventario_Dinamico!P8+Inventario_Dinamico!P14+Inventario_Dinamico!P20+Inventario_Dinamico!P26+Inventario_Dinamico!P32)*$L$13</f>
        <v>22110</v>
      </c>
      <c r="D13" s="1">
        <f>(Inventario_Dinamico!Q8+Inventario_Dinamico!Q14+Inventario_Dinamico!Q20+Inventario_Dinamico!Q26+Inventario_Dinamico!Q32)*$L$13</f>
        <v>0</v>
      </c>
      <c r="E13" s="1">
        <f>(Inventario_Dinamico!R8+Inventario_Dinamico!R14+Inventario_Dinamico!R20+Inventario_Dinamico!R26+Inventario_Dinamico!R32)*$L$13</f>
        <v>0</v>
      </c>
      <c r="F13" s="1">
        <f>(Inventario_Dinamico!S8+Inventario_Dinamico!S14+Inventario_Dinamico!S20+Inventario_Dinamico!S26+Inventario_Dinamico!S32)*$L$13</f>
        <v>22110</v>
      </c>
      <c r="G13" s="1">
        <f>(Inventario_Dinamico!T8+Inventario_Dinamico!T14+Inventario_Dinamico!T20+Inventario_Dinamico!T26+Inventario_Dinamico!T32)*$L$13</f>
        <v>0</v>
      </c>
      <c r="H13" s="1">
        <f>(Inventario_Dinamico!U8+Inventario_Dinamico!U14+Inventario_Dinamico!U20+Inventario_Dinamico!U26+Inventario_Dinamico!U32)*$L$13</f>
        <v>0</v>
      </c>
      <c r="I13" s="1">
        <f>(Inventario_Dinamico!V8+Inventario_Dinamico!V14+Inventario_Dinamico!V20+Inventario_Dinamico!V26+Inventario_Dinamico!V32)*$L$13</f>
        <v>22110</v>
      </c>
      <c r="J13" s="1">
        <f>(Inventario_Dinamico!W8+Inventario_Dinamico!W14+Inventario_Dinamico!W20+Inventario_Dinamico!W26+Inventario_Dinamico!W32)*$L$13</f>
        <v>0</v>
      </c>
      <c r="L13">
        <f>+VLOOKUP(Inputs!B118,Inputs!A114:B117,2,FALSE)</f>
        <v>330</v>
      </c>
    </row>
    <row r="14" spans="1:14" x14ac:dyDescent="0.3">
      <c r="A14" s="42" t="s">
        <v>33</v>
      </c>
      <c r="B14" s="28">
        <f>BOM_Consumo_Piezas!P6+BOM_Consumo_Piezas!P16+BOM_Consumo_Piezas!P26+BOM_Consumo_Piezas!P36+BOM_Consumo_Piezas!P46</f>
        <v>14580</v>
      </c>
      <c r="C14" s="1"/>
      <c r="D14" s="1"/>
      <c r="E14" s="1"/>
      <c r="F14" s="1"/>
      <c r="G14" s="1"/>
      <c r="H14" s="1"/>
      <c r="I14" s="1"/>
      <c r="J14" s="1"/>
    </row>
    <row r="15" spans="1:14" x14ac:dyDescent="0.3">
      <c r="A15" s="42" t="s">
        <v>34</v>
      </c>
      <c r="B15" s="28">
        <f>BOM_Consumo_Piezas!P7+BOM_Consumo_Piezas!P17+BOM_Consumo_Piezas!P27+BOM_Consumo_Piezas!P37+BOM_Consumo_Piezas!P47</f>
        <v>13391</v>
      </c>
      <c r="C15" s="1"/>
      <c r="D15" s="1"/>
      <c r="E15" s="1"/>
      <c r="F15" s="1"/>
      <c r="G15" s="1"/>
      <c r="H15" s="1"/>
      <c r="I15" s="1"/>
      <c r="J15" s="1"/>
    </row>
    <row r="16" spans="1:14" x14ac:dyDescent="0.3">
      <c r="A16" s="42" t="s">
        <v>35</v>
      </c>
      <c r="B16" s="28">
        <f>BOM_Consumo_Piezas!P8+BOM_Consumo_Piezas!P18+BOM_Consumo_Piezas!P28+BOM_Consumo_Piezas!P38+BOM_Consumo_Piezas!P48</f>
        <v>8712</v>
      </c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42" t="s">
        <v>36</v>
      </c>
      <c r="B17" s="28">
        <f>BOM_Consumo_Piezas!P9+BOM_Consumo_Piezas!P19+BOM_Consumo_Piezas!P29+BOM_Consumo_Piezas!P39+BOM_Consumo_Piezas!P49</f>
        <v>5808</v>
      </c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42" t="s">
        <v>37</v>
      </c>
      <c r="B18" s="28">
        <f>BOM_Consumo_Piezas!P10+BOM_Consumo_Piezas!P20+BOM_Consumo_Piezas!P30+BOM_Consumo_Piezas!P40+BOM_Consumo_Piezas!P50</f>
        <v>14520</v>
      </c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42" t="s">
        <v>38</v>
      </c>
      <c r="B19" s="43">
        <f>BOM_Consumo_Piezas!P11+BOM_Consumo_Piezas!P21+BOM_Consumo_Piezas!P31+BOM_Consumo_Piezas!P41+BOM_Consumo_Piezas!P51</f>
        <v>3388</v>
      </c>
      <c r="C19" s="44"/>
      <c r="D19" s="44"/>
      <c r="E19" s="44"/>
      <c r="F19" s="44"/>
      <c r="G19" s="44"/>
      <c r="H19" s="44"/>
      <c r="I19" s="44"/>
      <c r="J19" s="44"/>
    </row>
    <row r="20" spans="1:10" x14ac:dyDescent="0.3">
      <c r="B20" s="1">
        <f>SUM(B12:B19)</f>
        <v>60399</v>
      </c>
      <c r="C20" s="1">
        <f t="shared" ref="C20:J20" si="2">SUM(C12:C19)</f>
        <v>22110</v>
      </c>
      <c r="D20" s="1">
        <f t="shared" si="2"/>
        <v>0</v>
      </c>
      <c r="E20" s="1">
        <f t="shared" si="2"/>
        <v>0</v>
      </c>
      <c r="F20" s="1">
        <f t="shared" si="2"/>
        <v>22110</v>
      </c>
      <c r="G20" s="1">
        <f t="shared" si="2"/>
        <v>0</v>
      </c>
      <c r="H20" s="1">
        <f t="shared" si="2"/>
        <v>0</v>
      </c>
      <c r="I20" s="1">
        <f t="shared" si="2"/>
        <v>22110</v>
      </c>
      <c r="J20" s="1">
        <f t="shared" si="2"/>
        <v>0</v>
      </c>
    </row>
  </sheetData>
  <mergeCells count="1">
    <mergeCell ref="A1:J1"/>
  </mergeCells>
  <phoneticPr fontId="1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131BD-0C94-4F0C-82E5-65A20F81AF3E}">
  <dimension ref="A1:L20"/>
  <sheetViews>
    <sheetView workbookViewId="0">
      <selection activeCell="D9" sqref="D9"/>
    </sheetView>
  </sheetViews>
  <sheetFormatPr baseColWidth="10" defaultRowHeight="14.4" x14ac:dyDescent="0.3"/>
  <sheetData>
    <row r="1" spans="1:12" ht="22.8" x14ac:dyDescent="0.4">
      <c r="A1" s="62" t="s">
        <v>153</v>
      </c>
      <c r="B1" s="62"/>
      <c r="C1" s="62"/>
      <c r="D1" s="62"/>
      <c r="E1" s="62"/>
      <c r="F1" s="62"/>
      <c r="G1" s="62"/>
      <c r="H1" s="62"/>
      <c r="I1" s="62"/>
      <c r="J1" s="62"/>
    </row>
    <row r="2" spans="1:12" x14ac:dyDescent="0.3">
      <c r="B2" s="4" t="s">
        <v>154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157</v>
      </c>
      <c r="L2" s="4" t="s">
        <v>156</v>
      </c>
    </row>
    <row r="3" spans="1:12" x14ac:dyDescent="0.3">
      <c r="A3" t="s">
        <v>150</v>
      </c>
      <c r="C3" s="28"/>
      <c r="D3" s="28"/>
      <c r="E3" s="28"/>
      <c r="F3" s="28"/>
      <c r="G3" s="28"/>
      <c r="H3" s="28"/>
      <c r="I3" s="28"/>
      <c r="J3" s="28"/>
    </row>
    <row r="4" spans="1:12" x14ac:dyDescent="0.3">
      <c r="A4" s="42" t="s">
        <v>29</v>
      </c>
      <c r="C4" s="28">
        <f>Inventario_Dinamico!B38</f>
        <v>0</v>
      </c>
      <c r="D4" s="28">
        <f>Inventario_Dinamico!C38</f>
        <v>0</v>
      </c>
      <c r="E4" s="28">
        <f>Inventario_Dinamico!D38</f>
        <v>0</v>
      </c>
      <c r="F4" s="28">
        <f>Inventario_Dinamico!E38</f>
        <v>0</v>
      </c>
      <c r="G4" s="28">
        <f>Inventario_Dinamico!F38</f>
        <v>0</v>
      </c>
      <c r="H4" s="28">
        <f>Inventario_Dinamico!G38</f>
        <v>0</v>
      </c>
      <c r="I4" s="28">
        <f>Inventario_Dinamico!H38</f>
        <v>0</v>
      </c>
      <c r="J4" s="28">
        <f>Inventario_Dinamico!I38</f>
        <v>0</v>
      </c>
    </row>
    <row r="5" spans="1:12" x14ac:dyDescent="0.3">
      <c r="A5" s="42" t="s">
        <v>32</v>
      </c>
      <c r="C5" s="43">
        <f>Inventario_Dinamico!P38</f>
        <v>6000</v>
      </c>
      <c r="D5" s="43">
        <f>Inventario_Dinamico!Q38</f>
        <v>0</v>
      </c>
      <c r="E5" s="43">
        <f>Inventario_Dinamico!R38</f>
        <v>0</v>
      </c>
      <c r="F5" s="43">
        <f>Inventario_Dinamico!S38</f>
        <v>6000</v>
      </c>
      <c r="G5" s="43">
        <f>Inventario_Dinamico!T38</f>
        <v>0</v>
      </c>
      <c r="H5" s="43">
        <f>Inventario_Dinamico!U38</f>
        <v>0</v>
      </c>
      <c r="I5" s="43">
        <f>Inventario_Dinamico!V38</f>
        <v>6000</v>
      </c>
      <c r="J5" s="43">
        <f>Inventario_Dinamico!W38</f>
        <v>0</v>
      </c>
    </row>
    <row r="6" spans="1:12" x14ac:dyDescent="0.3">
      <c r="A6" s="42"/>
      <c r="C6" s="28">
        <f t="shared" ref="C6:J6" si="0">SUM(C4:C5)</f>
        <v>6000</v>
      </c>
      <c r="D6" s="28">
        <f t="shared" si="0"/>
        <v>0</v>
      </c>
      <c r="E6" s="28">
        <f t="shared" si="0"/>
        <v>0</v>
      </c>
      <c r="F6" s="28">
        <f t="shared" si="0"/>
        <v>6000</v>
      </c>
      <c r="G6" s="28">
        <f t="shared" si="0"/>
        <v>0</v>
      </c>
      <c r="H6" s="28">
        <f t="shared" si="0"/>
        <v>0</v>
      </c>
      <c r="I6" s="28">
        <f t="shared" si="0"/>
        <v>6000</v>
      </c>
      <c r="J6" s="28">
        <f t="shared" si="0"/>
        <v>0</v>
      </c>
    </row>
    <row r="7" spans="1:12" x14ac:dyDescent="0.3">
      <c r="A7" t="s">
        <v>149</v>
      </c>
      <c r="D7" s="28"/>
      <c r="E7" s="28"/>
      <c r="F7" s="28"/>
      <c r="G7" s="28"/>
      <c r="H7" s="28"/>
      <c r="I7" s="28"/>
      <c r="J7" s="28"/>
    </row>
    <row r="8" spans="1:12" x14ac:dyDescent="0.3">
      <c r="A8" s="42" t="s">
        <v>29</v>
      </c>
      <c r="C8" s="28">
        <f>Inventario_Dinamico!B37</f>
        <v>9416.4</v>
      </c>
      <c r="D8" s="28">
        <f>Inventario_Dinamico!C37</f>
        <v>8508</v>
      </c>
      <c r="E8" s="28">
        <f>Inventario_Dinamico!D37</f>
        <v>7599.5999999999995</v>
      </c>
      <c r="F8" s="28">
        <f>Inventario_Dinamico!E37</f>
        <v>6691.2</v>
      </c>
      <c r="G8" s="28">
        <f>Inventario_Dinamico!F37</f>
        <v>5782.8</v>
      </c>
      <c r="H8" s="28">
        <f>Inventario_Dinamico!G37</f>
        <v>4874.3999999999996</v>
      </c>
      <c r="I8" s="28">
        <f>Inventario_Dinamico!H37</f>
        <v>3966</v>
      </c>
      <c r="J8" s="28">
        <f>Inventario_Dinamico!I37</f>
        <v>3057.6</v>
      </c>
      <c r="K8" t="str">
        <f>+VLOOKUP(Inputs!B110,Inputs!A107:C109,3,FALSE)</f>
        <v>Inmediato (0Q)</v>
      </c>
    </row>
    <row r="9" spans="1:12" x14ac:dyDescent="0.3">
      <c r="A9" s="42" t="s">
        <v>32</v>
      </c>
      <c r="C9" s="43">
        <f>Inventario_Dinamico!P37</f>
        <v>5858.94</v>
      </c>
      <c r="D9" s="43">
        <f>Inventario_Dinamico!Q37</f>
        <v>5677.3799999999992</v>
      </c>
      <c r="E9" s="43">
        <f>Inventario_Dinamico!R37</f>
        <v>5495.8199999999988</v>
      </c>
      <c r="F9" s="43">
        <f>Inventario_Dinamico!S37</f>
        <v>5555.4599999999991</v>
      </c>
      <c r="G9" s="43">
        <f>Inventario_Dinamico!T37</f>
        <v>5373.9</v>
      </c>
      <c r="H9" s="43">
        <f>Inventario_Dinamico!U37</f>
        <v>5192.3399999999992</v>
      </c>
      <c r="I9" s="43">
        <f>Inventario_Dinamico!V37</f>
        <v>5251.98</v>
      </c>
      <c r="J9" s="43">
        <f>Inventario_Dinamico!W37</f>
        <v>5070.4199999999992</v>
      </c>
      <c r="K9" t="str">
        <f>VLOOKUP(Inputs!B118,Inputs!A114:C117,3,FALSE)</f>
        <v>Inmediato (0Q)</v>
      </c>
    </row>
    <row r="10" spans="1:12" x14ac:dyDescent="0.3">
      <c r="C10" s="28">
        <f t="shared" ref="C10:J10" si="1">+SUM(C8:C9)</f>
        <v>15275.34</v>
      </c>
      <c r="D10" s="28">
        <f t="shared" si="1"/>
        <v>14185.38</v>
      </c>
      <c r="E10" s="28">
        <f t="shared" si="1"/>
        <v>13095.419999999998</v>
      </c>
      <c r="F10" s="28">
        <f t="shared" si="1"/>
        <v>12246.66</v>
      </c>
      <c r="G10" s="28">
        <f t="shared" si="1"/>
        <v>11156.7</v>
      </c>
      <c r="H10" s="28">
        <f t="shared" si="1"/>
        <v>10066.739999999998</v>
      </c>
      <c r="I10" s="28">
        <f t="shared" si="1"/>
        <v>9217.98</v>
      </c>
      <c r="J10" s="28">
        <f t="shared" si="1"/>
        <v>8128.0199999999986</v>
      </c>
    </row>
    <row r="11" spans="1:12" x14ac:dyDescent="0.3">
      <c r="A11" t="s">
        <v>155</v>
      </c>
    </row>
    <row r="12" spans="1:12" x14ac:dyDescent="0.3">
      <c r="A12" s="42" t="s">
        <v>29</v>
      </c>
      <c r="C12" s="1">
        <f>(Inventario_Dinamico!B8+Inventario_Dinamico!B14+Inventario_Dinamico!B20+Inventario_Dinamico!B26+Inventario_Dinamico!B32)*$L$12</f>
        <v>0</v>
      </c>
      <c r="D12" s="1">
        <f>(Inventario_Dinamico!C8+Inventario_Dinamico!C14+Inventario_Dinamico!C20+Inventario_Dinamico!C26+Inventario_Dinamico!C32)*$L$12</f>
        <v>0</v>
      </c>
      <c r="E12" s="1">
        <f>(Inventario_Dinamico!D8+Inventario_Dinamico!D14+Inventario_Dinamico!D20+Inventario_Dinamico!D26+Inventario_Dinamico!D32)*$L$12</f>
        <v>0</v>
      </c>
      <c r="F12" s="1">
        <f>(Inventario_Dinamico!E8+Inventario_Dinamico!E14+Inventario_Dinamico!E20+Inventario_Dinamico!E26+Inventario_Dinamico!E32)*$L$12</f>
        <v>0</v>
      </c>
      <c r="G12" s="1">
        <f>(Inventario_Dinamico!F8+Inventario_Dinamico!F14+Inventario_Dinamico!F20+Inventario_Dinamico!F26+Inventario_Dinamico!F32)*$L$12</f>
        <v>0</v>
      </c>
      <c r="H12" s="1">
        <f>(Inventario_Dinamico!G8+Inventario_Dinamico!G14+Inventario_Dinamico!G20+Inventario_Dinamico!G26+Inventario_Dinamico!G32)*$L$12</f>
        <v>0</v>
      </c>
      <c r="I12" s="1">
        <f>(Inventario_Dinamico!H8+Inventario_Dinamico!H14+Inventario_Dinamico!H20+Inventario_Dinamico!H26+Inventario_Dinamico!H32)*$L$12</f>
        <v>0</v>
      </c>
      <c r="J12" s="1">
        <f>(Inventario_Dinamico!I8+Inventario_Dinamico!I14+Inventario_Dinamico!I20+Inventario_Dinamico!I26+Inventario_Dinamico!I32)*$L$12</f>
        <v>0</v>
      </c>
      <c r="L12">
        <f>+VLOOKUP(Inputs!B110,Inputs!A107:B109,2,FALSE)</f>
        <v>125</v>
      </c>
    </row>
    <row r="13" spans="1:12" x14ac:dyDescent="0.3">
      <c r="A13" s="42" t="s">
        <v>32</v>
      </c>
      <c r="C13" s="1">
        <f>(Inventario_Dinamico!P8+Inventario_Dinamico!P14+Inventario_Dinamico!P20+Inventario_Dinamico!P26+Inventario_Dinamico!P32)*$L$13</f>
        <v>22110</v>
      </c>
      <c r="D13" s="1">
        <f>(Inventario_Dinamico!Q8+Inventario_Dinamico!Q14+Inventario_Dinamico!Q20+Inventario_Dinamico!Q26+Inventario_Dinamico!Q32)*$L$13</f>
        <v>0</v>
      </c>
      <c r="E13" s="1">
        <f>(Inventario_Dinamico!R8+Inventario_Dinamico!R14+Inventario_Dinamico!R20+Inventario_Dinamico!R26+Inventario_Dinamico!R32)*$L$13</f>
        <v>0</v>
      </c>
      <c r="F13" s="1">
        <f>(Inventario_Dinamico!S8+Inventario_Dinamico!S14+Inventario_Dinamico!S20+Inventario_Dinamico!S26+Inventario_Dinamico!S32)*$L$13</f>
        <v>22110</v>
      </c>
      <c r="G13" s="1">
        <f>(Inventario_Dinamico!T8+Inventario_Dinamico!T14+Inventario_Dinamico!T20+Inventario_Dinamico!T26+Inventario_Dinamico!T32)*$L$13</f>
        <v>0</v>
      </c>
      <c r="H13" s="1">
        <f>(Inventario_Dinamico!U8+Inventario_Dinamico!U14+Inventario_Dinamico!U20+Inventario_Dinamico!U26+Inventario_Dinamico!U32)*$L$13</f>
        <v>0</v>
      </c>
      <c r="I13" s="1">
        <f>(Inventario_Dinamico!V8+Inventario_Dinamico!V14+Inventario_Dinamico!V20+Inventario_Dinamico!V26+Inventario_Dinamico!V32)*$L$13</f>
        <v>22110</v>
      </c>
      <c r="J13" s="1">
        <f>(Inventario_Dinamico!W8+Inventario_Dinamico!W14+Inventario_Dinamico!W20+Inventario_Dinamico!W26+Inventario_Dinamico!W32)*$L$13</f>
        <v>0</v>
      </c>
      <c r="L13">
        <f>+VLOOKUP(Inputs!B118,Inputs!A114:B117,2,FALSE)</f>
        <v>330</v>
      </c>
    </row>
    <row r="14" spans="1:12" x14ac:dyDescent="0.3">
      <c r="A14" s="42" t="s">
        <v>33</v>
      </c>
      <c r="B14" s="28">
        <f>BOM_Consumo_Piezas!P6+BOM_Consumo_Piezas!P16+BOM_Consumo_Piezas!P26+BOM_Consumo_Piezas!P36+BOM_Consumo_Piezas!P46</f>
        <v>14580</v>
      </c>
      <c r="C14" s="1"/>
      <c r="D14" s="1"/>
      <c r="E14" s="1"/>
      <c r="F14" s="1"/>
      <c r="G14" s="1"/>
      <c r="H14" s="1"/>
      <c r="I14" s="1"/>
      <c r="J14" s="1"/>
    </row>
    <row r="15" spans="1:12" x14ac:dyDescent="0.3">
      <c r="A15" s="42" t="s">
        <v>34</v>
      </c>
      <c r="B15" s="28">
        <f>BOM_Consumo_Piezas!P7+BOM_Consumo_Piezas!P17+BOM_Consumo_Piezas!P27+BOM_Consumo_Piezas!P37+BOM_Consumo_Piezas!P47</f>
        <v>13391</v>
      </c>
      <c r="C15" s="1"/>
      <c r="D15" s="1"/>
      <c r="E15" s="1"/>
      <c r="F15" s="1"/>
      <c r="G15" s="1"/>
      <c r="H15" s="1"/>
      <c r="I15" s="1"/>
      <c r="J15" s="1"/>
    </row>
    <row r="16" spans="1:12" x14ac:dyDescent="0.3">
      <c r="A16" s="42" t="s">
        <v>35</v>
      </c>
      <c r="B16" s="28">
        <f>BOM_Consumo_Piezas!P8+BOM_Consumo_Piezas!P18+BOM_Consumo_Piezas!P28+BOM_Consumo_Piezas!P38+BOM_Consumo_Piezas!P48</f>
        <v>8712</v>
      </c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42" t="s">
        <v>36</v>
      </c>
      <c r="B17" s="28">
        <f>BOM_Consumo_Piezas!P9+BOM_Consumo_Piezas!P19+BOM_Consumo_Piezas!P29+BOM_Consumo_Piezas!P39+BOM_Consumo_Piezas!P49</f>
        <v>5808</v>
      </c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42" t="s">
        <v>37</v>
      </c>
      <c r="B18" s="28">
        <f>BOM_Consumo_Piezas!P10+BOM_Consumo_Piezas!P20+BOM_Consumo_Piezas!P30+BOM_Consumo_Piezas!P40+BOM_Consumo_Piezas!P50</f>
        <v>14520</v>
      </c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42" t="s">
        <v>38</v>
      </c>
      <c r="B19" s="43">
        <f>BOM_Consumo_Piezas!P11+BOM_Consumo_Piezas!P21+BOM_Consumo_Piezas!P31+BOM_Consumo_Piezas!P41+BOM_Consumo_Piezas!P51</f>
        <v>3388</v>
      </c>
      <c r="C19" s="44"/>
      <c r="D19" s="44"/>
      <c r="E19" s="44"/>
      <c r="F19" s="44"/>
      <c r="G19" s="44"/>
      <c r="H19" s="44"/>
      <c r="I19" s="44"/>
      <c r="J19" s="44"/>
    </row>
    <row r="20" spans="1:10" x14ac:dyDescent="0.3">
      <c r="B20" s="1">
        <f>SUM(B12:B19)</f>
        <v>60399</v>
      </c>
      <c r="C20" s="1">
        <f t="shared" ref="C20:J20" si="2">SUM(C12:C19)</f>
        <v>22110</v>
      </c>
      <c r="D20" s="1">
        <f t="shared" si="2"/>
        <v>0</v>
      </c>
      <c r="E20" s="1">
        <f t="shared" si="2"/>
        <v>0</v>
      </c>
      <c r="F20" s="1">
        <f t="shared" si="2"/>
        <v>22110</v>
      </c>
      <c r="G20" s="1">
        <f t="shared" si="2"/>
        <v>0</v>
      </c>
      <c r="H20" s="1">
        <f t="shared" si="2"/>
        <v>0</v>
      </c>
      <c r="I20" s="1">
        <f t="shared" si="2"/>
        <v>22110</v>
      </c>
      <c r="J20" s="1">
        <f t="shared" si="2"/>
        <v>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Inputs</vt:lpstr>
      <vt:lpstr>Politica_Inventarios</vt:lpstr>
      <vt:lpstr>BOM_Consumo_Piezas</vt:lpstr>
      <vt:lpstr>Inventario_Dinamico</vt:lpstr>
      <vt:lpstr>Costos</vt:lpstr>
      <vt:lpstr>Proveedor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Daniel Quiroga Villalobos</cp:lastModifiedBy>
  <cp:revision>0</cp:revision>
  <dcterms:created xsi:type="dcterms:W3CDTF">2026-01-12T17:03:36Z</dcterms:created>
  <dcterms:modified xsi:type="dcterms:W3CDTF">2026-01-23T02:32:22Z</dcterms:modified>
  <dc:language>en-US</dc:language>
</cp:coreProperties>
</file>