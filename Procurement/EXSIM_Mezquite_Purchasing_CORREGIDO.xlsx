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curement/"/>
    </mc:Choice>
  </mc:AlternateContent>
  <xr:revisionPtr revIDLastSave="31" documentId="11_6EA160B5CE260F78CC7FA9A9BEF92A3AD0C9D6EB" xr6:coauthVersionLast="47" xr6:coauthVersionMax="47" xr10:uidLastSave="{9A8E8E77-9FD1-4647-B24C-71CF5C36C49C}"/>
  <bookViews>
    <workbookView xWindow="-108" yWindow="-108" windowWidth="23256" windowHeight="12456" tabRatio="500" firstSheet="2" activeTab="5" xr2:uid="{00000000-000D-0000-FFFF-FFFF00000000}"/>
  </bookViews>
  <sheets>
    <sheet name="Inputs" sheetId="1" r:id="rId1"/>
    <sheet name="Inventario_Dinamico" sheetId="2" r:id="rId2"/>
    <sheet name="MRP_LeadTimes" sheetId="3" r:id="rId3"/>
    <sheet name="Req_Gross" sheetId="4" r:id="rId4"/>
    <sheet name="MRP_Parts" sheetId="5" r:id="rId5"/>
    <sheet name="Pieces_t0" sheetId="6" r:id="rId6"/>
    <sheet name="EXSIM_UPLOAD" sheetId="7" r:id="rId7"/>
  </sheets>
  <definedNames>
    <definedName name="DemandFactor">Inputs!$B$3</definedName>
    <definedName name="tZeroValue">Inputs!$B$2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E47" i="7"/>
  <c r="D47" i="7"/>
  <c r="E46" i="7"/>
  <c r="D46" i="7"/>
  <c r="E45" i="7"/>
  <c r="D45" i="7"/>
  <c r="E44" i="7"/>
  <c r="D44" i="7"/>
  <c r="E43" i="7"/>
  <c r="D43" i="7"/>
  <c r="E42" i="7"/>
  <c r="D42" i="7"/>
  <c r="E41" i="7"/>
  <c r="D41" i="7"/>
  <c r="E40" i="7"/>
  <c r="D40" i="7"/>
  <c r="E39" i="7"/>
  <c r="D39" i="7"/>
  <c r="E38" i="7"/>
  <c r="D38" i="7"/>
  <c r="E37" i="7"/>
  <c r="D37" i="7"/>
  <c r="E36" i="7"/>
  <c r="D36" i="7"/>
  <c r="E35" i="7"/>
  <c r="D35" i="7"/>
  <c r="E34" i="7"/>
  <c r="D34" i="7"/>
  <c r="E33" i="7"/>
  <c r="D33" i="7"/>
  <c r="E32" i="7"/>
  <c r="D32" i="7"/>
  <c r="E31" i="7"/>
  <c r="D31" i="7"/>
  <c r="E30" i="7"/>
  <c r="D30" i="7"/>
  <c r="E29" i="7"/>
  <c r="D29" i="7"/>
  <c r="E28" i="7"/>
  <c r="D28" i="7"/>
  <c r="E27" i="7"/>
  <c r="D27" i="7"/>
  <c r="E26" i="7"/>
  <c r="D26" i="7"/>
  <c r="E25" i="7"/>
  <c r="D25" i="7"/>
  <c r="E24" i="7"/>
  <c r="D24" i="7"/>
  <c r="E23" i="7"/>
  <c r="D23" i="7"/>
  <c r="E22" i="7"/>
  <c r="D22" i="7"/>
  <c r="E21" i="7"/>
  <c r="D21" i="7"/>
  <c r="E20" i="7"/>
  <c r="D20" i="7"/>
  <c r="E19" i="7"/>
  <c r="D19" i="7"/>
  <c r="E18" i="7"/>
  <c r="D18" i="7"/>
  <c r="E17" i="7"/>
  <c r="D17" i="7"/>
  <c r="E16" i="7"/>
  <c r="D16" i="7"/>
  <c r="E15" i="7"/>
  <c r="D15" i="7"/>
  <c r="B15" i="7"/>
  <c r="E14" i="7"/>
  <c r="D14" i="7"/>
  <c r="B14" i="7"/>
  <c r="E13" i="7"/>
  <c r="D13" i="7"/>
  <c r="B13" i="7"/>
  <c r="E12" i="7"/>
  <c r="D12" i="7"/>
  <c r="B12" i="7"/>
  <c r="E11" i="7"/>
  <c r="D11" i="7"/>
  <c r="B11" i="7"/>
  <c r="E10" i="7"/>
  <c r="D10" i="7"/>
  <c r="B10" i="7"/>
  <c r="E9" i="7"/>
  <c r="D9" i="7"/>
  <c r="B9" i="7"/>
  <c r="E8" i="7"/>
  <c r="D8" i="7"/>
  <c r="B8" i="7"/>
  <c r="E7" i="7"/>
  <c r="D7" i="7"/>
  <c r="B7" i="7"/>
  <c r="E6" i="7"/>
  <c r="D6" i="7"/>
  <c r="B6" i="7"/>
  <c r="E5" i="7"/>
  <c r="D5" i="7"/>
  <c r="B5" i="7"/>
  <c r="E4" i="7"/>
  <c r="D4" i="7"/>
  <c r="B4" i="7"/>
  <c r="B1" i="7"/>
  <c r="G13" i="6"/>
  <c r="F13" i="6"/>
  <c r="E13" i="6"/>
  <c r="D13" i="6"/>
  <c r="C13" i="6"/>
  <c r="G12" i="6"/>
  <c r="F12" i="6"/>
  <c r="E12" i="6"/>
  <c r="D12" i="6"/>
  <c r="C12" i="6"/>
  <c r="G11" i="6"/>
  <c r="F11" i="6"/>
  <c r="E11" i="6"/>
  <c r="D11" i="6"/>
  <c r="C11" i="6"/>
  <c r="G10" i="6"/>
  <c r="F10" i="6"/>
  <c r="E10" i="6"/>
  <c r="D10" i="6"/>
  <c r="C10" i="6"/>
  <c r="G9" i="6"/>
  <c r="F9" i="6"/>
  <c r="E9" i="6"/>
  <c r="D9" i="6"/>
  <c r="C9" i="6"/>
  <c r="G8" i="6"/>
  <c r="F8" i="6"/>
  <c r="E8" i="6"/>
  <c r="D8" i="6"/>
  <c r="C8" i="6"/>
  <c r="G7" i="6"/>
  <c r="F7" i="6"/>
  <c r="E7" i="6"/>
  <c r="D7" i="6"/>
  <c r="C7" i="6"/>
  <c r="G6" i="6"/>
  <c r="F6" i="6"/>
  <c r="E6" i="6"/>
  <c r="D6" i="6"/>
  <c r="C6" i="6"/>
  <c r="G5" i="6"/>
  <c r="F5" i="6"/>
  <c r="E5" i="6"/>
  <c r="D5" i="6"/>
  <c r="C5" i="6"/>
  <c r="G4" i="6"/>
  <c r="F4" i="6"/>
  <c r="E4" i="6"/>
  <c r="D4" i="6"/>
  <c r="C4" i="6"/>
  <c r="G3" i="6"/>
  <c r="F3" i="6"/>
  <c r="E3" i="6"/>
  <c r="D3" i="6"/>
  <c r="C3" i="6"/>
  <c r="G2" i="6"/>
  <c r="F2" i="6"/>
  <c r="E2" i="6"/>
  <c r="D2" i="6"/>
  <c r="C2" i="6"/>
  <c r="M33" i="5"/>
  <c r="L33" i="5"/>
  <c r="K33" i="5"/>
  <c r="J33" i="5"/>
  <c r="I33" i="5"/>
  <c r="H33" i="5"/>
  <c r="G33" i="5"/>
  <c r="F33" i="5"/>
  <c r="E33" i="5"/>
  <c r="D33" i="5"/>
  <c r="M32" i="5"/>
  <c r="L32" i="5"/>
  <c r="K32" i="5"/>
  <c r="J32" i="5"/>
  <c r="I32" i="5"/>
  <c r="H32" i="5"/>
  <c r="G32" i="5"/>
  <c r="F32" i="5"/>
  <c r="E32" i="5"/>
  <c r="D32" i="5"/>
  <c r="M31" i="5"/>
  <c r="L31" i="5"/>
  <c r="K31" i="5"/>
  <c r="J31" i="5"/>
  <c r="I31" i="5"/>
  <c r="H31" i="5"/>
  <c r="G31" i="5"/>
  <c r="F31" i="5"/>
  <c r="E31" i="5"/>
  <c r="D31" i="5"/>
  <c r="M30" i="5"/>
  <c r="L30" i="5"/>
  <c r="K30" i="5"/>
  <c r="J30" i="5"/>
  <c r="I30" i="5"/>
  <c r="H30" i="5"/>
  <c r="G30" i="5"/>
  <c r="F30" i="5"/>
  <c r="E30" i="5"/>
  <c r="D30" i="5"/>
  <c r="M29" i="5"/>
  <c r="L29" i="5"/>
  <c r="K29" i="5"/>
  <c r="J29" i="5"/>
  <c r="I29" i="5"/>
  <c r="H29" i="5"/>
  <c r="G29" i="5"/>
  <c r="F29" i="5"/>
  <c r="E29" i="5"/>
  <c r="D29" i="5"/>
  <c r="M28" i="5"/>
  <c r="L28" i="5"/>
  <c r="K28" i="5"/>
  <c r="J28" i="5"/>
  <c r="I28" i="5"/>
  <c r="H28" i="5"/>
  <c r="G28" i="5"/>
  <c r="F28" i="5"/>
  <c r="E28" i="5"/>
  <c r="D28" i="5"/>
  <c r="M27" i="5"/>
  <c r="L27" i="5"/>
  <c r="K27" i="5"/>
  <c r="J27" i="5"/>
  <c r="I27" i="5"/>
  <c r="H27" i="5"/>
  <c r="G27" i="5"/>
  <c r="F27" i="5"/>
  <c r="E27" i="5"/>
  <c r="D27" i="5"/>
  <c r="M26" i="5"/>
  <c r="L26" i="5"/>
  <c r="K26" i="5"/>
  <c r="J26" i="5"/>
  <c r="I26" i="5"/>
  <c r="H26" i="5"/>
  <c r="G26" i="5"/>
  <c r="F26" i="5"/>
  <c r="E26" i="5"/>
  <c r="D26" i="5"/>
  <c r="M25" i="5"/>
  <c r="L25" i="5"/>
  <c r="K25" i="5"/>
  <c r="J25" i="5"/>
  <c r="I25" i="5"/>
  <c r="H25" i="5"/>
  <c r="G25" i="5"/>
  <c r="F25" i="5"/>
  <c r="E25" i="5"/>
  <c r="D25" i="5"/>
  <c r="M24" i="5"/>
  <c r="L24" i="5"/>
  <c r="K24" i="5"/>
  <c r="J24" i="5"/>
  <c r="I24" i="5"/>
  <c r="H24" i="5"/>
  <c r="G24" i="5"/>
  <c r="F24" i="5"/>
  <c r="E24" i="5"/>
  <c r="D24" i="5"/>
  <c r="M23" i="5"/>
  <c r="L23" i="5"/>
  <c r="K23" i="5"/>
  <c r="J23" i="5"/>
  <c r="I23" i="5"/>
  <c r="H23" i="5"/>
  <c r="G23" i="5"/>
  <c r="F23" i="5"/>
  <c r="E23" i="5"/>
  <c r="D23" i="5"/>
  <c r="M22" i="5"/>
  <c r="L22" i="5"/>
  <c r="K22" i="5"/>
  <c r="J22" i="5"/>
  <c r="I22" i="5"/>
  <c r="H22" i="5"/>
  <c r="G22" i="5"/>
  <c r="F22" i="5"/>
  <c r="E22" i="5"/>
  <c r="D22" i="5"/>
  <c r="M21" i="5"/>
  <c r="L21" i="5"/>
  <c r="K21" i="5"/>
  <c r="J21" i="5"/>
  <c r="I21" i="5"/>
  <c r="H21" i="5"/>
  <c r="G21" i="5"/>
  <c r="F21" i="5"/>
  <c r="E21" i="5"/>
  <c r="D21" i="5"/>
  <c r="M20" i="5"/>
  <c r="L20" i="5"/>
  <c r="K20" i="5"/>
  <c r="J20" i="5"/>
  <c r="I20" i="5"/>
  <c r="H20" i="5"/>
  <c r="G20" i="5"/>
  <c r="F20" i="5"/>
  <c r="E20" i="5"/>
  <c r="D20" i="5"/>
  <c r="M19" i="5"/>
  <c r="L19" i="5"/>
  <c r="K19" i="5"/>
  <c r="J19" i="5"/>
  <c r="I19" i="5"/>
  <c r="H19" i="5"/>
  <c r="G19" i="5"/>
  <c r="F19" i="5"/>
  <c r="E19" i="5"/>
  <c r="D19" i="5"/>
  <c r="M18" i="5"/>
  <c r="L18" i="5"/>
  <c r="K18" i="5"/>
  <c r="J18" i="5"/>
  <c r="I18" i="5"/>
  <c r="H18" i="5"/>
  <c r="G18" i="5"/>
  <c r="F18" i="5"/>
  <c r="E18" i="5"/>
  <c r="D18" i="5"/>
  <c r="M17" i="5"/>
  <c r="L17" i="5"/>
  <c r="K17" i="5"/>
  <c r="J17" i="5"/>
  <c r="I17" i="5"/>
  <c r="H17" i="5"/>
  <c r="G17" i="5"/>
  <c r="F17" i="5"/>
  <c r="E17" i="5"/>
  <c r="D17" i="5"/>
  <c r="M16" i="5"/>
  <c r="L16" i="5"/>
  <c r="K16" i="5"/>
  <c r="J16" i="5"/>
  <c r="I16" i="5"/>
  <c r="H16" i="5"/>
  <c r="G16" i="5"/>
  <c r="F16" i="5"/>
  <c r="E16" i="5"/>
  <c r="D16" i="5"/>
  <c r="M15" i="5"/>
  <c r="L15" i="5"/>
  <c r="K15" i="5"/>
  <c r="J15" i="5"/>
  <c r="I15" i="5"/>
  <c r="H15" i="5"/>
  <c r="G15" i="5"/>
  <c r="F15" i="5"/>
  <c r="E15" i="5"/>
  <c r="D15" i="5"/>
  <c r="M14" i="5"/>
  <c r="L14" i="5"/>
  <c r="K14" i="5"/>
  <c r="J14" i="5"/>
  <c r="I14" i="5"/>
  <c r="H14" i="5"/>
  <c r="G14" i="5"/>
  <c r="F14" i="5"/>
  <c r="E14" i="5"/>
  <c r="D14" i="5"/>
  <c r="M13" i="5"/>
  <c r="L13" i="5"/>
  <c r="K13" i="5"/>
  <c r="J13" i="5"/>
  <c r="I13" i="5"/>
  <c r="H13" i="5"/>
  <c r="G13" i="5"/>
  <c r="F13" i="5"/>
  <c r="E13" i="5"/>
  <c r="D13" i="5"/>
  <c r="M12" i="5"/>
  <c r="L12" i="5"/>
  <c r="K12" i="5"/>
  <c r="J12" i="5"/>
  <c r="I12" i="5"/>
  <c r="H12" i="5"/>
  <c r="G12" i="5"/>
  <c r="F12" i="5"/>
  <c r="E12" i="5"/>
  <c r="D12" i="5"/>
  <c r="M11" i="5"/>
  <c r="L11" i="5"/>
  <c r="K11" i="5"/>
  <c r="J11" i="5"/>
  <c r="I11" i="5"/>
  <c r="H11" i="5"/>
  <c r="G11" i="5"/>
  <c r="F11" i="5"/>
  <c r="E11" i="5"/>
  <c r="D11" i="5"/>
  <c r="M10" i="5"/>
  <c r="L10" i="5"/>
  <c r="K10" i="5"/>
  <c r="J10" i="5"/>
  <c r="I10" i="5"/>
  <c r="H10" i="5"/>
  <c r="G10" i="5"/>
  <c r="F10" i="5"/>
  <c r="E10" i="5"/>
  <c r="D10" i="5"/>
  <c r="M9" i="5"/>
  <c r="L9" i="5"/>
  <c r="K9" i="5"/>
  <c r="J9" i="5"/>
  <c r="I9" i="5"/>
  <c r="H9" i="5"/>
  <c r="G9" i="5"/>
  <c r="F9" i="5"/>
  <c r="E9" i="5"/>
  <c r="D9" i="5"/>
  <c r="M8" i="5"/>
  <c r="L8" i="5"/>
  <c r="K8" i="5"/>
  <c r="J8" i="5"/>
  <c r="I8" i="5"/>
  <c r="H8" i="5"/>
  <c r="G8" i="5"/>
  <c r="F8" i="5"/>
  <c r="E8" i="5"/>
  <c r="D8" i="5"/>
  <c r="M7" i="5"/>
  <c r="L7" i="5"/>
  <c r="K7" i="5"/>
  <c r="J7" i="5"/>
  <c r="I7" i="5"/>
  <c r="H7" i="5"/>
  <c r="G7" i="5"/>
  <c r="F7" i="5"/>
  <c r="E7" i="5"/>
  <c r="D7" i="5"/>
  <c r="M6" i="5"/>
  <c r="L6" i="5"/>
  <c r="K6" i="5"/>
  <c r="J6" i="5"/>
  <c r="I6" i="5"/>
  <c r="H6" i="5"/>
  <c r="G6" i="5"/>
  <c r="F6" i="5"/>
  <c r="E6" i="5"/>
  <c r="D6" i="5"/>
  <c r="M5" i="5"/>
  <c r="L5" i="5"/>
  <c r="K5" i="5"/>
  <c r="J5" i="5"/>
  <c r="I5" i="5"/>
  <c r="H5" i="5"/>
  <c r="G5" i="5"/>
  <c r="F5" i="5"/>
  <c r="E5" i="5"/>
  <c r="D5" i="5"/>
  <c r="M4" i="5"/>
  <c r="L4" i="5"/>
  <c r="K4" i="5"/>
  <c r="J4" i="5"/>
  <c r="I4" i="5"/>
  <c r="H4" i="5"/>
  <c r="G4" i="5"/>
  <c r="F4" i="5"/>
  <c r="E4" i="5"/>
  <c r="D4" i="5"/>
  <c r="M3" i="5"/>
  <c r="L3" i="5"/>
  <c r="K3" i="5"/>
  <c r="J3" i="5"/>
  <c r="I3" i="5"/>
  <c r="H3" i="5"/>
  <c r="G3" i="5"/>
  <c r="F3" i="5"/>
  <c r="E3" i="5"/>
  <c r="D3" i="5"/>
  <c r="M2" i="5"/>
  <c r="L2" i="5"/>
  <c r="K2" i="5"/>
  <c r="J2" i="5"/>
  <c r="I2" i="5"/>
  <c r="H2" i="5"/>
  <c r="G2" i="5"/>
  <c r="F2" i="5"/>
  <c r="E2" i="5"/>
  <c r="D2" i="5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I13" i="3"/>
  <c r="I12" i="3"/>
  <c r="H13" i="3" s="1"/>
  <c r="H12" i="3"/>
  <c r="G13" i="3" s="1"/>
  <c r="G12" i="3"/>
  <c r="F13" i="3" s="1"/>
  <c r="F12" i="3"/>
  <c r="E13" i="3" s="1"/>
  <c r="E12" i="3"/>
  <c r="D13" i="3" s="1"/>
  <c r="D12" i="3"/>
  <c r="C13" i="3" s="1"/>
  <c r="C12" i="3"/>
  <c r="B13" i="3" s="1"/>
  <c r="B12" i="3"/>
  <c r="I6" i="3"/>
  <c r="I5" i="3"/>
  <c r="H6" i="3" s="1"/>
  <c r="H5" i="3"/>
  <c r="G6" i="3" s="1"/>
  <c r="G5" i="3"/>
  <c r="F6" i="3" s="1"/>
  <c r="F5" i="3"/>
  <c r="E6" i="3" s="1"/>
  <c r="E5" i="3"/>
  <c r="D6" i="3" s="1"/>
  <c r="D5" i="3"/>
  <c r="C6" i="3" s="1"/>
  <c r="C5" i="3"/>
  <c r="B6" i="3" s="1"/>
  <c r="B5" i="3"/>
  <c r="G129" i="2"/>
  <c r="F129" i="2"/>
  <c r="E129" i="2"/>
  <c r="D129" i="2"/>
  <c r="G128" i="2"/>
  <c r="F128" i="2"/>
  <c r="E128" i="2"/>
  <c r="D128" i="2"/>
  <c r="G127" i="2"/>
  <c r="F127" i="2"/>
  <c r="E127" i="2"/>
  <c r="D127" i="2"/>
  <c r="G126" i="2"/>
  <c r="F126" i="2"/>
  <c r="E126" i="2"/>
  <c r="D126" i="2"/>
  <c r="G125" i="2"/>
  <c r="F125" i="2"/>
  <c r="E125" i="2"/>
  <c r="D125" i="2"/>
  <c r="G124" i="2"/>
  <c r="F124" i="2"/>
  <c r="E124" i="2"/>
  <c r="D124" i="2"/>
  <c r="G123" i="2"/>
  <c r="F123" i="2"/>
  <c r="E123" i="2"/>
  <c r="D123" i="2"/>
  <c r="G122" i="2"/>
  <c r="F122" i="2"/>
  <c r="E122" i="2"/>
  <c r="D122" i="2"/>
  <c r="G121" i="2"/>
  <c r="F121" i="2"/>
  <c r="E121" i="2"/>
  <c r="D121" i="2"/>
  <c r="G120" i="2"/>
  <c r="F120" i="2"/>
  <c r="E120" i="2"/>
  <c r="D120" i="2"/>
  <c r="G119" i="2"/>
  <c r="F119" i="2"/>
  <c r="E119" i="2"/>
  <c r="D119" i="2"/>
  <c r="G118" i="2"/>
  <c r="F118" i="2"/>
  <c r="E118" i="2"/>
  <c r="D118" i="2"/>
  <c r="G117" i="2"/>
  <c r="F117" i="2"/>
  <c r="E117" i="2"/>
  <c r="D117" i="2"/>
  <c r="G116" i="2"/>
  <c r="F116" i="2"/>
  <c r="E116" i="2"/>
  <c r="D116" i="2"/>
  <c r="G115" i="2"/>
  <c r="F115" i="2"/>
  <c r="E115" i="2"/>
  <c r="D115" i="2"/>
  <c r="G114" i="2"/>
  <c r="F114" i="2"/>
  <c r="E114" i="2"/>
  <c r="D114" i="2"/>
  <c r="G113" i="2"/>
  <c r="F113" i="2"/>
  <c r="E113" i="2"/>
  <c r="D113" i="2"/>
  <c r="G112" i="2"/>
  <c r="F112" i="2"/>
  <c r="E112" i="2"/>
  <c r="D112" i="2"/>
  <c r="G111" i="2"/>
  <c r="F111" i="2"/>
  <c r="E111" i="2"/>
  <c r="D111" i="2"/>
  <c r="G110" i="2"/>
  <c r="F110" i="2"/>
  <c r="E110" i="2"/>
  <c r="D110" i="2"/>
  <c r="G109" i="2"/>
  <c r="F109" i="2"/>
  <c r="E109" i="2"/>
  <c r="D109" i="2"/>
  <c r="G108" i="2"/>
  <c r="F108" i="2"/>
  <c r="E108" i="2"/>
  <c r="D108" i="2"/>
  <c r="G107" i="2"/>
  <c r="F107" i="2"/>
  <c r="E107" i="2"/>
  <c r="D107" i="2"/>
  <c r="G106" i="2"/>
  <c r="F106" i="2"/>
  <c r="E106" i="2"/>
  <c r="D106" i="2"/>
  <c r="G105" i="2"/>
  <c r="F105" i="2"/>
  <c r="E105" i="2"/>
  <c r="D105" i="2"/>
  <c r="G104" i="2"/>
  <c r="F104" i="2"/>
  <c r="E104" i="2"/>
  <c r="D104" i="2"/>
  <c r="G103" i="2"/>
  <c r="F103" i="2"/>
  <c r="E103" i="2"/>
  <c r="D103" i="2"/>
  <c r="G102" i="2"/>
  <c r="F102" i="2"/>
  <c r="E102" i="2"/>
  <c r="D102" i="2"/>
  <c r="G101" i="2"/>
  <c r="F101" i="2"/>
  <c r="E101" i="2"/>
  <c r="D101" i="2"/>
  <c r="G100" i="2"/>
  <c r="F100" i="2"/>
  <c r="E100" i="2"/>
  <c r="D100" i="2"/>
  <c r="G99" i="2"/>
  <c r="F99" i="2"/>
  <c r="E99" i="2"/>
  <c r="D99" i="2"/>
  <c r="G98" i="2"/>
  <c r="F98" i="2"/>
  <c r="E98" i="2"/>
  <c r="D98" i="2"/>
  <c r="G97" i="2"/>
  <c r="F97" i="2"/>
  <c r="E97" i="2"/>
  <c r="D97" i="2"/>
  <c r="G96" i="2"/>
  <c r="F96" i="2"/>
  <c r="E96" i="2"/>
  <c r="D96" i="2"/>
  <c r="G95" i="2"/>
  <c r="F95" i="2"/>
  <c r="E95" i="2"/>
  <c r="D95" i="2"/>
  <c r="G94" i="2"/>
  <c r="F94" i="2"/>
  <c r="E94" i="2"/>
  <c r="D94" i="2"/>
  <c r="G93" i="2"/>
  <c r="F93" i="2"/>
  <c r="E93" i="2"/>
  <c r="D93" i="2"/>
  <c r="G92" i="2"/>
  <c r="F92" i="2"/>
  <c r="E92" i="2"/>
  <c r="D92" i="2"/>
  <c r="G91" i="2"/>
  <c r="F91" i="2"/>
  <c r="E91" i="2"/>
  <c r="D91" i="2"/>
  <c r="G90" i="2"/>
  <c r="F90" i="2"/>
  <c r="E90" i="2"/>
  <c r="D90" i="2"/>
  <c r="G89" i="2"/>
  <c r="F89" i="2"/>
  <c r="E89" i="2"/>
  <c r="D89" i="2"/>
  <c r="G88" i="2"/>
  <c r="F88" i="2"/>
  <c r="E88" i="2"/>
  <c r="D88" i="2"/>
  <c r="G87" i="2"/>
  <c r="F87" i="2"/>
  <c r="E87" i="2"/>
  <c r="D87" i="2"/>
  <c r="G86" i="2"/>
  <c r="F86" i="2"/>
  <c r="E86" i="2"/>
  <c r="D86" i="2"/>
  <c r="G85" i="2"/>
  <c r="F85" i="2"/>
  <c r="E85" i="2"/>
  <c r="D85" i="2"/>
  <c r="G84" i="2"/>
  <c r="F84" i="2"/>
  <c r="E84" i="2"/>
  <c r="D84" i="2"/>
  <c r="G83" i="2"/>
  <c r="F83" i="2"/>
  <c r="E83" i="2"/>
  <c r="D83" i="2"/>
  <c r="G82" i="2"/>
  <c r="F82" i="2"/>
  <c r="E82" i="2"/>
  <c r="D82" i="2"/>
  <c r="G81" i="2"/>
  <c r="F81" i="2"/>
  <c r="E81" i="2"/>
  <c r="D81" i="2"/>
  <c r="G80" i="2"/>
  <c r="F80" i="2"/>
  <c r="E80" i="2"/>
  <c r="D80" i="2"/>
  <c r="G79" i="2"/>
  <c r="F79" i="2"/>
  <c r="E79" i="2"/>
  <c r="D79" i="2"/>
  <c r="G78" i="2"/>
  <c r="F78" i="2"/>
  <c r="E78" i="2"/>
  <c r="D78" i="2"/>
  <c r="G77" i="2"/>
  <c r="F77" i="2"/>
  <c r="E77" i="2"/>
  <c r="D77" i="2"/>
  <c r="G76" i="2"/>
  <c r="F76" i="2"/>
  <c r="E76" i="2"/>
  <c r="D76" i="2"/>
  <c r="G75" i="2"/>
  <c r="F75" i="2"/>
  <c r="E75" i="2"/>
  <c r="D75" i="2"/>
  <c r="G74" i="2"/>
  <c r="F74" i="2"/>
  <c r="E74" i="2"/>
  <c r="D74" i="2"/>
  <c r="G73" i="2"/>
  <c r="F73" i="2"/>
  <c r="E73" i="2"/>
  <c r="D73" i="2"/>
  <c r="G72" i="2"/>
  <c r="F72" i="2"/>
  <c r="E72" i="2"/>
  <c r="D72" i="2"/>
  <c r="G71" i="2"/>
  <c r="F71" i="2"/>
  <c r="E71" i="2"/>
  <c r="D71" i="2"/>
  <c r="G70" i="2"/>
  <c r="F70" i="2"/>
  <c r="E70" i="2"/>
  <c r="D70" i="2"/>
  <c r="G69" i="2"/>
  <c r="F69" i="2"/>
  <c r="E69" i="2"/>
  <c r="D69" i="2"/>
  <c r="G68" i="2"/>
  <c r="F68" i="2"/>
  <c r="E68" i="2"/>
  <c r="D68" i="2"/>
  <c r="G67" i="2"/>
  <c r="F67" i="2"/>
  <c r="E67" i="2"/>
  <c r="D67" i="2"/>
  <c r="G66" i="2"/>
  <c r="F66" i="2"/>
  <c r="E66" i="2"/>
  <c r="D66" i="2"/>
  <c r="G65" i="2"/>
  <c r="F65" i="2"/>
  <c r="E65" i="2"/>
  <c r="D65" i="2"/>
  <c r="G64" i="2"/>
  <c r="F64" i="2"/>
  <c r="E64" i="2"/>
  <c r="D64" i="2"/>
  <c r="G63" i="2"/>
  <c r="F63" i="2"/>
  <c r="E63" i="2"/>
  <c r="D63" i="2"/>
  <c r="G62" i="2"/>
  <c r="F62" i="2"/>
  <c r="E62" i="2"/>
  <c r="D62" i="2"/>
  <c r="G61" i="2"/>
  <c r="F61" i="2"/>
  <c r="E61" i="2"/>
  <c r="D61" i="2"/>
  <c r="G60" i="2"/>
  <c r="F60" i="2"/>
  <c r="E60" i="2"/>
  <c r="D60" i="2"/>
  <c r="G59" i="2"/>
  <c r="F59" i="2"/>
  <c r="E59" i="2"/>
  <c r="D59" i="2"/>
  <c r="G58" i="2"/>
  <c r="F58" i="2"/>
  <c r="E58" i="2"/>
  <c r="D58" i="2"/>
  <c r="G57" i="2"/>
  <c r="F57" i="2"/>
  <c r="E57" i="2"/>
  <c r="D57" i="2"/>
  <c r="G56" i="2"/>
  <c r="F56" i="2"/>
  <c r="E56" i="2"/>
  <c r="D56" i="2"/>
  <c r="G55" i="2"/>
  <c r="F55" i="2"/>
  <c r="E55" i="2"/>
  <c r="D55" i="2"/>
  <c r="G54" i="2"/>
  <c r="F54" i="2"/>
  <c r="E54" i="2"/>
  <c r="D54" i="2"/>
  <c r="G52" i="2"/>
  <c r="F52" i="2"/>
  <c r="E52" i="2"/>
  <c r="D52" i="2"/>
  <c r="G51" i="2"/>
  <c r="F51" i="2"/>
  <c r="E51" i="2"/>
  <c r="D51" i="2"/>
  <c r="G50" i="2"/>
  <c r="F50" i="2"/>
  <c r="E50" i="2"/>
  <c r="D50" i="2"/>
  <c r="G49" i="2"/>
  <c r="F49" i="2"/>
  <c r="E49" i="2"/>
  <c r="D49" i="2"/>
  <c r="G48" i="2"/>
  <c r="F48" i="2"/>
  <c r="E48" i="2"/>
  <c r="D48" i="2"/>
  <c r="G46" i="2"/>
  <c r="F46" i="2"/>
  <c r="E46" i="2"/>
  <c r="D46" i="2"/>
  <c r="G45" i="2"/>
  <c r="F45" i="2"/>
  <c r="E45" i="2"/>
  <c r="D45" i="2"/>
  <c r="G44" i="2"/>
  <c r="F44" i="2"/>
  <c r="E44" i="2"/>
  <c r="D44" i="2"/>
  <c r="G43" i="2"/>
  <c r="F43" i="2"/>
  <c r="E43" i="2"/>
  <c r="D43" i="2"/>
  <c r="G42" i="2"/>
  <c r="F42" i="2"/>
  <c r="E42" i="2"/>
  <c r="D42" i="2"/>
  <c r="G40" i="2"/>
  <c r="F40" i="2"/>
  <c r="E40" i="2"/>
  <c r="D40" i="2"/>
  <c r="G39" i="2"/>
  <c r="F39" i="2"/>
  <c r="E39" i="2"/>
  <c r="D39" i="2"/>
  <c r="G38" i="2"/>
  <c r="F38" i="2"/>
  <c r="E38" i="2"/>
  <c r="D38" i="2"/>
  <c r="G37" i="2"/>
  <c r="F37" i="2"/>
  <c r="E37" i="2"/>
  <c r="D37" i="2"/>
  <c r="G36" i="2"/>
  <c r="F36" i="2"/>
  <c r="E36" i="2"/>
  <c r="D36" i="2"/>
  <c r="G34" i="2"/>
  <c r="F34" i="2"/>
  <c r="E34" i="2"/>
  <c r="D34" i="2"/>
  <c r="G33" i="2"/>
  <c r="F33" i="2"/>
  <c r="E33" i="2"/>
  <c r="D33" i="2"/>
  <c r="G32" i="2"/>
  <c r="F32" i="2"/>
  <c r="E32" i="2"/>
  <c r="D32" i="2"/>
  <c r="G31" i="2"/>
  <c r="F31" i="2"/>
  <c r="E31" i="2"/>
  <c r="D31" i="2"/>
  <c r="G30" i="2"/>
  <c r="F30" i="2"/>
  <c r="E30" i="2"/>
  <c r="D30" i="2"/>
  <c r="G28" i="2"/>
  <c r="F28" i="2"/>
  <c r="E28" i="2"/>
  <c r="D28" i="2"/>
  <c r="G27" i="2"/>
  <c r="F27" i="2"/>
  <c r="E27" i="2"/>
  <c r="D27" i="2"/>
  <c r="G26" i="2"/>
  <c r="F26" i="2"/>
  <c r="E26" i="2"/>
  <c r="D26" i="2"/>
  <c r="G25" i="2"/>
  <c r="F25" i="2"/>
  <c r="E25" i="2"/>
  <c r="D25" i="2"/>
  <c r="G24" i="2"/>
  <c r="F24" i="2"/>
  <c r="E24" i="2"/>
  <c r="D24" i="2"/>
  <c r="G22" i="2"/>
  <c r="F22" i="2"/>
  <c r="E22" i="2"/>
  <c r="D22" i="2"/>
  <c r="G21" i="2"/>
  <c r="F21" i="2"/>
  <c r="E21" i="2"/>
  <c r="D21" i="2"/>
  <c r="G20" i="2"/>
  <c r="F20" i="2"/>
  <c r="E20" i="2"/>
  <c r="D20" i="2"/>
  <c r="G19" i="2"/>
  <c r="F19" i="2"/>
  <c r="E19" i="2"/>
  <c r="D19" i="2"/>
  <c r="G18" i="2"/>
  <c r="F18" i="2"/>
  <c r="E18" i="2"/>
  <c r="D18" i="2"/>
  <c r="G16" i="2"/>
  <c r="F16" i="2"/>
  <c r="E16" i="2"/>
  <c r="D16" i="2"/>
  <c r="G15" i="2"/>
  <c r="F15" i="2"/>
  <c r="E15" i="2"/>
  <c r="D15" i="2"/>
  <c r="G14" i="2"/>
  <c r="F14" i="2"/>
  <c r="E14" i="2"/>
  <c r="D14" i="2"/>
  <c r="G13" i="2"/>
  <c r="F13" i="2"/>
  <c r="E13" i="2"/>
  <c r="D13" i="2"/>
  <c r="G12" i="2"/>
  <c r="F12" i="2"/>
  <c r="E12" i="2"/>
  <c r="D12" i="2"/>
  <c r="G10" i="2"/>
  <c r="F10" i="2"/>
  <c r="E10" i="2"/>
  <c r="D10" i="2"/>
  <c r="G9" i="2"/>
  <c r="F9" i="2"/>
  <c r="E9" i="2"/>
  <c r="D9" i="2"/>
  <c r="G8" i="2"/>
  <c r="F8" i="2"/>
  <c r="E8" i="2"/>
  <c r="D8" i="2"/>
  <c r="G7" i="2"/>
  <c r="F7" i="2"/>
  <c r="E7" i="2"/>
  <c r="D7" i="2"/>
  <c r="G6" i="2"/>
  <c r="F6" i="2"/>
  <c r="E6" i="2"/>
  <c r="D6" i="2"/>
  <c r="G4" i="2"/>
  <c r="F4" i="2"/>
  <c r="E4" i="2"/>
  <c r="D4" i="2"/>
  <c r="G14" i="1" l="1"/>
</calcChain>
</file>

<file path=xl/sharedStrings.xml><?xml version="1.0" encoding="utf-8"?>
<sst xmlns="http://schemas.openxmlformats.org/spreadsheetml/2006/main" count="860" uniqueCount="59">
  <si>
    <t>INPUTS MULTI-PLANTA</t>
  </si>
  <si>
    <t>tZeroValue</t>
  </si>
  <si>
    <t>DemandFactor</t>
  </si>
  <si>
    <t>Material</t>
  </si>
  <si>
    <t>Type</t>
  </si>
  <si>
    <t>BatchSize</t>
  </si>
  <si>
    <t>ConsPerEC</t>
  </si>
  <si>
    <t>Parte A</t>
  </si>
  <si>
    <t>Part</t>
  </si>
  <si>
    <t>Parte B</t>
  </si>
  <si>
    <t>Pieza 1</t>
  </si>
  <si>
    <t>Piece</t>
  </si>
  <si>
    <t>Pieza 2</t>
  </si>
  <si>
    <t>Pieza 3</t>
  </si>
  <si>
    <t>Pieza 4</t>
  </si>
  <si>
    <t>Pieza 5</t>
  </si>
  <si>
    <t>Pieza 6</t>
  </si>
  <si>
    <t>Plant</t>
  </si>
  <si>
    <t>Fortnight</t>
  </si>
  <si>
    <t>EC_Produced</t>
  </si>
  <si>
    <t>Center</t>
  </si>
  <si>
    <t>West</t>
  </si>
  <si>
    <t>SafetyStock_Fortnights</t>
  </si>
  <si>
    <t>PreferredSupplier</t>
  </si>
  <si>
    <t>MRP - PRODUCCION POR SECCION (MULTI-PLANTA)</t>
  </si>
  <si>
    <t>Plant: Center</t>
  </si>
  <si>
    <t>Seccion</t>
  </si>
  <si>
    <t>Q6</t>
  </si>
  <si>
    <t>Q7</t>
  </si>
  <si>
    <t>Q8</t>
  </si>
  <si>
    <t>S5 - Final (EC)</t>
  </si>
  <si>
    <t>S4 - Piezas (LT=1Q)</t>
  </si>
  <si>
    <t>Plant: West</t>
  </si>
  <si>
    <t>Q1</t>
  </si>
  <si>
    <t>Q2</t>
  </si>
  <si>
    <t>Q3</t>
  </si>
  <si>
    <t>Q4</t>
  </si>
  <si>
    <t>Q5</t>
  </si>
  <si>
    <t>GrossReqUnits</t>
  </si>
  <si>
    <t>ReceiptsUnits</t>
  </si>
  <si>
    <t>ProjectedOnHand_Begin</t>
  </si>
  <si>
    <t>ProjectedOnHand_End</t>
  </si>
  <si>
    <t>SafetyStockUnits</t>
  </si>
  <si>
    <t>NetReqUnits</t>
  </si>
  <si>
    <t>PlannedOrderReceiptUnits</t>
  </si>
  <si>
    <t>PlannedOrderLots</t>
  </si>
  <si>
    <t>PlannedOrderReceiptUnits_Rounded</t>
  </si>
  <si>
    <t>PlannedOrderReleaseFortnight</t>
  </si>
  <si>
    <t>TotalGrossReqPeriodUnits</t>
  </si>
  <si>
    <t>PlannedLots_t0</t>
  </si>
  <si>
    <t>PlannedUnits_t0</t>
  </si>
  <si>
    <t>Lots</t>
  </si>
  <si>
    <t>Supplier</t>
  </si>
  <si>
    <t>Columna1</t>
  </si>
  <si>
    <t>Columna2</t>
  </si>
  <si>
    <t>Price per batch</t>
  </si>
  <si>
    <t>Price per electroclean</t>
  </si>
  <si>
    <t>Price per Unit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</si>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</sst>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/>
    <xf numFmtId="44" fontId="0" fillId="0" borderId="0" xfId="1" applyFont="1"/>
  </cellXfs>
  <cellStyles count="2">
    <cellStyle name="Moneda" xfId="1" builtinId="4"/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Params" displayName="tParams" ref="A5:G13">
  <autoFilter ref="A5:G13" xr:uid="{00000000-0009-0000-0100-000001000000}"/>
  <tableColumns count="7">
    <tableColumn id="1" xr3:uid="{00000000-0010-0000-0000-000001000000}" name="Material"/>
    <tableColumn id="2" xr3:uid="{00000000-0010-0000-0000-000002000000}" name="Type"/>
    <tableColumn id="3" xr3:uid="{00000000-0010-0000-0000-000003000000}" name="BatchSize"/>
    <tableColumn id="4" xr3:uid="{00000000-0010-0000-0000-000004000000}" name="ConsPerEC"/>
    <tableColumn id="5" xr3:uid="{00000000-0010-0000-0000-000005000000}" name="Price per batch" dataCellStyle="Moneda"/>
    <tableColumn id="6" xr3:uid="{5932928A-4104-486D-ACA6-8D83C2330900}" name="Price per Unit" dataCellStyle="Moneda">
      <calculatedColumnFormula>(tParams[[#This Row],[Price per batch]]/tParams[[#This Row],[BatchSize]])</calculatedColumnFormula>
    </tableColumn>
    <tableColumn id="7" xr3:uid="{5E9E89E2-EED0-4A8C-A8AC-7FD8C7FEAE47}" name="Price per electroclean" dataCellStyle="Moneda">
      <calculatedColumnFormula>tParams[[#This Row],[Price per Unit]]*tParams[[#This Row],[ConsPerEC]]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ProdPlan" displayName="tProdPlan" ref="A15:C31">
  <autoFilter ref="A15:C31" xr:uid="{00000000-0009-0000-0100-000002000000}"/>
  <tableColumns count="3">
    <tableColumn id="1" xr3:uid="{00000000-0010-0000-0100-000001000000}" name="Plant"/>
    <tableColumn id="2" xr3:uid="{00000000-0010-0000-0100-000002000000}" name="Fortnight"/>
    <tableColumn id="3" xr3:uid="{00000000-0010-0000-0100-000003000000}" name="EC_Produced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nv0" displayName="tInv0" ref="A33:C49">
  <autoFilter ref="A33:C49" xr:uid="{00000000-0009-0000-0100-000003000000}"/>
  <tableColumns count="3">
    <tableColumn id="1" xr3:uid="{00000000-0010-0000-0200-000001000000}" name="Plant"/>
    <tableColumn id="2" xr3:uid="{00000000-0010-0000-0200-000002000000}" name="Columna1"/>
    <tableColumn id="3" xr3:uid="{00000000-0010-0000-0200-000003000000}" name="Columna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Policy" displayName="tPolicy" ref="A51:D67">
  <autoFilter ref="A51:D67" xr:uid="{00000000-0009-0000-0100-000004000000}"/>
  <tableColumns count="4">
    <tableColumn id="1" xr3:uid="{00000000-0010-0000-0300-000001000000}" name="Plant"/>
    <tableColumn id="2" xr3:uid="{00000000-0010-0000-0300-000002000000}" name="Material"/>
    <tableColumn id="3" xr3:uid="{00000000-0010-0000-0300-000003000000}" name="SafetyStock_Fortnights"/>
    <tableColumn id="4" xr3:uid="{00000000-0010-0000-0300-000004000000}" name="PreferredSupplier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GrossReq" displayName="tGrossReq" ref="A1:D129">
  <autoFilter ref="A1:D129" xr:uid="{00000000-0009-0000-0100-000006000000}"/>
  <tableColumns count="4">
    <tableColumn id="1" xr3:uid="{00000000-0010-0000-0500-000001000000}" name="Plant"/>
    <tableColumn id="2" xr3:uid="{00000000-0010-0000-0500-000002000000}" name="Fortnight"/>
    <tableColumn id="3" xr3:uid="{00000000-0010-0000-0500-000003000000}" name="Material"/>
    <tableColumn id="4" xr3:uid="{00000000-0010-0000-0500-000004000000}" name="GrossReqUnit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MRPParts" displayName="tMRPParts" ref="A1:M33">
  <autoFilter ref="A1:M33" xr:uid="{00000000-0009-0000-0100-000007000000}"/>
  <tableColumns count="13">
    <tableColumn id="1" xr3:uid="{00000000-0010-0000-0600-000001000000}" name="Plant"/>
    <tableColumn id="2" xr3:uid="{00000000-0010-0000-0600-000002000000}" name="Material"/>
    <tableColumn id="3" xr3:uid="{00000000-0010-0000-0600-000003000000}" name="Fortnight"/>
    <tableColumn id="4" xr3:uid="{00000000-0010-0000-0600-000004000000}" name="GrossReqUnits"/>
    <tableColumn id="5" xr3:uid="{00000000-0010-0000-0600-000005000000}" name="ReceiptsUnits"/>
    <tableColumn id="6" xr3:uid="{00000000-0010-0000-0600-000006000000}" name="ProjectedOnHand_Begin"/>
    <tableColumn id="7" xr3:uid="{00000000-0010-0000-0600-000007000000}" name="ProjectedOnHand_End"/>
    <tableColumn id="8" xr3:uid="{00000000-0010-0000-0600-000008000000}" name="SafetyStockUnits"/>
    <tableColumn id="9" xr3:uid="{00000000-0010-0000-0600-000009000000}" name="NetReqUnits"/>
    <tableColumn id="10" xr3:uid="{00000000-0010-0000-0600-00000A000000}" name="PlannedOrderReceiptUnits"/>
    <tableColumn id="11" xr3:uid="{00000000-0010-0000-0600-00000B000000}" name="PlannedOrderLots"/>
    <tableColumn id="12" xr3:uid="{00000000-0010-0000-0600-00000C000000}" name="PlannedOrderReceiptUnits_Rounded"/>
    <tableColumn id="13" xr3:uid="{00000000-0010-0000-0600-00000D000000}" name="PlannedOrderReleaseFortnight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Pieces0" displayName="tPieces0" ref="A1:G13">
  <autoFilter ref="A1:G13" xr:uid="{00000000-0009-0000-0100-000008000000}"/>
  <tableColumns count="7">
    <tableColumn id="1" xr3:uid="{00000000-0010-0000-0700-000001000000}" name="Plant"/>
    <tableColumn id="2" xr3:uid="{00000000-0010-0000-0700-000002000000}" name="Material"/>
    <tableColumn id="3" xr3:uid="{00000000-0010-0000-0700-000003000000}" name="TotalGrossReqPeriodUnits"/>
    <tableColumn id="4" xr3:uid="{00000000-0010-0000-0700-000004000000}" name="SafetyStockUnits"/>
    <tableColumn id="5" xr3:uid="{00000000-0010-0000-0700-000005000000}" name="NetReqUnits"/>
    <tableColumn id="6" xr3:uid="{00000000-0010-0000-0700-000006000000}" name="PlannedLots_t0"/>
    <tableColumn id="7" xr3:uid="{00000000-0010-0000-0700-000007000000}" name="PlannedUnits_t0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Upload" displayName="tUpload" ref="A3:E47">
  <autoFilter ref="A3:E47" xr:uid="{00000000-0009-0000-0100-000009000000}"/>
  <tableColumns count="5">
    <tableColumn id="1" xr3:uid="{00000000-0010-0000-0800-000001000000}" name="Plant"/>
    <tableColumn id="2" xr3:uid="{00000000-0010-0000-0800-000002000000}" name="Fortnight"/>
    <tableColumn id="3" xr3:uid="{00000000-0010-0000-0800-000003000000}" name="Material"/>
    <tableColumn id="4" xr3:uid="{00000000-0010-0000-0800-000004000000}" name="Lots"/>
    <tableColumn id="5" xr3:uid="{00000000-0010-0000-0800-000005000000}" name="Suppli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8"/>
  <sheetViews>
    <sheetView topLeftCell="A44" zoomScaleNormal="100" workbookViewId="0">
      <selection activeCell="F64" sqref="F64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7" ht="17.25" customHeight="1" x14ac:dyDescent="0.3">
      <c r="A1" t="s">
        <v>0</v>
      </c>
    </row>
    <row r="2" spans="1:7" ht="15" customHeight="1" x14ac:dyDescent="0.3">
      <c r="A2" t="s">
        <v>1</v>
      </c>
    </row>
    <row r="3" spans="1:7" x14ac:dyDescent="0.3">
      <c r="A3" t="s">
        <v>2</v>
      </c>
      <c r="B3">
        <v>1</v>
      </c>
    </row>
    <row r="4" spans="1:7" ht="15" customHeight="1" x14ac:dyDescent="0.3"/>
    <row r="5" spans="1:7" ht="15" customHeight="1" x14ac:dyDescent="0.3">
      <c r="A5" t="s">
        <v>3</v>
      </c>
      <c r="B5" t="s">
        <v>4</v>
      </c>
      <c r="C5" t="s">
        <v>5</v>
      </c>
      <c r="D5" t="s">
        <v>6</v>
      </c>
      <c r="E5" t="s">
        <v>55</v>
      </c>
      <c r="F5" t="s">
        <v>57</v>
      </c>
      <c r="G5" t="s">
        <v>56</v>
      </c>
    </row>
    <row r="6" spans="1:7" ht="15" customHeight="1" x14ac:dyDescent="0.3">
      <c r="A6" t="s">
        <v>7</v>
      </c>
      <c r="B6" t="s">
        <v>8</v>
      </c>
      <c r="C6">
        <v>30</v>
      </c>
      <c r="D6">
        <v>1</v>
      </c>
      <c r="E6" s="2">
        <v>125</v>
      </c>
      <c r="F6" s="2">
        <f>(tParams[[#This Row],[Price per batch]]/tParams[[#This Row],[BatchSize]])</f>
        <v>4.166666666666667</v>
      </c>
      <c r="G6" s="2">
        <f>tParams[[#This Row],[Price per Unit]]*tParams[[#This Row],[ConsPerEC]]</f>
        <v>4.166666666666667</v>
      </c>
    </row>
    <row r="7" spans="1:7" x14ac:dyDescent="0.3">
      <c r="A7" t="s">
        <v>9</v>
      </c>
      <c r="B7" t="s">
        <v>8</v>
      </c>
      <c r="C7">
        <v>12</v>
      </c>
      <c r="D7">
        <v>0.2</v>
      </c>
      <c r="E7" s="2">
        <v>30</v>
      </c>
      <c r="F7" s="2">
        <f>(tParams[[#This Row],[Price per batch]]/tParams[[#This Row],[BatchSize]])</f>
        <v>2.5</v>
      </c>
      <c r="G7" s="2">
        <f>tParams[[#This Row],[Price per Unit]]*tParams[[#This Row],[ConsPerEC]]</f>
        <v>0.5</v>
      </c>
    </row>
    <row r="8" spans="1:7" x14ac:dyDescent="0.3">
      <c r="A8" t="s">
        <v>10</v>
      </c>
      <c r="B8" t="s">
        <v>11</v>
      </c>
      <c r="C8">
        <v>1</v>
      </c>
      <c r="D8">
        <v>0.01</v>
      </c>
      <c r="E8" s="2">
        <v>60</v>
      </c>
      <c r="F8" s="2">
        <f>(tParams[[#This Row],[Price per batch]]/tParams[[#This Row],[BatchSize]])</f>
        <v>60</v>
      </c>
      <c r="G8" s="2">
        <f>tParams[[#This Row],[Price per Unit]]*tParams[[#This Row],[ConsPerEC]]</f>
        <v>0.6</v>
      </c>
    </row>
    <row r="9" spans="1:7" ht="15" customHeight="1" x14ac:dyDescent="0.3">
      <c r="A9" t="s">
        <v>12</v>
      </c>
      <c r="B9" t="s">
        <v>11</v>
      </c>
      <c r="C9">
        <v>100</v>
      </c>
      <c r="D9">
        <v>8</v>
      </c>
      <c r="E9" s="2">
        <v>7</v>
      </c>
      <c r="F9" s="2">
        <f>(tParams[[#This Row],[Price per batch]]/tParams[[#This Row],[BatchSize]])</f>
        <v>7.0000000000000007E-2</v>
      </c>
      <c r="G9" s="2">
        <f>tParams[[#This Row],[Price per Unit]]*tParams[[#This Row],[ConsPerEC]]</f>
        <v>0.56000000000000005</v>
      </c>
    </row>
    <row r="10" spans="1:7" ht="15" customHeight="1" x14ac:dyDescent="0.3">
      <c r="A10" t="s">
        <v>13</v>
      </c>
      <c r="B10" t="s">
        <v>11</v>
      </c>
      <c r="C10">
        <v>30</v>
      </c>
      <c r="D10">
        <v>0.3</v>
      </c>
      <c r="E10" s="2">
        <v>36</v>
      </c>
      <c r="F10" s="2">
        <f>(tParams[[#This Row],[Price per batch]]/tParams[[#This Row],[BatchSize]])</f>
        <v>1.2</v>
      </c>
      <c r="G10" s="2">
        <f>tParams[[#This Row],[Price per Unit]]*tParams[[#This Row],[ConsPerEC]]</f>
        <v>0.36</v>
      </c>
    </row>
    <row r="11" spans="1:7" ht="15" customHeight="1" x14ac:dyDescent="0.3">
      <c r="A11" t="s">
        <v>14</v>
      </c>
      <c r="B11" t="s">
        <v>11</v>
      </c>
      <c r="C11">
        <v>60</v>
      </c>
      <c r="D11">
        <v>0.6</v>
      </c>
      <c r="E11" s="2">
        <v>24</v>
      </c>
      <c r="F11" s="2">
        <f>(tParams[[#This Row],[Price per batch]]/tParams[[#This Row],[BatchSize]])</f>
        <v>0.4</v>
      </c>
      <c r="G11" s="2">
        <f>tParams[[#This Row],[Price per Unit]]*tParams[[#This Row],[ConsPerEC]]</f>
        <v>0.24</v>
      </c>
    </row>
    <row r="12" spans="1:7" ht="15" customHeight="1" x14ac:dyDescent="0.3">
      <c r="A12" t="s">
        <v>15</v>
      </c>
      <c r="B12" t="s">
        <v>11</v>
      </c>
      <c r="C12">
        <v>100</v>
      </c>
      <c r="D12">
        <v>2</v>
      </c>
      <c r="E12" s="2">
        <v>30</v>
      </c>
      <c r="F12" s="2">
        <f>(tParams[[#This Row],[Price per batch]]/tParams[[#This Row],[BatchSize]])</f>
        <v>0.3</v>
      </c>
      <c r="G12" s="2">
        <f>tParams[[#This Row],[Price per Unit]]*tParams[[#This Row],[ConsPerEC]]</f>
        <v>0.6</v>
      </c>
    </row>
    <row r="13" spans="1:7" ht="15" customHeight="1" x14ac:dyDescent="0.3">
      <c r="A13" t="s">
        <v>16</v>
      </c>
      <c r="B13" t="s">
        <v>11</v>
      </c>
      <c r="C13">
        <v>150</v>
      </c>
      <c r="D13">
        <v>0.75</v>
      </c>
      <c r="E13" s="2">
        <v>28</v>
      </c>
      <c r="F13" s="2">
        <f>(tParams[[#This Row],[Price per batch]]/tParams[[#This Row],[BatchSize]])</f>
        <v>0.18666666666666668</v>
      </c>
      <c r="G13" s="2">
        <f>tParams[[#This Row],[Price per Unit]]*tParams[[#This Row],[ConsPerEC]]</f>
        <v>0.14000000000000001</v>
      </c>
    </row>
    <row r="14" spans="1:7" ht="15" customHeight="1" x14ac:dyDescent="0.3">
      <c r="E14" s="2"/>
      <c r="F14" s="2"/>
      <c r="G14" s="2">
        <f>SUM(tParams[Price per electroclean])</f>
        <v>7.1666666666666661</v>
      </c>
    </row>
    <row r="15" spans="1:7" ht="15" customHeight="1" x14ac:dyDescent="0.3">
      <c r="A15" t="s">
        <v>17</v>
      </c>
      <c r="B15" t="s">
        <v>18</v>
      </c>
      <c r="C15" t="s">
        <v>19</v>
      </c>
    </row>
    <row r="16" spans="1:7" ht="15" customHeight="1" x14ac:dyDescent="0.3">
      <c r="A16" t="s">
        <v>20</v>
      </c>
      <c r="B16">
        <v>1</v>
      </c>
      <c r="C16">
        <v>1500</v>
      </c>
    </row>
    <row r="17" spans="1:3" ht="15" customHeight="1" x14ac:dyDescent="0.3">
      <c r="A17" t="s">
        <v>20</v>
      </c>
      <c r="B17">
        <v>2</v>
      </c>
      <c r="C17">
        <v>1500</v>
      </c>
    </row>
    <row r="18" spans="1:3" ht="15" customHeight="1" x14ac:dyDescent="0.3">
      <c r="A18" t="s">
        <v>20</v>
      </c>
      <c r="B18">
        <v>3</v>
      </c>
      <c r="C18">
        <v>1500</v>
      </c>
    </row>
    <row r="19" spans="1:3" x14ac:dyDescent="0.3">
      <c r="A19" t="s">
        <v>20</v>
      </c>
      <c r="B19">
        <v>4</v>
      </c>
      <c r="C19">
        <v>1500</v>
      </c>
    </row>
    <row r="20" spans="1:3" x14ac:dyDescent="0.3">
      <c r="A20" t="s">
        <v>20</v>
      </c>
      <c r="B20">
        <v>5</v>
      </c>
      <c r="C20">
        <v>1500</v>
      </c>
    </row>
    <row r="21" spans="1:3" ht="15" customHeight="1" x14ac:dyDescent="0.3">
      <c r="A21" t="s">
        <v>20</v>
      </c>
      <c r="B21">
        <v>6</v>
      </c>
      <c r="C21">
        <v>1500</v>
      </c>
    </row>
    <row r="22" spans="1:3" ht="15" customHeight="1" x14ac:dyDescent="0.3">
      <c r="A22" t="s">
        <v>20</v>
      </c>
      <c r="B22">
        <v>7</v>
      </c>
      <c r="C22">
        <v>1500</v>
      </c>
    </row>
    <row r="23" spans="1:3" ht="15" customHeight="1" x14ac:dyDescent="0.3">
      <c r="A23" t="s">
        <v>20</v>
      </c>
      <c r="B23">
        <v>8</v>
      </c>
      <c r="C23">
        <v>1500</v>
      </c>
    </row>
    <row r="24" spans="1:3" ht="15" customHeight="1" x14ac:dyDescent="0.3">
      <c r="A24" t="s">
        <v>21</v>
      </c>
      <c r="B24">
        <v>1</v>
      </c>
      <c r="C24">
        <v>350</v>
      </c>
    </row>
    <row r="25" spans="1:3" ht="15" customHeight="1" x14ac:dyDescent="0.3">
      <c r="A25" t="s">
        <v>21</v>
      </c>
      <c r="B25">
        <v>2</v>
      </c>
      <c r="C25">
        <v>350</v>
      </c>
    </row>
    <row r="26" spans="1:3" ht="15" customHeight="1" x14ac:dyDescent="0.3">
      <c r="A26" t="s">
        <v>21</v>
      </c>
      <c r="B26">
        <v>3</v>
      </c>
      <c r="C26">
        <v>350</v>
      </c>
    </row>
    <row r="27" spans="1:3" ht="15" customHeight="1" x14ac:dyDescent="0.3">
      <c r="A27" t="s">
        <v>21</v>
      </c>
      <c r="B27">
        <v>4</v>
      </c>
      <c r="C27">
        <v>350</v>
      </c>
    </row>
    <row r="28" spans="1:3" ht="15" customHeight="1" x14ac:dyDescent="0.3">
      <c r="A28" t="s">
        <v>21</v>
      </c>
      <c r="B28">
        <v>5</v>
      </c>
      <c r="C28">
        <v>350</v>
      </c>
    </row>
    <row r="29" spans="1:3" ht="15" customHeight="1" x14ac:dyDescent="0.3">
      <c r="A29" t="s">
        <v>21</v>
      </c>
      <c r="B29">
        <v>6</v>
      </c>
      <c r="C29">
        <v>350</v>
      </c>
    </row>
    <row r="30" spans="1:3" ht="15" customHeight="1" x14ac:dyDescent="0.3">
      <c r="A30" t="s">
        <v>21</v>
      </c>
      <c r="B30">
        <v>7</v>
      </c>
      <c r="C30">
        <v>420</v>
      </c>
    </row>
    <row r="31" spans="1:3" x14ac:dyDescent="0.3">
      <c r="A31" t="s">
        <v>21</v>
      </c>
      <c r="B31">
        <v>8</v>
      </c>
      <c r="C31">
        <v>420</v>
      </c>
    </row>
    <row r="33" spans="1:3" ht="15" customHeight="1" x14ac:dyDescent="0.3">
      <c r="A33" t="s">
        <v>17</v>
      </c>
      <c r="B33" t="s">
        <v>53</v>
      </c>
      <c r="C33" t="s">
        <v>54</v>
      </c>
    </row>
    <row r="34" spans="1:3" ht="15" customHeight="1" x14ac:dyDescent="0.3">
      <c r="A34" t="s">
        <v>20</v>
      </c>
      <c r="B34" t="s">
        <v>7</v>
      </c>
      <c r="C34">
        <v>3496</v>
      </c>
    </row>
    <row r="35" spans="1:3" ht="15" customHeight="1" x14ac:dyDescent="0.3">
      <c r="A35" t="s">
        <v>20</v>
      </c>
      <c r="B35" t="s">
        <v>9</v>
      </c>
      <c r="C35">
        <v>765</v>
      </c>
    </row>
    <row r="36" spans="1:3" ht="15" customHeight="1" x14ac:dyDescent="0.3">
      <c r="A36" t="s">
        <v>20</v>
      </c>
      <c r="B36" t="s">
        <v>10</v>
      </c>
      <c r="C36">
        <v>94</v>
      </c>
    </row>
    <row r="37" spans="1:3" ht="15" customHeight="1" x14ac:dyDescent="0.3">
      <c r="A37" t="s">
        <v>20</v>
      </c>
      <c r="B37" t="s">
        <v>12</v>
      </c>
      <c r="C37">
        <v>3844</v>
      </c>
    </row>
    <row r="38" spans="1:3" ht="15" customHeight="1" x14ac:dyDescent="0.3">
      <c r="A38" t="s">
        <v>20</v>
      </c>
      <c r="B38" t="s">
        <v>13</v>
      </c>
      <c r="C38">
        <v>3125</v>
      </c>
    </row>
    <row r="39" spans="1:3" ht="15" customHeight="1" x14ac:dyDescent="0.3">
      <c r="A39" t="s">
        <v>20</v>
      </c>
      <c r="B39" t="s">
        <v>14</v>
      </c>
      <c r="C39">
        <v>6131</v>
      </c>
    </row>
    <row r="40" spans="1:3" ht="15" customHeight="1" x14ac:dyDescent="0.3">
      <c r="A40" t="s">
        <v>20</v>
      </c>
      <c r="B40" t="s">
        <v>15</v>
      </c>
      <c r="C40">
        <v>16736</v>
      </c>
    </row>
    <row r="41" spans="1:3" ht="15" customHeight="1" x14ac:dyDescent="0.3">
      <c r="A41" t="s">
        <v>20</v>
      </c>
      <c r="B41" t="s">
        <v>16</v>
      </c>
      <c r="C41">
        <v>4439</v>
      </c>
    </row>
    <row r="42" spans="1:3" ht="15" customHeight="1" x14ac:dyDescent="0.3">
      <c r="A42" t="s">
        <v>21</v>
      </c>
      <c r="B42" t="s">
        <v>7</v>
      </c>
      <c r="C42">
        <v>1016</v>
      </c>
    </row>
    <row r="43" spans="1:3" ht="15" customHeight="1" x14ac:dyDescent="0.3">
      <c r="A43" t="s">
        <v>21</v>
      </c>
      <c r="B43" t="s">
        <v>9</v>
      </c>
      <c r="C43">
        <v>293</v>
      </c>
    </row>
    <row r="44" spans="1:3" ht="15" customHeight="1" x14ac:dyDescent="0.3">
      <c r="A44" t="s">
        <v>21</v>
      </c>
      <c r="B44" t="s">
        <v>10</v>
      </c>
      <c r="C44">
        <v>36</v>
      </c>
    </row>
    <row r="45" spans="1:3" ht="15" customHeight="1" x14ac:dyDescent="0.3">
      <c r="A45" t="s">
        <v>21</v>
      </c>
      <c r="B45" t="s">
        <v>12</v>
      </c>
      <c r="C45">
        <v>1424</v>
      </c>
    </row>
    <row r="46" spans="1:3" ht="15" customHeight="1" x14ac:dyDescent="0.3">
      <c r="A46" t="s">
        <v>21</v>
      </c>
      <c r="B46" t="s">
        <v>13</v>
      </c>
      <c r="C46">
        <v>1208</v>
      </c>
    </row>
    <row r="47" spans="1:3" ht="15" customHeight="1" x14ac:dyDescent="0.3">
      <c r="A47" t="s">
        <v>21</v>
      </c>
      <c r="B47" t="s">
        <v>14</v>
      </c>
      <c r="C47">
        <v>2356</v>
      </c>
    </row>
    <row r="48" spans="1:3" ht="15" customHeight="1" x14ac:dyDescent="0.3">
      <c r="A48" t="s">
        <v>21</v>
      </c>
      <c r="B48" t="s">
        <v>15</v>
      </c>
      <c r="C48">
        <v>6456</v>
      </c>
    </row>
    <row r="49" spans="1:4" ht="15" customHeight="1" x14ac:dyDescent="0.3">
      <c r="A49" t="s">
        <v>21</v>
      </c>
      <c r="B49" t="s">
        <v>16</v>
      </c>
      <c r="C49">
        <v>1596</v>
      </c>
    </row>
    <row r="50" spans="1:4" ht="15" customHeight="1" x14ac:dyDescent="0.3"/>
    <row r="51" spans="1:4" ht="15" customHeight="1" x14ac:dyDescent="0.3">
      <c r="A51" t="s">
        <v>17</v>
      </c>
      <c r="B51" t="s">
        <v>3</v>
      </c>
      <c r="C51" t="s">
        <v>22</v>
      </c>
      <c r="D51" t="s">
        <v>23</v>
      </c>
    </row>
    <row r="52" spans="1:4" ht="15" customHeight="1" x14ac:dyDescent="0.3">
      <c r="A52" t="s">
        <v>20</v>
      </c>
      <c r="B52" t="s">
        <v>7</v>
      </c>
      <c r="C52">
        <v>1</v>
      </c>
      <c r="D52" t="s">
        <v>58</v>
      </c>
    </row>
    <row r="53" spans="1:4" ht="15" customHeight="1" x14ac:dyDescent="0.3">
      <c r="A53" t="s">
        <v>20</v>
      </c>
      <c r="B53" t="s">
        <v>9</v>
      </c>
      <c r="C53">
        <v>1</v>
      </c>
      <c r="D53" t="s">
        <v>58</v>
      </c>
    </row>
    <row r="54" spans="1:4" ht="15" customHeight="1" x14ac:dyDescent="0.3">
      <c r="A54" t="s">
        <v>20</v>
      </c>
      <c r="B54" t="s">
        <v>10</v>
      </c>
      <c r="C54">
        <v>0</v>
      </c>
      <c r="D54" t="s">
        <v>58</v>
      </c>
    </row>
    <row r="55" spans="1:4" x14ac:dyDescent="0.3">
      <c r="A55" t="s">
        <v>20</v>
      </c>
      <c r="B55" t="s">
        <v>12</v>
      </c>
      <c r="C55">
        <v>0</v>
      </c>
      <c r="D55" t="s">
        <v>58</v>
      </c>
    </row>
    <row r="56" spans="1:4" x14ac:dyDescent="0.3">
      <c r="A56" t="s">
        <v>20</v>
      </c>
      <c r="B56" t="s">
        <v>13</v>
      </c>
      <c r="C56">
        <v>0</v>
      </c>
      <c r="D56" t="s">
        <v>58</v>
      </c>
    </row>
    <row r="57" spans="1:4" ht="15" customHeight="1" x14ac:dyDescent="0.3">
      <c r="A57" t="s">
        <v>20</v>
      </c>
      <c r="B57" t="s">
        <v>14</v>
      </c>
      <c r="C57">
        <v>0</v>
      </c>
      <c r="D57" t="s">
        <v>58</v>
      </c>
    </row>
    <row r="58" spans="1:4" ht="15" customHeight="1" x14ac:dyDescent="0.3">
      <c r="A58" t="s">
        <v>20</v>
      </c>
      <c r="B58" t="s">
        <v>15</v>
      </c>
      <c r="C58">
        <v>0</v>
      </c>
      <c r="D58" t="s">
        <v>58</v>
      </c>
    </row>
    <row r="59" spans="1:4" ht="15" customHeight="1" x14ac:dyDescent="0.3">
      <c r="A59" t="s">
        <v>20</v>
      </c>
      <c r="B59" t="s">
        <v>16</v>
      </c>
      <c r="C59">
        <v>0</v>
      </c>
      <c r="D59" t="s">
        <v>58</v>
      </c>
    </row>
    <row r="60" spans="1:4" ht="15" customHeight="1" x14ac:dyDescent="0.3">
      <c r="A60" t="s">
        <v>21</v>
      </c>
      <c r="B60" t="s">
        <v>7</v>
      </c>
      <c r="C60">
        <v>1</v>
      </c>
      <c r="D60" t="s">
        <v>58</v>
      </c>
    </row>
    <row r="61" spans="1:4" ht="15" customHeight="1" x14ac:dyDescent="0.3">
      <c r="A61" t="s">
        <v>21</v>
      </c>
      <c r="B61" t="s">
        <v>9</v>
      </c>
      <c r="C61">
        <v>1</v>
      </c>
      <c r="D61" t="s">
        <v>58</v>
      </c>
    </row>
    <row r="62" spans="1:4" x14ac:dyDescent="0.3">
      <c r="A62" t="s">
        <v>21</v>
      </c>
      <c r="B62" t="s">
        <v>10</v>
      </c>
      <c r="C62">
        <v>0</v>
      </c>
      <c r="D62" t="s">
        <v>58</v>
      </c>
    </row>
    <row r="63" spans="1:4" x14ac:dyDescent="0.3">
      <c r="A63" t="s">
        <v>21</v>
      </c>
      <c r="B63" t="s">
        <v>12</v>
      </c>
      <c r="C63">
        <v>0</v>
      </c>
      <c r="D63" t="s">
        <v>58</v>
      </c>
    </row>
    <row r="64" spans="1:4" ht="15" customHeight="1" x14ac:dyDescent="0.3">
      <c r="A64" t="s">
        <v>21</v>
      </c>
      <c r="B64" t="s">
        <v>13</v>
      </c>
      <c r="C64">
        <v>0</v>
      </c>
      <c r="D64" t="s">
        <v>58</v>
      </c>
    </row>
    <row r="65" spans="1:4" ht="15" customHeight="1" x14ac:dyDescent="0.3">
      <c r="A65" t="s">
        <v>21</v>
      </c>
      <c r="B65" t="s">
        <v>14</v>
      </c>
      <c r="C65">
        <v>0</v>
      </c>
      <c r="D65" t="s">
        <v>58</v>
      </c>
    </row>
    <row r="66" spans="1:4" ht="15" customHeight="1" x14ac:dyDescent="0.3">
      <c r="A66" t="s">
        <v>21</v>
      </c>
      <c r="B66" t="s">
        <v>15</v>
      </c>
      <c r="C66">
        <v>0</v>
      </c>
      <c r="D66" t="s">
        <v>58</v>
      </c>
    </row>
    <row r="67" spans="1:4" ht="15" customHeight="1" x14ac:dyDescent="0.3">
      <c r="A67" t="s">
        <v>21</v>
      </c>
      <c r="B67" t="s">
        <v>16</v>
      </c>
      <c r="C67">
        <v>0</v>
      </c>
      <c r="D67" t="s">
        <v>58</v>
      </c>
    </row>
    <row r="68" spans="1:4" ht="15" customHeight="1" x14ac:dyDescent="0.3"/>
    <row r="69" spans="1:4" ht="15" customHeight="1" x14ac:dyDescent="0.3"/>
    <row r="72" spans="1:4" ht="15" customHeight="1" x14ac:dyDescent="0.3"/>
    <row r="73" spans="1:4" ht="15" customHeight="1" x14ac:dyDescent="0.3"/>
    <row r="74" spans="1:4" ht="15" customHeight="1" x14ac:dyDescent="0.3"/>
    <row r="75" spans="1:4" ht="15" customHeight="1" x14ac:dyDescent="0.3"/>
    <row r="76" spans="1:4" ht="15" customHeight="1" x14ac:dyDescent="0.3"/>
    <row r="77" spans="1:4" ht="15" customHeight="1" x14ac:dyDescent="0.3"/>
    <row r="80" spans="1:4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</sheetData>
  <pageMargins left="0.75" right="0.75" top="1" bottom="1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9"/>
  <sheetViews>
    <sheetView zoomScaleNormal="100" workbookViewId="0">
      <selection activeCell="E4" sqref="E4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1" t="s">
        <v>17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15" customHeight="1" x14ac:dyDescent="0.3">
      <c r="A2" s="1" t="s">
        <v>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 customHeight="1" x14ac:dyDescent="0.3">
      <c r="A3" s="1" t="s">
        <v>20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x14ac:dyDescent="0.3">
      <c r="A4" t="s">
        <v>20</v>
      </c>
      <c r="B4" t="s">
        <v>7</v>
      </c>
      <c r="C4">
        <v>3</v>
      </c>
      <c r="D4">
        <f>SUMIFS(tGrossReq[GrossReqUnits],tGrossReq[Plant],#REF!,tGrossReq[Material],#REF!,tGrossReq[Fortnight],#REF!)</f>
        <v>0</v>
      </c>
      <c r="E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4" t="e">
        <f>#REF!+#REF!-#REF!</f>
        <v>#REF!</v>
      </c>
    </row>
    <row r="5" spans="1:11" ht="15" customHeight="1" x14ac:dyDescent="0.3">
      <c r="A5" s="1" t="s">
        <v>20</v>
      </c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15" customHeight="1" x14ac:dyDescent="0.3">
      <c r="A6" t="s">
        <v>20</v>
      </c>
      <c r="B6" t="s">
        <v>7</v>
      </c>
      <c r="C6">
        <v>5</v>
      </c>
      <c r="D6">
        <f>SUMIFS(tGrossReq[GrossReqUnits],tGrossReq[Plant],#REF!,tGrossReq[Material],#REF!,tGrossReq[Fortnight],#REF!)</f>
        <v>0</v>
      </c>
      <c r="E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" t="e">
        <f>#REF!+#REF!-#REF!</f>
        <v>#REF!</v>
      </c>
    </row>
    <row r="7" spans="1:11" ht="15" customHeight="1" x14ac:dyDescent="0.3">
      <c r="A7" t="s">
        <v>20</v>
      </c>
      <c r="B7" t="s">
        <v>7</v>
      </c>
      <c r="C7">
        <v>6</v>
      </c>
      <c r="D7">
        <f>SUMIFS(tGrossReq[GrossReqUnits],tGrossReq[Plant],#REF!,tGrossReq[Material],#REF!,tGrossReq[Fortnight],#REF!)</f>
        <v>0</v>
      </c>
      <c r="E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" t="e">
        <f>#REF!+#REF!-#REF!</f>
        <v>#REF!</v>
      </c>
    </row>
    <row r="8" spans="1:11" ht="15" customHeight="1" x14ac:dyDescent="0.3">
      <c r="A8" t="s">
        <v>20</v>
      </c>
      <c r="B8" t="s">
        <v>7</v>
      </c>
      <c r="C8">
        <v>7</v>
      </c>
      <c r="D8">
        <f>SUMIFS(tGrossReq[GrossReqUnits],tGrossReq[Plant],#REF!,tGrossReq[Material],#REF!,tGrossReq[Fortnight],#REF!)</f>
        <v>0</v>
      </c>
      <c r="E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" t="e">
        <f>#REF!+#REF!-#REF!</f>
        <v>#REF!</v>
      </c>
    </row>
    <row r="9" spans="1:11" ht="15" customHeight="1" x14ac:dyDescent="0.3">
      <c r="A9" t="s">
        <v>20</v>
      </c>
      <c r="B9" t="s">
        <v>7</v>
      </c>
      <c r="C9">
        <v>8</v>
      </c>
      <c r="D9">
        <f>SUMIFS(tGrossReq[GrossReqUnits],tGrossReq[Plant],#REF!,tGrossReq[Material],#REF!,tGrossReq[Fortnight],#REF!)</f>
        <v>0</v>
      </c>
      <c r="E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" t="e">
        <f>#REF!+#REF!-#REF!</f>
        <v>#REF!</v>
      </c>
    </row>
    <row r="10" spans="1:11" ht="15" customHeight="1" x14ac:dyDescent="0.3">
      <c r="A10" t="s">
        <v>20</v>
      </c>
      <c r="B10" t="s">
        <v>9</v>
      </c>
      <c r="C10">
        <v>1</v>
      </c>
      <c r="D10">
        <f>SUMIFS(tGrossReq[GrossReqUnits],tGrossReq[Plant],#REF!,tGrossReq[Material],#REF!,tGrossReq[Fortnight],#REF!)</f>
        <v>0</v>
      </c>
      <c r="E1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" t="e">
        <f>#REF!+#REF!-#REF!</f>
        <v>#REF!</v>
      </c>
    </row>
    <row r="11" spans="1:11" ht="15" customHeight="1" x14ac:dyDescent="0.3">
      <c r="A11" s="1" t="s">
        <v>20</v>
      </c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15" customHeight="1" x14ac:dyDescent="0.3">
      <c r="A12" t="s">
        <v>20</v>
      </c>
      <c r="B12" t="s">
        <v>9</v>
      </c>
      <c r="C12">
        <v>3</v>
      </c>
      <c r="D12">
        <f>SUMIFS(tGrossReq[GrossReqUnits],tGrossReq[Plant],#REF!,tGrossReq[Material],#REF!,tGrossReq[Fortnight],#REF!)</f>
        <v>0</v>
      </c>
      <c r="E1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" t="e">
        <f>#REF!+#REF!-#REF!</f>
        <v>#REF!</v>
      </c>
    </row>
    <row r="13" spans="1:11" ht="15" customHeight="1" x14ac:dyDescent="0.3">
      <c r="A13" t="s">
        <v>20</v>
      </c>
      <c r="B13" t="s">
        <v>9</v>
      </c>
      <c r="C13">
        <v>4</v>
      </c>
      <c r="D13">
        <f>SUMIFS(tGrossReq[GrossReqUnits],tGrossReq[Plant],#REF!,tGrossReq[Material],#REF!,tGrossReq[Fortnight],#REF!)</f>
        <v>0</v>
      </c>
      <c r="E13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3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3" t="e">
        <f>#REF!+#REF!-#REF!</f>
        <v>#REF!</v>
      </c>
    </row>
    <row r="14" spans="1:11" ht="15" customHeight="1" x14ac:dyDescent="0.3">
      <c r="A14" t="s">
        <v>20</v>
      </c>
      <c r="B14" t="s">
        <v>9</v>
      </c>
      <c r="C14">
        <v>5</v>
      </c>
      <c r="D14">
        <f>SUMIFS(tGrossReq[GrossReqUnits],tGrossReq[Plant],#REF!,tGrossReq[Material],#REF!,tGrossReq[Fortnight],#REF!)</f>
        <v>0</v>
      </c>
      <c r="E1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4" t="e">
        <f>#REF!+#REF!-#REF!</f>
        <v>#REF!</v>
      </c>
    </row>
    <row r="15" spans="1:11" ht="15" customHeight="1" x14ac:dyDescent="0.3">
      <c r="A15" t="s">
        <v>20</v>
      </c>
      <c r="B15" t="s">
        <v>9</v>
      </c>
      <c r="C15">
        <v>6</v>
      </c>
      <c r="D15">
        <f>SUMIFS(tGrossReq[GrossReqUnits],tGrossReq[Plant],#REF!,tGrossReq[Material],#REF!,tGrossReq[Fortnight],#REF!)</f>
        <v>0</v>
      </c>
      <c r="E1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5" t="e">
        <f>#REF!+#REF!-#REF!</f>
        <v>#REF!</v>
      </c>
    </row>
    <row r="16" spans="1:11" ht="15" customHeight="1" x14ac:dyDescent="0.3">
      <c r="A16" t="s">
        <v>20</v>
      </c>
      <c r="B16" t="s">
        <v>9</v>
      </c>
      <c r="C16">
        <v>7</v>
      </c>
      <c r="D16">
        <f>SUMIFS(tGrossReq[GrossReqUnits],tGrossReq[Plant],#REF!,tGrossReq[Material],#REF!,tGrossReq[Fortnight],#REF!)</f>
        <v>0</v>
      </c>
      <c r="E1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6" t="e">
        <f>#REF!+#REF!-#REF!</f>
        <v>#REF!</v>
      </c>
    </row>
    <row r="17" spans="1:11" ht="15" customHeight="1" x14ac:dyDescent="0.3">
      <c r="A17" s="1" t="s">
        <v>20</v>
      </c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15" customHeight="1" x14ac:dyDescent="0.3">
      <c r="A18" t="s">
        <v>20</v>
      </c>
      <c r="B18" t="s">
        <v>10</v>
      </c>
      <c r="C18">
        <v>1</v>
      </c>
      <c r="D18">
        <f>SUMIFS(tGrossReq[GrossReqUnits],tGrossReq[Plant],#REF!,tGrossReq[Material],#REF!,tGrossReq[Fortnight],#REF!)</f>
        <v>0</v>
      </c>
      <c r="E1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8" t="e">
        <f>#REF!+#REF!-#REF!</f>
        <v>#REF!</v>
      </c>
    </row>
    <row r="19" spans="1:11" ht="15" customHeight="1" x14ac:dyDescent="0.3">
      <c r="A19" t="s">
        <v>20</v>
      </c>
      <c r="B19" t="s">
        <v>10</v>
      </c>
      <c r="C19">
        <v>2</v>
      </c>
      <c r="D19">
        <f>SUMIFS(tGrossReq[GrossReqUnits],tGrossReq[Plant],#REF!,tGrossReq[Material],#REF!,tGrossReq[Fortnight],#REF!)</f>
        <v>0</v>
      </c>
      <c r="E1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9" t="e">
        <f>#REF!+#REF!-#REF!</f>
        <v>#REF!</v>
      </c>
    </row>
    <row r="20" spans="1:11" ht="15" customHeight="1" x14ac:dyDescent="0.3">
      <c r="A20" t="s">
        <v>20</v>
      </c>
      <c r="B20" t="s">
        <v>10</v>
      </c>
      <c r="C20">
        <v>3</v>
      </c>
      <c r="D20">
        <f>SUMIFS(tGrossReq[GrossReqUnits],tGrossReq[Plant],#REF!,tGrossReq[Material],#REF!,tGrossReq[Fortnight],#REF!)</f>
        <v>0</v>
      </c>
      <c r="E2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2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20" t="e">
        <f>#REF!+#REF!-#REF!</f>
        <v>#REF!</v>
      </c>
    </row>
    <row r="21" spans="1:11" ht="15" customHeight="1" x14ac:dyDescent="0.3">
      <c r="A21" t="s">
        <v>20</v>
      </c>
      <c r="B21" t="s">
        <v>10</v>
      </c>
      <c r="C21">
        <v>4</v>
      </c>
      <c r="D21">
        <f>SUMIFS(tGrossReq[GrossReqUnits],tGrossReq[Plant],#REF!,tGrossReq[Material],#REF!,tGrossReq[Fortnight],#REF!)</f>
        <v>0</v>
      </c>
      <c r="E21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21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21" t="e">
        <f>#REF!+#REF!-#REF!</f>
        <v>#REF!</v>
      </c>
    </row>
    <row r="22" spans="1:11" ht="15" customHeight="1" x14ac:dyDescent="0.3">
      <c r="A22" t="s">
        <v>20</v>
      </c>
      <c r="B22" t="s">
        <v>10</v>
      </c>
      <c r="C22">
        <v>5</v>
      </c>
      <c r="D22">
        <f>SUMIFS(tGrossReq[GrossReqUnits],tGrossReq[Plant],#REF!,tGrossReq[Material],#REF!,tGrossReq[Fortnight],#REF!)</f>
        <v>0</v>
      </c>
      <c r="E2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2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22" t="e">
        <f>#REF!+#REF!-#REF!</f>
        <v>#REF!</v>
      </c>
    </row>
    <row r="23" spans="1:11" ht="15" customHeight="1" x14ac:dyDescent="0.3">
      <c r="A23" s="1" t="s">
        <v>20</v>
      </c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15" customHeight="1" x14ac:dyDescent="0.3">
      <c r="A24" t="s">
        <v>20</v>
      </c>
      <c r="B24" t="s">
        <v>10</v>
      </c>
      <c r="C24">
        <v>7</v>
      </c>
      <c r="D24">
        <f>SUMIFS(tGrossReq[GrossReqUnits],tGrossReq[Plant],#REF!,tGrossReq[Material],#REF!,tGrossReq[Fortnight],#REF!)</f>
        <v>0</v>
      </c>
      <c r="E2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2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24" t="e">
        <f>#REF!+#REF!-#REF!</f>
        <v>#REF!</v>
      </c>
    </row>
    <row r="25" spans="1:11" ht="15" customHeight="1" x14ac:dyDescent="0.3">
      <c r="A25" t="s">
        <v>20</v>
      </c>
      <c r="B25" t="s">
        <v>10</v>
      </c>
      <c r="C25">
        <v>8</v>
      </c>
      <c r="D25">
        <f>SUMIFS(tGrossReq[GrossReqUnits],tGrossReq[Plant],#REF!,tGrossReq[Material],#REF!,tGrossReq[Fortnight],#REF!)</f>
        <v>0</v>
      </c>
      <c r="E2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2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25" t="e">
        <f>#REF!+#REF!-#REF!</f>
        <v>#REF!</v>
      </c>
    </row>
    <row r="26" spans="1:11" ht="15" customHeight="1" x14ac:dyDescent="0.3">
      <c r="A26" t="s">
        <v>20</v>
      </c>
      <c r="B26" t="s">
        <v>12</v>
      </c>
      <c r="C26">
        <v>1</v>
      </c>
      <c r="D26">
        <f>SUMIFS(tGrossReq[GrossReqUnits],tGrossReq[Plant],#REF!,tGrossReq[Material],#REF!,tGrossReq[Fortnight],#REF!)</f>
        <v>0</v>
      </c>
      <c r="E2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2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26" t="e">
        <f>#REF!+#REF!-#REF!</f>
        <v>#REF!</v>
      </c>
    </row>
    <row r="27" spans="1:11" ht="15" customHeight="1" x14ac:dyDescent="0.3">
      <c r="A27" t="s">
        <v>20</v>
      </c>
      <c r="B27" t="s">
        <v>12</v>
      </c>
      <c r="C27">
        <v>2</v>
      </c>
      <c r="D27">
        <f>SUMIFS(tGrossReq[GrossReqUnits],tGrossReq[Plant],#REF!,tGrossReq[Material],#REF!,tGrossReq[Fortnight],#REF!)</f>
        <v>0</v>
      </c>
      <c r="E2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2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27" t="e">
        <f>#REF!+#REF!-#REF!</f>
        <v>#REF!</v>
      </c>
    </row>
    <row r="28" spans="1:11" ht="15" customHeight="1" x14ac:dyDescent="0.3">
      <c r="A28" t="s">
        <v>20</v>
      </c>
      <c r="B28" t="s">
        <v>12</v>
      </c>
      <c r="C28">
        <v>3</v>
      </c>
      <c r="D28">
        <f>SUMIFS(tGrossReq[GrossReqUnits],tGrossReq[Plant],#REF!,tGrossReq[Material],#REF!,tGrossReq[Fortnight],#REF!)</f>
        <v>0</v>
      </c>
      <c r="E2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2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28" t="e">
        <f>#REF!+#REF!-#REF!</f>
        <v>#REF!</v>
      </c>
    </row>
    <row r="29" spans="1:11" ht="15" customHeight="1" x14ac:dyDescent="0.3">
      <c r="A29" s="1" t="s">
        <v>20</v>
      </c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 customHeight="1" x14ac:dyDescent="0.3">
      <c r="A30" t="s">
        <v>20</v>
      </c>
      <c r="B30" t="s">
        <v>12</v>
      </c>
      <c r="C30">
        <v>5</v>
      </c>
      <c r="D30">
        <f>SUMIFS(tGrossReq[GrossReqUnits],tGrossReq[Plant],#REF!,tGrossReq[Material],#REF!,tGrossReq[Fortnight],#REF!)</f>
        <v>0</v>
      </c>
      <c r="E3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3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30" t="e">
        <f>#REF!+#REF!-#REF!</f>
        <v>#REF!</v>
      </c>
    </row>
    <row r="31" spans="1:11" ht="15" customHeight="1" x14ac:dyDescent="0.3">
      <c r="A31" t="s">
        <v>20</v>
      </c>
      <c r="B31" t="s">
        <v>12</v>
      </c>
      <c r="C31">
        <v>6</v>
      </c>
      <c r="D31">
        <f>SUMIFS(tGrossReq[GrossReqUnits],tGrossReq[Plant],#REF!,tGrossReq[Material],#REF!,tGrossReq[Fortnight],#REF!)</f>
        <v>0</v>
      </c>
      <c r="E31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31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31" t="e">
        <f>#REF!+#REF!-#REF!</f>
        <v>#REF!</v>
      </c>
    </row>
    <row r="32" spans="1:11" ht="15" customHeight="1" x14ac:dyDescent="0.3">
      <c r="A32" t="s">
        <v>20</v>
      </c>
      <c r="B32" t="s">
        <v>12</v>
      </c>
      <c r="C32">
        <v>7</v>
      </c>
      <c r="D32">
        <f>SUMIFS(tGrossReq[GrossReqUnits],tGrossReq[Plant],#REF!,tGrossReq[Material],#REF!,tGrossReq[Fortnight],#REF!)</f>
        <v>0</v>
      </c>
      <c r="E3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3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32" t="e">
        <f>#REF!+#REF!-#REF!</f>
        <v>#REF!</v>
      </c>
    </row>
    <row r="33" spans="1:11" ht="15" customHeight="1" x14ac:dyDescent="0.3">
      <c r="A33" t="s">
        <v>20</v>
      </c>
      <c r="B33" t="s">
        <v>12</v>
      </c>
      <c r="C33">
        <v>8</v>
      </c>
      <c r="D33">
        <f>SUMIFS(tGrossReq[GrossReqUnits],tGrossReq[Plant],#REF!,tGrossReq[Material],#REF!,tGrossReq[Fortnight],#REF!)</f>
        <v>0</v>
      </c>
      <c r="E33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33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33" t="e">
        <f>#REF!+#REF!-#REF!</f>
        <v>#REF!</v>
      </c>
    </row>
    <row r="34" spans="1:11" ht="15" customHeight="1" x14ac:dyDescent="0.3">
      <c r="A34" t="s">
        <v>20</v>
      </c>
      <c r="B34" t="s">
        <v>13</v>
      </c>
      <c r="C34">
        <v>1</v>
      </c>
      <c r="D34">
        <f>SUMIFS(tGrossReq[GrossReqUnits],tGrossReq[Plant],#REF!,tGrossReq[Material],#REF!,tGrossReq[Fortnight],#REF!)</f>
        <v>0</v>
      </c>
      <c r="E3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3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34" t="e">
        <f>#REF!+#REF!-#REF!</f>
        <v>#REF!</v>
      </c>
    </row>
    <row r="35" spans="1:11" ht="15" customHeight="1" x14ac:dyDescent="0.3">
      <c r="A35" s="1" t="s">
        <v>20</v>
      </c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 customHeight="1" x14ac:dyDescent="0.3">
      <c r="A36" t="s">
        <v>20</v>
      </c>
      <c r="B36" t="s">
        <v>13</v>
      </c>
      <c r="C36">
        <v>3</v>
      </c>
      <c r="D36">
        <f>SUMIFS(tGrossReq[GrossReqUnits],tGrossReq[Plant],#REF!,tGrossReq[Material],#REF!,tGrossReq[Fortnight],#REF!)</f>
        <v>0</v>
      </c>
      <c r="E3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3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36" t="e">
        <f>#REF!+#REF!-#REF!</f>
        <v>#REF!</v>
      </c>
    </row>
    <row r="37" spans="1:11" ht="15" customHeight="1" x14ac:dyDescent="0.3">
      <c r="A37" t="s">
        <v>20</v>
      </c>
      <c r="B37" t="s">
        <v>13</v>
      </c>
      <c r="C37">
        <v>4</v>
      </c>
      <c r="D37">
        <f>SUMIFS(tGrossReq[GrossReqUnits],tGrossReq[Plant],#REF!,tGrossReq[Material],#REF!,tGrossReq[Fortnight],#REF!)</f>
        <v>0</v>
      </c>
      <c r="E3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3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37" t="e">
        <f>#REF!+#REF!-#REF!</f>
        <v>#REF!</v>
      </c>
    </row>
    <row r="38" spans="1:11" ht="15" customHeight="1" x14ac:dyDescent="0.3">
      <c r="A38" t="s">
        <v>20</v>
      </c>
      <c r="B38" t="s">
        <v>13</v>
      </c>
      <c r="C38">
        <v>5</v>
      </c>
      <c r="D38">
        <f>SUMIFS(tGrossReq[GrossReqUnits],tGrossReq[Plant],#REF!,tGrossReq[Material],#REF!,tGrossReq[Fortnight],#REF!)</f>
        <v>0</v>
      </c>
      <c r="E3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3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38" t="e">
        <f>#REF!+#REF!-#REF!</f>
        <v>#REF!</v>
      </c>
    </row>
    <row r="39" spans="1:11" ht="15" customHeight="1" x14ac:dyDescent="0.3">
      <c r="A39" t="s">
        <v>20</v>
      </c>
      <c r="B39" t="s">
        <v>13</v>
      </c>
      <c r="C39">
        <v>6</v>
      </c>
      <c r="D39">
        <f>SUMIFS(tGrossReq[GrossReqUnits],tGrossReq[Plant],#REF!,tGrossReq[Material],#REF!,tGrossReq[Fortnight],#REF!)</f>
        <v>0</v>
      </c>
      <c r="E3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3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39" t="e">
        <f>#REF!+#REF!-#REF!</f>
        <v>#REF!</v>
      </c>
    </row>
    <row r="40" spans="1:11" ht="15" customHeight="1" x14ac:dyDescent="0.3">
      <c r="A40" t="s">
        <v>20</v>
      </c>
      <c r="B40" t="s">
        <v>13</v>
      </c>
      <c r="C40">
        <v>7</v>
      </c>
      <c r="D40">
        <f>SUMIFS(tGrossReq[GrossReqUnits],tGrossReq[Plant],#REF!,tGrossReq[Material],#REF!,tGrossReq[Fortnight],#REF!)</f>
        <v>0</v>
      </c>
      <c r="E4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4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40" t="e">
        <f>#REF!+#REF!-#REF!</f>
        <v>#REF!</v>
      </c>
    </row>
    <row r="41" spans="1:11" ht="15" customHeight="1" x14ac:dyDescent="0.3">
      <c r="A41" s="1" t="s">
        <v>20</v>
      </c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 customHeight="1" x14ac:dyDescent="0.3">
      <c r="A42" t="s">
        <v>20</v>
      </c>
      <c r="B42" t="s">
        <v>14</v>
      </c>
      <c r="C42">
        <v>1</v>
      </c>
      <c r="D42">
        <f>SUMIFS(tGrossReq[GrossReqUnits],tGrossReq[Plant],#REF!,tGrossReq[Material],#REF!,tGrossReq[Fortnight],#REF!)</f>
        <v>0</v>
      </c>
      <c r="E4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4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42" t="e">
        <f>#REF!+#REF!-#REF!</f>
        <v>#REF!</v>
      </c>
    </row>
    <row r="43" spans="1:11" ht="15" customHeight="1" x14ac:dyDescent="0.3">
      <c r="A43" t="s">
        <v>20</v>
      </c>
      <c r="B43" t="s">
        <v>14</v>
      </c>
      <c r="C43">
        <v>2</v>
      </c>
      <c r="D43">
        <f>SUMIFS(tGrossReq[GrossReqUnits],tGrossReq[Plant],#REF!,tGrossReq[Material],#REF!,tGrossReq[Fortnight],#REF!)</f>
        <v>0</v>
      </c>
      <c r="E43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43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43" t="e">
        <f>#REF!+#REF!-#REF!</f>
        <v>#REF!</v>
      </c>
    </row>
    <row r="44" spans="1:11" ht="15" customHeight="1" x14ac:dyDescent="0.3">
      <c r="A44" t="s">
        <v>20</v>
      </c>
      <c r="B44" t="s">
        <v>14</v>
      </c>
      <c r="C44">
        <v>3</v>
      </c>
      <c r="D44">
        <f>SUMIFS(tGrossReq[GrossReqUnits],tGrossReq[Plant],#REF!,tGrossReq[Material],#REF!,tGrossReq[Fortnight],#REF!)</f>
        <v>0</v>
      </c>
      <c r="E4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4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44" t="e">
        <f>#REF!+#REF!-#REF!</f>
        <v>#REF!</v>
      </c>
    </row>
    <row r="45" spans="1:11" ht="15" customHeight="1" x14ac:dyDescent="0.3">
      <c r="A45" t="s">
        <v>20</v>
      </c>
      <c r="B45" t="s">
        <v>14</v>
      </c>
      <c r="C45">
        <v>4</v>
      </c>
      <c r="D45">
        <f>SUMIFS(tGrossReq[GrossReqUnits],tGrossReq[Plant],#REF!,tGrossReq[Material],#REF!,tGrossReq[Fortnight],#REF!)</f>
        <v>0</v>
      </c>
      <c r="E4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4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45" t="e">
        <f>#REF!+#REF!-#REF!</f>
        <v>#REF!</v>
      </c>
    </row>
    <row r="46" spans="1:11" ht="15" customHeight="1" x14ac:dyDescent="0.3">
      <c r="A46" t="s">
        <v>20</v>
      </c>
      <c r="B46" t="s">
        <v>14</v>
      </c>
      <c r="C46">
        <v>5</v>
      </c>
      <c r="D46">
        <f>SUMIFS(tGrossReq[GrossReqUnits],tGrossReq[Plant],#REF!,tGrossReq[Material],#REF!,tGrossReq[Fortnight],#REF!)</f>
        <v>0</v>
      </c>
      <c r="E4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4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46" t="e">
        <f>#REF!+#REF!-#REF!</f>
        <v>#REF!</v>
      </c>
    </row>
    <row r="47" spans="1:11" ht="15" customHeight="1" x14ac:dyDescent="0.3">
      <c r="A47" s="1" t="s">
        <v>20</v>
      </c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 customHeight="1" x14ac:dyDescent="0.3">
      <c r="A48" t="s">
        <v>20</v>
      </c>
      <c r="B48" t="s">
        <v>14</v>
      </c>
      <c r="C48">
        <v>7</v>
      </c>
      <c r="D48">
        <f>SUMIFS(tGrossReq[GrossReqUnits],tGrossReq[Plant],#REF!,tGrossReq[Material],#REF!,tGrossReq[Fortnight],#REF!)</f>
        <v>0</v>
      </c>
      <c r="E4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4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48" t="e">
        <f>#REF!+#REF!-#REF!</f>
        <v>#REF!</v>
      </c>
    </row>
    <row r="49" spans="1:10" ht="15" customHeight="1" x14ac:dyDescent="0.3">
      <c r="A49" t="s">
        <v>20</v>
      </c>
      <c r="B49" t="s">
        <v>14</v>
      </c>
      <c r="C49">
        <v>8</v>
      </c>
      <c r="D49">
        <f>SUMIFS(tGrossReq[GrossReqUnits],tGrossReq[Plant],#REF!,tGrossReq[Material],#REF!,tGrossReq[Fortnight],#REF!)</f>
        <v>0</v>
      </c>
      <c r="E4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4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49" t="e">
        <f>#REF!+#REF!-#REF!</f>
        <v>#REF!</v>
      </c>
    </row>
    <row r="50" spans="1:10" ht="15" customHeight="1" x14ac:dyDescent="0.3">
      <c r="A50" t="s">
        <v>20</v>
      </c>
      <c r="B50" t="s">
        <v>15</v>
      </c>
      <c r="C50">
        <v>1</v>
      </c>
      <c r="D50">
        <f>SUMIFS(tGrossReq[GrossReqUnits],tGrossReq[Plant],#REF!,tGrossReq[Material],#REF!,tGrossReq[Fortnight],#REF!)</f>
        <v>0</v>
      </c>
      <c r="E5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5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50" t="e">
        <f>#REF!+#REF!-#REF!</f>
        <v>#REF!</v>
      </c>
    </row>
    <row r="51" spans="1:10" ht="15" customHeight="1" x14ac:dyDescent="0.3">
      <c r="A51" t="s">
        <v>20</v>
      </c>
      <c r="B51" t="s">
        <v>15</v>
      </c>
      <c r="C51">
        <v>2</v>
      </c>
      <c r="D51">
        <f>SUMIFS(tGrossReq[GrossReqUnits],tGrossReq[Plant],#REF!,tGrossReq[Material],#REF!,tGrossReq[Fortnight],#REF!)</f>
        <v>0</v>
      </c>
      <c r="E51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51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51" t="e">
        <f>#REF!+#REF!-#REF!</f>
        <v>#REF!</v>
      </c>
    </row>
    <row r="52" spans="1:10" ht="15" customHeight="1" x14ac:dyDescent="0.3">
      <c r="A52" t="s">
        <v>20</v>
      </c>
      <c r="B52" t="s">
        <v>15</v>
      </c>
      <c r="C52">
        <v>3</v>
      </c>
      <c r="D52">
        <f>SUMIFS(tGrossReq[GrossReqUnits],tGrossReq[Plant],#REF!,tGrossReq[Material],#REF!,tGrossReq[Fortnight],#REF!)</f>
        <v>0</v>
      </c>
      <c r="E5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5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52" t="e">
        <f>#REF!+#REF!-#REF!</f>
        <v>#REF!</v>
      </c>
    </row>
    <row r="53" spans="1:10" ht="15" customHeight="1" x14ac:dyDescent="0.3">
      <c r="A53" s="1" t="s">
        <v>20</v>
      </c>
      <c r="B53" s="1"/>
      <c r="C53" s="1"/>
      <c r="D53" s="1"/>
      <c r="E53" s="1"/>
      <c r="F53" s="1"/>
      <c r="G53" s="1"/>
      <c r="H53" s="1"/>
      <c r="I53" s="1"/>
      <c r="J53" s="1"/>
    </row>
    <row r="54" spans="1:10" ht="15" customHeight="1" x14ac:dyDescent="0.3">
      <c r="A54" t="s">
        <v>20</v>
      </c>
      <c r="B54" t="s">
        <v>15</v>
      </c>
      <c r="C54">
        <v>5</v>
      </c>
      <c r="D54">
        <f>SUMIFS(tGrossReq[GrossReqUnits],tGrossReq[Plant],#REF!,tGrossReq[Material],#REF!,tGrossReq[Fortnight],#REF!)</f>
        <v>0</v>
      </c>
      <c r="E5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5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54" t="e">
        <f>#REF!+#REF!-#REF!</f>
        <v>#REF!</v>
      </c>
    </row>
    <row r="55" spans="1:10" ht="15" customHeight="1" x14ac:dyDescent="0.3">
      <c r="A55" t="s">
        <v>20</v>
      </c>
      <c r="B55" t="s">
        <v>15</v>
      </c>
      <c r="C55">
        <v>6</v>
      </c>
      <c r="D55">
        <f>SUMIFS(tGrossReq[GrossReqUnits],tGrossReq[Plant],#REF!,tGrossReq[Material],#REF!,tGrossReq[Fortnight],#REF!)</f>
        <v>0</v>
      </c>
      <c r="E5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5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55" t="e">
        <f>#REF!+#REF!-#REF!</f>
        <v>#REF!</v>
      </c>
    </row>
    <row r="56" spans="1:10" ht="15" customHeight="1" x14ac:dyDescent="0.3">
      <c r="A56" t="s">
        <v>20</v>
      </c>
      <c r="B56" t="s">
        <v>15</v>
      </c>
      <c r="C56">
        <v>7</v>
      </c>
      <c r="D56">
        <f>SUMIFS(tGrossReq[GrossReqUnits],tGrossReq[Plant],#REF!,tGrossReq[Material],#REF!,tGrossReq[Fortnight],#REF!)</f>
        <v>0</v>
      </c>
      <c r="E5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5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56" t="e">
        <f>#REF!+#REF!-#REF!</f>
        <v>#REF!</v>
      </c>
    </row>
    <row r="57" spans="1:10" ht="15" customHeight="1" x14ac:dyDescent="0.3">
      <c r="A57" t="s">
        <v>20</v>
      </c>
      <c r="B57" t="s">
        <v>15</v>
      </c>
      <c r="C57">
        <v>8</v>
      </c>
      <c r="D57">
        <f>SUMIFS(tGrossReq[GrossReqUnits],tGrossReq[Plant],#REF!,tGrossReq[Material],#REF!,tGrossReq[Fortnight],#REF!)</f>
        <v>0</v>
      </c>
      <c r="E5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5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57" t="e">
        <f>#REF!+#REF!-#REF!</f>
        <v>#REF!</v>
      </c>
    </row>
    <row r="58" spans="1:10" ht="15" customHeight="1" x14ac:dyDescent="0.3">
      <c r="A58" t="s">
        <v>20</v>
      </c>
      <c r="B58" t="s">
        <v>16</v>
      </c>
      <c r="C58">
        <v>1</v>
      </c>
      <c r="D58">
        <f>SUMIFS(tGrossReq[GrossReqUnits],tGrossReq[Plant],#REF!,tGrossReq[Material],#REF!,tGrossReq[Fortnight],#REF!)</f>
        <v>0</v>
      </c>
      <c r="E5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5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58" t="e">
        <f>#REF!+#REF!-#REF!</f>
        <v>#REF!</v>
      </c>
    </row>
    <row r="59" spans="1:10" ht="15" customHeight="1" x14ac:dyDescent="0.3">
      <c r="A59" t="s">
        <v>20</v>
      </c>
      <c r="B59" t="s">
        <v>16</v>
      </c>
      <c r="C59">
        <v>2</v>
      </c>
      <c r="D59">
        <f>SUMIFS(tGrossReq[GrossReqUnits],tGrossReq[Plant],#REF!,tGrossReq[Material],#REF!,tGrossReq[Fortnight],#REF!)</f>
        <v>0</v>
      </c>
      <c r="E5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5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59" t="e">
        <f>#REF!+#REF!-#REF!</f>
        <v>#REF!</v>
      </c>
    </row>
    <row r="60" spans="1:10" ht="15" customHeight="1" x14ac:dyDescent="0.3">
      <c r="A60" t="s">
        <v>20</v>
      </c>
      <c r="B60" t="s">
        <v>16</v>
      </c>
      <c r="C60">
        <v>3</v>
      </c>
      <c r="D60">
        <f>SUMIFS(tGrossReq[GrossReqUnits],tGrossReq[Plant],#REF!,tGrossReq[Material],#REF!,tGrossReq[Fortnight],#REF!)</f>
        <v>0</v>
      </c>
      <c r="E6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0" t="e">
        <f>#REF!+#REF!-#REF!</f>
        <v>#REF!</v>
      </c>
    </row>
    <row r="61" spans="1:10" ht="15" customHeight="1" x14ac:dyDescent="0.3">
      <c r="A61" t="s">
        <v>20</v>
      </c>
      <c r="B61" t="s">
        <v>16</v>
      </c>
      <c r="C61">
        <v>4</v>
      </c>
      <c r="D61">
        <f>SUMIFS(tGrossReq[GrossReqUnits],tGrossReq[Plant],#REF!,tGrossReq[Material],#REF!,tGrossReq[Fortnight],#REF!)</f>
        <v>0</v>
      </c>
      <c r="E61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1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1" t="e">
        <f>#REF!+#REF!-#REF!</f>
        <v>#REF!</v>
      </c>
    </row>
    <row r="62" spans="1:10" ht="15" customHeight="1" x14ac:dyDescent="0.3">
      <c r="A62" t="s">
        <v>20</v>
      </c>
      <c r="B62" t="s">
        <v>16</v>
      </c>
      <c r="C62">
        <v>5</v>
      </c>
      <c r="D62">
        <f>SUMIFS(tGrossReq[GrossReqUnits],tGrossReq[Plant],#REF!,tGrossReq[Material],#REF!,tGrossReq[Fortnight],#REF!)</f>
        <v>0</v>
      </c>
      <c r="E6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2" t="e">
        <f>#REF!+#REF!-#REF!</f>
        <v>#REF!</v>
      </c>
    </row>
    <row r="63" spans="1:10" x14ac:dyDescent="0.3">
      <c r="A63" t="s">
        <v>20</v>
      </c>
      <c r="B63" t="s">
        <v>16</v>
      </c>
      <c r="C63">
        <v>6</v>
      </c>
      <c r="D63">
        <f>SUMIFS(tGrossReq[GrossReqUnits],tGrossReq[Plant],#REF!,tGrossReq[Material],#REF!,tGrossReq[Fortnight],#REF!)</f>
        <v>0</v>
      </c>
      <c r="E63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3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3" t="e">
        <f>#REF!+#REF!-#REF!</f>
        <v>#REF!</v>
      </c>
    </row>
    <row r="64" spans="1:10" x14ac:dyDescent="0.3">
      <c r="A64" t="s">
        <v>20</v>
      </c>
      <c r="B64" t="s">
        <v>16</v>
      </c>
      <c r="C64">
        <v>7</v>
      </c>
      <c r="D64">
        <f>SUMIFS(tGrossReq[GrossReqUnits],tGrossReq[Plant],#REF!,tGrossReq[Material],#REF!,tGrossReq[Fortnight],#REF!)</f>
        <v>0</v>
      </c>
      <c r="E6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4" t="e">
        <f>#REF!+#REF!-#REF!</f>
        <v>#REF!</v>
      </c>
    </row>
    <row r="65" spans="1:7" x14ac:dyDescent="0.3">
      <c r="A65" t="s">
        <v>20</v>
      </c>
      <c r="B65" t="s">
        <v>16</v>
      </c>
      <c r="C65">
        <v>8</v>
      </c>
      <c r="D65">
        <f>SUMIFS(tGrossReq[GrossReqUnits],tGrossReq[Plant],#REF!,tGrossReq[Material],#REF!,tGrossReq[Fortnight],#REF!)</f>
        <v>0</v>
      </c>
      <c r="E6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5" t="e">
        <f>#REF!+#REF!-#REF!</f>
        <v>#REF!</v>
      </c>
    </row>
    <row r="66" spans="1:7" x14ac:dyDescent="0.3">
      <c r="A66" t="s">
        <v>21</v>
      </c>
      <c r="B66" t="s">
        <v>7</v>
      </c>
      <c r="C66">
        <v>1</v>
      </c>
      <c r="D66">
        <f>SUMIFS(tGrossReq[GrossReqUnits],tGrossReq[Plant],#REF!,tGrossReq[Material],#REF!,tGrossReq[Fortnight],#REF!)</f>
        <v>0</v>
      </c>
      <c r="E6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6" t="e">
        <f>#REF!+#REF!-#REF!</f>
        <v>#REF!</v>
      </c>
    </row>
    <row r="67" spans="1:7" x14ac:dyDescent="0.3">
      <c r="A67" t="s">
        <v>21</v>
      </c>
      <c r="B67" t="s">
        <v>7</v>
      </c>
      <c r="C67">
        <v>2</v>
      </c>
      <c r="D67">
        <f>SUMIFS(tGrossReq[GrossReqUnits],tGrossReq[Plant],#REF!,tGrossReq[Material],#REF!,tGrossReq[Fortnight],#REF!)</f>
        <v>0</v>
      </c>
      <c r="E6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7" t="e">
        <f>#REF!+#REF!-#REF!</f>
        <v>#REF!</v>
      </c>
    </row>
    <row r="68" spans="1:7" x14ac:dyDescent="0.3">
      <c r="A68" t="s">
        <v>21</v>
      </c>
      <c r="B68" t="s">
        <v>7</v>
      </c>
      <c r="C68">
        <v>3</v>
      </c>
      <c r="D68">
        <f>SUMIFS(tGrossReq[GrossReqUnits],tGrossReq[Plant],#REF!,tGrossReq[Material],#REF!,tGrossReq[Fortnight],#REF!)</f>
        <v>0</v>
      </c>
      <c r="E6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8" t="e">
        <f>#REF!+#REF!-#REF!</f>
        <v>#REF!</v>
      </c>
    </row>
    <row r="69" spans="1:7" x14ac:dyDescent="0.3">
      <c r="A69" t="s">
        <v>21</v>
      </c>
      <c r="B69" t="s">
        <v>7</v>
      </c>
      <c r="C69">
        <v>4</v>
      </c>
      <c r="D69">
        <f>SUMIFS(tGrossReq[GrossReqUnits],tGrossReq[Plant],#REF!,tGrossReq[Material],#REF!,tGrossReq[Fortnight],#REF!)</f>
        <v>0</v>
      </c>
      <c r="E6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6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69" t="e">
        <f>#REF!+#REF!-#REF!</f>
        <v>#REF!</v>
      </c>
    </row>
    <row r="70" spans="1:7" x14ac:dyDescent="0.3">
      <c r="A70" t="s">
        <v>21</v>
      </c>
      <c r="B70" t="s">
        <v>7</v>
      </c>
      <c r="C70">
        <v>5</v>
      </c>
      <c r="D70">
        <f>SUMIFS(tGrossReq[GrossReqUnits],tGrossReq[Plant],#REF!,tGrossReq[Material],#REF!,tGrossReq[Fortnight],#REF!)</f>
        <v>0</v>
      </c>
      <c r="E7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0" t="e">
        <f>#REF!+#REF!-#REF!</f>
        <v>#REF!</v>
      </c>
    </row>
    <row r="71" spans="1:7" x14ac:dyDescent="0.3">
      <c r="A71" t="s">
        <v>21</v>
      </c>
      <c r="B71" t="s">
        <v>7</v>
      </c>
      <c r="C71">
        <v>6</v>
      </c>
      <c r="D71">
        <f>SUMIFS(tGrossReq[GrossReqUnits],tGrossReq[Plant],#REF!,tGrossReq[Material],#REF!,tGrossReq[Fortnight],#REF!)</f>
        <v>0</v>
      </c>
      <c r="E71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1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1" t="e">
        <f>#REF!+#REF!-#REF!</f>
        <v>#REF!</v>
      </c>
    </row>
    <row r="72" spans="1:7" x14ac:dyDescent="0.3">
      <c r="A72" t="s">
        <v>21</v>
      </c>
      <c r="B72" t="s">
        <v>7</v>
      </c>
      <c r="C72">
        <v>7</v>
      </c>
      <c r="D72">
        <f>SUMIFS(tGrossReq[GrossReqUnits],tGrossReq[Plant],#REF!,tGrossReq[Material],#REF!,tGrossReq[Fortnight],#REF!)</f>
        <v>0</v>
      </c>
      <c r="E7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2" t="e">
        <f>#REF!+#REF!-#REF!</f>
        <v>#REF!</v>
      </c>
    </row>
    <row r="73" spans="1:7" x14ac:dyDescent="0.3">
      <c r="A73" t="s">
        <v>21</v>
      </c>
      <c r="B73" t="s">
        <v>7</v>
      </c>
      <c r="C73">
        <v>8</v>
      </c>
      <c r="D73">
        <f>SUMIFS(tGrossReq[GrossReqUnits],tGrossReq[Plant],#REF!,tGrossReq[Material],#REF!,tGrossReq[Fortnight],#REF!)</f>
        <v>0</v>
      </c>
      <c r="E73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3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3" t="e">
        <f>#REF!+#REF!-#REF!</f>
        <v>#REF!</v>
      </c>
    </row>
    <row r="74" spans="1:7" x14ac:dyDescent="0.3">
      <c r="A74" t="s">
        <v>21</v>
      </c>
      <c r="B74" t="s">
        <v>9</v>
      </c>
      <c r="C74">
        <v>1</v>
      </c>
      <c r="D74">
        <f>SUMIFS(tGrossReq[GrossReqUnits],tGrossReq[Plant],#REF!,tGrossReq[Material],#REF!,tGrossReq[Fortnight],#REF!)</f>
        <v>0</v>
      </c>
      <c r="E7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4" t="e">
        <f>#REF!+#REF!-#REF!</f>
        <v>#REF!</v>
      </c>
    </row>
    <row r="75" spans="1:7" x14ac:dyDescent="0.3">
      <c r="A75" t="s">
        <v>21</v>
      </c>
      <c r="B75" t="s">
        <v>9</v>
      </c>
      <c r="C75">
        <v>2</v>
      </c>
      <c r="D75">
        <f>SUMIFS(tGrossReq[GrossReqUnits],tGrossReq[Plant],#REF!,tGrossReq[Material],#REF!,tGrossReq[Fortnight],#REF!)</f>
        <v>0</v>
      </c>
      <c r="E7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5" t="e">
        <f>#REF!+#REF!-#REF!</f>
        <v>#REF!</v>
      </c>
    </row>
    <row r="76" spans="1:7" x14ac:dyDescent="0.3">
      <c r="A76" t="s">
        <v>21</v>
      </c>
      <c r="B76" t="s">
        <v>9</v>
      </c>
      <c r="C76">
        <v>3</v>
      </c>
      <c r="D76">
        <f>SUMIFS(tGrossReq[GrossReqUnits],tGrossReq[Plant],#REF!,tGrossReq[Material],#REF!,tGrossReq[Fortnight],#REF!)</f>
        <v>0</v>
      </c>
      <c r="E7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6" t="e">
        <f>#REF!+#REF!-#REF!</f>
        <v>#REF!</v>
      </c>
    </row>
    <row r="77" spans="1:7" x14ac:dyDescent="0.3">
      <c r="A77" t="s">
        <v>21</v>
      </c>
      <c r="B77" t="s">
        <v>9</v>
      </c>
      <c r="C77">
        <v>4</v>
      </c>
      <c r="D77">
        <f>SUMIFS(tGrossReq[GrossReqUnits],tGrossReq[Plant],#REF!,tGrossReq[Material],#REF!,tGrossReq[Fortnight],#REF!)</f>
        <v>0</v>
      </c>
      <c r="E7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7" t="e">
        <f>#REF!+#REF!-#REF!</f>
        <v>#REF!</v>
      </c>
    </row>
    <row r="78" spans="1:7" x14ac:dyDescent="0.3">
      <c r="A78" t="s">
        <v>21</v>
      </c>
      <c r="B78" t="s">
        <v>9</v>
      </c>
      <c r="C78">
        <v>5</v>
      </c>
      <c r="D78">
        <f>SUMIFS(tGrossReq[GrossReqUnits],tGrossReq[Plant],#REF!,tGrossReq[Material],#REF!,tGrossReq[Fortnight],#REF!)</f>
        <v>0</v>
      </c>
      <c r="E7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8" t="e">
        <f>#REF!+#REF!-#REF!</f>
        <v>#REF!</v>
      </c>
    </row>
    <row r="79" spans="1:7" x14ac:dyDescent="0.3">
      <c r="A79" t="s">
        <v>21</v>
      </c>
      <c r="B79" t="s">
        <v>9</v>
      </c>
      <c r="C79">
        <v>6</v>
      </c>
      <c r="D79">
        <f>SUMIFS(tGrossReq[GrossReqUnits],tGrossReq[Plant],#REF!,tGrossReq[Material],#REF!,tGrossReq[Fortnight],#REF!)</f>
        <v>0</v>
      </c>
      <c r="E7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7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79" t="e">
        <f>#REF!+#REF!-#REF!</f>
        <v>#REF!</v>
      </c>
    </row>
    <row r="80" spans="1:7" x14ac:dyDescent="0.3">
      <c r="A80" t="s">
        <v>21</v>
      </c>
      <c r="B80" t="s">
        <v>9</v>
      </c>
      <c r="C80">
        <v>7</v>
      </c>
      <c r="D80">
        <f>SUMIFS(tGrossReq[GrossReqUnits],tGrossReq[Plant],#REF!,tGrossReq[Material],#REF!,tGrossReq[Fortnight],#REF!)</f>
        <v>0</v>
      </c>
      <c r="E8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0" t="e">
        <f>#REF!+#REF!-#REF!</f>
        <v>#REF!</v>
      </c>
    </row>
    <row r="81" spans="1:7" x14ac:dyDescent="0.3">
      <c r="A81" t="s">
        <v>21</v>
      </c>
      <c r="B81" t="s">
        <v>9</v>
      </c>
      <c r="C81">
        <v>8</v>
      </c>
      <c r="D81">
        <f>SUMIFS(tGrossReq[GrossReqUnits],tGrossReq[Plant],#REF!,tGrossReq[Material],#REF!,tGrossReq[Fortnight],#REF!)</f>
        <v>0</v>
      </c>
      <c r="E81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1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1" t="e">
        <f>#REF!+#REF!-#REF!</f>
        <v>#REF!</v>
      </c>
    </row>
    <row r="82" spans="1:7" x14ac:dyDescent="0.3">
      <c r="A82" t="s">
        <v>21</v>
      </c>
      <c r="B82" t="s">
        <v>10</v>
      </c>
      <c r="C82">
        <v>1</v>
      </c>
      <c r="D82">
        <f>SUMIFS(tGrossReq[GrossReqUnits],tGrossReq[Plant],#REF!,tGrossReq[Material],#REF!,tGrossReq[Fortnight],#REF!)</f>
        <v>0</v>
      </c>
      <c r="E8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2" t="e">
        <f>#REF!+#REF!-#REF!</f>
        <v>#REF!</v>
      </c>
    </row>
    <row r="83" spans="1:7" x14ac:dyDescent="0.3">
      <c r="A83" t="s">
        <v>21</v>
      </c>
      <c r="B83" t="s">
        <v>10</v>
      </c>
      <c r="C83">
        <v>2</v>
      </c>
      <c r="D83">
        <f>SUMIFS(tGrossReq[GrossReqUnits],tGrossReq[Plant],#REF!,tGrossReq[Material],#REF!,tGrossReq[Fortnight],#REF!)</f>
        <v>0</v>
      </c>
      <c r="E83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3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3" t="e">
        <f>#REF!+#REF!-#REF!</f>
        <v>#REF!</v>
      </c>
    </row>
    <row r="84" spans="1:7" x14ac:dyDescent="0.3">
      <c r="A84" t="s">
        <v>21</v>
      </c>
      <c r="B84" t="s">
        <v>10</v>
      </c>
      <c r="C84">
        <v>3</v>
      </c>
      <c r="D84">
        <f>SUMIFS(tGrossReq[GrossReqUnits],tGrossReq[Plant],#REF!,tGrossReq[Material],#REF!,tGrossReq[Fortnight],#REF!)</f>
        <v>0</v>
      </c>
      <c r="E8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4" t="e">
        <f>#REF!+#REF!-#REF!</f>
        <v>#REF!</v>
      </c>
    </row>
    <row r="85" spans="1:7" x14ac:dyDescent="0.3">
      <c r="A85" t="s">
        <v>21</v>
      </c>
      <c r="B85" t="s">
        <v>10</v>
      </c>
      <c r="C85">
        <v>4</v>
      </c>
      <c r="D85">
        <f>SUMIFS(tGrossReq[GrossReqUnits],tGrossReq[Plant],#REF!,tGrossReq[Material],#REF!,tGrossReq[Fortnight],#REF!)</f>
        <v>0</v>
      </c>
      <c r="E8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5" t="e">
        <f>#REF!+#REF!-#REF!</f>
        <v>#REF!</v>
      </c>
    </row>
    <row r="86" spans="1:7" x14ac:dyDescent="0.3">
      <c r="A86" t="s">
        <v>21</v>
      </c>
      <c r="B86" t="s">
        <v>10</v>
      </c>
      <c r="C86">
        <v>5</v>
      </c>
      <c r="D86">
        <f>SUMIFS(tGrossReq[GrossReqUnits],tGrossReq[Plant],#REF!,tGrossReq[Material],#REF!,tGrossReq[Fortnight],#REF!)</f>
        <v>0</v>
      </c>
      <c r="E8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6" t="e">
        <f>#REF!+#REF!-#REF!</f>
        <v>#REF!</v>
      </c>
    </row>
    <row r="87" spans="1:7" x14ac:dyDescent="0.3">
      <c r="A87" t="s">
        <v>21</v>
      </c>
      <c r="B87" t="s">
        <v>10</v>
      </c>
      <c r="C87">
        <v>6</v>
      </c>
      <c r="D87">
        <f>SUMIFS(tGrossReq[GrossReqUnits],tGrossReq[Plant],#REF!,tGrossReq[Material],#REF!,tGrossReq[Fortnight],#REF!)</f>
        <v>0</v>
      </c>
      <c r="E8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7" t="e">
        <f>#REF!+#REF!-#REF!</f>
        <v>#REF!</v>
      </c>
    </row>
    <row r="88" spans="1:7" x14ac:dyDescent="0.3">
      <c r="A88" t="s">
        <v>21</v>
      </c>
      <c r="B88" t="s">
        <v>10</v>
      </c>
      <c r="C88">
        <v>7</v>
      </c>
      <c r="D88">
        <f>SUMIFS(tGrossReq[GrossReqUnits],tGrossReq[Plant],#REF!,tGrossReq[Material],#REF!,tGrossReq[Fortnight],#REF!)</f>
        <v>0</v>
      </c>
      <c r="E8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8" t="e">
        <f>#REF!+#REF!-#REF!</f>
        <v>#REF!</v>
      </c>
    </row>
    <row r="89" spans="1:7" x14ac:dyDescent="0.3">
      <c r="A89" t="s">
        <v>21</v>
      </c>
      <c r="B89" t="s">
        <v>10</v>
      </c>
      <c r="C89">
        <v>8</v>
      </c>
      <c r="D89">
        <f>SUMIFS(tGrossReq[GrossReqUnits],tGrossReq[Plant],#REF!,tGrossReq[Material],#REF!,tGrossReq[Fortnight],#REF!)</f>
        <v>0</v>
      </c>
      <c r="E8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8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89" t="e">
        <f>#REF!+#REF!-#REF!</f>
        <v>#REF!</v>
      </c>
    </row>
    <row r="90" spans="1:7" x14ac:dyDescent="0.3">
      <c r="A90" t="s">
        <v>21</v>
      </c>
      <c r="B90" t="s">
        <v>12</v>
      </c>
      <c r="C90">
        <v>1</v>
      </c>
      <c r="D90">
        <f>SUMIFS(tGrossReq[GrossReqUnits],tGrossReq[Plant],#REF!,tGrossReq[Material],#REF!,tGrossReq[Fortnight],#REF!)</f>
        <v>0</v>
      </c>
      <c r="E9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0" t="e">
        <f>#REF!+#REF!-#REF!</f>
        <v>#REF!</v>
      </c>
    </row>
    <row r="91" spans="1:7" x14ac:dyDescent="0.3">
      <c r="A91" t="s">
        <v>21</v>
      </c>
      <c r="B91" t="s">
        <v>12</v>
      </c>
      <c r="C91">
        <v>2</v>
      </c>
      <c r="D91">
        <f>SUMIFS(tGrossReq[GrossReqUnits],tGrossReq[Plant],#REF!,tGrossReq[Material],#REF!,tGrossReq[Fortnight],#REF!)</f>
        <v>0</v>
      </c>
      <c r="E91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1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1" t="e">
        <f>#REF!+#REF!-#REF!</f>
        <v>#REF!</v>
      </c>
    </row>
    <row r="92" spans="1:7" x14ac:dyDescent="0.3">
      <c r="A92" t="s">
        <v>21</v>
      </c>
      <c r="B92" t="s">
        <v>12</v>
      </c>
      <c r="C92">
        <v>3</v>
      </c>
      <c r="D92">
        <f>SUMIFS(tGrossReq[GrossReqUnits],tGrossReq[Plant],#REF!,tGrossReq[Material],#REF!,tGrossReq[Fortnight],#REF!)</f>
        <v>0</v>
      </c>
      <c r="E9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2" t="e">
        <f>#REF!+#REF!-#REF!</f>
        <v>#REF!</v>
      </c>
    </row>
    <row r="93" spans="1:7" x14ac:dyDescent="0.3">
      <c r="A93" t="s">
        <v>21</v>
      </c>
      <c r="B93" t="s">
        <v>12</v>
      </c>
      <c r="C93">
        <v>4</v>
      </c>
      <c r="D93">
        <f>SUMIFS(tGrossReq[GrossReqUnits],tGrossReq[Plant],#REF!,tGrossReq[Material],#REF!,tGrossReq[Fortnight],#REF!)</f>
        <v>0</v>
      </c>
      <c r="E93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3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3" t="e">
        <f>#REF!+#REF!-#REF!</f>
        <v>#REF!</v>
      </c>
    </row>
    <row r="94" spans="1:7" x14ac:dyDescent="0.3">
      <c r="A94" t="s">
        <v>21</v>
      </c>
      <c r="B94" t="s">
        <v>12</v>
      </c>
      <c r="C94">
        <v>5</v>
      </c>
      <c r="D94">
        <f>SUMIFS(tGrossReq[GrossReqUnits],tGrossReq[Plant],#REF!,tGrossReq[Material],#REF!,tGrossReq[Fortnight],#REF!)</f>
        <v>0</v>
      </c>
      <c r="E9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4" t="e">
        <f>#REF!+#REF!-#REF!</f>
        <v>#REF!</v>
      </c>
    </row>
    <row r="95" spans="1:7" x14ac:dyDescent="0.3">
      <c r="A95" t="s">
        <v>21</v>
      </c>
      <c r="B95" t="s">
        <v>12</v>
      </c>
      <c r="C95">
        <v>6</v>
      </c>
      <c r="D95">
        <f>SUMIFS(tGrossReq[GrossReqUnits],tGrossReq[Plant],#REF!,tGrossReq[Material],#REF!,tGrossReq[Fortnight],#REF!)</f>
        <v>0</v>
      </c>
      <c r="E9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5" t="e">
        <f>#REF!+#REF!-#REF!</f>
        <v>#REF!</v>
      </c>
    </row>
    <row r="96" spans="1:7" x14ac:dyDescent="0.3">
      <c r="A96" t="s">
        <v>21</v>
      </c>
      <c r="B96" t="s">
        <v>12</v>
      </c>
      <c r="C96">
        <v>7</v>
      </c>
      <c r="D96">
        <f>SUMIFS(tGrossReq[GrossReqUnits],tGrossReq[Plant],#REF!,tGrossReq[Material],#REF!,tGrossReq[Fortnight],#REF!)</f>
        <v>0</v>
      </c>
      <c r="E9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6" t="e">
        <f>#REF!+#REF!-#REF!</f>
        <v>#REF!</v>
      </c>
    </row>
    <row r="97" spans="1:7" x14ac:dyDescent="0.3">
      <c r="A97" t="s">
        <v>21</v>
      </c>
      <c r="B97" t="s">
        <v>12</v>
      </c>
      <c r="C97">
        <v>8</v>
      </c>
      <c r="D97">
        <f>SUMIFS(tGrossReq[GrossReqUnits],tGrossReq[Plant],#REF!,tGrossReq[Material],#REF!,tGrossReq[Fortnight],#REF!)</f>
        <v>0</v>
      </c>
      <c r="E9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7" t="e">
        <f>#REF!+#REF!-#REF!</f>
        <v>#REF!</v>
      </c>
    </row>
    <row r="98" spans="1:7" x14ac:dyDescent="0.3">
      <c r="A98" t="s">
        <v>21</v>
      </c>
      <c r="B98" t="s">
        <v>13</v>
      </c>
      <c r="C98">
        <v>1</v>
      </c>
      <c r="D98">
        <f>SUMIFS(tGrossReq[GrossReqUnits],tGrossReq[Plant],#REF!,tGrossReq[Material],#REF!,tGrossReq[Fortnight],#REF!)</f>
        <v>0</v>
      </c>
      <c r="E9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8" t="e">
        <f>#REF!+#REF!-#REF!</f>
        <v>#REF!</v>
      </c>
    </row>
    <row r="99" spans="1:7" x14ac:dyDescent="0.3">
      <c r="A99" t="s">
        <v>21</v>
      </c>
      <c r="B99" t="s">
        <v>13</v>
      </c>
      <c r="C99">
        <v>2</v>
      </c>
      <c r="D99">
        <f>SUMIFS(tGrossReq[GrossReqUnits],tGrossReq[Plant],#REF!,tGrossReq[Material],#REF!,tGrossReq[Fortnight],#REF!)</f>
        <v>0</v>
      </c>
      <c r="E9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9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99" t="e">
        <f>#REF!+#REF!-#REF!</f>
        <v>#REF!</v>
      </c>
    </row>
    <row r="100" spans="1:7" x14ac:dyDescent="0.3">
      <c r="A100" t="s">
        <v>21</v>
      </c>
      <c r="B100" t="s">
        <v>13</v>
      </c>
      <c r="C100">
        <v>3</v>
      </c>
      <c r="D100">
        <f>SUMIFS(tGrossReq[GrossReqUnits],tGrossReq[Plant],#REF!,tGrossReq[Material],#REF!,tGrossReq[Fortnight],#REF!)</f>
        <v>0</v>
      </c>
      <c r="E10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0" t="e">
        <f>#REF!+#REF!-#REF!</f>
        <v>#REF!</v>
      </c>
    </row>
    <row r="101" spans="1:7" x14ac:dyDescent="0.3">
      <c r="A101" t="s">
        <v>21</v>
      </c>
      <c r="B101" t="s">
        <v>13</v>
      </c>
      <c r="C101">
        <v>4</v>
      </c>
      <c r="D101">
        <f>SUMIFS(tGrossReq[GrossReqUnits],tGrossReq[Plant],#REF!,tGrossReq[Material],#REF!,tGrossReq[Fortnight],#REF!)</f>
        <v>0</v>
      </c>
      <c r="E101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1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1" t="e">
        <f>#REF!+#REF!-#REF!</f>
        <v>#REF!</v>
      </c>
    </row>
    <row r="102" spans="1:7" x14ac:dyDescent="0.3">
      <c r="A102" t="s">
        <v>21</v>
      </c>
      <c r="B102" t="s">
        <v>13</v>
      </c>
      <c r="C102">
        <v>5</v>
      </c>
      <c r="D102">
        <f>SUMIFS(tGrossReq[GrossReqUnits],tGrossReq[Plant],#REF!,tGrossReq[Material],#REF!,tGrossReq[Fortnight],#REF!)</f>
        <v>0</v>
      </c>
      <c r="E10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2" t="e">
        <f>#REF!+#REF!-#REF!</f>
        <v>#REF!</v>
      </c>
    </row>
    <row r="103" spans="1:7" x14ac:dyDescent="0.3">
      <c r="A103" t="s">
        <v>21</v>
      </c>
      <c r="B103" t="s">
        <v>13</v>
      </c>
      <c r="C103">
        <v>6</v>
      </c>
      <c r="D103">
        <f>SUMIFS(tGrossReq[GrossReqUnits],tGrossReq[Plant],#REF!,tGrossReq[Material],#REF!,tGrossReq[Fortnight],#REF!)</f>
        <v>0</v>
      </c>
      <c r="E103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3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3" t="e">
        <f>#REF!+#REF!-#REF!</f>
        <v>#REF!</v>
      </c>
    </row>
    <row r="104" spans="1:7" x14ac:dyDescent="0.3">
      <c r="A104" t="s">
        <v>21</v>
      </c>
      <c r="B104" t="s">
        <v>13</v>
      </c>
      <c r="C104">
        <v>7</v>
      </c>
      <c r="D104">
        <f>SUMIFS(tGrossReq[GrossReqUnits],tGrossReq[Plant],#REF!,tGrossReq[Material],#REF!,tGrossReq[Fortnight],#REF!)</f>
        <v>0</v>
      </c>
      <c r="E10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4" t="e">
        <f>#REF!+#REF!-#REF!</f>
        <v>#REF!</v>
      </c>
    </row>
    <row r="105" spans="1:7" x14ac:dyDescent="0.3">
      <c r="A105" t="s">
        <v>21</v>
      </c>
      <c r="B105" t="s">
        <v>13</v>
      </c>
      <c r="C105">
        <v>8</v>
      </c>
      <c r="D105">
        <f>SUMIFS(tGrossReq[GrossReqUnits],tGrossReq[Plant],#REF!,tGrossReq[Material],#REF!,tGrossReq[Fortnight],#REF!)</f>
        <v>0</v>
      </c>
      <c r="E10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5" t="e">
        <f>#REF!+#REF!-#REF!</f>
        <v>#REF!</v>
      </c>
    </row>
    <row r="106" spans="1:7" x14ac:dyDescent="0.3">
      <c r="A106" t="s">
        <v>21</v>
      </c>
      <c r="B106" t="s">
        <v>14</v>
      </c>
      <c r="C106">
        <v>1</v>
      </c>
      <c r="D106">
        <f>SUMIFS(tGrossReq[GrossReqUnits],tGrossReq[Plant],#REF!,tGrossReq[Material],#REF!,tGrossReq[Fortnight],#REF!)</f>
        <v>0</v>
      </c>
      <c r="E10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6" t="e">
        <f>#REF!+#REF!-#REF!</f>
        <v>#REF!</v>
      </c>
    </row>
    <row r="107" spans="1:7" x14ac:dyDescent="0.3">
      <c r="A107" t="s">
        <v>21</v>
      </c>
      <c r="B107" t="s">
        <v>14</v>
      </c>
      <c r="C107">
        <v>2</v>
      </c>
      <c r="D107">
        <f>SUMIFS(tGrossReq[GrossReqUnits],tGrossReq[Plant],#REF!,tGrossReq[Material],#REF!,tGrossReq[Fortnight],#REF!)</f>
        <v>0</v>
      </c>
      <c r="E10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7" t="e">
        <f>#REF!+#REF!-#REF!</f>
        <v>#REF!</v>
      </c>
    </row>
    <row r="108" spans="1:7" x14ac:dyDescent="0.3">
      <c r="A108" t="s">
        <v>21</v>
      </c>
      <c r="B108" t="s">
        <v>14</v>
      </c>
      <c r="C108">
        <v>3</v>
      </c>
      <c r="D108">
        <f>SUMIFS(tGrossReq[GrossReqUnits],tGrossReq[Plant],#REF!,tGrossReq[Material],#REF!,tGrossReq[Fortnight],#REF!)</f>
        <v>0</v>
      </c>
      <c r="E10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8" t="e">
        <f>#REF!+#REF!-#REF!</f>
        <v>#REF!</v>
      </c>
    </row>
    <row r="109" spans="1:7" x14ac:dyDescent="0.3">
      <c r="A109" t="s">
        <v>21</v>
      </c>
      <c r="B109" t="s">
        <v>14</v>
      </c>
      <c r="C109">
        <v>4</v>
      </c>
      <c r="D109">
        <f>SUMIFS(tGrossReq[GrossReqUnits],tGrossReq[Plant],#REF!,tGrossReq[Material],#REF!,tGrossReq[Fortnight],#REF!)</f>
        <v>0</v>
      </c>
      <c r="E10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0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09" t="e">
        <f>#REF!+#REF!-#REF!</f>
        <v>#REF!</v>
      </c>
    </row>
    <row r="110" spans="1:7" x14ac:dyDescent="0.3">
      <c r="A110" t="s">
        <v>21</v>
      </c>
      <c r="B110" t="s">
        <v>14</v>
      </c>
      <c r="C110">
        <v>5</v>
      </c>
      <c r="D110">
        <f>SUMIFS(tGrossReq[GrossReqUnits],tGrossReq[Plant],#REF!,tGrossReq[Material],#REF!,tGrossReq[Fortnight],#REF!)</f>
        <v>0</v>
      </c>
      <c r="E11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1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10" t="e">
        <f>#REF!+#REF!-#REF!</f>
        <v>#REF!</v>
      </c>
    </row>
    <row r="111" spans="1:7" x14ac:dyDescent="0.3">
      <c r="A111" t="s">
        <v>21</v>
      </c>
      <c r="B111" t="s">
        <v>14</v>
      </c>
      <c r="C111">
        <v>6</v>
      </c>
      <c r="D111">
        <f>SUMIFS(tGrossReq[GrossReqUnits],tGrossReq[Plant],#REF!,tGrossReq[Material],#REF!,tGrossReq[Fortnight],#REF!)</f>
        <v>0</v>
      </c>
      <c r="E111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11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11" t="e">
        <f>#REF!+#REF!-#REF!</f>
        <v>#REF!</v>
      </c>
    </row>
    <row r="112" spans="1:7" x14ac:dyDescent="0.3">
      <c r="A112" t="s">
        <v>21</v>
      </c>
      <c r="B112" t="s">
        <v>14</v>
      </c>
      <c r="C112">
        <v>7</v>
      </c>
      <c r="D112">
        <f>SUMIFS(tGrossReq[GrossReqUnits],tGrossReq[Plant],#REF!,tGrossReq[Material],#REF!,tGrossReq[Fortnight],#REF!)</f>
        <v>0</v>
      </c>
      <c r="E11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1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12" t="e">
        <f>#REF!+#REF!-#REF!</f>
        <v>#REF!</v>
      </c>
    </row>
    <row r="113" spans="1:7" x14ac:dyDescent="0.3">
      <c r="A113" t="s">
        <v>21</v>
      </c>
      <c r="B113" t="s">
        <v>14</v>
      </c>
      <c r="C113">
        <v>8</v>
      </c>
      <c r="D113">
        <f>SUMIFS(tGrossReq[GrossReqUnits],tGrossReq[Plant],#REF!,tGrossReq[Material],#REF!,tGrossReq[Fortnight],#REF!)</f>
        <v>0</v>
      </c>
      <c r="E113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13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13" t="e">
        <f>#REF!+#REF!-#REF!</f>
        <v>#REF!</v>
      </c>
    </row>
    <row r="114" spans="1:7" x14ac:dyDescent="0.3">
      <c r="A114" t="s">
        <v>21</v>
      </c>
      <c r="B114" t="s">
        <v>15</v>
      </c>
      <c r="C114">
        <v>1</v>
      </c>
      <c r="D114">
        <f>SUMIFS(tGrossReq[GrossReqUnits],tGrossReq[Plant],#REF!,tGrossReq[Material],#REF!,tGrossReq[Fortnight],#REF!)</f>
        <v>0</v>
      </c>
      <c r="E11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1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14" t="e">
        <f>#REF!+#REF!-#REF!</f>
        <v>#REF!</v>
      </c>
    </row>
    <row r="115" spans="1:7" x14ac:dyDescent="0.3">
      <c r="A115" t="s">
        <v>21</v>
      </c>
      <c r="B115" t="s">
        <v>15</v>
      </c>
      <c r="C115">
        <v>2</v>
      </c>
      <c r="D115">
        <f>SUMIFS(tGrossReq[GrossReqUnits],tGrossReq[Plant],#REF!,tGrossReq[Material],#REF!,tGrossReq[Fortnight],#REF!)</f>
        <v>0</v>
      </c>
      <c r="E11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1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15" t="e">
        <f>#REF!+#REF!-#REF!</f>
        <v>#REF!</v>
      </c>
    </row>
    <row r="116" spans="1:7" x14ac:dyDescent="0.3">
      <c r="A116" t="s">
        <v>21</v>
      </c>
      <c r="B116" t="s">
        <v>15</v>
      </c>
      <c r="C116">
        <v>3</v>
      </c>
      <c r="D116">
        <f>SUMIFS(tGrossReq[GrossReqUnits],tGrossReq[Plant],#REF!,tGrossReq[Material],#REF!,tGrossReq[Fortnight],#REF!)</f>
        <v>0</v>
      </c>
      <c r="E11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1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16" t="e">
        <f>#REF!+#REF!-#REF!</f>
        <v>#REF!</v>
      </c>
    </row>
    <row r="117" spans="1:7" x14ac:dyDescent="0.3">
      <c r="A117" t="s">
        <v>21</v>
      </c>
      <c r="B117" t="s">
        <v>15</v>
      </c>
      <c r="C117">
        <v>4</v>
      </c>
      <c r="D117">
        <f>SUMIFS(tGrossReq[GrossReqUnits],tGrossReq[Plant],#REF!,tGrossReq[Material],#REF!,tGrossReq[Fortnight],#REF!)</f>
        <v>0</v>
      </c>
      <c r="E11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1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17" t="e">
        <f>#REF!+#REF!-#REF!</f>
        <v>#REF!</v>
      </c>
    </row>
    <row r="118" spans="1:7" x14ac:dyDescent="0.3">
      <c r="A118" t="s">
        <v>21</v>
      </c>
      <c r="B118" t="s">
        <v>15</v>
      </c>
      <c r="C118">
        <v>5</v>
      </c>
      <c r="D118">
        <f>SUMIFS(tGrossReq[GrossReqUnits],tGrossReq[Plant],#REF!,tGrossReq[Material],#REF!,tGrossReq[Fortnight],#REF!)</f>
        <v>0</v>
      </c>
      <c r="E11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1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18" t="e">
        <f>#REF!+#REF!-#REF!</f>
        <v>#REF!</v>
      </c>
    </row>
    <row r="119" spans="1:7" x14ac:dyDescent="0.3">
      <c r="A119" t="s">
        <v>21</v>
      </c>
      <c r="B119" t="s">
        <v>15</v>
      </c>
      <c r="C119">
        <v>6</v>
      </c>
      <c r="D119">
        <f>SUMIFS(tGrossReq[GrossReqUnits],tGrossReq[Plant],#REF!,tGrossReq[Material],#REF!,tGrossReq[Fortnight],#REF!)</f>
        <v>0</v>
      </c>
      <c r="E11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1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19" t="e">
        <f>#REF!+#REF!-#REF!</f>
        <v>#REF!</v>
      </c>
    </row>
    <row r="120" spans="1:7" x14ac:dyDescent="0.3">
      <c r="A120" t="s">
        <v>21</v>
      </c>
      <c r="B120" t="s">
        <v>15</v>
      </c>
      <c r="C120">
        <v>7</v>
      </c>
      <c r="D120">
        <f>SUMIFS(tGrossReq[GrossReqUnits],tGrossReq[Plant],#REF!,tGrossReq[Material],#REF!,tGrossReq[Fortnight],#REF!)</f>
        <v>0</v>
      </c>
      <c r="E120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0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0" t="e">
        <f>#REF!+#REF!-#REF!</f>
        <v>#REF!</v>
      </c>
    </row>
    <row r="121" spans="1:7" x14ac:dyDescent="0.3">
      <c r="A121" t="s">
        <v>21</v>
      </c>
      <c r="B121" t="s">
        <v>15</v>
      </c>
      <c r="C121">
        <v>8</v>
      </c>
      <c r="D121">
        <f>SUMIFS(tGrossReq[GrossReqUnits],tGrossReq[Plant],#REF!,tGrossReq[Material],#REF!,tGrossReq[Fortnight],#REF!)</f>
        <v>0</v>
      </c>
      <c r="E121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1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1" t="e">
        <f>#REF!+#REF!-#REF!</f>
        <v>#REF!</v>
      </c>
    </row>
    <row r="122" spans="1:7" x14ac:dyDescent="0.3">
      <c r="A122" t="s">
        <v>21</v>
      </c>
      <c r="B122" t="s">
        <v>16</v>
      </c>
      <c r="C122">
        <v>1</v>
      </c>
      <c r="D122">
        <f>SUMIFS(tGrossReq[GrossReqUnits],tGrossReq[Plant],#REF!,tGrossReq[Material],#REF!,tGrossReq[Fortnight],#REF!)</f>
        <v>0</v>
      </c>
      <c r="E122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2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2" t="e">
        <f>#REF!+#REF!-#REF!</f>
        <v>#REF!</v>
      </c>
    </row>
    <row r="123" spans="1:7" x14ac:dyDescent="0.3">
      <c r="A123" t="s">
        <v>21</v>
      </c>
      <c r="B123" t="s">
        <v>16</v>
      </c>
      <c r="C123">
        <v>2</v>
      </c>
      <c r="D123">
        <f>SUMIFS(tGrossReq[GrossReqUnits],tGrossReq[Plant],#REF!,tGrossReq[Material],#REF!,tGrossReq[Fortnight],#REF!)</f>
        <v>0</v>
      </c>
      <c r="E123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3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3" t="e">
        <f>#REF!+#REF!-#REF!</f>
        <v>#REF!</v>
      </c>
    </row>
    <row r="124" spans="1:7" x14ac:dyDescent="0.3">
      <c r="A124" t="s">
        <v>21</v>
      </c>
      <c r="B124" t="s">
        <v>16</v>
      </c>
      <c r="C124">
        <v>3</v>
      </c>
      <c r="D124">
        <f>SUMIFS(tGrossReq[GrossReqUnits],tGrossReq[Plant],#REF!,tGrossReq[Material],#REF!,tGrossReq[Fortnight],#REF!)</f>
        <v>0</v>
      </c>
      <c r="E124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4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4" t="e">
        <f>#REF!+#REF!-#REF!</f>
        <v>#REF!</v>
      </c>
    </row>
    <row r="125" spans="1:7" x14ac:dyDescent="0.3">
      <c r="A125" t="s">
        <v>21</v>
      </c>
      <c r="B125" t="s">
        <v>16</v>
      </c>
      <c r="C125">
        <v>4</v>
      </c>
      <c r="D125">
        <f>SUMIFS(tGrossReq[GrossReqUnits],tGrossReq[Plant],#REF!,tGrossReq[Material],#REF!,tGrossReq[Fortnight],#REF!)</f>
        <v>0</v>
      </c>
      <c r="E125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5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5" t="e">
        <f>#REF!+#REF!-#REF!</f>
        <v>#REF!</v>
      </c>
    </row>
    <row r="126" spans="1:7" x14ac:dyDescent="0.3">
      <c r="A126" t="s">
        <v>21</v>
      </c>
      <c r="B126" t="s">
        <v>16</v>
      </c>
      <c r="C126">
        <v>5</v>
      </c>
      <c r="D126">
        <f>SUMIFS(tGrossReq[GrossReqUnits],tGrossReq[Plant],#REF!,tGrossReq[Material],#REF!,tGrossReq[Fortnight],#REF!)</f>
        <v>0</v>
      </c>
      <c r="E126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6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6" t="e">
        <f>#REF!+#REF!-#REF!</f>
        <v>#REF!</v>
      </c>
    </row>
    <row r="127" spans="1:7" x14ac:dyDescent="0.3">
      <c r="A127" t="s">
        <v>21</v>
      </c>
      <c r="B127" t="s">
        <v>16</v>
      </c>
      <c r="C127">
        <v>6</v>
      </c>
      <c r="D127">
        <f>SUMIFS(tGrossReq[GrossReqUnits],tGrossReq[Plant],#REF!,tGrossReq[Material],#REF!,tGrossReq[Fortnight],#REF!)</f>
        <v>0</v>
      </c>
      <c r="E127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7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7" t="e">
        <f>#REF!+#REF!-#REF!</f>
        <v>#REF!</v>
      </c>
    </row>
    <row r="128" spans="1:7" x14ac:dyDescent="0.3">
      <c r="A128" t="s">
        <v>21</v>
      </c>
      <c r="B128" t="s">
        <v>16</v>
      </c>
      <c r="C128">
        <v>7</v>
      </c>
      <c r="D128">
        <f>SUMIFS(tGrossReq[GrossReqUnits],tGrossReq[Plant],#REF!,tGrossReq[Material],#REF!,tGrossReq[Fortnight],#REF!)</f>
        <v>0</v>
      </c>
      <c r="E128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8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8" t="e">
        <f>#REF!+#REF!-#REF!</f>
        <v>#REF!</v>
      </c>
    </row>
    <row r="129" spans="1:7" x14ac:dyDescent="0.3">
      <c r="A129" t="s">
        <v>21</v>
      </c>
      <c r="B129" t="s">
        <v>16</v>
      </c>
      <c r="C129">
        <v>8</v>
      </c>
      <c r="D129">
        <f>SUMIFS(tGrossReq[GrossReqUnits],tGrossReq[Plant],#REF!,tGrossReq[Material],#REF!,tGrossReq[Fortnight],#REF!)</f>
        <v>0</v>
      </c>
      <c r="E129" t="e">
        <f ca="1">IF(_xludf.XLOOKUP(#REF!,tParams[Material],tParams[Type],"")="Part",_xludf.XLOOKUP(#REF!&amp;"|"&amp;#REF!&amp;"|"&amp;#REF!,tMRPParts[[#This Row],[Plant]]&amp;"|"&amp;tMRPParts[[#This Row],[Material]]&amp;"|"&amp;tMRPParts[[#This Row],[Fortnight]],tMRPParts[PlannedOrderReceiptUnits_Rounded],0),0)</f>
        <v>#NAME?</v>
      </c>
      <c r="F129" t="e">
        <f>IF(#REF!=1,_xludf.XLOOKUP(#REF!&amp;"|"&amp;#REF!,tInv0[[#This Row],[Plant]]&amp;"|"&amp;tInv0[[#This Row],[Columna1]],tInv0[Columna2],0)+IF(_xludf.XLOOKUP(#REF!,tParams[Material],tParams[Type],"")="Piece",_xludf.XLOOKUP(#REF!&amp;"|"&amp;#REF!,tPieces0[[#This Row],[Plant]]&amp;"|"&amp;tPieces0[[#This Row],[Material]],tPieces0[PlannedUnits_t0],0),0),_xludf.XLOOKUP(#REF!&amp;"|"&amp;#REF!&amp;"|"&amp;(#REF!-1),#REF!&amp;"|"&amp;#REF!&amp;"|"&amp;#REF!,#REF!,0))</f>
        <v>#REF!</v>
      </c>
      <c r="G129" t="e">
        <f>#REF!+#REF!-#REF!</f>
        <v>#REF!</v>
      </c>
    </row>
  </sheetData>
  <mergeCells count="12">
    <mergeCell ref="A2:K2"/>
    <mergeCell ref="A11:K11"/>
    <mergeCell ref="A47:K47"/>
    <mergeCell ref="A1:K1"/>
    <mergeCell ref="A17:K17"/>
    <mergeCell ref="A5:K5"/>
    <mergeCell ref="A23:K23"/>
    <mergeCell ref="A35:K35"/>
    <mergeCell ref="A3:K3"/>
    <mergeCell ref="A29:K29"/>
    <mergeCell ref="A41:K41"/>
    <mergeCell ref="A53:J53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zoomScaleNormal="100" workbookViewId="0">
      <selection activeCell="B14" sqref="B14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1" t="s">
        <v>24</v>
      </c>
      <c r="B1" s="1"/>
      <c r="C1" s="1"/>
      <c r="D1" s="1"/>
      <c r="E1" s="1"/>
      <c r="F1" s="1"/>
    </row>
    <row r="2" spans="1:9" ht="15" customHeight="1" x14ac:dyDescent="0.3">
      <c r="A2" s="1"/>
      <c r="B2" s="1"/>
      <c r="C2" s="1"/>
      <c r="D2" s="1"/>
      <c r="E2" s="1"/>
      <c r="F2" s="1"/>
    </row>
    <row r="3" spans="1:9" x14ac:dyDescent="0.3">
      <c r="A3" t="s">
        <v>25</v>
      </c>
    </row>
    <row r="4" spans="1:9" ht="15" customHeight="1" x14ac:dyDescent="0.3">
      <c r="A4" s="1" t="s">
        <v>26</v>
      </c>
      <c r="B4" s="1"/>
      <c r="C4" s="1"/>
      <c r="D4" s="1"/>
      <c r="E4" s="1"/>
      <c r="F4" s="1"/>
      <c r="G4" t="s">
        <v>27</v>
      </c>
      <c r="H4" t="s">
        <v>28</v>
      </c>
      <c r="I4" t="s">
        <v>29</v>
      </c>
    </row>
    <row r="5" spans="1:9" ht="15" customHeight="1" x14ac:dyDescent="0.3">
      <c r="A5" t="s">
        <v>30</v>
      </c>
      <c r="B5" t="e">
        <f ca="1">_xludf.XLOOKUP("Center"&amp;"|"&amp;1,tProdPlan[[#This Row],[Plant]]&amp;"|"&amp;tProdPlan[[#This Row],[Fortnight]],tProdPlan[EC_Produced],0)*DemandFactor</f>
        <v>#NAME?</v>
      </c>
      <c r="C5" t="e">
        <f ca="1">_xludf.XLOOKUP("Center"&amp;"|"&amp;2,tProdPlan[[#This Row],[Plant]]&amp;"|"&amp;tProdPlan[[#This Row],[Fortnight]],tProdPlan[EC_Produced],0)*DemandFactor</f>
        <v>#NAME?</v>
      </c>
      <c r="D5" t="e">
        <f ca="1">_xludf.XLOOKUP("Center"&amp;"|"&amp;3,tProdPlan[[#This Row],[Plant]]&amp;"|"&amp;tProdPlan[[#This Row],[Fortnight]],tProdPlan[EC_Produced],0)*DemandFactor</f>
        <v>#NAME?</v>
      </c>
      <c r="E5" t="e">
        <f ca="1">_xludf.XLOOKUP("Center"&amp;"|"&amp;4,tProdPlan[[#This Row],[Plant]]&amp;"|"&amp;tProdPlan[[#This Row],[Fortnight]],tProdPlan[EC_Produced],0)*DemandFactor</f>
        <v>#NAME?</v>
      </c>
      <c r="F5" t="e">
        <f ca="1">_xludf.XLOOKUP("Center"&amp;"|"&amp;5,tProdPlan[[#This Row],[Plant]]&amp;"|"&amp;tProdPlan[[#This Row],[Fortnight]],tProdPlan[EC_Produced],0)*DemandFactor</f>
        <v>#NAME?</v>
      </c>
      <c r="G5" t="e">
        <f ca="1">_xludf.XLOOKUP("Center"&amp;"|"&amp;6,tProdPlan[[#This Row],[Plant]]&amp;"|"&amp;tProdPlan[[#This Row],[Fortnight]],tProdPlan[EC_Produced],0)*DemandFactor</f>
        <v>#NAME?</v>
      </c>
      <c r="H5" t="e">
        <f ca="1">_xludf.XLOOKUP("Center"&amp;"|"&amp;7,tProdPlan[[#This Row],[Plant]]&amp;"|"&amp;tProdPlan[[#This Row],[Fortnight]],tProdPlan[EC_Produced],0)*DemandFactor</f>
        <v>#NAME?</v>
      </c>
      <c r="I5" t="e">
        <f ca="1">_xludf.XLOOKUP("Center"&amp;"|"&amp;8,tProdPlan[[#This Row],[Plant]]&amp;"|"&amp;tProdPlan[[#This Row],[Fortnight]],tProdPlan[EC_Produced],0)*DemandFactor</f>
        <v>#NAME?</v>
      </c>
    </row>
    <row r="6" spans="1:9" ht="15" customHeight="1" x14ac:dyDescent="0.3">
      <c r="A6" t="s">
        <v>31</v>
      </c>
      <c r="B6">
        <f t="shared" ref="B6:H6" ca="1" si="0">IFERROR(C5,0)</f>
        <v>0</v>
      </c>
      <c r="C6">
        <f t="shared" ca="1" si="0"/>
        <v>0</v>
      </c>
      <c r="D6">
        <f t="shared" ca="1" si="0"/>
        <v>0</v>
      </c>
      <c r="E6">
        <f t="shared" ca="1" si="0"/>
        <v>0</v>
      </c>
      <c r="F6">
        <f t="shared" ca="1" si="0"/>
        <v>0</v>
      </c>
      <c r="G6">
        <f t="shared" ca="1" si="0"/>
        <v>0</v>
      </c>
      <c r="H6">
        <f t="shared" ca="1" si="0"/>
        <v>0</v>
      </c>
      <c r="I6">
        <f>0</f>
        <v>0</v>
      </c>
    </row>
    <row r="7" spans="1:9" ht="15" customHeight="1" x14ac:dyDescent="0.3"/>
    <row r="8" spans="1:9" ht="15" customHeight="1" x14ac:dyDescent="0.3"/>
    <row r="9" spans="1:9" ht="15" customHeight="1" x14ac:dyDescent="0.3"/>
    <row r="10" spans="1:9" ht="15" customHeight="1" x14ac:dyDescent="0.3">
      <c r="A10" t="s">
        <v>32</v>
      </c>
    </row>
    <row r="11" spans="1:9" x14ac:dyDescent="0.3">
      <c r="A11" t="s">
        <v>26</v>
      </c>
      <c r="B11" t="s">
        <v>33</v>
      </c>
      <c r="C11" t="s">
        <v>34</v>
      </c>
      <c r="D11" t="s">
        <v>35</v>
      </c>
      <c r="E11" t="s">
        <v>36</v>
      </c>
      <c r="F11" t="s">
        <v>37</v>
      </c>
      <c r="G11" t="s">
        <v>27</v>
      </c>
      <c r="H11" t="s">
        <v>28</v>
      </c>
      <c r="I11" t="s">
        <v>29</v>
      </c>
    </row>
    <row r="12" spans="1:9" x14ac:dyDescent="0.3">
      <c r="A12" t="s">
        <v>30</v>
      </c>
      <c r="B12" t="e">
        <f ca="1">_xludf.XLOOKUP("West"&amp;"|"&amp;1,tProdPlan[[#This Row],[Plant]]&amp;"|"&amp;tProdPlan[[#This Row],[Fortnight]],tProdPlan[EC_Produced],0)*DemandFactor</f>
        <v>#NAME?</v>
      </c>
      <c r="C12" t="e">
        <f ca="1">_xludf.XLOOKUP("West"&amp;"|"&amp;2,tProdPlan[[#This Row],[Plant]]&amp;"|"&amp;tProdPlan[[#This Row],[Fortnight]],tProdPlan[EC_Produced],0)*DemandFactor</f>
        <v>#NAME?</v>
      </c>
      <c r="D12" t="e">
        <f ca="1">_xludf.XLOOKUP("West"&amp;"|"&amp;3,tProdPlan[[#This Row],[Plant]]&amp;"|"&amp;tProdPlan[[#This Row],[Fortnight]],tProdPlan[EC_Produced],0)*DemandFactor</f>
        <v>#NAME?</v>
      </c>
      <c r="E12" t="e">
        <f ca="1">_xludf.XLOOKUP("West"&amp;"|"&amp;4,tProdPlan[[#This Row],[Plant]]&amp;"|"&amp;tProdPlan[[#This Row],[Fortnight]],tProdPlan[EC_Produced],0)*DemandFactor</f>
        <v>#NAME?</v>
      </c>
      <c r="F12" t="e">
        <f ca="1">_xludf.XLOOKUP("West"&amp;"|"&amp;5,tProdPlan[[#This Row],[Plant]]&amp;"|"&amp;tProdPlan[[#This Row],[Fortnight]],tProdPlan[EC_Produced],0)*DemandFactor</f>
        <v>#NAME?</v>
      </c>
      <c r="G12" t="e">
        <f ca="1">_xludf.XLOOKUP("West"&amp;"|"&amp;6,tProdPlan[[#This Row],[Plant]]&amp;"|"&amp;tProdPlan[[#This Row],[Fortnight]],tProdPlan[EC_Produced],0)*DemandFactor</f>
        <v>#NAME?</v>
      </c>
      <c r="H12" t="e">
        <f ca="1">_xludf.XLOOKUP("West"&amp;"|"&amp;7,tProdPlan[[#This Row],[Plant]]&amp;"|"&amp;tProdPlan[[#This Row],[Fortnight]],tProdPlan[EC_Produced],0)*DemandFactor</f>
        <v>#NAME?</v>
      </c>
      <c r="I12" t="e">
        <f ca="1">_xludf.XLOOKUP("West"&amp;"|"&amp;8,tProdPlan[[#This Row],[Plant]]&amp;"|"&amp;tProdPlan[[#This Row],[Fortnight]],tProdPlan[EC_Produced],0)*DemandFactor</f>
        <v>#NAME?</v>
      </c>
    </row>
    <row r="13" spans="1:9" x14ac:dyDescent="0.3">
      <c r="A13" t="s">
        <v>31</v>
      </c>
      <c r="B13">
        <f t="shared" ref="B13:H13" ca="1" si="1">IFERROR(C12,0)</f>
        <v>0</v>
      </c>
      <c r="C13">
        <f t="shared" ca="1" si="1"/>
        <v>0</v>
      </c>
      <c r="D13">
        <f t="shared" ca="1" si="1"/>
        <v>0</v>
      </c>
      <c r="E13">
        <f t="shared" ca="1" si="1"/>
        <v>0</v>
      </c>
      <c r="F13">
        <f t="shared" ca="1" si="1"/>
        <v>0</v>
      </c>
      <c r="G13">
        <f t="shared" ca="1" si="1"/>
        <v>0</v>
      </c>
      <c r="H13">
        <f t="shared" ca="1" si="1"/>
        <v>0</v>
      </c>
      <c r="I13">
        <f>0</f>
        <v>0</v>
      </c>
    </row>
  </sheetData>
  <mergeCells count="3">
    <mergeCell ref="A2:F2"/>
    <mergeCell ref="A1:F1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9"/>
  <sheetViews>
    <sheetView workbookViewId="0"/>
  </sheetViews>
  <sheetFormatPr baseColWidth="10" defaultColWidth="8.88671875" defaultRowHeight="14.4" x14ac:dyDescent="0.3"/>
  <sheetData>
    <row r="1" spans="1:4" x14ac:dyDescent="0.3">
      <c r="A1" t="s">
        <v>17</v>
      </c>
      <c r="B1" t="s">
        <v>18</v>
      </c>
      <c r="C1" t="s">
        <v>3</v>
      </c>
      <c r="D1" t="s">
        <v>38</v>
      </c>
    </row>
    <row r="2" spans="1:4" x14ac:dyDescent="0.3">
      <c r="A2" t="s">
        <v>20</v>
      </c>
      <c r="B2">
        <v>1</v>
      </c>
      <c r="C2" t="s">
        <v>7</v>
      </c>
      <c r="D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" spans="1:4" x14ac:dyDescent="0.3">
      <c r="A3" t="s">
        <v>20</v>
      </c>
      <c r="B3">
        <v>1</v>
      </c>
      <c r="C3" t="s">
        <v>9</v>
      </c>
      <c r="D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" spans="1:4" x14ac:dyDescent="0.3">
      <c r="A4" t="s">
        <v>20</v>
      </c>
      <c r="B4">
        <v>1</v>
      </c>
      <c r="C4" t="s">
        <v>10</v>
      </c>
      <c r="D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" spans="1:4" x14ac:dyDescent="0.3">
      <c r="A5" t="s">
        <v>20</v>
      </c>
      <c r="B5">
        <v>1</v>
      </c>
      <c r="C5" t="s">
        <v>12</v>
      </c>
      <c r="D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" spans="1:4" x14ac:dyDescent="0.3">
      <c r="A6" t="s">
        <v>20</v>
      </c>
      <c r="B6">
        <v>1</v>
      </c>
      <c r="C6" t="s">
        <v>13</v>
      </c>
      <c r="D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" spans="1:4" x14ac:dyDescent="0.3">
      <c r="A7" t="s">
        <v>20</v>
      </c>
      <c r="B7">
        <v>1</v>
      </c>
      <c r="C7" t="s">
        <v>14</v>
      </c>
      <c r="D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" spans="1:4" x14ac:dyDescent="0.3">
      <c r="A8" t="s">
        <v>20</v>
      </c>
      <c r="B8">
        <v>1</v>
      </c>
      <c r="C8" t="s">
        <v>15</v>
      </c>
      <c r="D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" spans="1:4" x14ac:dyDescent="0.3">
      <c r="A9" t="s">
        <v>20</v>
      </c>
      <c r="B9">
        <v>1</v>
      </c>
      <c r="C9" t="s">
        <v>16</v>
      </c>
      <c r="D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" spans="1:4" x14ac:dyDescent="0.3">
      <c r="A10" t="s">
        <v>20</v>
      </c>
      <c r="B10">
        <v>2</v>
      </c>
      <c r="C10" t="s">
        <v>7</v>
      </c>
      <c r="D1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" spans="1:4" x14ac:dyDescent="0.3">
      <c r="A11" t="s">
        <v>20</v>
      </c>
      <c r="B11">
        <v>2</v>
      </c>
      <c r="C11" t="s">
        <v>9</v>
      </c>
      <c r="D1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" spans="1:4" x14ac:dyDescent="0.3">
      <c r="A12" t="s">
        <v>20</v>
      </c>
      <c r="B12">
        <v>2</v>
      </c>
      <c r="C12" t="s">
        <v>10</v>
      </c>
      <c r="D1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3" spans="1:4" x14ac:dyDescent="0.3">
      <c r="A13" t="s">
        <v>20</v>
      </c>
      <c r="B13">
        <v>2</v>
      </c>
      <c r="C13" t="s">
        <v>12</v>
      </c>
      <c r="D1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4" spans="1:4" x14ac:dyDescent="0.3">
      <c r="A14" t="s">
        <v>20</v>
      </c>
      <c r="B14">
        <v>2</v>
      </c>
      <c r="C14" t="s">
        <v>13</v>
      </c>
      <c r="D1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5" spans="1:4" x14ac:dyDescent="0.3">
      <c r="A15" t="s">
        <v>20</v>
      </c>
      <c r="B15">
        <v>2</v>
      </c>
      <c r="C15" t="s">
        <v>14</v>
      </c>
      <c r="D1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6" spans="1:4" x14ac:dyDescent="0.3">
      <c r="A16" t="s">
        <v>20</v>
      </c>
      <c r="B16">
        <v>2</v>
      </c>
      <c r="C16" t="s">
        <v>15</v>
      </c>
      <c r="D1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7" spans="1:4" x14ac:dyDescent="0.3">
      <c r="A17" t="s">
        <v>20</v>
      </c>
      <c r="B17">
        <v>2</v>
      </c>
      <c r="C17" t="s">
        <v>16</v>
      </c>
      <c r="D1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8" spans="1:4" x14ac:dyDescent="0.3">
      <c r="A18" t="s">
        <v>20</v>
      </c>
      <c r="B18">
        <v>3</v>
      </c>
      <c r="C18" t="s">
        <v>7</v>
      </c>
      <c r="D1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9" spans="1:4" x14ac:dyDescent="0.3">
      <c r="A19" t="s">
        <v>20</v>
      </c>
      <c r="B19">
        <v>3</v>
      </c>
      <c r="C19" t="s">
        <v>9</v>
      </c>
      <c r="D1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20" spans="1:4" x14ac:dyDescent="0.3">
      <c r="A20" t="s">
        <v>20</v>
      </c>
      <c r="B20">
        <v>3</v>
      </c>
      <c r="C20" t="s">
        <v>10</v>
      </c>
      <c r="D2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21" spans="1:4" x14ac:dyDescent="0.3">
      <c r="A21" t="s">
        <v>20</v>
      </c>
      <c r="B21">
        <v>3</v>
      </c>
      <c r="C21" t="s">
        <v>12</v>
      </c>
      <c r="D2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22" spans="1:4" x14ac:dyDescent="0.3">
      <c r="A22" t="s">
        <v>20</v>
      </c>
      <c r="B22">
        <v>3</v>
      </c>
      <c r="C22" t="s">
        <v>13</v>
      </c>
      <c r="D2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23" spans="1:4" x14ac:dyDescent="0.3">
      <c r="A23" t="s">
        <v>20</v>
      </c>
      <c r="B23">
        <v>3</v>
      </c>
      <c r="C23" t="s">
        <v>14</v>
      </c>
      <c r="D2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24" spans="1:4" x14ac:dyDescent="0.3">
      <c r="A24" t="s">
        <v>20</v>
      </c>
      <c r="B24">
        <v>3</v>
      </c>
      <c r="C24" t="s">
        <v>15</v>
      </c>
      <c r="D2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25" spans="1:4" x14ac:dyDescent="0.3">
      <c r="A25" t="s">
        <v>20</v>
      </c>
      <c r="B25">
        <v>3</v>
      </c>
      <c r="C25" t="s">
        <v>16</v>
      </c>
      <c r="D2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26" spans="1:4" x14ac:dyDescent="0.3">
      <c r="A26" t="s">
        <v>20</v>
      </c>
      <c r="B26">
        <v>4</v>
      </c>
      <c r="C26" t="s">
        <v>7</v>
      </c>
      <c r="D2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27" spans="1:4" x14ac:dyDescent="0.3">
      <c r="A27" t="s">
        <v>20</v>
      </c>
      <c r="B27">
        <v>4</v>
      </c>
      <c r="C27" t="s">
        <v>9</v>
      </c>
      <c r="D2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28" spans="1:4" x14ac:dyDescent="0.3">
      <c r="A28" t="s">
        <v>20</v>
      </c>
      <c r="B28">
        <v>4</v>
      </c>
      <c r="C28" t="s">
        <v>10</v>
      </c>
      <c r="D2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29" spans="1:4" x14ac:dyDescent="0.3">
      <c r="A29" t="s">
        <v>20</v>
      </c>
      <c r="B29">
        <v>4</v>
      </c>
      <c r="C29" t="s">
        <v>12</v>
      </c>
      <c r="D2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0" spans="1:4" x14ac:dyDescent="0.3">
      <c r="A30" t="s">
        <v>20</v>
      </c>
      <c r="B30">
        <v>4</v>
      </c>
      <c r="C30" t="s">
        <v>13</v>
      </c>
      <c r="D3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1" spans="1:4" x14ac:dyDescent="0.3">
      <c r="A31" t="s">
        <v>20</v>
      </c>
      <c r="B31">
        <v>4</v>
      </c>
      <c r="C31" t="s">
        <v>14</v>
      </c>
      <c r="D3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2" spans="1:4" x14ac:dyDescent="0.3">
      <c r="A32" t="s">
        <v>20</v>
      </c>
      <c r="B32">
        <v>4</v>
      </c>
      <c r="C32" t="s">
        <v>15</v>
      </c>
      <c r="D3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3" spans="1:4" x14ac:dyDescent="0.3">
      <c r="A33" t="s">
        <v>20</v>
      </c>
      <c r="B33">
        <v>4</v>
      </c>
      <c r="C33" t="s">
        <v>16</v>
      </c>
      <c r="D3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4" spans="1:4" x14ac:dyDescent="0.3">
      <c r="A34" t="s">
        <v>20</v>
      </c>
      <c r="B34">
        <v>5</v>
      </c>
      <c r="C34" t="s">
        <v>7</v>
      </c>
      <c r="D3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5" spans="1:4" x14ac:dyDescent="0.3">
      <c r="A35" t="s">
        <v>20</v>
      </c>
      <c r="B35">
        <v>5</v>
      </c>
      <c r="C35" t="s">
        <v>9</v>
      </c>
      <c r="D3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6" spans="1:4" x14ac:dyDescent="0.3">
      <c r="A36" t="s">
        <v>20</v>
      </c>
      <c r="B36">
        <v>5</v>
      </c>
      <c r="C36" t="s">
        <v>10</v>
      </c>
      <c r="D3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7" spans="1:4" x14ac:dyDescent="0.3">
      <c r="A37" t="s">
        <v>20</v>
      </c>
      <c r="B37">
        <v>5</v>
      </c>
      <c r="C37" t="s">
        <v>12</v>
      </c>
      <c r="D3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8" spans="1:4" x14ac:dyDescent="0.3">
      <c r="A38" t="s">
        <v>20</v>
      </c>
      <c r="B38">
        <v>5</v>
      </c>
      <c r="C38" t="s">
        <v>13</v>
      </c>
      <c r="D3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39" spans="1:4" x14ac:dyDescent="0.3">
      <c r="A39" t="s">
        <v>20</v>
      </c>
      <c r="B39">
        <v>5</v>
      </c>
      <c r="C39" t="s">
        <v>14</v>
      </c>
      <c r="D3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0" spans="1:4" x14ac:dyDescent="0.3">
      <c r="A40" t="s">
        <v>20</v>
      </c>
      <c r="B40">
        <v>5</v>
      </c>
      <c r="C40" t="s">
        <v>15</v>
      </c>
      <c r="D4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1" spans="1:4" x14ac:dyDescent="0.3">
      <c r="A41" t="s">
        <v>20</v>
      </c>
      <c r="B41">
        <v>5</v>
      </c>
      <c r="C41" t="s">
        <v>16</v>
      </c>
      <c r="D4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2" spans="1:4" x14ac:dyDescent="0.3">
      <c r="A42" t="s">
        <v>20</v>
      </c>
      <c r="B42">
        <v>6</v>
      </c>
      <c r="C42" t="s">
        <v>7</v>
      </c>
      <c r="D4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3" spans="1:4" x14ac:dyDescent="0.3">
      <c r="A43" t="s">
        <v>20</v>
      </c>
      <c r="B43">
        <v>6</v>
      </c>
      <c r="C43" t="s">
        <v>9</v>
      </c>
      <c r="D4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4" spans="1:4" x14ac:dyDescent="0.3">
      <c r="A44" t="s">
        <v>20</v>
      </c>
      <c r="B44">
        <v>6</v>
      </c>
      <c r="C44" t="s">
        <v>10</v>
      </c>
      <c r="D4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5" spans="1:4" x14ac:dyDescent="0.3">
      <c r="A45" t="s">
        <v>20</v>
      </c>
      <c r="B45">
        <v>6</v>
      </c>
      <c r="C45" t="s">
        <v>12</v>
      </c>
      <c r="D4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6" spans="1:4" x14ac:dyDescent="0.3">
      <c r="A46" t="s">
        <v>20</v>
      </c>
      <c r="B46">
        <v>6</v>
      </c>
      <c r="C46" t="s">
        <v>13</v>
      </c>
      <c r="D4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7" spans="1:4" x14ac:dyDescent="0.3">
      <c r="A47" t="s">
        <v>20</v>
      </c>
      <c r="B47">
        <v>6</v>
      </c>
      <c r="C47" t="s">
        <v>14</v>
      </c>
      <c r="D4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8" spans="1:4" x14ac:dyDescent="0.3">
      <c r="A48" t="s">
        <v>20</v>
      </c>
      <c r="B48">
        <v>6</v>
      </c>
      <c r="C48" t="s">
        <v>15</v>
      </c>
      <c r="D4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49" spans="1:4" x14ac:dyDescent="0.3">
      <c r="A49" t="s">
        <v>20</v>
      </c>
      <c r="B49">
        <v>6</v>
      </c>
      <c r="C49" t="s">
        <v>16</v>
      </c>
      <c r="D4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0" spans="1:4" x14ac:dyDescent="0.3">
      <c r="A50" t="s">
        <v>20</v>
      </c>
      <c r="B50">
        <v>7</v>
      </c>
      <c r="C50" t="s">
        <v>7</v>
      </c>
      <c r="D5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1" spans="1:4" x14ac:dyDescent="0.3">
      <c r="A51" t="s">
        <v>20</v>
      </c>
      <c r="B51">
        <v>7</v>
      </c>
      <c r="C51" t="s">
        <v>9</v>
      </c>
      <c r="D5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2" spans="1:4" x14ac:dyDescent="0.3">
      <c r="A52" t="s">
        <v>20</v>
      </c>
      <c r="B52">
        <v>7</v>
      </c>
      <c r="C52" t="s">
        <v>10</v>
      </c>
      <c r="D5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3" spans="1:4" x14ac:dyDescent="0.3">
      <c r="A53" t="s">
        <v>20</v>
      </c>
      <c r="B53">
        <v>7</v>
      </c>
      <c r="C53" t="s">
        <v>12</v>
      </c>
      <c r="D5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4" spans="1:4" x14ac:dyDescent="0.3">
      <c r="A54" t="s">
        <v>20</v>
      </c>
      <c r="B54">
        <v>7</v>
      </c>
      <c r="C54" t="s">
        <v>13</v>
      </c>
      <c r="D5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5" spans="1:4" x14ac:dyDescent="0.3">
      <c r="A55" t="s">
        <v>20</v>
      </c>
      <c r="B55">
        <v>7</v>
      </c>
      <c r="C55" t="s">
        <v>14</v>
      </c>
      <c r="D5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6" spans="1:4" x14ac:dyDescent="0.3">
      <c r="A56" t="s">
        <v>20</v>
      </c>
      <c r="B56">
        <v>7</v>
      </c>
      <c r="C56" t="s">
        <v>15</v>
      </c>
      <c r="D5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7" spans="1:4" x14ac:dyDescent="0.3">
      <c r="A57" t="s">
        <v>20</v>
      </c>
      <c r="B57">
        <v>7</v>
      </c>
      <c r="C57" t="s">
        <v>16</v>
      </c>
      <c r="D5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8" spans="1:4" x14ac:dyDescent="0.3">
      <c r="A58" t="s">
        <v>20</v>
      </c>
      <c r="B58">
        <v>8</v>
      </c>
      <c r="C58" t="s">
        <v>7</v>
      </c>
      <c r="D5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59" spans="1:4" x14ac:dyDescent="0.3">
      <c r="A59" t="s">
        <v>20</v>
      </c>
      <c r="B59">
        <v>8</v>
      </c>
      <c r="C59" t="s">
        <v>9</v>
      </c>
      <c r="D5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0" spans="1:4" x14ac:dyDescent="0.3">
      <c r="A60" t="s">
        <v>20</v>
      </c>
      <c r="B60">
        <v>8</v>
      </c>
      <c r="C60" t="s">
        <v>10</v>
      </c>
      <c r="D6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1" spans="1:4" x14ac:dyDescent="0.3">
      <c r="A61" t="s">
        <v>20</v>
      </c>
      <c r="B61">
        <v>8</v>
      </c>
      <c r="C61" t="s">
        <v>12</v>
      </c>
      <c r="D6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2" spans="1:4" x14ac:dyDescent="0.3">
      <c r="A62" t="s">
        <v>20</v>
      </c>
      <c r="B62">
        <v>8</v>
      </c>
      <c r="C62" t="s">
        <v>13</v>
      </c>
      <c r="D6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3" spans="1:4" x14ac:dyDescent="0.3">
      <c r="A63" t="s">
        <v>20</v>
      </c>
      <c r="B63">
        <v>8</v>
      </c>
      <c r="C63" t="s">
        <v>14</v>
      </c>
      <c r="D6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4" spans="1:4" x14ac:dyDescent="0.3">
      <c r="A64" t="s">
        <v>20</v>
      </c>
      <c r="B64">
        <v>8</v>
      </c>
      <c r="C64" t="s">
        <v>15</v>
      </c>
      <c r="D6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5" spans="1:4" x14ac:dyDescent="0.3">
      <c r="A65" t="s">
        <v>20</v>
      </c>
      <c r="B65">
        <v>8</v>
      </c>
      <c r="C65" t="s">
        <v>16</v>
      </c>
      <c r="D6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6" spans="1:4" x14ac:dyDescent="0.3">
      <c r="A66" t="s">
        <v>21</v>
      </c>
      <c r="B66">
        <v>1</v>
      </c>
      <c r="C66" t="s">
        <v>7</v>
      </c>
      <c r="D6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7" spans="1:4" x14ac:dyDescent="0.3">
      <c r="A67" t="s">
        <v>21</v>
      </c>
      <c r="B67">
        <v>1</v>
      </c>
      <c r="C67" t="s">
        <v>9</v>
      </c>
      <c r="D6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8" spans="1:4" x14ac:dyDescent="0.3">
      <c r="A68" t="s">
        <v>21</v>
      </c>
      <c r="B68">
        <v>1</v>
      </c>
      <c r="C68" t="s">
        <v>10</v>
      </c>
      <c r="D6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69" spans="1:4" x14ac:dyDescent="0.3">
      <c r="A69" t="s">
        <v>21</v>
      </c>
      <c r="B69">
        <v>1</v>
      </c>
      <c r="C69" t="s">
        <v>12</v>
      </c>
      <c r="D6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0" spans="1:4" x14ac:dyDescent="0.3">
      <c r="A70" t="s">
        <v>21</v>
      </c>
      <c r="B70">
        <v>1</v>
      </c>
      <c r="C70" t="s">
        <v>13</v>
      </c>
      <c r="D7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1" spans="1:4" x14ac:dyDescent="0.3">
      <c r="A71" t="s">
        <v>21</v>
      </c>
      <c r="B71">
        <v>1</v>
      </c>
      <c r="C71" t="s">
        <v>14</v>
      </c>
      <c r="D7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2" spans="1:4" x14ac:dyDescent="0.3">
      <c r="A72" t="s">
        <v>21</v>
      </c>
      <c r="B72">
        <v>1</v>
      </c>
      <c r="C72" t="s">
        <v>15</v>
      </c>
      <c r="D7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3" spans="1:4" x14ac:dyDescent="0.3">
      <c r="A73" t="s">
        <v>21</v>
      </c>
      <c r="B73">
        <v>1</v>
      </c>
      <c r="C73" t="s">
        <v>16</v>
      </c>
      <c r="D7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4" spans="1:4" x14ac:dyDescent="0.3">
      <c r="A74" t="s">
        <v>21</v>
      </c>
      <c r="B74">
        <v>2</v>
      </c>
      <c r="C74" t="s">
        <v>7</v>
      </c>
      <c r="D7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5" spans="1:4" x14ac:dyDescent="0.3">
      <c r="A75" t="s">
        <v>21</v>
      </c>
      <c r="B75">
        <v>2</v>
      </c>
      <c r="C75" t="s">
        <v>9</v>
      </c>
      <c r="D7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6" spans="1:4" x14ac:dyDescent="0.3">
      <c r="A76" t="s">
        <v>21</v>
      </c>
      <c r="B76">
        <v>2</v>
      </c>
      <c r="C76" t="s">
        <v>10</v>
      </c>
      <c r="D7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7" spans="1:4" x14ac:dyDescent="0.3">
      <c r="A77" t="s">
        <v>21</v>
      </c>
      <c r="B77">
        <v>2</v>
      </c>
      <c r="C77" t="s">
        <v>12</v>
      </c>
      <c r="D7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8" spans="1:4" x14ac:dyDescent="0.3">
      <c r="A78" t="s">
        <v>21</v>
      </c>
      <c r="B78">
        <v>2</v>
      </c>
      <c r="C78" t="s">
        <v>13</v>
      </c>
      <c r="D7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79" spans="1:4" x14ac:dyDescent="0.3">
      <c r="A79" t="s">
        <v>21</v>
      </c>
      <c r="B79">
        <v>2</v>
      </c>
      <c r="C79" t="s">
        <v>14</v>
      </c>
      <c r="D7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0" spans="1:4" x14ac:dyDescent="0.3">
      <c r="A80" t="s">
        <v>21</v>
      </c>
      <c r="B80">
        <v>2</v>
      </c>
      <c r="C80" t="s">
        <v>15</v>
      </c>
      <c r="D8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1" spans="1:4" x14ac:dyDescent="0.3">
      <c r="A81" t="s">
        <v>21</v>
      </c>
      <c r="B81">
        <v>2</v>
      </c>
      <c r="C81" t="s">
        <v>16</v>
      </c>
      <c r="D8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2" spans="1:4" x14ac:dyDescent="0.3">
      <c r="A82" t="s">
        <v>21</v>
      </c>
      <c r="B82">
        <v>3</v>
      </c>
      <c r="C82" t="s">
        <v>7</v>
      </c>
      <c r="D8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3" spans="1:4" x14ac:dyDescent="0.3">
      <c r="A83" t="s">
        <v>21</v>
      </c>
      <c r="B83">
        <v>3</v>
      </c>
      <c r="C83" t="s">
        <v>9</v>
      </c>
      <c r="D8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4" spans="1:4" x14ac:dyDescent="0.3">
      <c r="A84" t="s">
        <v>21</v>
      </c>
      <c r="B84">
        <v>3</v>
      </c>
      <c r="C84" t="s">
        <v>10</v>
      </c>
      <c r="D8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5" spans="1:4" x14ac:dyDescent="0.3">
      <c r="A85" t="s">
        <v>21</v>
      </c>
      <c r="B85">
        <v>3</v>
      </c>
      <c r="C85" t="s">
        <v>12</v>
      </c>
      <c r="D8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6" spans="1:4" x14ac:dyDescent="0.3">
      <c r="A86" t="s">
        <v>21</v>
      </c>
      <c r="B86">
        <v>3</v>
      </c>
      <c r="C86" t="s">
        <v>13</v>
      </c>
      <c r="D8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7" spans="1:4" x14ac:dyDescent="0.3">
      <c r="A87" t="s">
        <v>21</v>
      </c>
      <c r="B87">
        <v>3</v>
      </c>
      <c r="C87" t="s">
        <v>14</v>
      </c>
      <c r="D8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8" spans="1:4" x14ac:dyDescent="0.3">
      <c r="A88" t="s">
        <v>21</v>
      </c>
      <c r="B88">
        <v>3</v>
      </c>
      <c r="C88" t="s">
        <v>15</v>
      </c>
      <c r="D8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89" spans="1:4" x14ac:dyDescent="0.3">
      <c r="A89" t="s">
        <v>21</v>
      </c>
      <c r="B89">
        <v>3</v>
      </c>
      <c r="C89" t="s">
        <v>16</v>
      </c>
      <c r="D8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0" spans="1:4" x14ac:dyDescent="0.3">
      <c r="A90" t="s">
        <v>21</v>
      </c>
      <c r="B90">
        <v>4</v>
      </c>
      <c r="C90" t="s">
        <v>7</v>
      </c>
      <c r="D9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1" spans="1:4" x14ac:dyDescent="0.3">
      <c r="A91" t="s">
        <v>21</v>
      </c>
      <c r="B91">
        <v>4</v>
      </c>
      <c r="C91" t="s">
        <v>9</v>
      </c>
      <c r="D9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2" spans="1:4" x14ac:dyDescent="0.3">
      <c r="A92" t="s">
        <v>21</v>
      </c>
      <c r="B92">
        <v>4</v>
      </c>
      <c r="C92" t="s">
        <v>10</v>
      </c>
      <c r="D9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3" spans="1:4" x14ac:dyDescent="0.3">
      <c r="A93" t="s">
        <v>21</v>
      </c>
      <c r="B93">
        <v>4</v>
      </c>
      <c r="C93" t="s">
        <v>12</v>
      </c>
      <c r="D9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4" spans="1:4" x14ac:dyDescent="0.3">
      <c r="A94" t="s">
        <v>21</v>
      </c>
      <c r="B94">
        <v>4</v>
      </c>
      <c r="C94" t="s">
        <v>13</v>
      </c>
      <c r="D9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5" spans="1:4" x14ac:dyDescent="0.3">
      <c r="A95" t="s">
        <v>21</v>
      </c>
      <c r="B95">
        <v>4</v>
      </c>
      <c r="C95" t="s">
        <v>14</v>
      </c>
      <c r="D9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6" spans="1:4" x14ac:dyDescent="0.3">
      <c r="A96" t="s">
        <v>21</v>
      </c>
      <c r="B96">
        <v>4</v>
      </c>
      <c r="C96" t="s">
        <v>15</v>
      </c>
      <c r="D9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7" spans="1:4" x14ac:dyDescent="0.3">
      <c r="A97" t="s">
        <v>21</v>
      </c>
      <c r="B97">
        <v>4</v>
      </c>
      <c r="C97" t="s">
        <v>16</v>
      </c>
      <c r="D9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8" spans="1:4" x14ac:dyDescent="0.3">
      <c r="A98" t="s">
        <v>21</v>
      </c>
      <c r="B98">
        <v>5</v>
      </c>
      <c r="C98" t="s">
        <v>7</v>
      </c>
      <c r="D9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99" spans="1:4" x14ac:dyDescent="0.3">
      <c r="A99" t="s">
        <v>21</v>
      </c>
      <c r="B99">
        <v>5</v>
      </c>
      <c r="C99" t="s">
        <v>9</v>
      </c>
      <c r="D9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0" spans="1:4" x14ac:dyDescent="0.3">
      <c r="A100" t="s">
        <v>21</v>
      </c>
      <c r="B100">
        <v>5</v>
      </c>
      <c r="C100" t="s">
        <v>10</v>
      </c>
      <c r="D10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1" spans="1:4" x14ac:dyDescent="0.3">
      <c r="A101" t="s">
        <v>21</v>
      </c>
      <c r="B101">
        <v>5</v>
      </c>
      <c r="C101" t="s">
        <v>12</v>
      </c>
      <c r="D10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2" spans="1:4" x14ac:dyDescent="0.3">
      <c r="A102" t="s">
        <v>21</v>
      </c>
      <c r="B102">
        <v>5</v>
      </c>
      <c r="C102" t="s">
        <v>13</v>
      </c>
      <c r="D10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3" spans="1:4" x14ac:dyDescent="0.3">
      <c r="A103" t="s">
        <v>21</v>
      </c>
      <c r="B103">
        <v>5</v>
      </c>
      <c r="C103" t="s">
        <v>14</v>
      </c>
      <c r="D10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4" spans="1:4" x14ac:dyDescent="0.3">
      <c r="A104" t="s">
        <v>21</v>
      </c>
      <c r="B104">
        <v>5</v>
      </c>
      <c r="C104" t="s">
        <v>15</v>
      </c>
      <c r="D10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5" spans="1:4" x14ac:dyDescent="0.3">
      <c r="A105" t="s">
        <v>21</v>
      </c>
      <c r="B105">
        <v>5</v>
      </c>
      <c r="C105" t="s">
        <v>16</v>
      </c>
      <c r="D10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6" spans="1:4" x14ac:dyDescent="0.3">
      <c r="A106" t="s">
        <v>21</v>
      </c>
      <c r="B106">
        <v>6</v>
      </c>
      <c r="C106" t="s">
        <v>7</v>
      </c>
      <c r="D10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7" spans="1:4" x14ac:dyDescent="0.3">
      <c r="A107" t="s">
        <v>21</v>
      </c>
      <c r="B107">
        <v>6</v>
      </c>
      <c r="C107" t="s">
        <v>9</v>
      </c>
      <c r="D10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8" spans="1:4" x14ac:dyDescent="0.3">
      <c r="A108" t="s">
        <v>21</v>
      </c>
      <c r="B108">
        <v>6</v>
      </c>
      <c r="C108" t="s">
        <v>10</v>
      </c>
      <c r="D10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09" spans="1:4" x14ac:dyDescent="0.3">
      <c r="A109" t="s">
        <v>21</v>
      </c>
      <c r="B109">
        <v>6</v>
      </c>
      <c r="C109" t="s">
        <v>12</v>
      </c>
      <c r="D10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0" spans="1:4" x14ac:dyDescent="0.3">
      <c r="A110" t="s">
        <v>21</v>
      </c>
      <c r="B110">
        <v>6</v>
      </c>
      <c r="C110" t="s">
        <v>13</v>
      </c>
      <c r="D11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1" spans="1:4" x14ac:dyDescent="0.3">
      <c r="A111" t="s">
        <v>21</v>
      </c>
      <c r="B111">
        <v>6</v>
      </c>
      <c r="C111" t="s">
        <v>14</v>
      </c>
      <c r="D11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2" spans="1:4" x14ac:dyDescent="0.3">
      <c r="A112" t="s">
        <v>21</v>
      </c>
      <c r="B112">
        <v>6</v>
      </c>
      <c r="C112" t="s">
        <v>15</v>
      </c>
      <c r="D11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3" spans="1:4" x14ac:dyDescent="0.3">
      <c r="A113" t="s">
        <v>21</v>
      </c>
      <c r="B113">
        <v>6</v>
      </c>
      <c r="C113" t="s">
        <v>16</v>
      </c>
      <c r="D11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4" spans="1:4" x14ac:dyDescent="0.3">
      <c r="A114" t="s">
        <v>21</v>
      </c>
      <c r="B114">
        <v>7</v>
      </c>
      <c r="C114" t="s">
        <v>7</v>
      </c>
      <c r="D11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5" spans="1:4" x14ac:dyDescent="0.3">
      <c r="A115" t="s">
        <v>21</v>
      </c>
      <c r="B115">
        <v>7</v>
      </c>
      <c r="C115" t="s">
        <v>9</v>
      </c>
      <c r="D11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6" spans="1:4" x14ac:dyDescent="0.3">
      <c r="A116" t="s">
        <v>21</v>
      </c>
      <c r="B116">
        <v>7</v>
      </c>
      <c r="C116" t="s">
        <v>10</v>
      </c>
      <c r="D11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7" spans="1:4" x14ac:dyDescent="0.3">
      <c r="A117" t="s">
        <v>21</v>
      </c>
      <c r="B117">
        <v>7</v>
      </c>
      <c r="C117" t="s">
        <v>12</v>
      </c>
      <c r="D11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8" spans="1:4" x14ac:dyDescent="0.3">
      <c r="A118" t="s">
        <v>21</v>
      </c>
      <c r="B118">
        <v>7</v>
      </c>
      <c r="C118" t="s">
        <v>13</v>
      </c>
      <c r="D11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19" spans="1:4" x14ac:dyDescent="0.3">
      <c r="A119" t="s">
        <v>21</v>
      </c>
      <c r="B119">
        <v>7</v>
      </c>
      <c r="C119" t="s">
        <v>14</v>
      </c>
      <c r="D11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0" spans="1:4" x14ac:dyDescent="0.3">
      <c r="A120" t="s">
        <v>21</v>
      </c>
      <c r="B120">
        <v>7</v>
      </c>
      <c r="C120" t="s">
        <v>15</v>
      </c>
      <c r="D120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1" spans="1:4" x14ac:dyDescent="0.3">
      <c r="A121" t="s">
        <v>21</v>
      </c>
      <c r="B121">
        <v>7</v>
      </c>
      <c r="C121" t="s">
        <v>16</v>
      </c>
      <c r="D121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2" spans="1:4" x14ac:dyDescent="0.3">
      <c r="A122" t="s">
        <v>21</v>
      </c>
      <c r="B122">
        <v>8</v>
      </c>
      <c r="C122" t="s">
        <v>7</v>
      </c>
      <c r="D122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3" spans="1:4" x14ac:dyDescent="0.3">
      <c r="A123" t="s">
        <v>21</v>
      </c>
      <c r="B123">
        <v>8</v>
      </c>
      <c r="C123" t="s">
        <v>9</v>
      </c>
      <c r="D123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4" spans="1:4" x14ac:dyDescent="0.3">
      <c r="A124" t="s">
        <v>21</v>
      </c>
      <c r="B124">
        <v>8</v>
      </c>
      <c r="C124" t="s">
        <v>10</v>
      </c>
      <c r="D124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5" spans="1:4" x14ac:dyDescent="0.3">
      <c r="A125" t="s">
        <v>21</v>
      </c>
      <c r="B125">
        <v>8</v>
      </c>
      <c r="C125" t="s">
        <v>12</v>
      </c>
      <c r="D125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6" spans="1:4" x14ac:dyDescent="0.3">
      <c r="A126" t="s">
        <v>21</v>
      </c>
      <c r="B126">
        <v>8</v>
      </c>
      <c r="C126" t="s">
        <v>13</v>
      </c>
      <c r="D126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7" spans="1:4" x14ac:dyDescent="0.3">
      <c r="A127" t="s">
        <v>21</v>
      </c>
      <c r="B127">
        <v>8</v>
      </c>
      <c r="C127" t="s">
        <v>14</v>
      </c>
      <c r="D127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8" spans="1:4" x14ac:dyDescent="0.3">
      <c r="A128" t="s">
        <v>21</v>
      </c>
      <c r="B128">
        <v>8</v>
      </c>
      <c r="C128" t="s">
        <v>15</v>
      </c>
      <c r="D128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  <row r="129" spans="1:4" x14ac:dyDescent="0.3">
      <c r="A129" t="s">
        <v>21</v>
      </c>
      <c r="B129">
        <v>8</v>
      </c>
      <c r="C129" t="s">
        <v>16</v>
      </c>
      <c r="D129" t="e">
        <f ca="1">_xludf.LET(mat,#REF!,pl,#REF!,fn,#REF!,cons,_xludf.XLOOKUP(mat,tParams[Material],tParams[ConsPerEC],0),prod,_xludf.XLOOKUP(pl&amp;"|"&amp;fn,tProdPlan[[#This Row],[Plant]]&amp;"|"&amp;tProdPlan[[#This Row],[Fortnight]],tProdPlan[EC_Produced],0),cons*prod)</f>
        <v>#NAME?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3"/>
  <sheetViews>
    <sheetView workbookViewId="0"/>
  </sheetViews>
  <sheetFormatPr baseColWidth="10" defaultColWidth="8.88671875" defaultRowHeight="14.4" x14ac:dyDescent="0.3"/>
  <sheetData>
    <row r="1" spans="1:13" x14ac:dyDescent="0.3">
      <c r="A1" t="s">
        <v>17</v>
      </c>
      <c r="B1" t="s">
        <v>3</v>
      </c>
      <c r="C1" t="s">
        <v>18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</row>
    <row r="2" spans="1:13" x14ac:dyDescent="0.3">
      <c r="A2" t="s">
        <v>20</v>
      </c>
      <c r="B2" t="s">
        <v>7</v>
      </c>
      <c r="C2">
        <v>1</v>
      </c>
      <c r="D2">
        <f>SUMIFS(tGrossReq[GrossReqUnits],tGrossReq[Plant],#REF!,tGrossReq[Material],#REF!,tGrossReq[Fortnight],#REF!)</f>
        <v>0</v>
      </c>
      <c r="E2" t="e">
        <f>#REF!</f>
        <v>#REF!</v>
      </c>
      <c r="F2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" t="e">
        <f>#REF!+#REF!-#REF!</f>
        <v>#REF!</v>
      </c>
      <c r="H2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" t="e">
        <f>MAX(0,#REF!-(#REF!-#REF!))</f>
        <v>#REF!</v>
      </c>
      <c r="J2" t="e">
        <f>#REF!</f>
        <v>#REF!</v>
      </c>
      <c r="K2" t="e">
        <f ca="1">CEILING(#REF!/_xludf.XLOOKUP(#REF!,tParams[Material],tParams[BatchSize],1),1)</f>
        <v>#REF!</v>
      </c>
      <c r="L2" t="e">
        <f ca="1">#REF!*_xludf.XLOOKUP(#REF!,tParams[Material],tParams[BatchSize],1)</f>
        <v>#REF!</v>
      </c>
      <c r="M2" t="e">
        <f>#REF!</f>
        <v>#REF!</v>
      </c>
    </row>
    <row r="3" spans="1:13" x14ac:dyDescent="0.3">
      <c r="A3" t="s">
        <v>20</v>
      </c>
      <c r="B3" t="s">
        <v>7</v>
      </c>
      <c r="C3">
        <v>2</v>
      </c>
      <c r="D3">
        <f>SUMIFS(tGrossReq[GrossReqUnits],tGrossReq[Plant],#REF!,tGrossReq[Material],#REF!,tGrossReq[Fortnight],#REF!)</f>
        <v>0</v>
      </c>
      <c r="E3" t="e">
        <f>#REF!</f>
        <v>#REF!</v>
      </c>
      <c r="F3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3" t="e">
        <f>#REF!+#REF!-#REF!</f>
        <v>#REF!</v>
      </c>
      <c r="H3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3" t="e">
        <f>MAX(0,#REF!-(#REF!-#REF!))</f>
        <v>#REF!</v>
      </c>
      <c r="J3" t="e">
        <f>#REF!</f>
        <v>#REF!</v>
      </c>
      <c r="K3" t="e">
        <f ca="1">CEILING(#REF!/_xludf.XLOOKUP(#REF!,tParams[Material],tParams[BatchSize],1),1)</f>
        <v>#REF!</v>
      </c>
      <c r="L3" t="e">
        <f ca="1">#REF!*_xludf.XLOOKUP(#REF!,tParams[Material],tParams[BatchSize],1)</f>
        <v>#REF!</v>
      </c>
      <c r="M3" t="e">
        <f>#REF!</f>
        <v>#REF!</v>
      </c>
    </row>
    <row r="4" spans="1:13" x14ac:dyDescent="0.3">
      <c r="A4" t="s">
        <v>20</v>
      </c>
      <c r="B4" t="s">
        <v>7</v>
      </c>
      <c r="C4">
        <v>3</v>
      </c>
      <c r="D4">
        <f>SUMIFS(tGrossReq[GrossReqUnits],tGrossReq[Plant],#REF!,tGrossReq[Material],#REF!,tGrossReq[Fortnight],#REF!)</f>
        <v>0</v>
      </c>
      <c r="E4" t="e">
        <f>#REF!</f>
        <v>#REF!</v>
      </c>
      <c r="F4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4" t="e">
        <f>#REF!+#REF!-#REF!</f>
        <v>#REF!</v>
      </c>
      <c r="H4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4" t="e">
        <f>MAX(0,#REF!-(#REF!-#REF!))</f>
        <v>#REF!</v>
      </c>
      <c r="J4" t="e">
        <f>#REF!</f>
        <v>#REF!</v>
      </c>
      <c r="K4" t="e">
        <f ca="1">CEILING(#REF!/_xludf.XLOOKUP(#REF!,tParams[Material],tParams[BatchSize],1),1)</f>
        <v>#REF!</v>
      </c>
      <c r="L4" t="e">
        <f ca="1">#REF!*_xludf.XLOOKUP(#REF!,tParams[Material],tParams[BatchSize],1)</f>
        <v>#REF!</v>
      </c>
      <c r="M4" t="e">
        <f>#REF!</f>
        <v>#REF!</v>
      </c>
    </row>
    <row r="5" spans="1:13" x14ac:dyDescent="0.3">
      <c r="A5" t="s">
        <v>20</v>
      </c>
      <c r="B5" t="s">
        <v>7</v>
      </c>
      <c r="C5">
        <v>4</v>
      </c>
      <c r="D5">
        <f>SUMIFS(tGrossReq[GrossReqUnits],tGrossReq[Plant],#REF!,tGrossReq[Material],#REF!,tGrossReq[Fortnight],#REF!)</f>
        <v>0</v>
      </c>
      <c r="E5" t="e">
        <f>#REF!</f>
        <v>#REF!</v>
      </c>
      <c r="F5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5" t="e">
        <f>#REF!+#REF!-#REF!</f>
        <v>#REF!</v>
      </c>
      <c r="H5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5" t="e">
        <f>MAX(0,#REF!-(#REF!-#REF!))</f>
        <v>#REF!</v>
      </c>
      <c r="J5" t="e">
        <f>#REF!</f>
        <v>#REF!</v>
      </c>
      <c r="K5" t="e">
        <f ca="1">CEILING(#REF!/_xludf.XLOOKUP(#REF!,tParams[Material],tParams[BatchSize],1),1)</f>
        <v>#REF!</v>
      </c>
      <c r="L5" t="e">
        <f ca="1">#REF!*_xludf.XLOOKUP(#REF!,tParams[Material],tParams[BatchSize],1)</f>
        <v>#REF!</v>
      </c>
      <c r="M5" t="e">
        <f>#REF!</f>
        <v>#REF!</v>
      </c>
    </row>
    <row r="6" spans="1:13" x14ac:dyDescent="0.3">
      <c r="A6" t="s">
        <v>20</v>
      </c>
      <c r="B6" t="s">
        <v>7</v>
      </c>
      <c r="C6">
        <v>5</v>
      </c>
      <c r="D6">
        <f>SUMIFS(tGrossReq[GrossReqUnits],tGrossReq[Plant],#REF!,tGrossReq[Material],#REF!,tGrossReq[Fortnight],#REF!)</f>
        <v>0</v>
      </c>
      <c r="E6" t="e">
        <f>#REF!</f>
        <v>#REF!</v>
      </c>
      <c r="F6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6" t="e">
        <f>#REF!+#REF!-#REF!</f>
        <v>#REF!</v>
      </c>
      <c r="H6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6" t="e">
        <f>MAX(0,#REF!-(#REF!-#REF!))</f>
        <v>#REF!</v>
      </c>
      <c r="J6" t="e">
        <f>#REF!</f>
        <v>#REF!</v>
      </c>
      <c r="K6" t="e">
        <f ca="1">CEILING(#REF!/_xludf.XLOOKUP(#REF!,tParams[Material],tParams[BatchSize],1),1)</f>
        <v>#REF!</v>
      </c>
      <c r="L6" t="e">
        <f ca="1">#REF!*_xludf.XLOOKUP(#REF!,tParams[Material],tParams[BatchSize],1)</f>
        <v>#REF!</v>
      </c>
      <c r="M6" t="e">
        <f>#REF!</f>
        <v>#REF!</v>
      </c>
    </row>
    <row r="7" spans="1:13" x14ac:dyDescent="0.3">
      <c r="A7" t="s">
        <v>20</v>
      </c>
      <c r="B7" t="s">
        <v>7</v>
      </c>
      <c r="C7">
        <v>6</v>
      </c>
      <c r="D7">
        <f>SUMIFS(tGrossReq[GrossReqUnits],tGrossReq[Plant],#REF!,tGrossReq[Material],#REF!,tGrossReq[Fortnight],#REF!)</f>
        <v>0</v>
      </c>
      <c r="E7" t="e">
        <f>#REF!</f>
        <v>#REF!</v>
      </c>
      <c r="F7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7" t="e">
        <f>#REF!+#REF!-#REF!</f>
        <v>#REF!</v>
      </c>
      <c r="H7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7" t="e">
        <f>MAX(0,#REF!-(#REF!-#REF!))</f>
        <v>#REF!</v>
      </c>
      <c r="J7" t="e">
        <f>#REF!</f>
        <v>#REF!</v>
      </c>
      <c r="K7" t="e">
        <f ca="1">CEILING(#REF!/_xludf.XLOOKUP(#REF!,tParams[Material],tParams[BatchSize],1),1)</f>
        <v>#REF!</v>
      </c>
      <c r="L7" t="e">
        <f ca="1">#REF!*_xludf.XLOOKUP(#REF!,tParams[Material],tParams[BatchSize],1)</f>
        <v>#REF!</v>
      </c>
      <c r="M7" t="e">
        <f>#REF!</f>
        <v>#REF!</v>
      </c>
    </row>
    <row r="8" spans="1:13" x14ac:dyDescent="0.3">
      <c r="A8" t="s">
        <v>20</v>
      </c>
      <c r="B8" t="s">
        <v>7</v>
      </c>
      <c r="C8">
        <v>7</v>
      </c>
      <c r="D8">
        <f>SUMIFS(tGrossReq[GrossReqUnits],tGrossReq[Plant],#REF!,tGrossReq[Material],#REF!,tGrossReq[Fortnight],#REF!)</f>
        <v>0</v>
      </c>
      <c r="E8" t="e">
        <f>#REF!</f>
        <v>#REF!</v>
      </c>
      <c r="F8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8" t="e">
        <f>#REF!+#REF!-#REF!</f>
        <v>#REF!</v>
      </c>
      <c r="H8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8" t="e">
        <f>MAX(0,#REF!-(#REF!-#REF!))</f>
        <v>#REF!</v>
      </c>
      <c r="J8" t="e">
        <f>#REF!</f>
        <v>#REF!</v>
      </c>
      <c r="K8" t="e">
        <f ca="1">CEILING(#REF!/_xludf.XLOOKUP(#REF!,tParams[Material],tParams[BatchSize],1),1)</f>
        <v>#REF!</v>
      </c>
      <c r="L8" t="e">
        <f ca="1">#REF!*_xludf.XLOOKUP(#REF!,tParams[Material],tParams[BatchSize],1)</f>
        <v>#REF!</v>
      </c>
      <c r="M8" t="e">
        <f>#REF!</f>
        <v>#REF!</v>
      </c>
    </row>
    <row r="9" spans="1:13" x14ac:dyDescent="0.3">
      <c r="A9" t="s">
        <v>20</v>
      </c>
      <c r="B9" t="s">
        <v>7</v>
      </c>
      <c r="C9">
        <v>8</v>
      </c>
      <c r="D9">
        <f>SUMIFS(tGrossReq[GrossReqUnits],tGrossReq[Plant],#REF!,tGrossReq[Material],#REF!,tGrossReq[Fortnight],#REF!)</f>
        <v>0</v>
      </c>
      <c r="E9" t="e">
        <f>#REF!</f>
        <v>#REF!</v>
      </c>
      <c r="F9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9" t="e">
        <f>#REF!+#REF!-#REF!</f>
        <v>#REF!</v>
      </c>
      <c r="H9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9" t="e">
        <f>MAX(0,#REF!-(#REF!-#REF!))</f>
        <v>#REF!</v>
      </c>
      <c r="J9" t="e">
        <f>#REF!</f>
        <v>#REF!</v>
      </c>
      <c r="K9" t="e">
        <f ca="1">CEILING(#REF!/_xludf.XLOOKUP(#REF!,tParams[Material],tParams[BatchSize],1),1)</f>
        <v>#REF!</v>
      </c>
      <c r="L9" t="e">
        <f ca="1">#REF!*_xludf.XLOOKUP(#REF!,tParams[Material],tParams[BatchSize],1)</f>
        <v>#REF!</v>
      </c>
      <c r="M9" t="e">
        <f>#REF!</f>
        <v>#REF!</v>
      </c>
    </row>
    <row r="10" spans="1:13" x14ac:dyDescent="0.3">
      <c r="A10" t="s">
        <v>20</v>
      </c>
      <c r="B10" t="s">
        <v>9</v>
      </c>
      <c r="C10">
        <v>1</v>
      </c>
      <c r="D10">
        <f>SUMIFS(tGrossReq[GrossReqUnits],tGrossReq[Plant],#REF!,tGrossReq[Material],#REF!,tGrossReq[Fortnight],#REF!)</f>
        <v>0</v>
      </c>
      <c r="E10" t="e">
        <f>#REF!</f>
        <v>#REF!</v>
      </c>
      <c r="F10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10" t="e">
        <f>#REF!+#REF!-#REF!</f>
        <v>#REF!</v>
      </c>
      <c r="H10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10" t="e">
        <f>MAX(0,#REF!-(#REF!-#REF!))</f>
        <v>#REF!</v>
      </c>
      <c r="J10" t="e">
        <f>#REF!</f>
        <v>#REF!</v>
      </c>
      <c r="K10" t="e">
        <f ca="1">CEILING(#REF!/_xludf.XLOOKUP(#REF!,tParams[Material],tParams[BatchSize],1),1)</f>
        <v>#REF!</v>
      </c>
      <c r="L10" t="e">
        <f ca="1">#REF!*_xludf.XLOOKUP(#REF!,tParams[Material],tParams[BatchSize],1)</f>
        <v>#REF!</v>
      </c>
      <c r="M10" t="e">
        <f>#REF!</f>
        <v>#REF!</v>
      </c>
    </row>
    <row r="11" spans="1:13" x14ac:dyDescent="0.3">
      <c r="A11" t="s">
        <v>20</v>
      </c>
      <c r="B11" t="s">
        <v>9</v>
      </c>
      <c r="C11">
        <v>2</v>
      </c>
      <c r="D11">
        <f>SUMIFS(tGrossReq[GrossReqUnits],tGrossReq[Plant],#REF!,tGrossReq[Material],#REF!,tGrossReq[Fortnight],#REF!)</f>
        <v>0</v>
      </c>
      <c r="E11" t="e">
        <f>#REF!</f>
        <v>#REF!</v>
      </c>
      <c r="F11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11" t="e">
        <f>#REF!+#REF!-#REF!</f>
        <v>#REF!</v>
      </c>
      <c r="H11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11" t="e">
        <f>MAX(0,#REF!-(#REF!-#REF!))</f>
        <v>#REF!</v>
      </c>
      <c r="J11" t="e">
        <f>#REF!</f>
        <v>#REF!</v>
      </c>
      <c r="K11" t="e">
        <f ca="1">CEILING(#REF!/_xludf.XLOOKUP(#REF!,tParams[Material],tParams[BatchSize],1),1)</f>
        <v>#REF!</v>
      </c>
      <c r="L11" t="e">
        <f ca="1">#REF!*_xludf.XLOOKUP(#REF!,tParams[Material],tParams[BatchSize],1)</f>
        <v>#REF!</v>
      </c>
      <c r="M11" t="e">
        <f>#REF!</f>
        <v>#REF!</v>
      </c>
    </row>
    <row r="12" spans="1:13" x14ac:dyDescent="0.3">
      <c r="A12" t="s">
        <v>20</v>
      </c>
      <c r="B12" t="s">
        <v>9</v>
      </c>
      <c r="C12">
        <v>3</v>
      </c>
      <c r="D12">
        <f>SUMIFS(tGrossReq[GrossReqUnits],tGrossReq[Plant],#REF!,tGrossReq[Material],#REF!,tGrossReq[Fortnight],#REF!)</f>
        <v>0</v>
      </c>
      <c r="E12" t="e">
        <f>#REF!</f>
        <v>#REF!</v>
      </c>
      <c r="F12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12" t="e">
        <f>#REF!+#REF!-#REF!</f>
        <v>#REF!</v>
      </c>
      <c r="H12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12" t="e">
        <f>MAX(0,#REF!-(#REF!-#REF!))</f>
        <v>#REF!</v>
      </c>
      <c r="J12" t="e">
        <f>#REF!</f>
        <v>#REF!</v>
      </c>
      <c r="K12" t="e">
        <f ca="1">CEILING(#REF!/_xludf.XLOOKUP(#REF!,tParams[Material],tParams[BatchSize],1),1)</f>
        <v>#REF!</v>
      </c>
      <c r="L12" t="e">
        <f ca="1">#REF!*_xludf.XLOOKUP(#REF!,tParams[Material],tParams[BatchSize],1)</f>
        <v>#REF!</v>
      </c>
      <c r="M12" t="e">
        <f>#REF!</f>
        <v>#REF!</v>
      </c>
    </row>
    <row r="13" spans="1:13" x14ac:dyDescent="0.3">
      <c r="A13" t="s">
        <v>20</v>
      </c>
      <c r="B13" t="s">
        <v>9</v>
      </c>
      <c r="C13">
        <v>4</v>
      </c>
      <c r="D13">
        <f>SUMIFS(tGrossReq[GrossReqUnits],tGrossReq[Plant],#REF!,tGrossReq[Material],#REF!,tGrossReq[Fortnight],#REF!)</f>
        <v>0</v>
      </c>
      <c r="E13" t="e">
        <f>#REF!</f>
        <v>#REF!</v>
      </c>
      <c r="F13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13" t="e">
        <f>#REF!+#REF!-#REF!</f>
        <v>#REF!</v>
      </c>
      <c r="H13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13" t="e">
        <f>MAX(0,#REF!-(#REF!-#REF!))</f>
        <v>#REF!</v>
      </c>
      <c r="J13" t="e">
        <f>#REF!</f>
        <v>#REF!</v>
      </c>
      <c r="K13" t="e">
        <f ca="1">CEILING(#REF!/_xludf.XLOOKUP(#REF!,tParams[Material],tParams[BatchSize],1),1)</f>
        <v>#REF!</v>
      </c>
      <c r="L13" t="e">
        <f ca="1">#REF!*_xludf.XLOOKUP(#REF!,tParams[Material],tParams[BatchSize],1)</f>
        <v>#REF!</v>
      </c>
      <c r="M13" t="e">
        <f>#REF!</f>
        <v>#REF!</v>
      </c>
    </row>
    <row r="14" spans="1:13" x14ac:dyDescent="0.3">
      <c r="A14" t="s">
        <v>20</v>
      </c>
      <c r="B14" t="s">
        <v>9</v>
      </c>
      <c r="C14">
        <v>5</v>
      </c>
      <c r="D14">
        <f>SUMIFS(tGrossReq[GrossReqUnits],tGrossReq[Plant],#REF!,tGrossReq[Material],#REF!,tGrossReq[Fortnight],#REF!)</f>
        <v>0</v>
      </c>
      <c r="E14" t="e">
        <f>#REF!</f>
        <v>#REF!</v>
      </c>
      <c r="F14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14" t="e">
        <f>#REF!+#REF!-#REF!</f>
        <v>#REF!</v>
      </c>
      <c r="H14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14" t="e">
        <f>MAX(0,#REF!-(#REF!-#REF!))</f>
        <v>#REF!</v>
      </c>
      <c r="J14" t="e">
        <f>#REF!</f>
        <v>#REF!</v>
      </c>
      <c r="K14" t="e">
        <f ca="1">CEILING(#REF!/_xludf.XLOOKUP(#REF!,tParams[Material],tParams[BatchSize],1),1)</f>
        <v>#REF!</v>
      </c>
      <c r="L14" t="e">
        <f ca="1">#REF!*_xludf.XLOOKUP(#REF!,tParams[Material],tParams[BatchSize],1)</f>
        <v>#REF!</v>
      </c>
      <c r="M14" t="e">
        <f>#REF!</f>
        <v>#REF!</v>
      </c>
    </row>
    <row r="15" spans="1:13" x14ac:dyDescent="0.3">
      <c r="A15" t="s">
        <v>20</v>
      </c>
      <c r="B15" t="s">
        <v>9</v>
      </c>
      <c r="C15">
        <v>6</v>
      </c>
      <c r="D15">
        <f>SUMIFS(tGrossReq[GrossReqUnits],tGrossReq[Plant],#REF!,tGrossReq[Material],#REF!,tGrossReq[Fortnight],#REF!)</f>
        <v>0</v>
      </c>
      <c r="E15" t="e">
        <f>#REF!</f>
        <v>#REF!</v>
      </c>
      <c r="F15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15" t="e">
        <f>#REF!+#REF!-#REF!</f>
        <v>#REF!</v>
      </c>
      <c r="H15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15" t="e">
        <f>MAX(0,#REF!-(#REF!-#REF!))</f>
        <v>#REF!</v>
      </c>
      <c r="J15" t="e">
        <f>#REF!</f>
        <v>#REF!</v>
      </c>
      <c r="K15" t="e">
        <f ca="1">CEILING(#REF!/_xludf.XLOOKUP(#REF!,tParams[Material],tParams[BatchSize],1),1)</f>
        <v>#REF!</v>
      </c>
      <c r="L15" t="e">
        <f ca="1">#REF!*_xludf.XLOOKUP(#REF!,tParams[Material],tParams[BatchSize],1)</f>
        <v>#REF!</v>
      </c>
      <c r="M15" t="e">
        <f>#REF!</f>
        <v>#REF!</v>
      </c>
    </row>
    <row r="16" spans="1:13" x14ac:dyDescent="0.3">
      <c r="A16" t="s">
        <v>20</v>
      </c>
      <c r="B16" t="s">
        <v>9</v>
      </c>
      <c r="C16">
        <v>7</v>
      </c>
      <c r="D16">
        <f>SUMIFS(tGrossReq[GrossReqUnits],tGrossReq[Plant],#REF!,tGrossReq[Material],#REF!,tGrossReq[Fortnight],#REF!)</f>
        <v>0</v>
      </c>
      <c r="E16" t="e">
        <f>#REF!</f>
        <v>#REF!</v>
      </c>
      <c r="F16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16" t="e">
        <f>#REF!+#REF!-#REF!</f>
        <v>#REF!</v>
      </c>
      <c r="H16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16" t="e">
        <f>MAX(0,#REF!-(#REF!-#REF!))</f>
        <v>#REF!</v>
      </c>
      <c r="J16" t="e">
        <f>#REF!</f>
        <v>#REF!</v>
      </c>
      <c r="K16" t="e">
        <f ca="1">CEILING(#REF!/_xludf.XLOOKUP(#REF!,tParams[Material],tParams[BatchSize],1),1)</f>
        <v>#REF!</v>
      </c>
      <c r="L16" t="e">
        <f ca="1">#REF!*_xludf.XLOOKUP(#REF!,tParams[Material],tParams[BatchSize],1)</f>
        <v>#REF!</v>
      </c>
      <c r="M16" t="e">
        <f>#REF!</f>
        <v>#REF!</v>
      </c>
    </row>
    <row r="17" spans="1:13" x14ac:dyDescent="0.3">
      <c r="A17" t="s">
        <v>20</v>
      </c>
      <c r="B17" t="s">
        <v>9</v>
      </c>
      <c r="C17">
        <v>8</v>
      </c>
      <c r="D17">
        <f>SUMIFS(tGrossReq[GrossReqUnits],tGrossReq[Plant],#REF!,tGrossReq[Material],#REF!,tGrossReq[Fortnight],#REF!)</f>
        <v>0</v>
      </c>
      <c r="E17" t="e">
        <f>#REF!</f>
        <v>#REF!</v>
      </c>
      <c r="F17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17" t="e">
        <f>#REF!+#REF!-#REF!</f>
        <v>#REF!</v>
      </c>
      <c r="H17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17" t="e">
        <f>MAX(0,#REF!-(#REF!-#REF!))</f>
        <v>#REF!</v>
      </c>
      <c r="J17" t="e">
        <f>#REF!</f>
        <v>#REF!</v>
      </c>
      <c r="K17" t="e">
        <f ca="1">CEILING(#REF!/_xludf.XLOOKUP(#REF!,tParams[Material],tParams[BatchSize],1),1)</f>
        <v>#REF!</v>
      </c>
      <c r="L17" t="e">
        <f ca="1">#REF!*_xludf.XLOOKUP(#REF!,tParams[Material],tParams[BatchSize],1)</f>
        <v>#REF!</v>
      </c>
      <c r="M17" t="e">
        <f>#REF!</f>
        <v>#REF!</v>
      </c>
    </row>
    <row r="18" spans="1:13" x14ac:dyDescent="0.3">
      <c r="A18" t="s">
        <v>21</v>
      </c>
      <c r="B18" t="s">
        <v>7</v>
      </c>
      <c r="C18">
        <v>1</v>
      </c>
      <c r="D18">
        <f>SUMIFS(tGrossReq[GrossReqUnits],tGrossReq[Plant],#REF!,tGrossReq[Material],#REF!,tGrossReq[Fortnight],#REF!)</f>
        <v>0</v>
      </c>
      <c r="E18" t="e">
        <f>#REF!</f>
        <v>#REF!</v>
      </c>
      <c r="F18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18" t="e">
        <f>#REF!+#REF!-#REF!</f>
        <v>#REF!</v>
      </c>
      <c r="H18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18" t="e">
        <f>MAX(0,#REF!-(#REF!-#REF!))</f>
        <v>#REF!</v>
      </c>
      <c r="J18" t="e">
        <f>#REF!</f>
        <v>#REF!</v>
      </c>
      <c r="K18" t="e">
        <f ca="1">CEILING(#REF!/_xludf.XLOOKUP(#REF!,tParams[Material],tParams[BatchSize],1),1)</f>
        <v>#REF!</v>
      </c>
      <c r="L18" t="e">
        <f ca="1">#REF!*_xludf.XLOOKUP(#REF!,tParams[Material],tParams[BatchSize],1)</f>
        <v>#REF!</v>
      </c>
      <c r="M18" t="e">
        <f>#REF!</f>
        <v>#REF!</v>
      </c>
    </row>
    <row r="19" spans="1:13" x14ac:dyDescent="0.3">
      <c r="A19" t="s">
        <v>21</v>
      </c>
      <c r="B19" t="s">
        <v>7</v>
      </c>
      <c r="C19">
        <v>2</v>
      </c>
      <c r="D19">
        <f>SUMIFS(tGrossReq[GrossReqUnits],tGrossReq[Plant],#REF!,tGrossReq[Material],#REF!,tGrossReq[Fortnight],#REF!)</f>
        <v>0</v>
      </c>
      <c r="E19" t="e">
        <f>#REF!</f>
        <v>#REF!</v>
      </c>
      <c r="F19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19" t="e">
        <f>#REF!+#REF!-#REF!</f>
        <v>#REF!</v>
      </c>
      <c r="H19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19" t="e">
        <f>MAX(0,#REF!-(#REF!-#REF!))</f>
        <v>#REF!</v>
      </c>
      <c r="J19" t="e">
        <f>#REF!</f>
        <v>#REF!</v>
      </c>
      <c r="K19" t="e">
        <f ca="1">CEILING(#REF!/_xludf.XLOOKUP(#REF!,tParams[Material],tParams[BatchSize],1),1)</f>
        <v>#REF!</v>
      </c>
      <c r="L19" t="e">
        <f ca="1">#REF!*_xludf.XLOOKUP(#REF!,tParams[Material],tParams[BatchSize],1)</f>
        <v>#REF!</v>
      </c>
      <c r="M19" t="e">
        <f>#REF!</f>
        <v>#REF!</v>
      </c>
    </row>
    <row r="20" spans="1:13" x14ac:dyDescent="0.3">
      <c r="A20" t="s">
        <v>21</v>
      </c>
      <c r="B20" t="s">
        <v>7</v>
      </c>
      <c r="C20">
        <v>3</v>
      </c>
      <c r="D20">
        <f>SUMIFS(tGrossReq[GrossReqUnits],tGrossReq[Plant],#REF!,tGrossReq[Material],#REF!,tGrossReq[Fortnight],#REF!)</f>
        <v>0</v>
      </c>
      <c r="E20" t="e">
        <f>#REF!</f>
        <v>#REF!</v>
      </c>
      <c r="F20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0" t="e">
        <f>#REF!+#REF!-#REF!</f>
        <v>#REF!</v>
      </c>
      <c r="H20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0" t="e">
        <f>MAX(0,#REF!-(#REF!-#REF!))</f>
        <v>#REF!</v>
      </c>
      <c r="J20" t="e">
        <f>#REF!</f>
        <v>#REF!</v>
      </c>
      <c r="K20" t="e">
        <f ca="1">CEILING(#REF!/_xludf.XLOOKUP(#REF!,tParams[Material],tParams[BatchSize],1),1)</f>
        <v>#REF!</v>
      </c>
      <c r="L20" t="e">
        <f ca="1">#REF!*_xludf.XLOOKUP(#REF!,tParams[Material],tParams[BatchSize],1)</f>
        <v>#REF!</v>
      </c>
      <c r="M20" t="e">
        <f>#REF!</f>
        <v>#REF!</v>
      </c>
    </row>
    <row r="21" spans="1:13" x14ac:dyDescent="0.3">
      <c r="A21" t="s">
        <v>21</v>
      </c>
      <c r="B21" t="s">
        <v>7</v>
      </c>
      <c r="C21">
        <v>4</v>
      </c>
      <c r="D21">
        <f>SUMIFS(tGrossReq[GrossReqUnits],tGrossReq[Plant],#REF!,tGrossReq[Material],#REF!,tGrossReq[Fortnight],#REF!)</f>
        <v>0</v>
      </c>
      <c r="E21" t="e">
        <f>#REF!</f>
        <v>#REF!</v>
      </c>
      <c r="F21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1" t="e">
        <f>#REF!+#REF!-#REF!</f>
        <v>#REF!</v>
      </c>
      <c r="H21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1" t="e">
        <f>MAX(0,#REF!-(#REF!-#REF!))</f>
        <v>#REF!</v>
      </c>
      <c r="J21" t="e">
        <f>#REF!</f>
        <v>#REF!</v>
      </c>
      <c r="K21" t="e">
        <f ca="1">CEILING(#REF!/_xludf.XLOOKUP(#REF!,tParams[Material],tParams[BatchSize],1),1)</f>
        <v>#REF!</v>
      </c>
      <c r="L21" t="e">
        <f ca="1">#REF!*_xludf.XLOOKUP(#REF!,tParams[Material],tParams[BatchSize],1)</f>
        <v>#REF!</v>
      </c>
      <c r="M21" t="e">
        <f>#REF!</f>
        <v>#REF!</v>
      </c>
    </row>
    <row r="22" spans="1:13" x14ac:dyDescent="0.3">
      <c r="A22" t="s">
        <v>21</v>
      </c>
      <c r="B22" t="s">
        <v>7</v>
      </c>
      <c r="C22">
        <v>5</v>
      </c>
      <c r="D22">
        <f>SUMIFS(tGrossReq[GrossReqUnits],tGrossReq[Plant],#REF!,tGrossReq[Material],#REF!,tGrossReq[Fortnight],#REF!)</f>
        <v>0</v>
      </c>
      <c r="E22" t="e">
        <f>#REF!</f>
        <v>#REF!</v>
      </c>
      <c r="F22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2" t="e">
        <f>#REF!+#REF!-#REF!</f>
        <v>#REF!</v>
      </c>
      <c r="H22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2" t="e">
        <f>MAX(0,#REF!-(#REF!-#REF!))</f>
        <v>#REF!</v>
      </c>
      <c r="J22" t="e">
        <f>#REF!</f>
        <v>#REF!</v>
      </c>
      <c r="K22" t="e">
        <f ca="1">CEILING(#REF!/_xludf.XLOOKUP(#REF!,tParams[Material],tParams[BatchSize],1),1)</f>
        <v>#REF!</v>
      </c>
      <c r="L22" t="e">
        <f ca="1">#REF!*_xludf.XLOOKUP(#REF!,tParams[Material],tParams[BatchSize],1)</f>
        <v>#REF!</v>
      </c>
      <c r="M22" t="e">
        <f>#REF!</f>
        <v>#REF!</v>
      </c>
    </row>
    <row r="23" spans="1:13" x14ac:dyDescent="0.3">
      <c r="A23" t="s">
        <v>21</v>
      </c>
      <c r="B23" t="s">
        <v>7</v>
      </c>
      <c r="C23">
        <v>6</v>
      </c>
      <c r="D23">
        <f>SUMIFS(tGrossReq[GrossReqUnits],tGrossReq[Plant],#REF!,tGrossReq[Material],#REF!,tGrossReq[Fortnight],#REF!)</f>
        <v>0</v>
      </c>
      <c r="E23" t="e">
        <f>#REF!</f>
        <v>#REF!</v>
      </c>
      <c r="F23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3" t="e">
        <f>#REF!+#REF!-#REF!</f>
        <v>#REF!</v>
      </c>
      <c r="H23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3" t="e">
        <f>MAX(0,#REF!-(#REF!-#REF!))</f>
        <v>#REF!</v>
      </c>
      <c r="J23" t="e">
        <f>#REF!</f>
        <v>#REF!</v>
      </c>
      <c r="K23" t="e">
        <f ca="1">CEILING(#REF!/_xludf.XLOOKUP(#REF!,tParams[Material],tParams[BatchSize],1),1)</f>
        <v>#REF!</v>
      </c>
      <c r="L23" t="e">
        <f ca="1">#REF!*_xludf.XLOOKUP(#REF!,tParams[Material],tParams[BatchSize],1)</f>
        <v>#REF!</v>
      </c>
      <c r="M23" t="e">
        <f>#REF!</f>
        <v>#REF!</v>
      </c>
    </row>
    <row r="24" spans="1:13" x14ac:dyDescent="0.3">
      <c r="A24" t="s">
        <v>21</v>
      </c>
      <c r="B24" t="s">
        <v>7</v>
      </c>
      <c r="C24">
        <v>7</v>
      </c>
      <c r="D24">
        <f>SUMIFS(tGrossReq[GrossReqUnits],tGrossReq[Plant],#REF!,tGrossReq[Material],#REF!,tGrossReq[Fortnight],#REF!)</f>
        <v>0</v>
      </c>
      <c r="E24" t="e">
        <f>#REF!</f>
        <v>#REF!</v>
      </c>
      <c r="F24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4" t="e">
        <f>#REF!+#REF!-#REF!</f>
        <v>#REF!</v>
      </c>
      <c r="H24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4" t="e">
        <f>MAX(0,#REF!-(#REF!-#REF!))</f>
        <v>#REF!</v>
      </c>
      <c r="J24" t="e">
        <f>#REF!</f>
        <v>#REF!</v>
      </c>
      <c r="K24" t="e">
        <f ca="1">CEILING(#REF!/_xludf.XLOOKUP(#REF!,tParams[Material],tParams[BatchSize],1),1)</f>
        <v>#REF!</v>
      </c>
      <c r="L24" t="e">
        <f ca="1">#REF!*_xludf.XLOOKUP(#REF!,tParams[Material],tParams[BatchSize],1)</f>
        <v>#REF!</v>
      </c>
      <c r="M24" t="e">
        <f>#REF!</f>
        <v>#REF!</v>
      </c>
    </row>
    <row r="25" spans="1:13" x14ac:dyDescent="0.3">
      <c r="A25" t="s">
        <v>21</v>
      </c>
      <c r="B25" t="s">
        <v>7</v>
      </c>
      <c r="C25">
        <v>8</v>
      </c>
      <c r="D25">
        <f>SUMIFS(tGrossReq[GrossReqUnits],tGrossReq[Plant],#REF!,tGrossReq[Material],#REF!,tGrossReq[Fortnight],#REF!)</f>
        <v>0</v>
      </c>
      <c r="E25" t="e">
        <f>#REF!</f>
        <v>#REF!</v>
      </c>
      <c r="F25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5" t="e">
        <f>#REF!+#REF!-#REF!</f>
        <v>#REF!</v>
      </c>
      <c r="H25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5" t="e">
        <f>MAX(0,#REF!-(#REF!-#REF!))</f>
        <v>#REF!</v>
      </c>
      <c r="J25" t="e">
        <f>#REF!</f>
        <v>#REF!</v>
      </c>
      <c r="K25" t="e">
        <f ca="1">CEILING(#REF!/_xludf.XLOOKUP(#REF!,tParams[Material],tParams[BatchSize],1),1)</f>
        <v>#REF!</v>
      </c>
      <c r="L25" t="e">
        <f ca="1">#REF!*_xludf.XLOOKUP(#REF!,tParams[Material],tParams[BatchSize],1)</f>
        <v>#REF!</v>
      </c>
      <c r="M25" t="e">
        <f>#REF!</f>
        <v>#REF!</v>
      </c>
    </row>
    <row r="26" spans="1:13" x14ac:dyDescent="0.3">
      <c r="A26" t="s">
        <v>21</v>
      </c>
      <c r="B26" t="s">
        <v>9</v>
      </c>
      <c r="C26">
        <v>1</v>
      </c>
      <c r="D26">
        <f>SUMIFS(tGrossReq[GrossReqUnits],tGrossReq[Plant],#REF!,tGrossReq[Material],#REF!,tGrossReq[Fortnight],#REF!)</f>
        <v>0</v>
      </c>
      <c r="E26" t="e">
        <f>#REF!</f>
        <v>#REF!</v>
      </c>
      <c r="F26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6" t="e">
        <f>#REF!+#REF!-#REF!</f>
        <v>#REF!</v>
      </c>
      <c r="H26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6" t="e">
        <f>MAX(0,#REF!-(#REF!-#REF!))</f>
        <v>#REF!</v>
      </c>
      <c r="J26" t="e">
        <f>#REF!</f>
        <v>#REF!</v>
      </c>
      <c r="K26" t="e">
        <f ca="1">CEILING(#REF!/_xludf.XLOOKUP(#REF!,tParams[Material],tParams[BatchSize],1),1)</f>
        <v>#REF!</v>
      </c>
      <c r="L26" t="e">
        <f ca="1">#REF!*_xludf.XLOOKUP(#REF!,tParams[Material],tParams[BatchSize],1)</f>
        <v>#REF!</v>
      </c>
      <c r="M26" t="e">
        <f>#REF!</f>
        <v>#REF!</v>
      </c>
    </row>
    <row r="27" spans="1:13" x14ac:dyDescent="0.3">
      <c r="A27" t="s">
        <v>21</v>
      </c>
      <c r="B27" t="s">
        <v>9</v>
      </c>
      <c r="C27">
        <v>2</v>
      </c>
      <c r="D27">
        <f>SUMIFS(tGrossReq[GrossReqUnits],tGrossReq[Plant],#REF!,tGrossReq[Material],#REF!,tGrossReq[Fortnight],#REF!)</f>
        <v>0</v>
      </c>
      <c r="E27" t="e">
        <f>#REF!</f>
        <v>#REF!</v>
      </c>
      <c r="F27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7" t="e">
        <f>#REF!+#REF!-#REF!</f>
        <v>#REF!</v>
      </c>
      <c r="H27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7" t="e">
        <f>MAX(0,#REF!-(#REF!-#REF!))</f>
        <v>#REF!</v>
      </c>
      <c r="J27" t="e">
        <f>#REF!</f>
        <v>#REF!</v>
      </c>
      <c r="K27" t="e">
        <f ca="1">CEILING(#REF!/_xludf.XLOOKUP(#REF!,tParams[Material],tParams[BatchSize],1),1)</f>
        <v>#REF!</v>
      </c>
      <c r="L27" t="e">
        <f ca="1">#REF!*_xludf.XLOOKUP(#REF!,tParams[Material],tParams[BatchSize],1)</f>
        <v>#REF!</v>
      </c>
      <c r="M27" t="e">
        <f>#REF!</f>
        <v>#REF!</v>
      </c>
    </row>
    <row r="28" spans="1:13" x14ac:dyDescent="0.3">
      <c r="A28" t="s">
        <v>21</v>
      </c>
      <c r="B28" t="s">
        <v>9</v>
      </c>
      <c r="C28">
        <v>3</v>
      </c>
      <c r="D28">
        <f>SUMIFS(tGrossReq[GrossReqUnits],tGrossReq[Plant],#REF!,tGrossReq[Material],#REF!,tGrossReq[Fortnight],#REF!)</f>
        <v>0</v>
      </c>
      <c r="E28" t="e">
        <f>#REF!</f>
        <v>#REF!</v>
      </c>
      <c r="F28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8" t="e">
        <f>#REF!+#REF!-#REF!</f>
        <v>#REF!</v>
      </c>
      <c r="H28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8" t="e">
        <f>MAX(0,#REF!-(#REF!-#REF!))</f>
        <v>#REF!</v>
      </c>
      <c r="J28" t="e">
        <f>#REF!</f>
        <v>#REF!</v>
      </c>
      <c r="K28" t="e">
        <f ca="1">CEILING(#REF!/_xludf.XLOOKUP(#REF!,tParams[Material],tParams[BatchSize],1),1)</f>
        <v>#REF!</v>
      </c>
      <c r="L28" t="e">
        <f ca="1">#REF!*_xludf.XLOOKUP(#REF!,tParams[Material],tParams[BatchSize],1)</f>
        <v>#REF!</v>
      </c>
      <c r="M28" t="e">
        <f>#REF!</f>
        <v>#REF!</v>
      </c>
    </row>
    <row r="29" spans="1:13" x14ac:dyDescent="0.3">
      <c r="A29" t="s">
        <v>21</v>
      </c>
      <c r="B29" t="s">
        <v>9</v>
      </c>
      <c r="C29">
        <v>4</v>
      </c>
      <c r="D29">
        <f>SUMIFS(tGrossReq[GrossReqUnits],tGrossReq[Plant],#REF!,tGrossReq[Material],#REF!,tGrossReq[Fortnight],#REF!)</f>
        <v>0</v>
      </c>
      <c r="E29" t="e">
        <f>#REF!</f>
        <v>#REF!</v>
      </c>
      <c r="F29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29" t="e">
        <f>#REF!+#REF!-#REF!</f>
        <v>#REF!</v>
      </c>
      <c r="H29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29" t="e">
        <f>MAX(0,#REF!-(#REF!-#REF!))</f>
        <v>#REF!</v>
      </c>
      <c r="J29" t="e">
        <f>#REF!</f>
        <v>#REF!</v>
      </c>
      <c r="K29" t="e">
        <f ca="1">CEILING(#REF!/_xludf.XLOOKUP(#REF!,tParams[Material],tParams[BatchSize],1),1)</f>
        <v>#REF!</v>
      </c>
      <c r="L29" t="e">
        <f ca="1">#REF!*_xludf.XLOOKUP(#REF!,tParams[Material],tParams[BatchSize],1)</f>
        <v>#REF!</v>
      </c>
      <c r="M29" t="e">
        <f>#REF!</f>
        <v>#REF!</v>
      </c>
    </row>
    <row r="30" spans="1:13" x14ac:dyDescent="0.3">
      <c r="A30" t="s">
        <v>21</v>
      </c>
      <c r="B30" t="s">
        <v>9</v>
      </c>
      <c r="C30">
        <v>5</v>
      </c>
      <c r="D30">
        <f>SUMIFS(tGrossReq[GrossReqUnits],tGrossReq[Plant],#REF!,tGrossReq[Material],#REF!,tGrossReq[Fortnight],#REF!)</f>
        <v>0</v>
      </c>
      <c r="E30" t="e">
        <f>#REF!</f>
        <v>#REF!</v>
      </c>
      <c r="F30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30" t="e">
        <f>#REF!+#REF!-#REF!</f>
        <v>#REF!</v>
      </c>
      <c r="H30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30" t="e">
        <f>MAX(0,#REF!-(#REF!-#REF!))</f>
        <v>#REF!</v>
      </c>
      <c r="J30" t="e">
        <f>#REF!</f>
        <v>#REF!</v>
      </c>
      <c r="K30" t="e">
        <f ca="1">CEILING(#REF!/_xludf.XLOOKUP(#REF!,tParams[Material],tParams[BatchSize],1),1)</f>
        <v>#REF!</v>
      </c>
      <c r="L30" t="e">
        <f ca="1">#REF!*_xludf.XLOOKUP(#REF!,tParams[Material],tParams[BatchSize],1)</f>
        <v>#REF!</v>
      </c>
      <c r="M30" t="e">
        <f>#REF!</f>
        <v>#REF!</v>
      </c>
    </row>
    <row r="31" spans="1:13" x14ac:dyDescent="0.3">
      <c r="A31" t="s">
        <v>21</v>
      </c>
      <c r="B31" t="s">
        <v>9</v>
      </c>
      <c r="C31">
        <v>6</v>
      </c>
      <c r="D31">
        <f>SUMIFS(tGrossReq[GrossReqUnits],tGrossReq[Plant],#REF!,tGrossReq[Material],#REF!,tGrossReq[Fortnight],#REF!)</f>
        <v>0</v>
      </c>
      <c r="E31" t="e">
        <f>#REF!</f>
        <v>#REF!</v>
      </c>
      <c r="F31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31" t="e">
        <f>#REF!+#REF!-#REF!</f>
        <v>#REF!</v>
      </c>
      <c r="H31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31" t="e">
        <f>MAX(0,#REF!-(#REF!-#REF!))</f>
        <v>#REF!</v>
      </c>
      <c r="J31" t="e">
        <f>#REF!</f>
        <v>#REF!</v>
      </c>
      <c r="K31" t="e">
        <f ca="1">CEILING(#REF!/_xludf.XLOOKUP(#REF!,tParams[Material],tParams[BatchSize],1),1)</f>
        <v>#REF!</v>
      </c>
      <c r="L31" t="e">
        <f ca="1">#REF!*_xludf.XLOOKUP(#REF!,tParams[Material],tParams[BatchSize],1)</f>
        <v>#REF!</v>
      </c>
      <c r="M31" t="e">
        <f>#REF!</f>
        <v>#REF!</v>
      </c>
    </row>
    <row r="32" spans="1:13" x14ac:dyDescent="0.3">
      <c r="A32" t="s">
        <v>21</v>
      </c>
      <c r="B32" t="s">
        <v>9</v>
      </c>
      <c r="C32">
        <v>7</v>
      </c>
      <c r="D32">
        <f>SUMIFS(tGrossReq[GrossReqUnits],tGrossReq[Plant],#REF!,tGrossReq[Material],#REF!,tGrossReq[Fortnight],#REF!)</f>
        <v>0</v>
      </c>
      <c r="E32" t="e">
        <f>#REF!</f>
        <v>#REF!</v>
      </c>
      <c r="F32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32" t="e">
        <f>#REF!+#REF!-#REF!</f>
        <v>#REF!</v>
      </c>
      <c r="H32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32" t="e">
        <f>MAX(0,#REF!-(#REF!-#REF!))</f>
        <v>#REF!</v>
      </c>
      <c r="J32" t="e">
        <f>#REF!</f>
        <v>#REF!</v>
      </c>
      <c r="K32" t="e">
        <f ca="1">CEILING(#REF!/_xludf.XLOOKUP(#REF!,tParams[Material],tParams[BatchSize],1),1)</f>
        <v>#REF!</v>
      </c>
      <c r="L32" t="e">
        <f ca="1">#REF!*_xludf.XLOOKUP(#REF!,tParams[Material],tParams[BatchSize],1)</f>
        <v>#REF!</v>
      </c>
      <c r="M32" t="e">
        <f>#REF!</f>
        <v>#REF!</v>
      </c>
    </row>
    <row r="33" spans="1:13" x14ac:dyDescent="0.3">
      <c r="A33" t="s">
        <v>21</v>
      </c>
      <c r="B33" t="s">
        <v>9</v>
      </c>
      <c r="C33">
        <v>8</v>
      </c>
      <c r="D33">
        <f>SUMIFS(tGrossReq[GrossReqUnits],tGrossReq[Plant],#REF!,tGrossReq[Material],#REF!,tGrossReq[Fortnight],#REF!)</f>
        <v>0</v>
      </c>
      <c r="E33" t="e">
        <f>#REF!</f>
        <v>#REF!</v>
      </c>
      <c r="F33" t="e">
        <f>IF(#REF!=1,_xludf.XLOOKUP(#REF!&amp;"|"&amp;#REF!,tInv0[[#This Row],[Plant]]&amp;"|"&amp;tInv0[[#This Row],[Columna1]],tInv0[Columna2],0),_xludf.XLOOKUP(#REF!&amp;"|"&amp;#REF!&amp;"|"&amp;(#REF!-1),tMRPParts[[#This Row],[Plant]]&amp;"|"&amp;tMRPParts[[#This Row],[Material]]&amp;"|"&amp;tMRPParts[[#This Row],[Fortnight]],tMRPParts[ProjectedOnHand_End],0))</f>
        <v>#REF!</v>
      </c>
      <c r="G33" t="e">
        <f>#REF!+#REF!-#REF!</f>
        <v>#REF!</v>
      </c>
      <c r="H33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I33" t="e">
        <f>MAX(0,#REF!-(#REF!-#REF!))</f>
        <v>#REF!</v>
      </c>
      <c r="J33" t="e">
        <f>#REF!</f>
        <v>#REF!</v>
      </c>
      <c r="K33" t="e">
        <f ca="1">CEILING(#REF!/_xludf.XLOOKUP(#REF!,tParams[Material],tParams[BatchSize],1),1)</f>
        <v>#REF!</v>
      </c>
      <c r="L33" t="e">
        <f ca="1">#REF!*_xludf.XLOOKUP(#REF!,tParams[Material],tParams[BatchSize],1)</f>
        <v>#REF!</v>
      </c>
      <c r="M33" t="e">
        <f>#REF!</f>
        <v>#REF!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3"/>
  <sheetViews>
    <sheetView tabSelected="1" workbookViewId="0"/>
  </sheetViews>
  <sheetFormatPr baseColWidth="10" defaultColWidth="8.88671875" defaultRowHeight="14.4" x14ac:dyDescent="0.3"/>
  <sheetData>
    <row r="1" spans="1:7" x14ac:dyDescent="0.3">
      <c r="A1" t="s">
        <v>17</v>
      </c>
      <c r="B1" t="s">
        <v>3</v>
      </c>
      <c r="C1" t="s">
        <v>48</v>
      </c>
      <c r="D1" t="s">
        <v>42</v>
      </c>
      <c r="E1" t="s">
        <v>43</v>
      </c>
      <c r="F1" t="s">
        <v>49</v>
      </c>
      <c r="G1" t="s">
        <v>50</v>
      </c>
    </row>
    <row r="2" spans="1:7" x14ac:dyDescent="0.3">
      <c r="A2" t="s">
        <v>20</v>
      </c>
      <c r="B2" t="s">
        <v>10</v>
      </c>
      <c r="C2">
        <f>SUMIFS(tGrossReq[GrossReqUnits],tGrossReq[Plant],#REF!,tGrossReq[Material],#REF!)</f>
        <v>0</v>
      </c>
      <c r="D2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2" t="e">
        <f ca="1">#REF!+#REF!-_xludf.XLOOKUP(#REF!&amp;"|"&amp;#REF!,tInv0[[#This Row],[Plant]]&amp;"|"&amp;tInv0[[#This Row],[Columna1]],tInv0[Columna2],0)</f>
        <v>#REF!</v>
      </c>
      <c r="F2" t="e">
        <f ca="1">CEILING(MAX(0,#REF!)/_xludf.XLOOKUP(#REF!,tParams[Material],tParams[BatchSize],1),1)</f>
        <v>#REF!</v>
      </c>
      <c r="G2" t="e">
        <f ca="1">#REF!*_xludf.XLOOKUP(#REF!,tParams[Material],tParams[BatchSize],1)</f>
        <v>#REF!</v>
      </c>
    </row>
    <row r="3" spans="1:7" x14ac:dyDescent="0.3">
      <c r="A3" t="s">
        <v>20</v>
      </c>
      <c r="B3" t="s">
        <v>12</v>
      </c>
      <c r="C3">
        <f>SUMIFS(tGrossReq[GrossReqUnits],tGrossReq[Plant],#REF!,tGrossReq[Material],#REF!)</f>
        <v>0</v>
      </c>
      <c r="D3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3" t="e">
        <f ca="1">#REF!+#REF!-_xludf.XLOOKUP(#REF!&amp;"|"&amp;#REF!,tInv0[[#This Row],[Plant]]&amp;"|"&amp;tInv0[[#This Row],[Columna1]],tInv0[Columna2],0)</f>
        <v>#REF!</v>
      </c>
      <c r="F3" t="e">
        <f ca="1">CEILING(MAX(0,#REF!)/_xludf.XLOOKUP(#REF!,tParams[Material],tParams[BatchSize],1),1)</f>
        <v>#REF!</v>
      </c>
      <c r="G3" t="e">
        <f ca="1">#REF!*_xludf.XLOOKUP(#REF!,tParams[Material],tParams[BatchSize],1)</f>
        <v>#REF!</v>
      </c>
    </row>
    <row r="4" spans="1:7" x14ac:dyDescent="0.3">
      <c r="A4" t="s">
        <v>20</v>
      </c>
      <c r="B4" t="s">
        <v>13</v>
      </c>
      <c r="C4">
        <f>SUMIFS(tGrossReq[GrossReqUnits],tGrossReq[Plant],#REF!,tGrossReq[Material],#REF!)</f>
        <v>0</v>
      </c>
      <c r="D4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4" t="e">
        <f ca="1">#REF!+#REF!-_xludf.XLOOKUP(#REF!&amp;"|"&amp;#REF!,tInv0[[#This Row],[Plant]]&amp;"|"&amp;tInv0[[#This Row],[Columna1]],tInv0[Columna2],0)</f>
        <v>#REF!</v>
      </c>
      <c r="F4" t="e">
        <f ca="1">CEILING(MAX(0,#REF!)/_xludf.XLOOKUP(#REF!,tParams[Material],tParams[BatchSize],1),1)</f>
        <v>#REF!</v>
      </c>
      <c r="G4" t="e">
        <f ca="1">#REF!*_xludf.XLOOKUP(#REF!,tParams[Material],tParams[BatchSize],1)</f>
        <v>#REF!</v>
      </c>
    </row>
    <row r="5" spans="1:7" x14ac:dyDescent="0.3">
      <c r="A5" t="s">
        <v>20</v>
      </c>
      <c r="B5" t="s">
        <v>14</v>
      </c>
      <c r="C5">
        <f>SUMIFS(tGrossReq[GrossReqUnits],tGrossReq[Plant],#REF!,tGrossReq[Material],#REF!)</f>
        <v>0</v>
      </c>
      <c r="D5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5" t="e">
        <f ca="1">#REF!+#REF!-_xludf.XLOOKUP(#REF!&amp;"|"&amp;#REF!,tInv0[[#This Row],[Plant]]&amp;"|"&amp;tInv0[[#This Row],[Columna1]],tInv0[Columna2],0)</f>
        <v>#REF!</v>
      </c>
      <c r="F5" t="e">
        <f ca="1">CEILING(MAX(0,#REF!)/_xludf.XLOOKUP(#REF!,tParams[Material],tParams[BatchSize],1),1)</f>
        <v>#REF!</v>
      </c>
      <c r="G5" t="e">
        <f ca="1">#REF!*_xludf.XLOOKUP(#REF!,tParams[Material],tParams[BatchSize],1)</f>
        <v>#REF!</v>
      </c>
    </row>
    <row r="6" spans="1:7" x14ac:dyDescent="0.3">
      <c r="A6" t="s">
        <v>20</v>
      </c>
      <c r="B6" t="s">
        <v>15</v>
      </c>
      <c r="C6">
        <f>SUMIFS(tGrossReq[GrossReqUnits],tGrossReq[Plant],#REF!,tGrossReq[Material],#REF!)</f>
        <v>0</v>
      </c>
      <c r="D6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6" t="e">
        <f ca="1">#REF!+#REF!-_xludf.XLOOKUP(#REF!&amp;"|"&amp;#REF!,tInv0[[#This Row],[Plant]]&amp;"|"&amp;tInv0[[#This Row],[Columna1]],tInv0[Columna2],0)</f>
        <v>#REF!</v>
      </c>
      <c r="F6" t="e">
        <f ca="1">CEILING(MAX(0,#REF!)/_xludf.XLOOKUP(#REF!,tParams[Material],tParams[BatchSize],1),1)</f>
        <v>#REF!</v>
      </c>
      <c r="G6" t="e">
        <f ca="1">#REF!*_xludf.XLOOKUP(#REF!,tParams[Material],tParams[BatchSize],1)</f>
        <v>#REF!</v>
      </c>
    </row>
    <row r="7" spans="1:7" x14ac:dyDescent="0.3">
      <c r="A7" t="s">
        <v>20</v>
      </c>
      <c r="B7" t="s">
        <v>16</v>
      </c>
      <c r="C7">
        <f>SUMIFS(tGrossReq[GrossReqUnits],tGrossReq[Plant],#REF!,tGrossReq[Material],#REF!)</f>
        <v>0</v>
      </c>
      <c r="D7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7" t="e">
        <f ca="1">#REF!+#REF!-_xludf.XLOOKUP(#REF!&amp;"|"&amp;#REF!,tInv0[[#This Row],[Plant]]&amp;"|"&amp;tInv0[[#This Row],[Columna1]],tInv0[Columna2],0)</f>
        <v>#REF!</v>
      </c>
      <c r="F7" t="e">
        <f ca="1">CEILING(MAX(0,#REF!)/_xludf.XLOOKUP(#REF!,tParams[Material],tParams[BatchSize],1),1)</f>
        <v>#REF!</v>
      </c>
      <c r="G7" t="e">
        <f ca="1">#REF!*_xludf.XLOOKUP(#REF!,tParams[Material],tParams[BatchSize],1)</f>
        <v>#REF!</v>
      </c>
    </row>
    <row r="8" spans="1:7" x14ac:dyDescent="0.3">
      <c r="A8" t="s">
        <v>21</v>
      </c>
      <c r="B8" t="s">
        <v>10</v>
      </c>
      <c r="C8">
        <f>SUMIFS(tGrossReq[GrossReqUnits],tGrossReq[Plant],#REF!,tGrossReq[Material],#REF!)</f>
        <v>0</v>
      </c>
      <c r="D8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8" t="e">
        <f ca="1">#REF!+#REF!-_xludf.XLOOKUP(#REF!&amp;"|"&amp;#REF!,tInv0[[#This Row],[Plant]]&amp;"|"&amp;tInv0[[#This Row],[Columna1]],tInv0[Columna2],0)</f>
        <v>#REF!</v>
      </c>
      <c r="F8" t="e">
        <f ca="1">CEILING(MAX(0,#REF!)/_xludf.XLOOKUP(#REF!,tParams[Material],tParams[BatchSize],1),1)</f>
        <v>#REF!</v>
      </c>
      <c r="G8" t="e">
        <f ca="1">#REF!*_xludf.XLOOKUP(#REF!,tParams[Material],tParams[BatchSize],1)</f>
        <v>#REF!</v>
      </c>
    </row>
    <row r="9" spans="1:7" x14ac:dyDescent="0.3">
      <c r="A9" t="s">
        <v>21</v>
      </c>
      <c r="B9" t="s">
        <v>12</v>
      </c>
      <c r="C9">
        <f>SUMIFS(tGrossReq[GrossReqUnits],tGrossReq[Plant],#REF!,tGrossReq[Material],#REF!)</f>
        <v>0</v>
      </c>
      <c r="D9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9" t="e">
        <f ca="1">#REF!+#REF!-_xludf.XLOOKUP(#REF!&amp;"|"&amp;#REF!,tInv0[[#This Row],[Plant]]&amp;"|"&amp;tInv0[[#This Row],[Columna1]],tInv0[Columna2],0)</f>
        <v>#REF!</v>
      </c>
      <c r="F9" t="e">
        <f ca="1">CEILING(MAX(0,#REF!)/_xludf.XLOOKUP(#REF!,tParams[Material],tParams[BatchSize],1),1)</f>
        <v>#REF!</v>
      </c>
      <c r="G9" t="e">
        <f ca="1">#REF!*_xludf.XLOOKUP(#REF!,tParams[Material],tParams[BatchSize],1)</f>
        <v>#REF!</v>
      </c>
    </row>
    <row r="10" spans="1:7" x14ac:dyDescent="0.3">
      <c r="A10" t="s">
        <v>21</v>
      </c>
      <c r="B10" t="s">
        <v>13</v>
      </c>
      <c r="C10">
        <f>SUMIFS(tGrossReq[GrossReqUnits],tGrossReq[Plant],#REF!,tGrossReq[Material],#REF!)</f>
        <v>0</v>
      </c>
      <c r="D10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10" t="e">
        <f ca="1">#REF!+#REF!-_xludf.XLOOKUP(#REF!&amp;"|"&amp;#REF!,tInv0[[#This Row],[Plant]]&amp;"|"&amp;tInv0[[#This Row],[Columna1]],tInv0[Columna2],0)</f>
        <v>#REF!</v>
      </c>
      <c r="F10" t="e">
        <f ca="1">CEILING(MAX(0,#REF!)/_xludf.XLOOKUP(#REF!,tParams[Material],tParams[BatchSize],1),1)</f>
        <v>#REF!</v>
      </c>
      <c r="G10" t="e">
        <f ca="1">#REF!*_xludf.XLOOKUP(#REF!,tParams[Material],tParams[BatchSize],1)</f>
        <v>#REF!</v>
      </c>
    </row>
    <row r="11" spans="1:7" x14ac:dyDescent="0.3">
      <c r="A11" t="s">
        <v>21</v>
      </c>
      <c r="B11" t="s">
        <v>14</v>
      </c>
      <c r="C11">
        <f>SUMIFS(tGrossReq[GrossReqUnits],tGrossReq[Plant],#REF!,tGrossReq[Material],#REF!)</f>
        <v>0</v>
      </c>
      <c r="D11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11" t="e">
        <f ca="1">#REF!+#REF!-_xludf.XLOOKUP(#REF!&amp;"|"&amp;#REF!,tInv0[[#This Row],[Plant]]&amp;"|"&amp;tInv0[[#This Row],[Columna1]],tInv0[Columna2],0)</f>
        <v>#REF!</v>
      </c>
      <c r="F11" t="e">
        <f ca="1">CEILING(MAX(0,#REF!)/_xludf.XLOOKUP(#REF!,tParams[Material],tParams[BatchSize],1),1)</f>
        <v>#REF!</v>
      </c>
      <c r="G11" t="e">
        <f ca="1">#REF!*_xludf.XLOOKUP(#REF!,tParams[Material],tParams[BatchSize],1)</f>
        <v>#REF!</v>
      </c>
    </row>
    <row r="12" spans="1:7" x14ac:dyDescent="0.3">
      <c r="A12" t="s">
        <v>21</v>
      </c>
      <c r="B12" t="s">
        <v>15</v>
      </c>
      <c r="C12">
        <f>SUMIFS(tGrossReq[GrossReqUnits],tGrossReq[Plant],#REF!,tGrossReq[Material],#REF!)</f>
        <v>0</v>
      </c>
      <c r="D12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12" t="e">
        <f ca="1">#REF!+#REF!-_xludf.XLOOKUP(#REF!&amp;"|"&amp;#REF!,tInv0[[#This Row],[Plant]]&amp;"|"&amp;tInv0[[#This Row],[Columna1]],tInv0[Columna2],0)</f>
        <v>#REF!</v>
      </c>
      <c r="F12" t="e">
        <f ca="1">CEILING(MAX(0,#REF!)/_xludf.XLOOKUP(#REF!,tParams[Material],tParams[BatchSize],1),1)</f>
        <v>#REF!</v>
      </c>
      <c r="G12" t="e">
        <f ca="1">#REF!*_xludf.XLOOKUP(#REF!,tParams[Material],tParams[BatchSize],1)</f>
        <v>#REF!</v>
      </c>
    </row>
    <row r="13" spans="1:7" x14ac:dyDescent="0.3">
      <c r="A13" t="s">
        <v>21</v>
      </c>
      <c r="B13" t="s">
        <v>16</v>
      </c>
      <c r="C13">
        <f>SUMIFS(tGrossReq[GrossReqUnits],tGrossReq[Plant],#REF!,tGrossReq[Material],#REF!)</f>
        <v>0</v>
      </c>
      <c r="D13">
        <f ca="1">IFERROR(_xludf.XLOOKUP(#REF!&amp;"|"&amp;#REF!,tPolicy[[#This Row],[Plant]]&amp;"|"&amp;tPolicy[[#This Row],[Material]],tPolicy[SafetyStock_Fortnights],0)*AVERAGEIFS(tGrossReq[GrossReqUnits],tGrossReq[Plant],#REF!,tGrossReq[Material],#REF!),0)</f>
        <v>0</v>
      </c>
      <c r="E13" t="e">
        <f ca="1">#REF!+#REF!-_xludf.XLOOKUP(#REF!&amp;"|"&amp;#REF!,tInv0[[#This Row],[Plant]]&amp;"|"&amp;tInv0[[#This Row],[Columna1]],tInv0[Columna2],0)</f>
        <v>#REF!</v>
      </c>
      <c r="F13" t="e">
        <f ca="1">CEILING(MAX(0,#REF!)/_xludf.XLOOKUP(#REF!,tParams[Material],tParams[BatchSize],1),1)</f>
        <v>#REF!</v>
      </c>
      <c r="G13" t="e">
        <f ca="1">#REF!*_xludf.XLOOKUP(#REF!,tParams[Material],tParams[BatchSize],1)</f>
        <v>#REF!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7"/>
  <sheetViews>
    <sheetView workbookViewId="0"/>
  </sheetViews>
  <sheetFormatPr baseColWidth="10" defaultColWidth="8.88671875" defaultRowHeight="14.4" x14ac:dyDescent="0.3"/>
  <sheetData>
    <row r="1" spans="1:5" x14ac:dyDescent="0.3">
      <c r="A1" t="s">
        <v>1</v>
      </c>
      <c r="B1">
        <f>Inputs!$B$2</f>
        <v>0</v>
      </c>
    </row>
    <row r="3" spans="1:5" x14ac:dyDescent="0.3">
      <c r="A3" t="s">
        <v>17</v>
      </c>
      <c r="B3" t="s">
        <v>18</v>
      </c>
      <c r="C3" t="s">
        <v>3</v>
      </c>
      <c r="D3" t="s">
        <v>51</v>
      </c>
      <c r="E3" t="s">
        <v>52</v>
      </c>
    </row>
    <row r="4" spans="1:5" x14ac:dyDescent="0.3">
      <c r="A4" t="s">
        <v>20</v>
      </c>
      <c r="B4">
        <f t="shared" ref="B4:B15" si="0">tZeroValue</f>
        <v>0</v>
      </c>
      <c r="C4" t="s">
        <v>10</v>
      </c>
      <c r="D4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4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5" spans="1:5" x14ac:dyDescent="0.3">
      <c r="A5" t="s">
        <v>20</v>
      </c>
      <c r="B5">
        <f t="shared" si="0"/>
        <v>0</v>
      </c>
      <c r="C5" t="s">
        <v>12</v>
      </c>
      <c r="D5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5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6" spans="1:5" x14ac:dyDescent="0.3">
      <c r="A6" t="s">
        <v>20</v>
      </c>
      <c r="B6">
        <f t="shared" si="0"/>
        <v>0</v>
      </c>
      <c r="C6" t="s">
        <v>13</v>
      </c>
      <c r="D6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6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7" spans="1:5" x14ac:dyDescent="0.3">
      <c r="A7" t="s">
        <v>20</v>
      </c>
      <c r="B7">
        <f t="shared" si="0"/>
        <v>0</v>
      </c>
      <c r="C7" t="s">
        <v>14</v>
      </c>
      <c r="D7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7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8" spans="1:5" x14ac:dyDescent="0.3">
      <c r="A8" t="s">
        <v>20</v>
      </c>
      <c r="B8">
        <f t="shared" si="0"/>
        <v>0</v>
      </c>
      <c r="C8" t="s">
        <v>15</v>
      </c>
      <c r="D8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8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9" spans="1:5" x14ac:dyDescent="0.3">
      <c r="A9" t="s">
        <v>20</v>
      </c>
      <c r="B9">
        <f t="shared" si="0"/>
        <v>0</v>
      </c>
      <c r="C9" t="s">
        <v>16</v>
      </c>
      <c r="D9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9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10" spans="1:5" x14ac:dyDescent="0.3">
      <c r="A10" t="s">
        <v>21</v>
      </c>
      <c r="B10">
        <f t="shared" si="0"/>
        <v>0</v>
      </c>
      <c r="C10" t="s">
        <v>10</v>
      </c>
      <c r="D10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10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11" spans="1:5" x14ac:dyDescent="0.3">
      <c r="A11" t="s">
        <v>21</v>
      </c>
      <c r="B11">
        <f t="shared" si="0"/>
        <v>0</v>
      </c>
      <c r="C11" t="s">
        <v>12</v>
      </c>
      <c r="D11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11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12" spans="1:5" x14ac:dyDescent="0.3">
      <c r="A12" t="s">
        <v>21</v>
      </c>
      <c r="B12">
        <f t="shared" si="0"/>
        <v>0</v>
      </c>
      <c r="C12" t="s">
        <v>13</v>
      </c>
      <c r="D12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12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13" spans="1:5" x14ac:dyDescent="0.3">
      <c r="A13" t="s">
        <v>21</v>
      </c>
      <c r="B13">
        <f t="shared" si="0"/>
        <v>0</v>
      </c>
      <c r="C13" t="s">
        <v>14</v>
      </c>
      <c r="D13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13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14" spans="1:5" x14ac:dyDescent="0.3">
      <c r="A14" t="s">
        <v>21</v>
      </c>
      <c r="B14">
        <f t="shared" si="0"/>
        <v>0</v>
      </c>
      <c r="C14" t="s">
        <v>15</v>
      </c>
      <c r="D14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14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15" spans="1:5" x14ac:dyDescent="0.3">
      <c r="A15" t="s">
        <v>21</v>
      </c>
      <c r="B15">
        <f t="shared" si="0"/>
        <v>0</v>
      </c>
      <c r="C15" t="s">
        <v>16</v>
      </c>
      <c r="D15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15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16" spans="1:5" x14ac:dyDescent="0.3">
      <c r="A16" t="s">
        <v>20</v>
      </c>
      <c r="B16">
        <v>1</v>
      </c>
      <c r="C16" t="s">
        <v>7</v>
      </c>
      <c r="D16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16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17" spans="1:5" x14ac:dyDescent="0.3">
      <c r="A17" t="s">
        <v>20</v>
      </c>
      <c r="B17">
        <v>2</v>
      </c>
      <c r="C17" t="s">
        <v>7</v>
      </c>
      <c r="D17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17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18" spans="1:5" x14ac:dyDescent="0.3">
      <c r="A18" t="s">
        <v>20</v>
      </c>
      <c r="B18">
        <v>3</v>
      </c>
      <c r="C18" t="s">
        <v>7</v>
      </c>
      <c r="D18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18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19" spans="1:5" x14ac:dyDescent="0.3">
      <c r="A19" t="s">
        <v>20</v>
      </c>
      <c r="B19">
        <v>4</v>
      </c>
      <c r="C19" t="s">
        <v>7</v>
      </c>
      <c r="D19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19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20" spans="1:5" x14ac:dyDescent="0.3">
      <c r="A20" t="s">
        <v>20</v>
      </c>
      <c r="B20">
        <v>5</v>
      </c>
      <c r="C20" t="s">
        <v>7</v>
      </c>
      <c r="D20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20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21" spans="1:5" x14ac:dyDescent="0.3">
      <c r="A21" t="s">
        <v>20</v>
      </c>
      <c r="B21">
        <v>6</v>
      </c>
      <c r="C21" t="s">
        <v>7</v>
      </c>
      <c r="D21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21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22" spans="1:5" x14ac:dyDescent="0.3">
      <c r="A22" t="s">
        <v>20</v>
      </c>
      <c r="B22">
        <v>7</v>
      </c>
      <c r="C22" t="s">
        <v>7</v>
      </c>
      <c r="D22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22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23" spans="1:5" x14ac:dyDescent="0.3">
      <c r="A23" t="s">
        <v>20</v>
      </c>
      <c r="B23">
        <v>8</v>
      </c>
      <c r="C23" t="s">
        <v>7</v>
      </c>
      <c r="D23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23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24" spans="1:5" x14ac:dyDescent="0.3">
      <c r="A24" t="s">
        <v>20</v>
      </c>
      <c r="B24">
        <v>1</v>
      </c>
      <c r="C24" t="s">
        <v>9</v>
      </c>
      <c r="D24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24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25" spans="1:5" x14ac:dyDescent="0.3">
      <c r="A25" t="s">
        <v>20</v>
      </c>
      <c r="B25">
        <v>2</v>
      </c>
      <c r="C25" t="s">
        <v>9</v>
      </c>
      <c r="D25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25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26" spans="1:5" x14ac:dyDescent="0.3">
      <c r="A26" t="s">
        <v>20</v>
      </c>
      <c r="B26">
        <v>3</v>
      </c>
      <c r="C26" t="s">
        <v>9</v>
      </c>
      <c r="D26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26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27" spans="1:5" x14ac:dyDescent="0.3">
      <c r="A27" t="s">
        <v>20</v>
      </c>
      <c r="B27">
        <v>4</v>
      </c>
      <c r="C27" t="s">
        <v>9</v>
      </c>
      <c r="D27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27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28" spans="1:5" x14ac:dyDescent="0.3">
      <c r="A28" t="s">
        <v>20</v>
      </c>
      <c r="B28">
        <v>5</v>
      </c>
      <c r="C28" t="s">
        <v>9</v>
      </c>
      <c r="D28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28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29" spans="1:5" x14ac:dyDescent="0.3">
      <c r="A29" t="s">
        <v>20</v>
      </c>
      <c r="B29">
        <v>6</v>
      </c>
      <c r="C29" t="s">
        <v>9</v>
      </c>
      <c r="D29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29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30" spans="1:5" x14ac:dyDescent="0.3">
      <c r="A30" t="s">
        <v>20</v>
      </c>
      <c r="B30">
        <v>7</v>
      </c>
      <c r="C30" t="s">
        <v>9</v>
      </c>
      <c r="D30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30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31" spans="1:5" x14ac:dyDescent="0.3">
      <c r="A31" t="s">
        <v>20</v>
      </c>
      <c r="B31">
        <v>8</v>
      </c>
      <c r="C31" t="s">
        <v>9</v>
      </c>
      <c r="D31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31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32" spans="1:5" x14ac:dyDescent="0.3">
      <c r="A32" t="s">
        <v>21</v>
      </c>
      <c r="B32">
        <v>1</v>
      </c>
      <c r="C32" t="s">
        <v>7</v>
      </c>
      <c r="D32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32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33" spans="1:5" x14ac:dyDescent="0.3">
      <c r="A33" t="s">
        <v>21</v>
      </c>
      <c r="B33">
        <v>2</v>
      </c>
      <c r="C33" t="s">
        <v>7</v>
      </c>
      <c r="D33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33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34" spans="1:5" x14ac:dyDescent="0.3">
      <c r="A34" t="s">
        <v>21</v>
      </c>
      <c r="B34">
        <v>3</v>
      </c>
      <c r="C34" t="s">
        <v>7</v>
      </c>
      <c r="D34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34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35" spans="1:5" x14ac:dyDescent="0.3">
      <c r="A35" t="s">
        <v>21</v>
      </c>
      <c r="B35">
        <v>4</v>
      </c>
      <c r="C35" t="s">
        <v>7</v>
      </c>
      <c r="D35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35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36" spans="1:5" x14ac:dyDescent="0.3">
      <c r="A36" t="s">
        <v>21</v>
      </c>
      <c r="B36">
        <v>5</v>
      </c>
      <c r="C36" t="s">
        <v>7</v>
      </c>
      <c r="D36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36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37" spans="1:5" x14ac:dyDescent="0.3">
      <c r="A37" t="s">
        <v>21</v>
      </c>
      <c r="B37">
        <v>6</v>
      </c>
      <c r="C37" t="s">
        <v>7</v>
      </c>
      <c r="D37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37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38" spans="1:5" x14ac:dyDescent="0.3">
      <c r="A38" t="s">
        <v>21</v>
      </c>
      <c r="B38">
        <v>7</v>
      </c>
      <c r="C38" t="s">
        <v>7</v>
      </c>
      <c r="D38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38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39" spans="1:5" x14ac:dyDescent="0.3">
      <c r="A39" t="s">
        <v>21</v>
      </c>
      <c r="B39">
        <v>8</v>
      </c>
      <c r="C39" t="s">
        <v>7</v>
      </c>
      <c r="D39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39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40" spans="1:5" x14ac:dyDescent="0.3">
      <c r="A40" t="s">
        <v>21</v>
      </c>
      <c r="B40">
        <v>1</v>
      </c>
      <c r="C40" t="s">
        <v>9</v>
      </c>
      <c r="D40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40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41" spans="1:5" x14ac:dyDescent="0.3">
      <c r="A41" t="s">
        <v>21</v>
      </c>
      <c r="B41">
        <v>2</v>
      </c>
      <c r="C41" t="s">
        <v>9</v>
      </c>
      <c r="D41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41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42" spans="1:5" x14ac:dyDescent="0.3">
      <c r="A42" t="s">
        <v>21</v>
      </c>
      <c r="B42">
        <v>3</v>
      </c>
      <c r="C42" t="s">
        <v>9</v>
      </c>
      <c r="D42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42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43" spans="1:5" x14ac:dyDescent="0.3">
      <c r="A43" t="s">
        <v>21</v>
      </c>
      <c r="B43">
        <v>4</v>
      </c>
      <c r="C43" t="s">
        <v>9</v>
      </c>
      <c r="D43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43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44" spans="1:5" x14ac:dyDescent="0.3">
      <c r="A44" t="s">
        <v>21</v>
      </c>
      <c r="B44">
        <v>5</v>
      </c>
      <c r="C44" t="s">
        <v>9</v>
      </c>
      <c r="D44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44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45" spans="1:5" x14ac:dyDescent="0.3">
      <c r="A45" t="s">
        <v>21</v>
      </c>
      <c r="B45">
        <v>6</v>
      </c>
      <c r="C45" t="s">
        <v>9</v>
      </c>
      <c r="D45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45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46" spans="1:5" x14ac:dyDescent="0.3">
      <c r="A46" t="s">
        <v>21</v>
      </c>
      <c r="B46">
        <v>7</v>
      </c>
      <c r="C46" t="s">
        <v>9</v>
      </c>
      <c r="D46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46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  <row r="47" spans="1:5" x14ac:dyDescent="0.3">
      <c r="A47" t="s">
        <v>21</v>
      </c>
      <c r="B47">
        <v>8</v>
      </c>
      <c r="C47" t="s">
        <v>9</v>
      </c>
      <c r="D47" t="e">
        <f ca="1">IF(_xludf.XLOOKUP(#REF!,tParams[Material],tParams[Type],"")="Piece",_xludf.XLOOKUP(#REF!&amp;"|"&amp;#REF!,tPieces0[[#This Row],[Plant]]&amp;"|"&amp;tPieces0[[#This Row],[Material]],tPieces0[PlannedLots_t0],0),_xludf.XLOOKUP(#REF!&amp;"|"&amp;#REF!&amp;"|"&amp;#REF!,tMRPParts[[#This Row],[Plant]]&amp;"|"&amp;tMRPParts[[#This Row],[Material]]&amp;"|"&amp;tMRPParts[[#This Row],[Fortnight]],tMRPParts[PlannedOrderLots],0))</f>
        <v>#NAME?</v>
      </c>
      <c r="E47" t="e">
        <f ca="1">IF(_xludf.XLOOKUP(#REF!,tParams[Material],tParams[Type],"")="Piece","Single",_xludf.XLOOKUP(#REF!&amp;"|"&amp;#REF!,tPolicy[[#This Row],[Plant]]&amp;"|"&amp;tPolicy[[#This Row],[Material]],tPolicy[PreferredSupplier],""))</f>
        <v>#NAME?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Inputs</vt:lpstr>
      <vt:lpstr>Inventario_Dinamico</vt:lpstr>
      <vt:lpstr>MRP_LeadTimes</vt:lpstr>
      <vt:lpstr>Req_Gross</vt:lpstr>
      <vt:lpstr>MRP_Parts</vt:lpstr>
      <vt:lpstr>Pieces_t0</vt:lpstr>
      <vt:lpstr>EXSIM_UPLOAD</vt:lpstr>
      <vt:lpstr>DemandFactor</vt:lpstr>
      <vt:lpstr>tZeroValue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Alberto Daniel Quiroga Villalobos</cp:lastModifiedBy>
  <cp:revision>0</cp:revision>
  <dcterms:created xsi:type="dcterms:W3CDTF">2026-01-12T17:03:36Z</dcterms:created>
  <dcterms:modified xsi:type="dcterms:W3CDTF">2026-01-14T00:04:35Z</dcterms:modified>
  <dc:language>en-US</dc:language>
</cp:coreProperties>
</file>