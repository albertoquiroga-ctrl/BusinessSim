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Inputs" sheetId="1" state="visible" r:id="rId1"/>
    <sheet name="Inventario_Dinamico" sheetId="2" state="visible" r:id="rId2"/>
    <sheet name="MRP_LeadTimes" sheetId="3" state="visible" r:id="rId3"/>
    <sheet name="Req_Gross" sheetId="4" state="visible" r:id="rId4"/>
    <sheet name="MRP_Parts" sheetId="5" state="visible" r:id="rId5"/>
    <sheet name="Pieces_t0" sheetId="6" state="visible" r:id="rId6"/>
    <sheet name="EXSIM_UPLOAD" sheetId="7" state="visible" r:id="rId7"/>
  </sheets>
  <definedNames>
    <definedName name="tZeroValue">Inputs!$B$2</definedName>
    <definedName name="DemandFactor">Inputs!$B$3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\$#,##0.00"/>
    <numFmt numFmtId="166" formatCode="\$0.00"/>
    <numFmt numFmtId="167" formatCode="0.0"/>
  </numFmts>
  <fonts count="10">
    <font>
      <name val="Calibri"/>
      <charset val="1"/>
      <family val="2"/>
      <color theme="1"/>
      <sz val="11"/>
    </font>
    <font>
      <name val="Cambria"/>
      <family val="1"/>
      <b val="1"/>
      <sz val="14"/>
    </font>
    <font>
      <name val="Cambria"/>
      <family val="1"/>
      <i val="1"/>
      <color rgb="FF0000FF"/>
      <sz val="9"/>
    </font>
    <font>
      <name val="Cambria"/>
      <family val="1"/>
      <b val="1"/>
      <color rgb="FFFFFFFF"/>
      <sz val="11"/>
    </font>
    <font>
      <name val="Cambria"/>
      <family val="1"/>
      <b val="1"/>
      <sz val="10"/>
    </font>
    <font>
      <name val="Cambria"/>
      <family val="1"/>
      <color rgb="FF0000FF"/>
      <sz val="10"/>
    </font>
    <font>
      <name val="Cambria"/>
      <family val="1"/>
      <color rgb="FF000000"/>
      <sz val="10"/>
    </font>
    <font>
      <name val="Cambria"/>
      <family val="1"/>
      <i val="1"/>
      <sz val="9"/>
    </font>
    <font>
      <name val="Cambria"/>
      <family val="1"/>
      <i val="1"/>
      <color rgb="FFFF0000"/>
      <sz val="9"/>
    </font>
    <font>
      <name val="Cambria"/>
      <family val="1"/>
      <color rgb="FF008000"/>
      <sz val="10"/>
    </font>
  </fonts>
  <fills count="5">
    <fill>
      <patternFill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4" fillId="0" borderId="0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3" fontId="5" fillId="4" borderId="1" applyAlignment="1" pivotButton="0" quotePrefix="0" xfId="0">
      <alignment horizontal="right"/>
    </xf>
    <xf numFmtId="3" fontId="6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9" fontId="5" fillId="0" borderId="1" applyAlignment="1" pivotButton="0" quotePrefix="0" xfId="0">
      <alignment horizontal="right"/>
    </xf>
    <xf numFmtId="1" fontId="5" fillId="0" borderId="1" applyAlignment="1" pivotButton="0" quotePrefix="0" xfId="0">
      <alignment horizontal="right"/>
    </xf>
    <xf numFmtId="167" fontId="5" fillId="4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3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3" fontId="6" fillId="4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9" fontId="0" fillId="0" borderId="0" pivotButton="0" quotePrefix="0" xfId="0"/>
    <xf numFmtId="0" fontId="8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3" fillId="2" borderId="1" pivotButton="0" quotePrefix="0" xfId="0"/>
    <xf numFmtId="0" fontId="3" fillId="2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Params" displayName="tParams" ref="A5:E13" headerRowCount="1">
  <autoFilter ref="A5:E13"/>
  <tableColumns count="5">
    <tableColumn id="1" name="Material"/>
    <tableColumn id="2" name="Type"/>
    <tableColumn id="3" name="BatchSize"/>
    <tableColumn id="4" name="ConsPerEC"/>
    <tableColumn id="5" name="DefaultLeadTimeFortnights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ProdPlan" displayName="tProdPlan" ref="A15:C31" headerRowCount="1">
  <autoFilter ref="A15:C31"/>
  <tableColumns count="3">
    <tableColumn id="1" name="Plant"/>
    <tableColumn id="2" name="Fortnight"/>
    <tableColumn id="3" name="EC_Produced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Inv0" displayName="tInv0" ref="A33:C49" headerRowCount="1">
  <autoFilter ref="A33:C49"/>
  <tableColumns count="3">
    <tableColumn id="1" name="Plant"/>
    <tableColumn id="2" name="Material"/>
    <tableColumn id="3" name="OnHand_InitialUnits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Policy" displayName="tPolicy" ref="A51:D67" headerRowCount="1">
  <autoFilter ref="A51:D67"/>
  <tableColumns count="4">
    <tableColumn id="1" name="Plant"/>
    <tableColumn id="2" name="Material"/>
    <tableColumn id="3" name="SafetyStock_Fortnights"/>
    <tableColumn id="4" name="PreferredSupplier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InvDyn" displayName="tInvDyn" ref="A1:G129" headerRowCount="1">
  <autoFilter ref="A1:G129"/>
  <tableColumns count="7">
    <tableColumn id="1" name="Plant"/>
    <tableColumn id="2" name="Material"/>
    <tableColumn id="3" name="Fortnight"/>
    <tableColumn id="4" name="GrossReqUnits"/>
    <tableColumn id="5" name="ReceiptsUnits"/>
    <tableColumn id="6" name="ProjectedOnHand_Begin"/>
    <tableColumn id="7" name="ProjectedOnHand_End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GrossReq" displayName="tGrossReq" ref="A1:D129" headerRowCount="1">
  <autoFilter ref="A1:D129"/>
  <tableColumns count="4">
    <tableColumn id="1" name="Plant"/>
    <tableColumn id="2" name="Fortnight"/>
    <tableColumn id="3" name="Material"/>
    <tableColumn id="4" name="GrossReqUnits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MRPParts" displayName="tMRPParts" ref="A1:M33" headerRowCount="1">
  <autoFilter ref="A1:M33"/>
  <tableColumns count="13">
    <tableColumn id="1" name="Plant"/>
    <tableColumn id="2" name="Material"/>
    <tableColumn id="3" name="Fortnight"/>
    <tableColumn id="4" name="GrossReqUnits"/>
    <tableColumn id="5" name="ReceiptsUnits"/>
    <tableColumn id="6" name="ProjectedOnHand_Begin"/>
    <tableColumn id="7" name="ProjectedOnHand_End"/>
    <tableColumn id="8" name="SafetyStockUnits"/>
    <tableColumn id="9" name="NetReqUnits"/>
    <tableColumn id="10" name="PlannedOrderReceiptUnits"/>
    <tableColumn id="11" name="PlannedOrderLots"/>
    <tableColumn id="12" name="PlannedOrderReceiptUnits_Rounded"/>
    <tableColumn id="13" name="PlannedOrderReleaseFortnight"/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Pieces0" displayName="tPieces0" ref="A1:G13" headerRowCount="1">
  <autoFilter ref="A1:G13"/>
  <tableColumns count="7">
    <tableColumn id="1" name="Plant"/>
    <tableColumn id="2" name="Material"/>
    <tableColumn id="3" name="TotalGrossReqPeriodUnits"/>
    <tableColumn id="4" name="SafetyStockUnits"/>
    <tableColumn id="5" name="NetReqUnits"/>
    <tableColumn id="6" name="PlannedLots_t0"/>
    <tableColumn id="7" name="PlannedUnits_t0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Upload" displayName="tUpload" ref="A3:E47" headerRowCount="1">
  <autoFilter ref="A3:E47"/>
  <tableColumns count="5">
    <tableColumn id="1" name="Plant"/>
    <tableColumn id="2" name="Fortnight"/>
    <tableColumn id="3" name="Material"/>
    <tableColumn id="4" name="Lots"/>
    <tableColumn id="5" name="Supplier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tabSelected="1" zoomScaleNormal="100" workbookViewId="0">
      <selection activeCell="A6" sqref="A6"/>
    </sheetView>
  </sheetViews>
  <sheetFormatPr baseColWidth="10" defaultColWidth="8.6640625" defaultRowHeight="14.4"/>
  <cols>
    <col width="25" customWidth="1" style="33" min="1" max="1"/>
    <col width="15" customWidth="1" style="33" min="2" max="2"/>
    <col width="26.6640625" bestFit="1" customWidth="1" style="33" min="3" max="3"/>
    <col width="30.44140625" bestFit="1" customWidth="1" style="33" min="4" max="4"/>
    <col width="15" customWidth="1" style="33" min="5" max="7"/>
  </cols>
  <sheetData>
    <row r="1" ht="17.25" customHeight="1" s="33">
      <c r="A1" t="inlineStr">
        <is>
          <t>INPUTS MULTI-PLANTA</t>
        </is>
      </c>
    </row>
    <row r="2" ht="15" customHeight="1" s="33">
      <c r="A2" t="inlineStr">
        <is>
          <t>tZeroValue</t>
        </is>
      </c>
    </row>
    <row r="3">
      <c r="A3" t="inlineStr">
        <is>
          <t>DemandFactor</t>
        </is>
      </c>
      <c r="B3" t="n">
        <v>1</v>
      </c>
    </row>
    <row r="4" ht="15" customHeight="1" s="33"/>
    <row r="5" ht="15" customHeight="1" s="33">
      <c r="A5" t="inlineStr">
        <is>
          <t>Material</t>
        </is>
      </c>
      <c r="B5" t="inlineStr">
        <is>
          <t>Type</t>
        </is>
      </c>
      <c r="C5" t="inlineStr">
        <is>
          <t>BatchSize</t>
        </is>
      </c>
      <c r="D5" t="inlineStr">
        <is>
          <t>ConsPerEC</t>
        </is>
      </c>
      <c r="E5" t="inlineStr">
        <is>
          <t>DefaultLeadTimeFortnights</t>
        </is>
      </c>
    </row>
    <row r="6" ht="15" customHeight="1" s="33">
      <c r="A6" t="inlineStr">
        <is>
          <t>Parte A</t>
        </is>
      </c>
      <c r="B6" t="inlineStr">
        <is>
          <t>Part</t>
        </is>
      </c>
      <c r="C6" t="n">
        <v>30</v>
      </c>
      <c r="D6" t="n">
        <v>1</v>
      </c>
      <c r="E6" t="n">
        <v>0</v>
      </c>
    </row>
    <row r="7">
      <c r="A7" t="inlineStr">
        <is>
          <t>Parte B</t>
        </is>
      </c>
      <c r="B7" t="inlineStr">
        <is>
          <t>Part</t>
        </is>
      </c>
      <c r="C7" t="n">
        <v>12</v>
      </c>
      <c r="D7" t="n">
        <v>0.2</v>
      </c>
      <c r="E7" t="n">
        <v>0</v>
      </c>
    </row>
    <row r="8">
      <c r="A8" t="inlineStr">
        <is>
          <t>Pieza 1</t>
        </is>
      </c>
      <c r="B8" t="inlineStr">
        <is>
          <t>Piece</t>
        </is>
      </c>
      <c r="C8" t="n">
        <v>1</v>
      </c>
      <c r="D8" t="n">
        <v>0.01</v>
      </c>
      <c r="E8" t="n">
        <v>-1</v>
      </c>
    </row>
    <row r="9" ht="15" customHeight="1" s="33">
      <c r="A9" t="inlineStr">
        <is>
          <t>Pieza 2</t>
        </is>
      </c>
      <c r="E9" t="n">
        <v>-1</v>
      </c>
    </row>
    <row r="10" ht="15" customHeight="1" s="33">
      <c r="A10" t="inlineStr">
        <is>
          <t>Pieza 3</t>
        </is>
      </c>
      <c r="B10" t="inlineStr">
        <is>
          <t>Piece</t>
        </is>
      </c>
      <c r="C10" t="n">
        <v>30</v>
      </c>
      <c r="D10" t="n">
        <v>0.3</v>
      </c>
      <c r="E10" t="n">
        <v>-1</v>
      </c>
    </row>
    <row r="11" ht="15" customHeight="1" s="33">
      <c r="A11" t="inlineStr">
        <is>
          <t>Pieza 4</t>
        </is>
      </c>
      <c r="B11" t="inlineStr">
        <is>
          <t>Piece</t>
        </is>
      </c>
      <c r="C11" t="n">
        <v>60</v>
      </c>
      <c r="D11" t="n">
        <v>0.6</v>
      </c>
      <c r="E11" t="n">
        <v>-1</v>
      </c>
    </row>
    <row r="12" ht="15" customHeight="1" s="33">
      <c r="A12" t="inlineStr">
        <is>
          <t>Pieza 5</t>
        </is>
      </c>
      <c r="B12" t="inlineStr">
        <is>
          <t>Piece</t>
        </is>
      </c>
      <c r="C12" t="n">
        <v>100</v>
      </c>
      <c r="D12" t="n">
        <v>2</v>
      </c>
      <c r="E12" t="n">
        <v>-1</v>
      </c>
    </row>
    <row r="13" ht="15" customHeight="1" s="33">
      <c r="A13" t="inlineStr">
        <is>
          <t>Pieza 6</t>
        </is>
      </c>
      <c r="B13" t="inlineStr">
        <is>
          <t>Piece</t>
        </is>
      </c>
      <c r="C13" t="n">
        <v>150</v>
      </c>
      <c r="D13" t="n">
        <v>0.75</v>
      </c>
      <c r="E13" t="n">
        <v>-1</v>
      </c>
    </row>
    <row r="14" ht="15" customHeight="1" s="33"/>
    <row r="15" ht="15" customHeight="1" s="33">
      <c r="A15" t="inlineStr">
        <is>
          <t>Plant</t>
        </is>
      </c>
      <c r="B15" t="inlineStr">
        <is>
          <t>Fortnight</t>
        </is>
      </c>
      <c r="C15" t="inlineStr">
        <is>
          <t>EC_Produced</t>
        </is>
      </c>
    </row>
    <row r="16" ht="15" customHeight="1" s="33">
      <c r="A16" t="inlineStr">
        <is>
          <t>Center</t>
        </is>
      </c>
      <c r="B16" t="n">
        <v>1</v>
      </c>
      <c r="C16" t="n">
        <v>1500</v>
      </c>
    </row>
    <row r="17" ht="15" customHeight="1" s="33">
      <c r="A17" t="inlineStr">
        <is>
          <t>Center</t>
        </is>
      </c>
      <c r="B17" t="n">
        <v>2</v>
      </c>
      <c r="C17" t="n">
        <v>1500</v>
      </c>
    </row>
    <row r="18" ht="15" customHeight="1" s="33">
      <c r="A18" t="inlineStr">
        <is>
          <t>Center</t>
        </is>
      </c>
      <c r="B18" t="n">
        <v>3</v>
      </c>
      <c r="C18" t="n">
        <v>1500</v>
      </c>
    </row>
    <row r="19">
      <c r="A19" t="inlineStr">
        <is>
          <t>Center</t>
        </is>
      </c>
      <c r="B19" t="n">
        <v>4</v>
      </c>
      <c r="C19" t="n">
        <v>1500</v>
      </c>
    </row>
    <row r="20">
      <c r="A20" t="inlineStr">
        <is>
          <t>Center</t>
        </is>
      </c>
      <c r="B20" t="n">
        <v>5</v>
      </c>
      <c r="C20" t="n">
        <v>1500</v>
      </c>
    </row>
    <row r="21" ht="15" customHeight="1" s="33">
      <c r="A21" t="inlineStr">
        <is>
          <t>Center</t>
        </is>
      </c>
      <c r="B21" t="n">
        <v>6</v>
      </c>
      <c r="C21" t="n">
        <v>1500</v>
      </c>
    </row>
    <row r="22" ht="15" customHeight="1" s="33">
      <c r="A22" t="inlineStr">
        <is>
          <t>Center</t>
        </is>
      </c>
      <c r="B22" t="n">
        <v>7</v>
      </c>
      <c r="C22" t="n">
        <v>1500</v>
      </c>
    </row>
    <row r="23" ht="15" customHeight="1" s="33">
      <c r="A23" t="inlineStr">
        <is>
          <t>Center</t>
        </is>
      </c>
      <c r="B23" t="n">
        <v>8</v>
      </c>
      <c r="C23" t="n">
        <v>1500</v>
      </c>
    </row>
    <row r="24" ht="15" customHeight="1" s="33">
      <c r="A24" t="inlineStr">
        <is>
          <t>West</t>
        </is>
      </c>
      <c r="B24" t="n">
        <v>1</v>
      </c>
      <c r="C24" t="n">
        <v>350</v>
      </c>
    </row>
    <row r="25" ht="15" customHeight="1" s="33">
      <c r="A25" t="inlineStr">
        <is>
          <t>West</t>
        </is>
      </c>
      <c r="B25" t="n">
        <v>2</v>
      </c>
      <c r="C25" t="n">
        <v>350</v>
      </c>
    </row>
    <row r="26" ht="15" customHeight="1" s="33">
      <c r="A26" t="inlineStr">
        <is>
          <t>West</t>
        </is>
      </c>
      <c r="B26" t="n">
        <v>3</v>
      </c>
      <c r="C26" t="n">
        <v>350</v>
      </c>
    </row>
    <row r="27" ht="15" customHeight="1" s="33">
      <c r="A27" t="inlineStr">
        <is>
          <t>West</t>
        </is>
      </c>
      <c r="B27" t="n">
        <v>4</v>
      </c>
      <c r="C27" t="n">
        <v>350</v>
      </c>
    </row>
    <row r="28" ht="15" customHeight="1" s="33">
      <c r="A28" t="inlineStr">
        <is>
          <t>West</t>
        </is>
      </c>
      <c r="B28" t="n">
        <v>5</v>
      </c>
      <c r="C28" t="n">
        <v>350</v>
      </c>
    </row>
    <row r="29" ht="15" customHeight="1" s="33">
      <c r="A29" t="inlineStr">
        <is>
          <t>West</t>
        </is>
      </c>
      <c r="B29" t="n">
        <v>6</v>
      </c>
      <c r="C29" t="n">
        <v>350</v>
      </c>
    </row>
    <row r="30" ht="15" customHeight="1" s="33">
      <c r="A30" t="inlineStr">
        <is>
          <t>West</t>
        </is>
      </c>
      <c r="B30" t="n">
        <v>7</v>
      </c>
      <c r="C30" t="n">
        <v>420</v>
      </c>
    </row>
    <row r="31">
      <c r="A31" t="inlineStr">
        <is>
          <t>West</t>
        </is>
      </c>
      <c r="B31" t="n">
        <v>8</v>
      </c>
      <c r="C31" t="n">
        <v>420</v>
      </c>
    </row>
    <row r="33" ht="15" customHeight="1" s="33">
      <c r="A33" t="inlineStr">
        <is>
          <t>Plant</t>
        </is>
      </c>
    </row>
    <row r="34" ht="15" customHeight="1" s="33">
      <c r="A34" t="inlineStr">
        <is>
          <t>Center</t>
        </is>
      </c>
      <c r="B34" t="inlineStr">
        <is>
          <t>Parte A</t>
        </is>
      </c>
      <c r="C34" t="n">
        <v>3496</v>
      </c>
    </row>
    <row r="35" ht="15" customHeight="1" s="33">
      <c r="A35" t="inlineStr">
        <is>
          <t>Center</t>
        </is>
      </c>
      <c r="B35" t="inlineStr">
        <is>
          <t>Parte B</t>
        </is>
      </c>
      <c r="C35" t="n">
        <v>765</v>
      </c>
    </row>
    <row r="36" ht="15" customHeight="1" s="33">
      <c r="A36" t="inlineStr">
        <is>
          <t>Center</t>
        </is>
      </c>
      <c r="B36" t="inlineStr">
        <is>
          <t>Pieza 1</t>
        </is>
      </c>
      <c r="C36" t="n">
        <v>94</v>
      </c>
    </row>
    <row r="37" ht="15" customHeight="1" s="33">
      <c r="A37" t="inlineStr">
        <is>
          <t>Center</t>
        </is>
      </c>
      <c r="B37" t="inlineStr">
        <is>
          <t>Pieza 2</t>
        </is>
      </c>
      <c r="C37" t="n">
        <v>3844</v>
      </c>
    </row>
    <row r="38" ht="15" customHeight="1" s="33">
      <c r="A38" t="inlineStr">
        <is>
          <t>Center</t>
        </is>
      </c>
      <c r="B38" t="inlineStr">
        <is>
          <t>Pieza 3</t>
        </is>
      </c>
      <c r="C38" t="n">
        <v>3125</v>
      </c>
    </row>
    <row r="39" ht="15" customHeight="1" s="33">
      <c r="A39" t="inlineStr">
        <is>
          <t>Center</t>
        </is>
      </c>
      <c r="B39" t="inlineStr">
        <is>
          <t>Pieza 4</t>
        </is>
      </c>
      <c r="C39" t="n">
        <v>6131</v>
      </c>
    </row>
    <row r="40" ht="15" customHeight="1" s="33">
      <c r="A40" t="inlineStr">
        <is>
          <t>Center</t>
        </is>
      </c>
      <c r="B40" t="inlineStr">
        <is>
          <t>Pieza 5</t>
        </is>
      </c>
      <c r="C40" t="n">
        <v>16736</v>
      </c>
    </row>
    <row r="41" ht="15" customHeight="1" s="33">
      <c r="A41" t="inlineStr">
        <is>
          <t>Center</t>
        </is>
      </c>
      <c r="B41" t="inlineStr">
        <is>
          <t>Pieza 6</t>
        </is>
      </c>
      <c r="C41" t="n">
        <v>4439</v>
      </c>
    </row>
    <row r="42" ht="15" customHeight="1" s="33">
      <c r="A42" t="inlineStr">
        <is>
          <t>West</t>
        </is>
      </c>
      <c r="B42" t="inlineStr">
        <is>
          <t>Parte A</t>
        </is>
      </c>
      <c r="C42" t="n">
        <v>1016</v>
      </c>
    </row>
    <row r="43" ht="15" customHeight="1" s="33">
      <c r="A43" t="inlineStr">
        <is>
          <t>West</t>
        </is>
      </c>
      <c r="B43" t="inlineStr">
        <is>
          <t>Parte B</t>
        </is>
      </c>
      <c r="C43" t="n">
        <v>293</v>
      </c>
    </row>
    <row r="44" ht="15" customHeight="1" s="33">
      <c r="A44" t="inlineStr">
        <is>
          <t>West</t>
        </is>
      </c>
      <c r="B44" t="inlineStr">
        <is>
          <t>Pieza 1</t>
        </is>
      </c>
      <c r="C44" t="n">
        <v>36</v>
      </c>
    </row>
    <row r="45" ht="15" customHeight="1" s="33">
      <c r="A45" t="inlineStr">
        <is>
          <t>West</t>
        </is>
      </c>
    </row>
    <row r="46" ht="15" customHeight="1" s="33">
      <c r="A46" t="inlineStr">
        <is>
          <t>West</t>
        </is>
      </c>
      <c r="B46" t="inlineStr">
        <is>
          <t>Pieza 3</t>
        </is>
      </c>
      <c r="C46" t="n">
        <v>1208</v>
      </c>
    </row>
    <row r="47" ht="15" customHeight="1" s="33">
      <c r="A47" t="inlineStr">
        <is>
          <t>West</t>
        </is>
      </c>
      <c r="B47" t="inlineStr">
        <is>
          <t>Pieza 4</t>
        </is>
      </c>
      <c r="C47" t="n">
        <v>2356</v>
      </c>
    </row>
    <row r="48" ht="15" customHeight="1" s="33">
      <c r="A48" t="inlineStr">
        <is>
          <t>West</t>
        </is>
      </c>
      <c r="B48" t="inlineStr">
        <is>
          <t>Pieza 5</t>
        </is>
      </c>
      <c r="C48" t="n">
        <v>6456</v>
      </c>
    </row>
    <row r="49" ht="15" customHeight="1" s="33">
      <c r="A49" t="inlineStr">
        <is>
          <t>West</t>
        </is>
      </c>
      <c r="B49" t="inlineStr">
        <is>
          <t>Pieza 6</t>
        </is>
      </c>
      <c r="C49" t="n">
        <v>1596</v>
      </c>
    </row>
    <row r="50" ht="15" customHeight="1" s="33"/>
    <row r="51" ht="15" customHeight="1" s="33">
      <c r="A51" t="inlineStr">
        <is>
          <t>Plant</t>
        </is>
      </c>
      <c r="B51" t="inlineStr">
        <is>
          <t>Material</t>
        </is>
      </c>
      <c r="C51" t="inlineStr">
        <is>
          <t>SafetyStock_Fortnights</t>
        </is>
      </c>
      <c r="D51" t="inlineStr">
        <is>
          <t>PreferredSupplier</t>
        </is>
      </c>
    </row>
    <row r="52" ht="15" customHeight="1" s="33">
      <c r="A52" t="inlineStr">
        <is>
          <t>Center</t>
        </is>
      </c>
      <c r="B52" t="inlineStr">
        <is>
          <t>Parte A</t>
        </is>
      </c>
      <c r="C52" t="n">
        <v>1</v>
      </c>
    </row>
    <row r="53" ht="15" customHeight="1" s="33">
      <c r="A53" t="inlineStr">
        <is>
          <t>Center</t>
        </is>
      </c>
      <c r="B53" t="inlineStr">
        <is>
          <t>Parte B</t>
        </is>
      </c>
      <c r="C53" t="n">
        <v>1</v>
      </c>
    </row>
    <row r="54" ht="15" customHeight="1" s="33">
      <c r="A54" t="inlineStr">
        <is>
          <t>Center</t>
        </is>
      </c>
      <c r="B54" t="inlineStr">
        <is>
          <t>Pieza 1</t>
        </is>
      </c>
      <c r="C54" t="n">
        <v>0</v>
      </c>
    </row>
    <row r="55">
      <c r="A55" t="inlineStr">
        <is>
          <t>Center</t>
        </is>
      </c>
      <c r="B55" t="inlineStr">
        <is>
          <t>Pieza 2</t>
        </is>
      </c>
      <c r="C55" t="n">
        <v>0</v>
      </c>
    </row>
    <row r="56">
      <c r="A56" t="inlineStr">
        <is>
          <t>Center</t>
        </is>
      </c>
      <c r="B56" t="inlineStr">
        <is>
          <t>Pieza 3</t>
        </is>
      </c>
      <c r="C56" t="n">
        <v>0</v>
      </c>
    </row>
    <row r="57" ht="15" customHeight="1" s="33">
      <c r="A57" t="inlineStr">
        <is>
          <t>Center</t>
        </is>
      </c>
    </row>
    <row r="58" ht="15" customHeight="1" s="33">
      <c r="A58" t="inlineStr">
        <is>
          <t>Center</t>
        </is>
      </c>
      <c r="B58" t="inlineStr">
        <is>
          <t>Pieza 5</t>
        </is>
      </c>
      <c r="C58" t="n">
        <v>0</v>
      </c>
    </row>
    <row r="59" ht="15" customHeight="1" s="33">
      <c r="A59" t="inlineStr">
        <is>
          <t>Center</t>
        </is>
      </c>
      <c r="B59" t="inlineStr">
        <is>
          <t>Pieza 6</t>
        </is>
      </c>
      <c r="C59" t="n">
        <v>0</v>
      </c>
    </row>
    <row r="60" ht="15" customHeight="1" s="33">
      <c r="A60" t="inlineStr">
        <is>
          <t>West</t>
        </is>
      </c>
      <c r="B60" t="inlineStr">
        <is>
          <t>Parte A</t>
        </is>
      </c>
      <c r="C60" t="n">
        <v>1</v>
      </c>
    </row>
    <row r="61" ht="15" customHeight="1" s="33">
      <c r="A61" t="inlineStr">
        <is>
          <t>West</t>
        </is>
      </c>
      <c r="B61" t="inlineStr">
        <is>
          <t>Parte B</t>
        </is>
      </c>
      <c r="C61" t="n">
        <v>1</v>
      </c>
    </row>
    <row r="62">
      <c r="A62" t="inlineStr">
        <is>
          <t>West</t>
        </is>
      </c>
      <c r="B62" t="inlineStr">
        <is>
          <t>Pieza 1</t>
        </is>
      </c>
      <c r="C62" t="n">
        <v>0</v>
      </c>
    </row>
    <row r="63">
      <c r="A63" t="inlineStr">
        <is>
          <t>West</t>
        </is>
      </c>
      <c r="B63" t="inlineStr">
        <is>
          <t>Pieza 2</t>
        </is>
      </c>
      <c r="C63" t="n">
        <v>0</v>
      </c>
    </row>
    <row r="64" ht="15" customHeight="1" s="33">
      <c r="A64" t="inlineStr">
        <is>
          <t>West</t>
        </is>
      </c>
    </row>
    <row r="65" ht="15" customHeight="1" s="33">
      <c r="A65" t="inlineStr">
        <is>
          <t>West</t>
        </is>
      </c>
      <c r="B65" t="inlineStr">
        <is>
          <t>Pieza 4</t>
        </is>
      </c>
      <c r="C65" t="n">
        <v>0</v>
      </c>
    </row>
    <row r="66" ht="15" customHeight="1" s="33">
      <c r="A66" t="inlineStr">
        <is>
          <t>West</t>
        </is>
      </c>
      <c r="B66" t="inlineStr">
        <is>
          <t>Pieza 5</t>
        </is>
      </c>
      <c r="C66" t="n">
        <v>0</v>
      </c>
    </row>
    <row r="67" ht="15" customHeight="1" s="33">
      <c r="A67" t="inlineStr">
        <is>
          <t>West</t>
        </is>
      </c>
      <c r="B67" t="inlineStr">
        <is>
          <t>Pieza 6</t>
        </is>
      </c>
      <c r="C67" t="n">
        <v>0</v>
      </c>
    </row>
    <row r="68" ht="15" customHeight="1" s="33"/>
    <row r="69" ht="15" customHeight="1" s="33"/>
    <row r="72" ht="15" customHeight="1" s="33"/>
    <row r="73" ht="15" customHeight="1" s="33"/>
    <row r="74" ht="15" customHeight="1" s="33"/>
    <row r="75" ht="15" customHeight="1" s="33"/>
    <row r="76" ht="15" customHeight="1" s="33"/>
    <row r="77" ht="15" customHeight="1" s="33"/>
    <row r="80" ht="15" customHeight="1" s="33"/>
    <row r="81" ht="15" customHeight="1" s="33"/>
    <row r="82" ht="15" customHeight="1" s="33"/>
    <row r="83" ht="15" customHeight="1" s="33"/>
    <row r="84" ht="15" customHeight="1" s="33"/>
    <row r="85" ht="15" customHeight="1" s="33"/>
    <row r="86" ht="15" customHeight="1" s="33"/>
    <row r="87" ht="15" customHeight="1" s="33"/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6" ht="15" customHeight="1" s="33"/>
    <row r="97" ht="15" customHeight="1" s="33"/>
    <row r="98" ht="15" customHeight="1" s="33"/>
  </sheetData>
  <pageMargins left="0.75" right="0.75" top="1" bottom="1" header="0.511811023622047" footer="0.511811023622047"/>
  <pageSetup orientation="portrait" paperSize="9" horizontalDpi="300" verticalDpi="300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9"/>
  <sheetViews>
    <sheetView zoomScaleNormal="100" workbookViewId="0">
      <selection activeCell="F10" sqref="F10"/>
    </sheetView>
  </sheetViews>
  <sheetFormatPr baseColWidth="10" defaultColWidth="8.6640625" defaultRowHeight="14.4"/>
  <cols>
    <col width="15" customWidth="1" style="33" min="1" max="1"/>
    <col width="9.33203125" bestFit="1" customWidth="1" style="33" min="2" max="2"/>
    <col width="10.33203125" bestFit="1" customWidth="1" style="33" min="3" max="3"/>
    <col width="13.6640625" bestFit="1" customWidth="1" style="33" min="4" max="4"/>
    <col width="17.109375" bestFit="1" customWidth="1" style="33" min="5" max="5"/>
    <col width="21.5546875" bestFit="1" customWidth="1" style="33" min="6" max="6"/>
    <col width="24.88671875" bestFit="1" customWidth="1" style="33" min="7" max="7"/>
    <col width="28.33203125" bestFit="1" customWidth="1" style="33" min="8" max="9"/>
    <col width="27.33203125" bestFit="1" customWidth="1" style="33" min="10" max="10"/>
  </cols>
  <sheetData>
    <row r="1" ht="17.25" customHeight="1" s="33">
      <c r="A1" t="inlineStr">
        <is>
          <t>Plant</t>
        </is>
      </c>
    </row>
    <row r="2" ht="15" customHeight="1" s="33">
      <c r="A2" t="inlineStr">
        <is>
          <t>Center</t>
        </is>
      </c>
    </row>
    <row r="3" ht="15" customHeight="1" s="33">
      <c r="A3" t="inlineStr">
        <is>
          <t>Center</t>
        </is>
      </c>
    </row>
    <row r="4">
      <c r="A4" t="inlineStr">
        <is>
          <t>Center</t>
        </is>
      </c>
      <c r="B4" t="inlineStr">
        <is>
          <t>Parte A</t>
        </is>
      </c>
      <c r="C4" t="n">
        <v>3</v>
      </c>
      <c r="D4">
        <f>SUMIFS(tGrossReq[GrossReqUnits],tGrossReq[Plant],[@Plant],tGrossReq[Material],[@Material],tGrossReq[Fortnight],[@Fortnight])</f>
        <v/>
      </c>
      <c r="E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">
        <f>[@ProjectedOnHand_Begin]+[@ReceiptsUnits]-[@GrossReqUnits]</f>
        <v/>
      </c>
    </row>
    <row r="5" ht="15" customHeight="1" s="33">
      <c r="A5" t="inlineStr">
        <is>
          <t>Center</t>
        </is>
      </c>
    </row>
    <row r="6" ht="15" customHeight="1" s="33">
      <c r="A6" t="inlineStr">
        <is>
          <t>Center</t>
        </is>
      </c>
      <c r="B6" t="inlineStr">
        <is>
          <t>Parte A</t>
        </is>
      </c>
      <c r="C6" t="n">
        <v>5</v>
      </c>
      <c r="D6">
        <f>SUMIFS(tGrossReq[GrossReqUnits],tGrossReq[Plant],[@Plant],tGrossReq[Material],[@Material],tGrossReq[Fortnight],[@Fortnight])</f>
        <v/>
      </c>
      <c r="E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">
        <f>[@ProjectedOnHand_Begin]+[@ReceiptsUnits]-[@GrossReqUnits]</f>
        <v/>
      </c>
    </row>
    <row r="7" ht="15" customHeight="1" s="33">
      <c r="A7" t="inlineStr">
        <is>
          <t>Center</t>
        </is>
      </c>
      <c r="B7" t="inlineStr">
        <is>
          <t>Parte A</t>
        </is>
      </c>
      <c r="C7" t="n">
        <v>6</v>
      </c>
      <c r="D7">
        <f>SUMIFS(tGrossReq[GrossReqUnits],tGrossReq[Plant],[@Plant],tGrossReq[Material],[@Material],tGrossReq[Fortnight],[@Fortnight])</f>
        <v/>
      </c>
      <c r="E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">
        <f>[@ProjectedOnHand_Begin]+[@ReceiptsUnits]-[@GrossReqUnits]</f>
        <v/>
      </c>
    </row>
    <row r="8" ht="15" customHeight="1" s="33">
      <c r="A8" t="inlineStr">
        <is>
          <t>Center</t>
        </is>
      </c>
      <c r="B8" t="inlineStr">
        <is>
          <t>Parte A</t>
        </is>
      </c>
      <c r="C8" t="n">
        <v>7</v>
      </c>
      <c r="D8">
        <f>SUMIFS(tGrossReq[GrossReqUnits],tGrossReq[Plant],[@Plant],tGrossReq[Material],[@Material],tGrossReq[Fortnight],[@Fortnight])</f>
        <v/>
      </c>
      <c r="E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">
        <f>[@ProjectedOnHand_Begin]+[@ReceiptsUnits]-[@GrossReqUnits]</f>
        <v/>
      </c>
    </row>
    <row r="9" ht="15" customHeight="1" s="33">
      <c r="A9" t="inlineStr">
        <is>
          <t>Center</t>
        </is>
      </c>
      <c r="B9" t="inlineStr">
        <is>
          <t>Parte A</t>
        </is>
      </c>
      <c r="C9" t="n">
        <v>8</v>
      </c>
      <c r="D9">
        <f>SUMIFS(tGrossReq[GrossReqUnits],tGrossReq[Plant],[@Plant],tGrossReq[Material],[@Material],tGrossReq[Fortnight],[@Fortnight])</f>
        <v/>
      </c>
      <c r="E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">
        <f>[@ProjectedOnHand_Begin]+[@ReceiptsUnits]-[@GrossReqUnits]</f>
        <v/>
      </c>
    </row>
    <row r="10" ht="15" customHeight="1" s="33">
      <c r="A10" t="inlineStr">
        <is>
          <t>Center</t>
        </is>
      </c>
      <c r="B10" t="inlineStr">
        <is>
          <t>Parte B</t>
        </is>
      </c>
      <c r="C10" t="n">
        <v>1</v>
      </c>
      <c r="D10">
        <f>SUMIFS(tGrossReq[GrossReqUnits],tGrossReq[Plant],[@Plant],tGrossReq[Material],[@Material],tGrossReq[Fortnight],[@Fortnight])</f>
        <v/>
      </c>
      <c r="E1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">
        <f>[@ProjectedOnHand_Begin]+[@ReceiptsUnits]-[@GrossReqUnits]</f>
        <v/>
      </c>
    </row>
    <row r="11" ht="15" customHeight="1" s="33">
      <c r="A11" t="inlineStr">
        <is>
          <t>Center</t>
        </is>
      </c>
    </row>
    <row r="12" ht="15" customHeight="1" s="33">
      <c r="A12" t="inlineStr">
        <is>
          <t>Center</t>
        </is>
      </c>
      <c r="B12" t="inlineStr">
        <is>
          <t>Parte B</t>
        </is>
      </c>
      <c r="C12" t="n">
        <v>3</v>
      </c>
      <c r="D12">
        <f>SUMIFS(tGrossReq[GrossReqUnits],tGrossReq[Plant],[@Plant],tGrossReq[Material],[@Material],tGrossReq[Fortnight],[@Fortnight])</f>
        <v/>
      </c>
      <c r="E1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">
        <f>[@ProjectedOnHand_Begin]+[@ReceiptsUnits]-[@GrossReqUnits]</f>
        <v/>
      </c>
    </row>
    <row r="13" ht="15" customHeight="1" s="33">
      <c r="A13" t="inlineStr">
        <is>
          <t>Center</t>
        </is>
      </c>
      <c r="B13" t="inlineStr">
        <is>
          <t>Parte B</t>
        </is>
      </c>
      <c r="C13" t="n">
        <v>4</v>
      </c>
      <c r="D13">
        <f>SUMIFS(tGrossReq[GrossReqUnits],tGrossReq[Plant],[@Plant],tGrossReq[Material],[@Material],tGrossReq[Fortnight],[@Fortnight])</f>
        <v/>
      </c>
      <c r="E1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3">
        <f>[@ProjectedOnHand_Begin]+[@ReceiptsUnits]-[@GrossReqUnits]</f>
        <v/>
      </c>
    </row>
    <row r="14" ht="15" customHeight="1" s="33">
      <c r="A14" t="inlineStr">
        <is>
          <t>Center</t>
        </is>
      </c>
      <c r="B14" t="inlineStr">
        <is>
          <t>Parte B</t>
        </is>
      </c>
      <c r="C14" t="n">
        <v>5</v>
      </c>
      <c r="D14">
        <f>SUMIFS(tGrossReq[GrossReqUnits],tGrossReq[Plant],[@Plant],tGrossReq[Material],[@Material],tGrossReq[Fortnight],[@Fortnight])</f>
        <v/>
      </c>
      <c r="E1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4">
        <f>[@ProjectedOnHand_Begin]+[@ReceiptsUnits]-[@GrossReqUnits]</f>
        <v/>
      </c>
    </row>
    <row r="15" ht="15" customHeight="1" s="33">
      <c r="A15" t="inlineStr">
        <is>
          <t>Center</t>
        </is>
      </c>
      <c r="B15" t="inlineStr">
        <is>
          <t>Parte B</t>
        </is>
      </c>
      <c r="C15" t="n">
        <v>6</v>
      </c>
      <c r="D15">
        <f>SUMIFS(tGrossReq[GrossReqUnits],tGrossReq[Plant],[@Plant],tGrossReq[Material],[@Material],tGrossReq[Fortnight],[@Fortnight])</f>
        <v/>
      </c>
      <c r="E1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5">
        <f>[@ProjectedOnHand_Begin]+[@ReceiptsUnits]-[@GrossReqUnits]</f>
        <v/>
      </c>
    </row>
    <row r="16" ht="15" customHeight="1" s="33">
      <c r="A16" t="inlineStr">
        <is>
          <t>Center</t>
        </is>
      </c>
      <c r="B16" t="inlineStr">
        <is>
          <t>Parte B</t>
        </is>
      </c>
      <c r="C16" t="n">
        <v>7</v>
      </c>
      <c r="D16">
        <f>SUMIFS(tGrossReq[GrossReqUnits],tGrossReq[Plant],[@Plant],tGrossReq[Material],[@Material],tGrossReq[Fortnight],[@Fortnight])</f>
        <v/>
      </c>
      <c r="E1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6">
        <f>[@ProjectedOnHand_Begin]+[@ReceiptsUnits]-[@GrossReqUnits]</f>
        <v/>
      </c>
    </row>
    <row r="17" ht="15" customHeight="1" s="33">
      <c r="A17" t="inlineStr">
        <is>
          <t>Center</t>
        </is>
      </c>
    </row>
    <row r="18" ht="15" customHeight="1" s="33">
      <c r="A18" t="inlineStr">
        <is>
          <t>Center</t>
        </is>
      </c>
      <c r="B18" t="inlineStr">
        <is>
          <t>Pieza 1</t>
        </is>
      </c>
      <c r="C18" t="n">
        <v>1</v>
      </c>
      <c r="D18">
        <f>SUMIFS(tGrossReq[GrossReqUnits],tGrossReq[Plant],[@Plant],tGrossReq[Material],[@Material],tGrossReq[Fortnight],[@Fortnight])</f>
        <v/>
      </c>
      <c r="E1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8">
        <f>[@ProjectedOnHand_Begin]+[@ReceiptsUnits]-[@GrossReqUnits]</f>
        <v/>
      </c>
    </row>
    <row r="19" ht="15" customHeight="1" s="33">
      <c r="A19" t="inlineStr">
        <is>
          <t>Center</t>
        </is>
      </c>
      <c r="B19" t="inlineStr">
        <is>
          <t>Pieza 1</t>
        </is>
      </c>
      <c r="C19" t="n">
        <v>2</v>
      </c>
      <c r="D19">
        <f>SUMIFS(tGrossReq[GrossReqUnits],tGrossReq[Plant],[@Plant],tGrossReq[Material],[@Material],tGrossReq[Fortnight],[@Fortnight])</f>
        <v/>
      </c>
      <c r="E1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9">
        <f>[@ProjectedOnHand_Begin]+[@ReceiptsUnits]-[@GrossReqUnits]</f>
        <v/>
      </c>
    </row>
    <row r="20" ht="15" customHeight="1" s="33">
      <c r="A20" t="inlineStr">
        <is>
          <t>Center</t>
        </is>
      </c>
      <c r="B20" t="inlineStr">
        <is>
          <t>Pieza 1</t>
        </is>
      </c>
      <c r="C20" t="n">
        <v>3</v>
      </c>
      <c r="D20">
        <f>SUMIFS(tGrossReq[GrossReqUnits],tGrossReq[Plant],[@Plant],tGrossReq[Material],[@Material],tGrossReq[Fortnight],[@Fortnight])</f>
        <v/>
      </c>
      <c r="E2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0">
        <f>[@ProjectedOnHand_Begin]+[@ReceiptsUnits]-[@GrossReqUnits]</f>
        <v/>
      </c>
    </row>
    <row r="21" ht="15" customHeight="1" s="33">
      <c r="A21" t="inlineStr">
        <is>
          <t>Center</t>
        </is>
      </c>
      <c r="B21" t="inlineStr">
        <is>
          <t>Pieza 1</t>
        </is>
      </c>
      <c r="C21" t="n">
        <v>4</v>
      </c>
      <c r="D21">
        <f>SUMIFS(tGrossReq[GrossReqUnits],tGrossReq[Plant],[@Plant],tGrossReq[Material],[@Material],tGrossReq[Fortnight],[@Fortnight])</f>
        <v/>
      </c>
      <c r="E2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1">
        <f>[@ProjectedOnHand_Begin]+[@ReceiptsUnits]-[@GrossReqUnits]</f>
        <v/>
      </c>
    </row>
    <row r="22" ht="15" customHeight="1" s="33">
      <c r="A22" t="inlineStr">
        <is>
          <t>Center</t>
        </is>
      </c>
      <c r="B22" t="inlineStr">
        <is>
          <t>Pieza 1</t>
        </is>
      </c>
      <c r="C22" t="n">
        <v>5</v>
      </c>
      <c r="D22">
        <f>SUMIFS(tGrossReq[GrossReqUnits],tGrossReq[Plant],[@Plant],tGrossReq[Material],[@Material],tGrossReq[Fortnight],[@Fortnight])</f>
        <v/>
      </c>
      <c r="E2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2">
        <f>[@ProjectedOnHand_Begin]+[@ReceiptsUnits]-[@GrossReqUnits]</f>
        <v/>
      </c>
    </row>
    <row r="23" ht="15" customHeight="1" s="33">
      <c r="A23" t="inlineStr">
        <is>
          <t>Center</t>
        </is>
      </c>
    </row>
    <row r="24" ht="15" customHeight="1" s="33">
      <c r="A24" t="inlineStr">
        <is>
          <t>Center</t>
        </is>
      </c>
      <c r="B24" t="inlineStr">
        <is>
          <t>Pieza 1</t>
        </is>
      </c>
      <c r="C24" t="n">
        <v>7</v>
      </c>
      <c r="D24">
        <f>SUMIFS(tGrossReq[GrossReqUnits],tGrossReq[Plant],[@Plant],tGrossReq[Material],[@Material],tGrossReq[Fortnight],[@Fortnight])</f>
        <v/>
      </c>
      <c r="E2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4">
        <f>[@ProjectedOnHand_Begin]+[@ReceiptsUnits]-[@GrossReqUnits]</f>
        <v/>
      </c>
    </row>
    <row r="25" ht="15" customHeight="1" s="33">
      <c r="A25" t="inlineStr">
        <is>
          <t>Center</t>
        </is>
      </c>
      <c r="B25" t="inlineStr">
        <is>
          <t>Pieza 1</t>
        </is>
      </c>
      <c r="C25" t="n">
        <v>8</v>
      </c>
      <c r="D25">
        <f>SUMIFS(tGrossReq[GrossReqUnits],tGrossReq[Plant],[@Plant],tGrossReq[Material],[@Material],tGrossReq[Fortnight],[@Fortnight])</f>
        <v/>
      </c>
      <c r="E2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5">
        <f>[@ProjectedOnHand_Begin]+[@ReceiptsUnits]-[@GrossReqUnits]</f>
        <v/>
      </c>
    </row>
    <row r="26" ht="15" customHeight="1" s="33">
      <c r="A26" t="inlineStr">
        <is>
          <t>Center</t>
        </is>
      </c>
      <c r="B26" t="inlineStr">
        <is>
          <t>Pieza 2</t>
        </is>
      </c>
      <c r="C26" t="n">
        <v>1</v>
      </c>
      <c r="D26">
        <f>SUMIFS(tGrossReq[GrossReqUnits],tGrossReq[Plant],[@Plant],tGrossReq[Material],[@Material],tGrossReq[Fortnight],[@Fortnight])</f>
        <v/>
      </c>
      <c r="E2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6">
        <f>[@ProjectedOnHand_Begin]+[@ReceiptsUnits]-[@GrossReqUnits]</f>
        <v/>
      </c>
    </row>
    <row r="27" ht="15" customHeight="1" s="33">
      <c r="A27" t="inlineStr">
        <is>
          <t>Center</t>
        </is>
      </c>
      <c r="B27" t="inlineStr">
        <is>
          <t>Pieza 2</t>
        </is>
      </c>
      <c r="C27" t="n">
        <v>2</v>
      </c>
      <c r="D27">
        <f>SUMIFS(tGrossReq[GrossReqUnits],tGrossReq[Plant],[@Plant],tGrossReq[Material],[@Material],tGrossReq[Fortnight],[@Fortnight])</f>
        <v/>
      </c>
      <c r="E2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7">
        <f>[@ProjectedOnHand_Begin]+[@ReceiptsUnits]-[@GrossReqUnits]</f>
        <v/>
      </c>
    </row>
    <row r="28" ht="15" customHeight="1" s="33">
      <c r="A28" t="inlineStr">
        <is>
          <t>Center</t>
        </is>
      </c>
      <c r="B28" t="inlineStr">
        <is>
          <t>Pieza 2</t>
        </is>
      </c>
      <c r="C28" t="n">
        <v>3</v>
      </c>
      <c r="D28">
        <f>SUMIFS(tGrossReq[GrossReqUnits],tGrossReq[Plant],[@Plant],tGrossReq[Material],[@Material],tGrossReq[Fortnight],[@Fortnight])</f>
        <v/>
      </c>
      <c r="E2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2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8">
        <f>[@ProjectedOnHand_Begin]+[@ReceiptsUnits]-[@GrossReqUnits]</f>
        <v/>
      </c>
    </row>
    <row r="29" ht="15" customHeight="1" s="33">
      <c r="A29" t="inlineStr">
        <is>
          <t>Center</t>
        </is>
      </c>
    </row>
    <row r="30" ht="15" customHeight="1" s="33">
      <c r="A30" t="inlineStr">
        <is>
          <t>Center</t>
        </is>
      </c>
      <c r="B30" t="inlineStr">
        <is>
          <t>Pieza 2</t>
        </is>
      </c>
      <c r="C30" t="n">
        <v>5</v>
      </c>
      <c r="D30">
        <f>SUMIFS(tGrossReq[GrossReqUnits],tGrossReq[Plant],[@Plant],tGrossReq[Material],[@Material],tGrossReq[Fortnight],[@Fortnight])</f>
        <v/>
      </c>
      <c r="E3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0">
        <f>[@ProjectedOnHand_Begin]+[@ReceiptsUnits]-[@GrossReqUnits]</f>
        <v/>
      </c>
    </row>
    <row r="31" ht="15" customHeight="1" s="33">
      <c r="A31" t="inlineStr">
        <is>
          <t>Center</t>
        </is>
      </c>
      <c r="B31" t="inlineStr">
        <is>
          <t>Pieza 2</t>
        </is>
      </c>
      <c r="C31" t="n">
        <v>6</v>
      </c>
      <c r="D31">
        <f>SUMIFS(tGrossReq[GrossReqUnits],tGrossReq[Plant],[@Plant],tGrossReq[Material],[@Material],tGrossReq[Fortnight],[@Fortnight])</f>
        <v/>
      </c>
      <c r="E3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1">
        <f>[@ProjectedOnHand_Begin]+[@ReceiptsUnits]-[@GrossReqUnits]</f>
        <v/>
      </c>
    </row>
    <row r="32" ht="15" customHeight="1" s="33">
      <c r="A32" t="inlineStr">
        <is>
          <t>Center</t>
        </is>
      </c>
      <c r="B32" t="inlineStr">
        <is>
          <t>Pieza 2</t>
        </is>
      </c>
      <c r="C32" t="n">
        <v>7</v>
      </c>
      <c r="D32">
        <f>SUMIFS(tGrossReq[GrossReqUnits],tGrossReq[Plant],[@Plant],tGrossReq[Material],[@Material],tGrossReq[Fortnight],[@Fortnight])</f>
        <v/>
      </c>
      <c r="E3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2">
        <f>[@ProjectedOnHand_Begin]+[@ReceiptsUnits]-[@GrossReqUnits]</f>
        <v/>
      </c>
    </row>
    <row r="33" ht="15" customHeight="1" s="33">
      <c r="A33" t="inlineStr">
        <is>
          <t>Center</t>
        </is>
      </c>
      <c r="B33" t="inlineStr">
        <is>
          <t>Pieza 2</t>
        </is>
      </c>
      <c r="C33" t="n">
        <v>8</v>
      </c>
      <c r="D33">
        <f>SUMIFS(tGrossReq[GrossReqUnits],tGrossReq[Plant],[@Plant],tGrossReq[Material],[@Material],tGrossReq[Fortnight],[@Fortnight])</f>
        <v/>
      </c>
      <c r="E3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3">
        <f>[@ProjectedOnHand_Begin]+[@ReceiptsUnits]-[@GrossReqUnits]</f>
        <v/>
      </c>
    </row>
    <row r="34" ht="15" customHeight="1" s="33">
      <c r="A34" t="inlineStr">
        <is>
          <t>Center</t>
        </is>
      </c>
      <c r="B34" t="inlineStr">
        <is>
          <t>Pieza 3</t>
        </is>
      </c>
      <c r="C34" t="n">
        <v>1</v>
      </c>
      <c r="D34">
        <f>SUMIFS(tGrossReq[GrossReqUnits],tGrossReq[Plant],[@Plant],tGrossReq[Material],[@Material],tGrossReq[Fortnight],[@Fortnight])</f>
        <v/>
      </c>
      <c r="E3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4">
        <f>[@ProjectedOnHand_Begin]+[@ReceiptsUnits]-[@GrossReqUnits]</f>
        <v/>
      </c>
    </row>
    <row r="35" ht="15" customHeight="1" s="33">
      <c r="A35" t="inlineStr">
        <is>
          <t>Center</t>
        </is>
      </c>
    </row>
    <row r="36" ht="15" customHeight="1" s="33">
      <c r="A36" t="inlineStr">
        <is>
          <t>Center</t>
        </is>
      </c>
      <c r="B36" t="inlineStr">
        <is>
          <t>Pieza 3</t>
        </is>
      </c>
      <c r="C36" t="n">
        <v>3</v>
      </c>
      <c r="D36">
        <f>SUMIFS(tGrossReq[GrossReqUnits],tGrossReq[Plant],[@Plant],tGrossReq[Material],[@Material],tGrossReq[Fortnight],[@Fortnight])</f>
        <v/>
      </c>
      <c r="E3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6">
        <f>[@ProjectedOnHand_Begin]+[@ReceiptsUnits]-[@GrossReqUnits]</f>
        <v/>
      </c>
    </row>
    <row r="37" ht="15" customHeight="1" s="33">
      <c r="A37" t="inlineStr">
        <is>
          <t>Center</t>
        </is>
      </c>
      <c r="B37" t="inlineStr">
        <is>
          <t>Pieza 3</t>
        </is>
      </c>
      <c r="C37" t="n">
        <v>4</v>
      </c>
      <c r="D37">
        <f>SUMIFS(tGrossReq[GrossReqUnits],tGrossReq[Plant],[@Plant],tGrossReq[Material],[@Material],tGrossReq[Fortnight],[@Fortnight])</f>
        <v/>
      </c>
      <c r="E3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7">
        <f>[@ProjectedOnHand_Begin]+[@ReceiptsUnits]-[@GrossReqUnits]</f>
        <v/>
      </c>
    </row>
    <row r="38" ht="15" customHeight="1" s="33">
      <c r="A38" t="inlineStr">
        <is>
          <t>Center</t>
        </is>
      </c>
      <c r="B38" t="inlineStr">
        <is>
          <t>Pieza 3</t>
        </is>
      </c>
      <c r="C38" t="n">
        <v>5</v>
      </c>
      <c r="D38">
        <f>SUMIFS(tGrossReq[GrossReqUnits],tGrossReq[Plant],[@Plant],tGrossReq[Material],[@Material],tGrossReq[Fortnight],[@Fortnight])</f>
        <v/>
      </c>
      <c r="E3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8">
        <f>[@ProjectedOnHand_Begin]+[@ReceiptsUnits]-[@GrossReqUnits]</f>
        <v/>
      </c>
    </row>
    <row r="39" ht="15" customHeight="1" s="33">
      <c r="A39" t="inlineStr">
        <is>
          <t>Center</t>
        </is>
      </c>
      <c r="B39" t="inlineStr">
        <is>
          <t>Pieza 3</t>
        </is>
      </c>
      <c r="C39" t="n">
        <v>6</v>
      </c>
      <c r="D39">
        <f>SUMIFS(tGrossReq[GrossReqUnits],tGrossReq[Plant],[@Plant],tGrossReq[Material],[@Material],tGrossReq[Fortnight],[@Fortnight])</f>
        <v/>
      </c>
      <c r="E3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3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9">
        <f>[@ProjectedOnHand_Begin]+[@ReceiptsUnits]-[@GrossReqUnits]</f>
        <v/>
      </c>
    </row>
    <row r="40" ht="15" customHeight="1" s="33">
      <c r="A40" t="inlineStr">
        <is>
          <t>Center</t>
        </is>
      </c>
      <c r="B40" t="inlineStr">
        <is>
          <t>Pieza 3</t>
        </is>
      </c>
      <c r="C40" t="n">
        <v>7</v>
      </c>
      <c r="D40">
        <f>SUMIFS(tGrossReq[GrossReqUnits],tGrossReq[Plant],[@Plant],tGrossReq[Material],[@Material],tGrossReq[Fortnight],[@Fortnight])</f>
        <v/>
      </c>
      <c r="E4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0">
        <f>[@ProjectedOnHand_Begin]+[@ReceiptsUnits]-[@GrossReqUnits]</f>
        <v/>
      </c>
    </row>
    <row r="41" ht="15" customHeight="1" s="33">
      <c r="A41" t="inlineStr">
        <is>
          <t>Center</t>
        </is>
      </c>
    </row>
    <row r="42" ht="15" customHeight="1" s="33">
      <c r="A42" t="inlineStr">
        <is>
          <t>Center</t>
        </is>
      </c>
      <c r="B42" t="inlineStr">
        <is>
          <t>Pieza 4</t>
        </is>
      </c>
      <c r="C42" t="n">
        <v>1</v>
      </c>
      <c r="D42">
        <f>SUMIFS(tGrossReq[GrossReqUnits],tGrossReq[Plant],[@Plant],tGrossReq[Material],[@Material],tGrossReq[Fortnight],[@Fortnight])</f>
        <v/>
      </c>
      <c r="E4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2">
        <f>[@ProjectedOnHand_Begin]+[@ReceiptsUnits]-[@GrossReqUnits]</f>
        <v/>
      </c>
    </row>
    <row r="43" ht="15" customHeight="1" s="33">
      <c r="A43" t="inlineStr">
        <is>
          <t>Center</t>
        </is>
      </c>
      <c r="B43" t="inlineStr">
        <is>
          <t>Pieza 4</t>
        </is>
      </c>
      <c r="C43" t="n">
        <v>2</v>
      </c>
      <c r="D43">
        <f>SUMIFS(tGrossReq[GrossReqUnits],tGrossReq[Plant],[@Plant],tGrossReq[Material],[@Material],tGrossReq[Fortnight],[@Fortnight])</f>
        <v/>
      </c>
      <c r="E4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3">
        <f>[@ProjectedOnHand_Begin]+[@ReceiptsUnits]-[@GrossReqUnits]</f>
        <v/>
      </c>
    </row>
    <row r="44" ht="15" customHeight="1" s="33">
      <c r="A44" t="inlineStr">
        <is>
          <t>Center</t>
        </is>
      </c>
      <c r="B44" t="inlineStr">
        <is>
          <t>Pieza 4</t>
        </is>
      </c>
      <c r="C44" t="n">
        <v>3</v>
      </c>
      <c r="D44">
        <f>SUMIFS(tGrossReq[GrossReqUnits],tGrossReq[Plant],[@Plant],tGrossReq[Material],[@Material],tGrossReq[Fortnight],[@Fortnight])</f>
        <v/>
      </c>
      <c r="E4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4">
        <f>[@ProjectedOnHand_Begin]+[@ReceiptsUnits]-[@GrossReqUnits]</f>
        <v/>
      </c>
    </row>
    <row r="45" ht="15" customHeight="1" s="33">
      <c r="A45" t="inlineStr">
        <is>
          <t>Center</t>
        </is>
      </c>
      <c r="B45" t="inlineStr">
        <is>
          <t>Pieza 4</t>
        </is>
      </c>
      <c r="C45" t="n">
        <v>4</v>
      </c>
      <c r="D45">
        <f>SUMIFS(tGrossReq[GrossReqUnits],tGrossReq[Plant],[@Plant],tGrossReq[Material],[@Material],tGrossReq[Fortnight],[@Fortnight])</f>
        <v/>
      </c>
      <c r="E4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5">
        <f>[@ProjectedOnHand_Begin]+[@ReceiptsUnits]-[@GrossReqUnits]</f>
        <v/>
      </c>
    </row>
    <row r="46" ht="15" customHeight="1" s="33">
      <c r="A46" t="inlineStr">
        <is>
          <t>Center</t>
        </is>
      </c>
      <c r="B46" t="inlineStr">
        <is>
          <t>Pieza 4</t>
        </is>
      </c>
      <c r="C46" t="n">
        <v>5</v>
      </c>
      <c r="D46">
        <f>SUMIFS(tGrossReq[GrossReqUnits],tGrossReq[Plant],[@Plant],tGrossReq[Material],[@Material],tGrossReq[Fortnight],[@Fortnight])</f>
        <v/>
      </c>
      <c r="E4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6">
        <f>[@ProjectedOnHand_Begin]+[@ReceiptsUnits]-[@GrossReqUnits]</f>
        <v/>
      </c>
    </row>
    <row r="47" ht="15" customHeight="1" s="33">
      <c r="A47" t="inlineStr">
        <is>
          <t>Center</t>
        </is>
      </c>
    </row>
    <row r="48" ht="15" customHeight="1" s="33">
      <c r="A48" t="inlineStr">
        <is>
          <t>Center</t>
        </is>
      </c>
      <c r="B48" t="inlineStr">
        <is>
          <t>Pieza 4</t>
        </is>
      </c>
      <c r="C48" t="n">
        <v>7</v>
      </c>
      <c r="D48">
        <f>SUMIFS(tGrossReq[GrossReqUnits],tGrossReq[Plant],[@Plant],tGrossReq[Material],[@Material],tGrossReq[Fortnight],[@Fortnight])</f>
        <v/>
      </c>
      <c r="E4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8">
        <f>[@ProjectedOnHand_Begin]+[@ReceiptsUnits]-[@GrossReqUnits]</f>
        <v/>
      </c>
    </row>
    <row r="49" ht="15" customHeight="1" s="33">
      <c r="A49" t="inlineStr">
        <is>
          <t>Center</t>
        </is>
      </c>
      <c r="B49" t="inlineStr">
        <is>
          <t>Pieza 4</t>
        </is>
      </c>
      <c r="C49" t="n">
        <v>8</v>
      </c>
      <c r="D49">
        <f>SUMIFS(tGrossReq[GrossReqUnits],tGrossReq[Plant],[@Plant],tGrossReq[Material],[@Material],tGrossReq[Fortnight],[@Fortnight])</f>
        <v/>
      </c>
      <c r="E4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4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9">
        <f>[@ProjectedOnHand_Begin]+[@ReceiptsUnits]-[@GrossReqUnits]</f>
        <v/>
      </c>
    </row>
    <row r="50" ht="15" customHeight="1" s="33">
      <c r="A50" t="inlineStr">
        <is>
          <t>Center</t>
        </is>
      </c>
      <c r="B50" t="inlineStr">
        <is>
          <t>Pieza 5</t>
        </is>
      </c>
      <c r="C50" t="n">
        <v>1</v>
      </c>
      <c r="D50">
        <f>SUMIFS(tGrossReq[GrossReqUnits],tGrossReq[Plant],[@Plant],tGrossReq[Material],[@Material],tGrossReq[Fortnight],[@Fortnight])</f>
        <v/>
      </c>
      <c r="E5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0">
        <f>[@ProjectedOnHand_Begin]+[@ReceiptsUnits]-[@GrossReqUnits]</f>
        <v/>
      </c>
    </row>
    <row r="51" ht="15" customHeight="1" s="33">
      <c r="A51" t="inlineStr">
        <is>
          <t>Center</t>
        </is>
      </c>
      <c r="B51" t="inlineStr">
        <is>
          <t>Pieza 5</t>
        </is>
      </c>
      <c r="C51" t="n">
        <v>2</v>
      </c>
      <c r="D51">
        <f>SUMIFS(tGrossReq[GrossReqUnits],tGrossReq[Plant],[@Plant],tGrossReq[Material],[@Material],tGrossReq[Fortnight],[@Fortnight])</f>
        <v/>
      </c>
      <c r="E5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1">
        <f>[@ProjectedOnHand_Begin]+[@ReceiptsUnits]-[@GrossReqUnits]</f>
        <v/>
      </c>
    </row>
    <row r="52" ht="15" customHeight="1" s="33">
      <c r="A52" t="inlineStr">
        <is>
          <t>Center</t>
        </is>
      </c>
      <c r="B52" t="inlineStr">
        <is>
          <t>Pieza 5</t>
        </is>
      </c>
      <c r="C52" t="n">
        <v>3</v>
      </c>
      <c r="D52">
        <f>SUMIFS(tGrossReq[GrossReqUnits],tGrossReq[Plant],[@Plant],tGrossReq[Material],[@Material],tGrossReq[Fortnight],[@Fortnight])</f>
        <v/>
      </c>
      <c r="E5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2">
        <f>[@ProjectedOnHand_Begin]+[@ReceiptsUnits]-[@GrossReqUnits]</f>
        <v/>
      </c>
    </row>
    <row r="53" ht="15" customHeight="1" s="33">
      <c r="A53" t="inlineStr">
        <is>
          <t>Center</t>
        </is>
      </c>
    </row>
    <row r="54" ht="15" customHeight="1" s="33">
      <c r="A54" t="inlineStr">
        <is>
          <t>Center</t>
        </is>
      </c>
      <c r="B54" t="inlineStr">
        <is>
          <t>Pieza 5</t>
        </is>
      </c>
      <c r="C54" t="n">
        <v>5</v>
      </c>
      <c r="D54">
        <f>SUMIFS(tGrossReq[GrossReqUnits],tGrossReq[Plant],[@Plant],tGrossReq[Material],[@Material],tGrossReq[Fortnight],[@Fortnight])</f>
        <v/>
      </c>
      <c r="E5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4">
        <f>[@ProjectedOnHand_Begin]+[@ReceiptsUnits]-[@GrossReqUnits]</f>
        <v/>
      </c>
    </row>
    <row r="55" ht="15" customHeight="1" s="33">
      <c r="A55" t="inlineStr">
        <is>
          <t>Center</t>
        </is>
      </c>
      <c r="B55" t="inlineStr">
        <is>
          <t>Pieza 5</t>
        </is>
      </c>
      <c r="C55" t="n">
        <v>6</v>
      </c>
      <c r="D55">
        <f>SUMIFS(tGrossReq[GrossReqUnits],tGrossReq[Plant],[@Plant],tGrossReq[Material],[@Material],tGrossReq[Fortnight],[@Fortnight])</f>
        <v/>
      </c>
      <c r="E5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5">
        <f>[@ProjectedOnHand_Begin]+[@ReceiptsUnits]-[@GrossReqUnits]</f>
        <v/>
      </c>
    </row>
    <row r="56" ht="15" customHeight="1" s="33">
      <c r="A56" t="inlineStr">
        <is>
          <t>Center</t>
        </is>
      </c>
      <c r="B56" t="inlineStr">
        <is>
          <t>Pieza 5</t>
        </is>
      </c>
      <c r="C56" t="n">
        <v>7</v>
      </c>
      <c r="D56">
        <f>SUMIFS(tGrossReq[GrossReqUnits],tGrossReq[Plant],[@Plant],tGrossReq[Material],[@Material],tGrossReq[Fortnight],[@Fortnight])</f>
        <v/>
      </c>
      <c r="E5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6">
        <f>[@ProjectedOnHand_Begin]+[@ReceiptsUnits]-[@GrossReqUnits]</f>
        <v/>
      </c>
    </row>
    <row r="57" ht="15" customHeight="1" s="33">
      <c r="A57" t="inlineStr">
        <is>
          <t>Center</t>
        </is>
      </c>
      <c r="B57" t="inlineStr">
        <is>
          <t>Pieza 5</t>
        </is>
      </c>
      <c r="C57" t="n">
        <v>8</v>
      </c>
      <c r="D57">
        <f>SUMIFS(tGrossReq[GrossReqUnits],tGrossReq[Plant],[@Plant],tGrossReq[Material],[@Material],tGrossReq[Fortnight],[@Fortnight])</f>
        <v/>
      </c>
      <c r="E5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7">
        <f>[@ProjectedOnHand_Begin]+[@ReceiptsUnits]-[@GrossReqUnits]</f>
        <v/>
      </c>
    </row>
    <row r="58" ht="15" customHeight="1" s="33">
      <c r="A58" t="inlineStr">
        <is>
          <t>Center</t>
        </is>
      </c>
      <c r="B58" t="inlineStr">
        <is>
          <t>Pieza 6</t>
        </is>
      </c>
      <c r="C58" t="n">
        <v>1</v>
      </c>
      <c r="D58">
        <f>SUMIFS(tGrossReq[GrossReqUnits],tGrossReq[Plant],[@Plant],tGrossReq[Material],[@Material],tGrossReq[Fortnight],[@Fortnight])</f>
        <v/>
      </c>
      <c r="E5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8">
        <f>[@ProjectedOnHand_Begin]+[@ReceiptsUnits]-[@GrossReqUnits]</f>
        <v/>
      </c>
    </row>
    <row r="59" ht="15" customHeight="1" s="33">
      <c r="A59" t="inlineStr">
        <is>
          <t>Center</t>
        </is>
      </c>
      <c r="B59" t="inlineStr">
        <is>
          <t>Pieza 6</t>
        </is>
      </c>
      <c r="C59" t="n">
        <v>2</v>
      </c>
      <c r="D59">
        <f>SUMIFS(tGrossReq[GrossReqUnits],tGrossReq[Plant],[@Plant],tGrossReq[Material],[@Material],tGrossReq[Fortnight],[@Fortnight])</f>
        <v/>
      </c>
      <c r="E5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5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9">
        <f>[@ProjectedOnHand_Begin]+[@ReceiptsUnits]-[@GrossReqUnits]</f>
        <v/>
      </c>
    </row>
    <row r="60" ht="15" customHeight="1" s="33">
      <c r="A60" t="inlineStr">
        <is>
          <t>Center</t>
        </is>
      </c>
      <c r="B60" t="inlineStr">
        <is>
          <t>Pieza 6</t>
        </is>
      </c>
      <c r="C60" t="n">
        <v>3</v>
      </c>
      <c r="D60">
        <f>SUMIFS(tGrossReq[GrossReqUnits],tGrossReq[Plant],[@Plant],tGrossReq[Material],[@Material],tGrossReq[Fortnight],[@Fortnight])</f>
        <v/>
      </c>
      <c r="E6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0">
        <f>[@ProjectedOnHand_Begin]+[@ReceiptsUnits]-[@GrossReqUnits]</f>
        <v/>
      </c>
    </row>
    <row r="61" ht="15" customHeight="1" s="33">
      <c r="A61" t="inlineStr">
        <is>
          <t>Center</t>
        </is>
      </c>
      <c r="B61" t="inlineStr">
        <is>
          <t>Pieza 6</t>
        </is>
      </c>
      <c r="C61" t="n">
        <v>4</v>
      </c>
      <c r="D61">
        <f>SUMIFS(tGrossReq[GrossReqUnits],tGrossReq[Plant],[@Plant],tGrossReq[Material],[@Material],tGrossReq[Fortnight],[@Fortnight])</f>
        <v/>
      </c>
      <c r="E6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1">
        <f>[@ProjectedOnHand_Begin]+[@ReceiptsUnits]-[@GrossReqUnits]</f>
        <v/>
      </c>
    </row>
    <row r="62" ht="15" customHeight="1" s="33">
      <c r="A62" t="inlineStr">
        <is>
          <t>Center</t>
        </is>
      </c>
      <c r="B62" t="inlineStr">
        <is>
          <t>Pieza 6</t>
        </is>
      </c>
      <c r="C62" t="n">
        <v>5</v>
      </c>
      <c r="D62">
        <f>SUMIFS(tGrossReq[GrossReqUnits],tGrossReq[Plant],[@Plant],tGrossReq[Material],[@Material],tGrossReq[Fortnight],[@Fortnight])</f>
        <v/>
      </c>
      <c r="E6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2">
        <f>[@ProjectedOnHand_Begin]+[@ReceiptsUnits]-[@GrossReqUnits]</f>
        <v/>
      </c>
    </row>
    <row r="63">
      <c r="A63" t="inlineStr">
        <is>
          <t>Center</t>
        </is>
      </c>
      <c r="B63" t="inlineStr">
        <is>
          <t>Pieza 6</t>
        </is>
      </c>
      <c r="C63" t="n">
        <v>6</v>
      </c>
      <c r="D63">
        <f>SUMIFS(tGrossReq[GrossReqUnits],tGrossReq[Plant],[@Plant],tGrossReq[Material],[@Material],tGrossReq[Fortnight],[@Fortnight])</f>
        <v/>
      </c>
      <c r="E6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3">
        <f>[@ProjectedOnHand_Begin]+[@ReceiptsUnits]-[@GrossReqUnits]</f>
        <v/>
      </c>
    </row>
    <row r="64">
      <c r="A64" t="inlineStr">
        <is>
          <t>Center</t>
        </is>
      </c>
      <c r="B64" t="inlineStr">
        <is>
          <t>Pieza 6</t>
        </is>
      </c>
      <c r="C64" t="n">
        <v>7</v>
      </c>
      <c r="D64">
        <f>SUMIFS(tGrossReq[GrossReqUnits],tGrossReq[Plant],[@Plant],tGrossReq[Material],[@Material],tGrossReq[Fortnight],[@Fortnight])</f>
        <v/>
      </c>
      <c r="E6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4">
        <f>[@ProjectedOnHand_Begin]+[@ReceiptsUnits]-[@GrossReqUnits]</f>
        <v/>
      </c>
    </row>
    <row r="65">
      <c r="A65" t="inlineStr">
        <is>
          <t>Center</t>
        </is>
      </c>
      <c r="B65" t="inlineStr">
        <is>
          <t>Pieza 6</t>
        </is>
      </c>
      <c r="C65" t="n">
        <v>8</v>
      </c>
      <c r="D65">
        <f>SUMIFS(tGrossReq[GrossReqUnits],tGrossReq[Plant],[@Plant],tGrossReq[Material],[@Material],tGrossReq[Fortnight],[@Fortnight])</f>
        <v/>
      </c>
      <c r="E6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5">
        <f>[@ProjectedOnHand_Begin]+[@ReceiptsUnits]-[@GrossReqUnits]</f>
        <v/>
      </c>
    </row>
    <row r="66">
      <c r="A66" t="inlineStr">
        <is>
          <t>West</t>
        </is>
      </c>
      <c r="B66" t="inlineStr">
        <is>
          <t>Parte A</t>
        </is>
      </c>
      <c r="C66" t="n">
        <v>1</v>
      </c>
      <c r="D66">
        <f>SUMIFS(tGrossReq[GrossReqUnits],tGrossReq[Plant],[@Plant],tGrossReq[Material],[@Material],tGrossReq[Fortnight],[@Fortnight])</f>
        <v/>
      </c>
      <c r="E6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6">
        <f>[@ProjectedOnHand_Begin]+[@ReceiptsUnits]-[@GrossReqUnits]</f>
        <v/>
      </c>
    </row>
    <row r="67">
      <c r="A67" t="inlineStr">
        <is>
          <t>West</t>
        </is>
      </c>
      <c r="B67" t="inlineStr">
        <is>
          <t>Parte A</t>
        </is>
      </c>
      <c r="C67" t="n">
        <v>2</v>
      </c>
      <c r="D67">
        <f>SUMIFS(tGrossReq[GrossReqUnits],tGrossReq[Plant],[@Plant],tGrossReq[Material],[@Material],tGrossReq[Fortnight],[@Fortnight])</f>
        <v/>
      </c>
      <c r="E6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7">
        <f>[@ProjectedOnHand_Begin]+[@ReceiptsUnits]-[@GrossReqUnits]</f>
        <v/>
      </c>
    </row>
    <row r="68">
      <c r="A68" t="inlineStr">
        <is>
          <t>West</t>
        </is>
      </c>
      <c r="B68" t="inlineStr">
        <is>
          <t>Parte A</t>
        </is>
      </c>
      <c r="C68" t="n">
        <v>3</v>
      </c>
      <c r="D68">
        <f>SUMIFS(tGrossReq[GrossReqUnits],tGrossReq[Plant],[@Plant],tGrossReq[Material],[@Material],tGrossReq[Fortnight],[@Fortnight])</f>
        <v/>
      </c>
      <c r="E6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8">
        <f>[@ProjectedOnHand_Begin]+[@ReceiptsUnits]-[@GrossReqUnits]</f>
        <v/>
      </c>
    </row>
    <row r="69">
      <c r="A69" t="inlineStr">
        <is>
          <t>West</t>
        </is>
      </c>
      <c r="B69" t="inlineStr">
        <is>
          <t>Parte A</t>
        </is>
      </c>
      <c r="C69" t="n">
        <v>4</v>
      </c>
      <c r="D69">
        <f>SUMIFS(tGrossReq[GrossReqUnits],tGrossReq[Plant],[@Plant],tGrossReq[Material],[@Material],tGrossReq[Fortnight],[@Fortnight])</f>
        <v/>
      </c>
      <c r="E6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6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9">
        <f>[@ProjectedOnHand_Begin]+[@ReceiptsUnits]-[@GrossReqUnits]</f>
        <v/>
      </c>
    </row>
    <row r="70">
      <c r="A70" t="inlineStr">
        <is>
          <t>West</t>
        </is>
      </c>
      <c r="B70" t="inlineStr">
        <is>
          <t>Parte A</t>
        </is>
      </c>
      <c r="C70" t="n">
        <v>5</v>
      </c>
      <c r="D70">
        <f>SUMIFS(tGrossReq[GrossReqUnits],tGrossReq[Plant],[@Plant],tGrossReq[Material],[@Material],tGrossReq[Fortnight],[@Fortnight])</f>
        <v/>
      </c>
      <c r="E7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0">
        <f>[@ProjectedOnHand_Begin]+[@ReceiptsUnits]-[@GrossReqUnits]</f>
        <v/>
      </c>
    </row>
    <row r="71">
      <c r="A71" t="inlineStr">
        <is>
          <t>West</t>
        </is>
      </c>
      <c r="B71" t="inlineStr">
        <is>
          <t>Parte A</t>
        </is>
      </c>
      <c r="C71" t="n">
        <v>6</v>
      </c>
      <c r="D71">
        <f>SUMIFS(tGrossReq[GrossReqUnits],tGrossReq[Plant],[@Plant],tGrossReq[Material],[@Material],tGrossReq[Fortnight],[@Fortnight])</f>
        <v/>
      </c>
      <c r="E7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1">
        <f>[@ProjectedOnHand_Begin]+[@ReceiptsUnits]-[@GrossReqUnits]</f>
        <v/>
      </c>
    </row>
    <row r="72">
      <c r="A72" t="inlineStr">
        <is>
          <t>West</t>
        </is>
      </c>
      <c r="B72" t="inlineStr">
        <is>
          <t>Parte A</t>
        </is>
      </c>
      <c r="C72" t="n">
        <v>7</v>
      </c>
      <c r="D72">
        <f>SUMIFS(tGrossReq[GrossReqUnits],tGrossReq[Plant],[@Plant],tGrossReq[Material],[@Material],tGrossReq[Fortnight],[@Fortnight])</f>
        <v/>
      </c>
      <c r="E7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2">
        <f>[@ProjectedOnHand_Begin]+[@ReceiptsUnits]-[@GrossReqUnits]</f>
        <v/>
      </c>
    </row>
    <row r="73">
      <c r="A73" t="inlineStr">
        <is>
          <t>West</t>
        </is>
      </c>
      <c r="B73" t="inlineStr">
        <is>
          <t>Parte A</t>
        </is>
      </c>
      <c r="C73" t="n">
        <v>8</v>
      </c>
      <c r="D73">
        <f>SUMIFS(tGrossReq[GrossReqUnits],tGrossReq[Plant],[@Plant],tGrossReq[Material],[@Material],tGrossReq[Fortnight],[@Fortnight])</f>
        <v/>
      </c>
      <c r="E7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3">
        <f>[@ProjectedOnHand_Begin]+[@ReceiptsUnits]-[@GrossReqUnits]</f>
        <v/>
      </c>
    </row>
    <row r="74">
      <c r="A74" t="inlineStr">
        <is>
          <t>West</t>
        </is>
      </c>
      <c r="B74" t="inlineStr">
        <is>
          <t>Parte B</t>
        </is>
      </c>
      <c r="C74" t="n">
        <v>1</v>
      </c>
      <c r="D74">
        <f>SUMIFS(tGrossReq[GrossReqUnits],tGrossReq[Plant],[@Plant],tGrossReq[Material],[@Material],tGrossReq[Fortnight],[@Fortnight])</f>
        <v/>
      </c>
      <c r="E7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4">
        <f>[@ProjectedOnHand_Begin]+[@ReceiptsUnits]-[@GrossReqUnits]</f>
        <v/>
      </c>
    </row>
    <row r="75">
      <c r="A75" t="inlineStr">
        <is>
          <t>West</t>
        </is>
      </c>
      <c r="B75" t="inlineStr">
        <is>
          <t>Parte B</t>
        </is>
      </c>
      <c r="C75" t="n">
        <v>2</v>
      </c>
      <c r="D75">
        <f>SUMIFS(tGrossReq[GrossReqUnits],tGrossReq[Plant],[@Plant],tGrossReq[Material],[@Material],tGrossReq[Fortnight],[@Fortnight])</f>
        <v/>
      </c>
      <c r="E7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5">
        <f>[@ProjectedOnHand_Begin]+[@ReceiptsUnits]-[@GrossReqUnits]</f>
        <v/>
      </c>
    </row>
    <row r="76">
      <c r="A76" t="inlineStr">
        <is>
          <t>West</t>
        </is>
      </c>
      <c r="B76" t="inlineStr">
        <is>
          <t>Parte B</t>
        </is>
      </c>
      <c r="C76" t="n">
        <v>3</v>
      </c>
      <c r="D76">
        <f>SUMIFS(tGrossReq[GrossReqUnits],tGrossReq[Plant],[@Plant],tGrossReq[Material],[@Material],tGrossReq[Fortnight],[@Fortnight])</f>
        <v/>
      </c>
      <c r="E7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6">
        <f>[@ProjectedOnHand_Begin]+[@ReceiptsUnits]-[@GrossReqUnits]</f>
        <v/>
      </c>
    </row>
    <row r="77">
      <c r="A77" t="inlineStr">
        <is>
          <t>West</t>
        </is>
      </c>
      <c r="B77" t="inlineStr">
        <is>
          <t>Parte B</t>
        </is>
      </c>
      <c r="C77" t="n">
        <v>4</v>
      </c>
      <c r="D77">
        <f>SUMIFS(tGrossReq[GrossReqUnits],tGrossReq[Plant],[@Plant],tGrossReq[Material],[@Material],tGrossReq[Fortnight],[@Fortnight])</f>
        <v/>
      </c>
      <c r="E7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7">
        <f>[@ProjectedOnHand_Begin]+[@ReceiptsUnits]-[@GrossReqUnits]</f>
        <v/>
      </c>
    </row>
    <row r="78">
      <c r="A78" t="inlineStr">
        <is>
          <t>West</t>
        </is>
      </c>
      <c r="B78" t="inlineStr">
        <is>
          <t>Parte B</t>
        </is>
      </c>
      <c r="C78" t="n">
        <v>5</v>
      </c>
      <c r="D78">
        <f>SUMIFS(tGrossReq[GrossReqUnits],tGrossReq[Plant],[@Plant],tGrossReq[Material],[@Material],tGrossReq[Fortnight],[@Fortnight])</f>
        <v/>
      </c>
      <c r="E7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8">
        <f>[@ProjectedOnHand_Begin]+[@ReceiptsUnits]-[@GrossReqUnits]</f>
        <v/>
      </c>
    </row>
    <row r="79">
      <c r="A79" t="inlineStr">
        <is>
          <t>West</t>
        </is>
      </c>
      <c r="B79" t="inlineStr">
        <is>
          <t>Parte B</t>
        </is>
      </c>
      <c r="C79" t="n">
        <v>6</v>
      </c>
      <c r="D79">
        <f>SUMIFS(tGrossReq[GrossReqUnits],tGrossReq[Plant],[@Plant],tGrossReq[Material],[@Material],tGrossReq[Fortnight],[@Fortnight])</f>
        <v/>
      </c>
      <c r="E7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7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9">
        <f>[@ProjectedOnHand_Begin]+[@ReceiptsUnits]-[@GrossReqUnits]</f>
        <v/>
      </c>
    </row>
    <row r="80">
      <c r="A80" t="inlineStr">
        <is>
          <t>West</t>
        </is>
      </c>
      <c r="B80" t="inlineStr">
        <is>
          <t>Parte B</t>
        </is>
      </c>
      <c r="C80" t="n">
        <v>7</v>
      </c>
      <c r="D80">
        <f>SUMIFS(tGrossReq[GrossReqUnits],tGrossReq[Plant],[@Plant],tGrossReq[Material],[@Material],tGrossReq[Fortnight],[@Fortnight])</f>
        <v/>
      </c>
      <c r="E8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0">
        <f>[@ProjectedOnHand_Begin]+[@ReceiptsUnits]-[@GrossReqUnits]</f>
        <v/>
      </c>
    </row>
    <row r="81">
      <c r="A81" t="inlineStr">
        <is>
          <t>West</t>
        </is>
      </c>
      <c r="B81" t="inlineStr">
        <is>
          <t>Parte B</t>
        </is>
      </c>
      <c r="C81" t="n">
        <v>8</v>
      </c>
      <c r="D81">
        <f>SUMIFS(tGrossReq[GrossReqUnits],tGrossReq[Plant],[@Plant],tGrossReq[Material],[@Material],tGrossReq[Fortnight],[@Fortnight])</f>
        <v/>
      </c>
      <c r="E8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1">
        <f>[@ProjectedOnHand_Begin]+[@ReceiptsUnits]-[@GrossReqUnits]</f>
        <v/>
      </c>
    </row>
    <row r="82">
      <c r="A82" t="inlineStr">
        <is>
          <t>West</t>
        </is>
      </c>
      <c r="B82" t="inlineStr">
        <is>
          <t>Pieza 1</t>
        </is>
      </c>
      <c r="C82" t="n">
        <v>1</v>
      </c>
      <c r="D82">
        <f>SUMIFS(tGrossReq[GrossReqUnits],tGrossReq[Plant],[@Plant],tGrossReq[Material],[@Material],tGrossReq[Fortnight],[@Fortnight])</f>
        <v/>
      </c>
      <c r="E8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2">
        <f>[@ProjectedOnHand_Begin]+[@ReceiptsUnits]-[@GrossReqUnits]</f>
        <v/>
      </c>
    </row>
    <row r="83">
      <c r="A83" t="inlineStr">
        <is>
          <t>West</t>
        </is>
      </c>
      <c r="B83" t="inlineStr">
        <is>
          <t>Pieza 1</t>
        </is>
      </c>
      <c r="C83" t="n">
        <v>2</v>
      </c>
      <c r="D83">
        <f>SUMIFS(tGrossReq[GrossReqUnits],tGrossReq[Plant],[@Plant],tGrossReq[Material],[@Material],tGrossReq[Fortnight],[@Fortnight])</f>
        <v/>
      </c>
      <c r="E8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3">
        <f>[@ProjectedOnHand_Begin]+[@ReceiptsUnits]-[@GrossReqUnits]</f>
        <v/>
      </c>
    </row>
    <row r="84">
      <c r="A84" t="inlineStr">
        <is>
          <t>West</t>
        </is>
      </c>
      <c r="B84" t="inlineStr">
        <is>
          <t>Pieza 1</t>
        </is>
      </c>
      <c r="C84" t="n">
        <v>3</v>
      </c>
      <c r="D84">
        <f>SUMIFS(tGrossReq[GrossReqUnits],tGrossReq[Plant],[@Plant],tGrossReq[Material],[@Material],tGrossReq[Fortnight],[@Fortnight])</f>
        <v/>
      </c>
      <c r="E8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4">
        <f>[@ProjectedOnHand_Begin]+[@ReceiptsUnits]-[@GrossReqUnits]</f>
        <v/>
      </c>
    </row>
    <row r="85">
      <c r="A85" t="inlineStr">
        <is>
          <t>West</t>
        </is>
      </c>
      <c r="B85" t="inlineStr">
        <is>
          <t>Pieza 1</t>
        </is>
      </c>
      <c r="C85" t="n">
        <v>4</v>
      </c>
      <c r="D85">
        <f>SUMIFS(tGrossReq[GrossReqUnits],tGrossReq[Plant],[@Plant],tGrossReq[Material],[@Material],tGrossReq[Fortnight],[@Fortnight])</f>
        <v/>
      </c>
      <c r="E8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5">
        <f>[@ProjectedOnHand_Begin]+[@ReceiptsUnits]-[@GrossReqUnits]</f>
        <v/>
      </c>
    </row>
    <row r="86">
      <c r="A86" t="inlineStr">
        <is>
          <t>West</t>
        </is>
      </c>
      <c r="B86" t="inlineStr">
        <is>
          <t>Pieza 1</t>
        </is>
      </c>
      <c r="C86" t="n">
        <v>5</v>
      </c>
      <c r="D86">
        <f>SUMIFS(tGrossReq[GrossReqUnits],tGrossReq[Plant],[@Plant],tGrossReq[Material],[@Material],tGrossReq[Fortnight],[@Fortnight])</f>
        <v/>
      </c>
      <c r="E8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6">
        <f>[@ProjectedOnHand_Begin]+[@ReceiptsUnits]-[@GrossReqUnits]</f>
        <v/>
      </c>
    </row>
    <row r="87">
      <c r="A87" t="inlineStr">
        <is>
          <t>West</t>
        </is>
      </c>
      <c r="B87" t="inlineStr">
        <is>
          <t>Pieza 1</t>
        </is>
      </c>
      <c r="C87" t="n">
        <v>6</v>
      </c>
      <c r="D87">
        <f>SUMIFS(tGrossReq[GrossReqUnits],tGrossReq[Plant],[@Plant],tGrossReq[Material],[@Material],tGrossReq[Fortnight],[@Fortnight])</f>
        <v/>
      </c>
      <c r="E8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7">
        <f>[@ProjectedOnHand_Begin]+[@ReceiptsUnits]-[@GrossReqUnits]</f>
        <v/>
      </c>
    </row>
    <row r="88">
      <c r="A88" t="inlineStr">
        <is>
          <t>West</t>
        </is>
      </c>
      <c r="B88" t="inlineStr">
        <is>
          <t>Pieza 1</t>
        </is>
      </c>
      <c r="C88" t="n">
        <v>7</v>
      </c>
      <c r="D88">
        <f>SUMIFS(tGrossReq[GrossReqUnits],tGrossReq[Plant],[@Plant],tGrossReq[Material],[@Material],tGrossReq[Fortnight],[@Fortnight])</f>
        <v/>
      </c>
      <c r="E8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8">
        <f>[@ProjectedOnHand_Begin]+[@ReceiptsUnits]-[@GrossReqUnits]</f>
        <v/>
      </c>
    </row>
    <row r="89">
      <c r="A89" t="inlineStr">
        <is>
          <t>West</t>
        </is>
      </c>
      <c r="B89" t="inlineStr">
        <is>
          <t>Pieza 1</t>
        </is>
      </c>
      <c r="C89" t="n">
        <v>8</v>
      </c>
      <c r="D89">
        <f>SUMIFS(tGrossReq[GrossReqUnits],tGrossReq[Plant],[@Plant],tGrossReq[Material],[@Material],tGrossReq[Fortnight],[@Fortnight])</f>
        <v/>
      </c>
      <c r="E8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8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9">
        <f>[@ProjectedOnHand_Begin]+[@ReceiptsUnits]-[@GrossReqUnits]</f>
        <v/>
      </c>
    </row>
    <row r="90">
      <c r="A90" t="inlineStr">
        <is>
          <t>West</t>
        </is>
      </c>
      <c r="B90" t="inlineStr">
        <is>
          <t>Pieza 2</t>
        </is>
      </c>
      <c r="C90" t="n">
        <v>1</v>
      </c>
      <c r="D90">
        <f>SUMIFS(tGrossReq[GrossReqUnits],tGrossReq[Plant],[@Plant],tGrossReq[Material],[@Material],tGrossReq[Fortnight],[@Fortnight])</f>
        <v/>
      </c>
      <c r="E9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0">
        <f>[@ProjectedOnHand_Begin]+[@ReceiptsUnits]-[@GrossReqUnits]</f>
        <v/>
      </c>
    </row>
    <row r="91">
      <c r="A91" t="inlineStr">
        <is>
          <t>West</t>
        </is>
      </c>
      <c r="B91" t="inlineStr">
        <is>
          <t>Pieza 2</t>
        </is>
      </c>
      <c r="C91" t="n">
        <v>2</v>
      </c>
      <c r="D91">
        <f>SUMIFS(tGrossReq[GrossReqUnits],tGrossReq[Plant],[@Plant],tGrossReq[Material],[@Material],tGrossReq[Fortnight],[@Fortnight])</f>
        <v/>
      </c>
      <c r="E9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1">
        <f>[@ProjectedOnHand_Begin]+[@ReceiptsUnits]-[@GrossReqUnits]</f>
        <v/>
      </c>
    </row>
    <row r="92">
      <c r="A92" t="inlineStr">
        <is>
          <t>West</t>
        </is>
      </c>
      <c r="B92" t="inlineStr">
        <is>
          <t>Pieza 2</t>
        </is>
      </c>
      <c r="C92" t="n">
        <v>3</v>
      </c>
      <c r="D92">
        <f>SUMIFS(tGrossReq[GrossReqUnits],tGrossReq[Plant],[@Plant],tGrossReq[Material],[@Material],tGrossReq[Fortnight],[@Fortnight])</f>
        <v/>
      </c>
      <c r="E9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2">
        <f>[@ProjectedOnHand_Begin]+[@ReceiptsUnits]-[@GrossReqUnits]</f>
        <v/>
      </c>
    </row>
    <row r="93">
      <c r="A93" t="inlineStr">
        <is>
          <t>West</t>
        </is>
      </c>
      <c r="B93" t="inlineStr">
        <is>
          <t>Pieza 2</t>
        </is>
      </c>
      <c r="C93" t="n">
        <v>4</v>
      </c>
      <c r="D93">
        <f>SUMIFS(tGrossReq[GrossReqUnits],tGrossReq[Plant],[@Plant],tGrossReq[Material],[@Material],tGrossReq[Fortnight],[@Fortnight])</f>
        <v/>
      </c>
      <c r="E9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3">
        <f>[@ProjectedOnHand_Begin]+[@ReceiptsUnits]-[@GrossReqUnits]</f>
        <v/>
      </c>
    </row>
    <row r="94">
      <c r="A94" t="inlineStr">
        <is>
          <t>West</t>
        </is>
      </c>
      <c r="B94" t="inlineStr">
        <is>
          <t>Pieza 2</t>
        </is>
      </c>
      <c r="C94" t="n">
        <v>5</v>
      </c>
      <c r="D94">
        <f>SUMIFS(tGrossReq[GrossReqUnits],tGrossReq[Plant],[@Plant],tGrossReq[Material],[@Material],tGrossReq[Fortnight],[@Fortnight])</f>
        <v/>
      </c>
      <c r="E9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4">
        <f>[@ProjectedOnHand_Begin]+[@ReceiptsUnits]-[@GrossReqUnits]</f>
        <v/>
      </c>
    </row>
    <row r="95">
      <c r="A95" t="inlineStr">
        <is>
          <t>West</t>
        </is>
      </c>
      <c r="B95" t="inlineStr">
        <is>
          <t>Pieza 2</t>
        </is>
      </c>
      <c r="C95" t="n">
        <v>6</v>
      </c>
      <c r="D95">
        <f>SUMIFS(tGrossReq[GrossReqUnits],tGrossReq[Plant],[@Plant],tGrossReq[Material],[@Material],tGrossReq[Fortnight],[@Fortnight])</f>
        <v/>
      </c>
      <c r="E9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5">
        <f>[@ProjectedOnHand_Begin]+[@ReceiptsUnits]-[@GrossReqUnits]</f>
        <v/>
      </c>
    </row>
    <row r="96">
      <c r="A96" t="inlineStr">
        <is>
          <t>West</t>
        </is>
      </c>
      <c r="B96" t="inlineStr">
        <is>
          <t>Pieza 2</t>
        </is>
      </c>
      <c r="C96" t="n">
        <v>7</v>
      </c>
      <c r="D96">
        <f>SUMIFS(tGrossReq[GrossReqUnits],tGrossReq[Plant],[@Plant],tGrossReq[Material],[@Material],tGrossReq[Fortnight],[@Fortnight])</f>
        <v/>
      </c>
      <c r="E9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6">
        <f>[@ProjectedOnHand_Begin]+[@ReceiptsUnits]-[@GrossReqUnits]</f>
        <v/>
      </c>
    </row>
    <row r="97">
      <c r="A97" t="inlineStr">
        <is>
          <t>West</t>
        </is>
      </c>
      <c r="B97" t="inlineStr">
        <is>
          <t>Pieza 2</t>
        </is>
      </c>
      <c r="C97" t="n">
        <v>8</v>
      </c>
      <c r="D97">
        <f>SUMIFS(tGrossReq[GrossReqUnits],tGrossReq[Plant],[@Plant],tGrossReq[Material],[@Material],tGrossReq[Fortnight],[@Fortnight])</f>
        <v/>
      </c>
      <c r="E9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7">
        <f>[@ProjectedOnHand_Begin]+[@ReceiptsUnits]-[@GrossReqUnits]</f>
        <v/>
      </c>
    </row>
    <row r="98">
      <c r="A98" t="inlineStr">
        <is>
          <t>West</t>
        </is>
      </c>
      <c r="B98" t="inlineStr">
        <is>
          <t>Pieza 3</t>
        </is>
      </c>
      <c r="C98" t="n">
        <v>1</v>
      </c>
      <c r="D98">
        <f>SUMIFS(tGrossReq[GrossReqUnits],tGrossReq[Plant],[@Plant],tGrossReq[Material],[@Material],tGrossReq[Fortnight],[@Fortnight])</f>
        <v/>
      </c>
      <c r="E9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8">
        <f>[@ProjectedOnHand_Begin]+[@ReceiptsUnits]-[@GrossReqUnits]</f>
        <v/>
      </c>
    </row>
    <row r="99">
      <c r="A99" t="inlineStr">
        <is>
          <t>West</t>
        </is>
      </c>
      <c r="B99" t="inlineStr">
        <is>
          <t>Pieza 3</t>
        </is>
      </c>
      <c r="C99" t="n">
        <v>2</v>
      </c>
      <c r="D99">
        <f>SUMIFS(tGrossReq[GrossReqUnits],tGrossReq[Plant],[@Plant],tGrossReq[Material],[@Material],tGrossReq[Fortnight],[@Fortnight])</f>
        <v/>
      </c>
      <c r="E9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9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9">
        <f>[@ProjectedOnHand_Begin]+[@ReceiptsUnits]-[@GrossReqUnits]</f>
        <v/>
      </c>
    </row>
    <row r="100">
      <c r="A100" t="inlineStr">
        <is>
          <t>West</t>
        </is>
      </c>
      <c r="B100" t="inlineStr">
        <is>
          <t>Pieza 3</t>
        </is>
      </c>
      <c r="C100" t="n">
        <v>3</v>
      </c>
      <c r="D100">
        <f>SUMIFS(tGrossReq[GrossReqUnits],tGrossReq[Plant],[@Plant],tGrossReq[Material],[@Material],tGrossReq[Fortnight],[@Fortnight])</f>
        <v/>
      </c>
      <c r="E10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0">
        <f>[@ProjectedOnHand_Begin]+[@ReceiptsUnits]-[@GrossReqUnits]</f>
        <v/>
      </c>
    </row>
    <row r="101">
      <c r="A101" t="inlineStr">
        <is>
          <t>West</t>
        </is>
      </c>
      <c r="B101" t="inlineStr">
        <is>
          <t>Pieza 3</t>
        </is>
      </c>
      <c r="C101" t="n">
        <v>4</v>
      </c>
      <c r="D101">
        <f>SUMIFS(tGrossReq[GrossReqUnits],tGrossReq[Plant],[@Plant],tGrossReq[Material],[@Material],tGrossReq[Fortnight],[@Fortnight])</f>
        <v/>
      </c>
      <c r="E10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1">
        <f>[@ProjectedOnHand_Begin]+[@ReceiptsUnits]-[@GrossReqUnits]</f>
        <v/>
      </c>
    </row>
    <row r="102">
      <c r="A102" t="inlineStr">
        <is>
          <t>West</t>
        </is>
      </c>
      <c r="B102" t="inlineStr">
        <is>
          <t>Pieza 3</t>
        </is>
      </c>
      <c r="C102" t="n">
        <v>5</v>
      </c>
      <c r="D102">
        <f>SUMIFS(tGrossReq[GrossReqUnits],tGrossReq[Plant],[@Plant],tGrossReq[Material],[@Material],tGrossReq[Fortnight],[@Fortnight])</f>
        <v/>
      </c>
      <c r="E10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2">
        <f>[@ProjectedOnHand_Begin]+[@ReceiptsUnits]-[@GrossReqUnits]</f>
        <v/>
      </c>
    </row>
    <row r="103">
      <c r="A103" t="inlineStr">
        <is>
          <t>West</t>
        </is>
      </c>
      <c r="B103" t="inlineStr">
        <is>
          <t>Pieza 3</t>
        </is>
      </c>
      <c r="C103" t="n">
        <v>6</v>
      </c>
      <c r="D103">
        <f>SUMIFS(tGrossReq[GrossReqUnits],tGrossReq[Plant],[@Plant],tGrossReq[Material],[@Material],tGrossReq[Fortnight],[@Fortnight])</f>
        <v/>
      </c>
      <c r="E10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3">
        <f>[@ProjectedOnHand_Begin]+[@ReceiptsUnits]-[@GrossReqUnits]</f>
        <v/>
      </c>
    </row>
    <row r="104">
      <c r="A104" t="inlineStr">
        <is>
          <t>West</t>
        </is>
      </c>
      <c r="B104" t="inlineStr">
        <is>
          <t>Pieza 3</t>
        </is>
      </c>
      <c r="C104" t="n">
        <v>7</v>
      </c>
      <c r="D104">
        <f>SUMIFS(tGrossReq[GrossReqUnits],tGrossReq[Plant],[@Plant],tGrossReq[Material],[@Material],tGrossReq[Fortnight],[@Fortnight])</f>
        <v/>
      </c>
      <c r="E10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4">
        <f>[@ProjectedOnHand_Begin]+[@ReceiptsUnits]-[@GrossReqUnits]</f>
        <v/>
      </c>
    </row>
    <row r="105">
      <c r="A105" t="inlineStr">
        <is>
          <t>West</t>
        </is>
      </c>
      <c r="B105" t="inlineStr">
        <is>
          <t>Pieza 3</t>
        </is>
      </c>
      <c r="C105" t="n">
        <v>8</v>
      </c>
      <c r="D105">
        <f>SUMIFS(tGrossReq[GrossReqUnits],tGrossReq[Plant],[@Plant],tGrossReq[Material],[@Material],tGrossReq[Fortnight],[@Fortnight])</f>
        <v/>
      </c>
      <c r="E10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5">
        <f>[@ProjectedOnHand_Begin]+[@ReceiptsUnits]-[@GrossReqUnits]</f>
        <v/>
      </c>
    </row>
    <row r="106">
      <c r="A106" t="inlineStr">
        <is>
          <t>West</t>
        </is>
      </c>
      <c r="B106" t="inlineStr">
        <is>
          <t>Pieza 4</t>
        </is>
      </c>
      <c r="C106" t="n">
        <v>1</v>
      </c>
      <c r="D106">
        <f>SUMIFS(tGrossReq[GrossReqUnits],tGrossReq[Plant],[@Plant],tGrossReq[Material],[@Material],tGrossReq[Fortnight],[@Fortnight])</f>
        <v/>
      </c>
      <c r="E10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6">
        <f>[@ProjectedOnHand_Begin]+[@ReceiptsUnits]-[@GrossReqUnits]</f>
        <v/>
      </c>
    </row>
    <row r="107">
      <c r="A107" t="inlineStr">
        <is>
          <t>West</t>
        </is>
      </c>
      <c r="B107" t="inlineStr">
        <is>
          <t>Pieza 4</t>
        </is>
      </c>
      <c r="C107" t="n">
        <v>2</v>
      </c>
      <c r="D107">
        <f>SUMIFS(tGrossReq[GrossReqUnits],tGrossReq[Plant],[@Plant],tGrossReq[Material],[@Material],tGrossReq[Fortnight],[@Fortnight])</f>
        <v/>
      </c>
      <c r="E10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7">
        <f>[@ProjectedOnHand_Begin]+[@ReceiptsUnits]-[@GrossReqUnits]</f>
        <v/>
      </c>
    </row>
    <row r="108">
      <c r="A108" t="inlineStr">
        <is>
          <t>West</t>
        </is>
      </c>
      <c r="B108" t="inlineStr">
        <is>
          <t>Pieza 4</t>
        </is>
      </c>
      <c r="C108" t="n">
        <v>3</v>
      </c>
      <c r="D108">
        <f>SUMIFS(tGrossReq[GrossReqUnits],tGrossReq[Plant],[@Plant],tGrossReq[Material],[@Material],tGrossReq[Fortnight],[@Fortnight])</f>
        <v/>
      </c>
      <c r="E10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8">
        <f>[@ProjectedOnHand_Begin]+[@ReceiptsUnits]-[@GrossReqUnits]</f>
        <v/>
      </c>
    </row>
    <row r="109">
      <c r="A109" t="inlineStr">
        <is>
          <t>West</t>
        </is>
      </c>
      <c r="B109" t="inlineStr">
        <is>
          <t>Pieza 4</t>
        </is>
      </c>
      <c r="C109" t="n">
        <v>4</v>
      </c>
      <c r="D109">
        <f>SUMIFS(tGrossReq[GrossReqUnits],tGrossReq[Plant],[@Plant],tGrossReq[Material],[@Material],tGrossReq[Fortnight],[@Fortnight])</f>
        <v/>
      </c>
      <c r="E10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0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9">
        <f>[@ProjectedOnHand_Begin]+[@ReceiptsUnits]-[@GrossReqUnits]</f>
        <v/>
      </c>
    </row>
    <row r="110">
      <c r="A110" t="inlineStr">
        <is>
          <t>West</t>
        </is>
      </c>
      <c r="B110" t="inlineStr">
        <is>
          <t>Pieza 4</t>
        </is>
      </c>
      <c r="C110" t="n">
        <v>5</v>
      </c>
      <c r="D110">
        <f>SUMIFS(tGrossReq[GrossReqUnits],tGrossReq[Plant],[@Plant],tGrossReq[Material],[@Material],tGrossReq[Fortnight],[@Fortnight])</f>
        <v/>
      </c>
      <c r="E11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0">
        <f>[@ProjectedOnHand_Begin]+[@ReceiptsUnits]-[@GrossReqUnits]</f>
        <v/>
      </c>
    </row>
    <row r="111">
      <c r="A111" t="inlineStr">
        <is>
          <t>West</t>
        </is>
      </c>
      <c r="B111" t="inlineStr">
        <is>
          <t>Pieza 4</t>
        </is>
      </c>
      <c r="C111" t="n">
        <v>6</v>
      </c>
      <c r="D111">
        <f>SUMIFS(tGrossReq[GrossReqUnits],tGrossReq[Plant],[@Plant],tGrossReq[Material],[@Material],tGrossReq[Fortnight],[@Fortnight])</f>
        <v/>
      </c>
      <c r="E11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1">
        <f>[@ProjectedOnHand_Begin]+[@ReceiptsUnits]-[@GrossReqUnits]</f>
        <v/>
      </c>
    </row>
    <row r="112">
      <c r="A112" t="inlineStr">
        <is>
          <t>West</t>
        </is>
      </c>
      <c r="B112" t="inlineStr">
        <is>
          <t>Pieza 4</t>
        </is>
      </c>
      <c r="C112" t="n">
        <v>7</v>
      </c>
      <c r="D112">
        <f>SUMIFS(tGrossReq[GrossReqUnits],tGrossReq[Plant],[@Plant],tGrossReq[Material],[@Material],tGrossReq[Fortnight],[@Fortnight])</f>
        <v/>
      </c>
      <c r="E11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2">
        <f>[@ProjectedOnHand_Begin]+[@ReceiptsUnits]-[@GrossReqUnits]</f>
        <v/>
      </c>
    </row>
    <row r="113">
      <c r="A113" t="inlineStr">
        <is>
          <t>West</t>
        </is>
      </c>
      <c r="B113" t="inlineStr">
        <is>
          <t>Pieza 4</t>
        </is>
      </c>
      <c r="C113" t="n">
        <v>8</v>
      </c>
      <c r="D113">
        <f>SUMIFS(tGrossReq[GrossReqUnits],tGrossReq[Plant],[@Plant],tGrossReq[Material],[@Material],tGrossReq[Fortnight],[@Fortnight])</f>
        <v/>
      </c>
      <c r="E11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3">
        <f>[@ProjectedOnHand_Begin]+[@ReceiptsUnits]-[@GrossReqUnits]</f>
        <v/>
      </c>
    </row>
    <row r="114">
      <c r="A114" t="inlineStr">
        <is>
          <t>West</t>
        </is>
      </c>
      <c r="B114" t="inlineStr">
        <is>
          <t>Pieza 5</t>
        </is>
      </c>
      <c r="C114" t="n">
        <v>1</v>
      </c>
      <c r="D114">
        <f>SUMIFS(tGrossReq[GrossReqUnits],tGrossReq[Plant],[@Plant],tGrossReq[Material],[@Material],tGrossReq[Fortnight],[@Fortnight])</f>
        <v/>
      </c>
      <c r="E11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4">
        <f>[@ProjectedOnHand_Begin]+[@ReceiptsUnits]-[@GrossReqUnits]</f>
        <v/>
      </c>
    </row>
    <row r="115">
      <c r="A115" t="inlineStr">
        <is>
          <t>West</t>
        </is>
      </c>
      <c r="B115" t="inlineStr">
        <is>
          <t>Pieza 5</t>
        </is>
      </c>
      <c r="C115" t="n">
        <v>2</v>
      </c>
      <c r="D115">
        <f>SUMIFS(tGrossReq[GrossReqUnits],tGrossReq[Plant],[@Plant],tGrossReq[Material],[@Material],tGrossReq[Fortnight],[@Fortnight])</f>
        <v/>
      </c>
      <c r="E11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5">
        <f>[@ProjectedOnHand_Begin]+[@ReceiptsUnits]-[@GrossReqUnits]</f>
        <v/>
      </c>
    </row>
    <row r="116">
      <c r="A116" t="inlineStr">
        <is>
          <t>West</t>
        </is>
      </c>
      <c r="B116" t="inlineStr">
        <is>
          <t>Pieza 5</t>
        </is>
      </c>
      <c r="C116" t="n">
        <v>3</v>
      </c>
      <c r="D116">
        <f>SUMIFS(tGrossReq[GrossReqUnits],tGrossReq[Plant],[@Plant],tGrossReq[Material],[@Material],tGrossReq[Fortnight],[@Fortnight])</f>
        <v/>
      </c>
      <c r="E11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6">
        <f>[@ProjectedOnHand_Begin]+[@ReceiptsUnits]-[@GrossReqUnits]</f>
        <v/>
      </c>
    </row>
    <row r="117">
      <c r="A117" t="inlineStr">
        <is>
          <t>West</t>
        </is>
      </c>
      <c r="B117" t="inlineStr">
        <is>
          <t>Pieza 5</t>
        </is>
      </c>
      <c r="C117" t="n">
        <v>4</v>
      </c>
      <c r="D117">
        <f>SUMIFS(tGrossReq[GrossReqUnits],tGrossReq[Plant],[@Plant],tGrossReq[Material],[@Material],tGrossReq[Fortnight],[@Fortnight])</f>
        <v/>
      </c>
      <c r="E11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7">
        <f>[@ProjectedOnHand_Begin]+[@ReceiptsUnits]-[@GrossReqUnits]</f>
        <v/>
      </c>
    </row>
    <row r="118">
      <c r="A118" t="inlineStr">
        <is>
          <t>West</t>
        </is>
      </c>
      <c r="B118" t="inlineStr">
        <is>
          <t>Pieza 5</t>
        </is>
      </c>
      <c r="C118" t="n">
        <v>5</v>
      </c>
      <c r="D118">
        <f>SUMIFS(tGrossReq[GrossReqUnits],tGrossReq[Plant],[@Plant],tGrossReq[Material],[@Material],tGrossReq[Fortnight],[@Fortnight])</f>
        <v/>
      </c>
      <c r="E11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8">
        <f>[@ProjectedOnHand_Begin]+[@ReceiptsUnits]-[@GrossReqUnits]</f>
        <v/>
      </c>
    </row>
    <row r="119">
      <c r="A119" t="inlineStr">
        <is>
          <t>West</t>
        </is>
      </c>
      <c r="B119" t="inlineStr">
        <is>
          <t>Pieza 5</t>
        </is>
      </c>
      <c r="C119" t="n">
        <v>6</v>
      </c>
      <c r="D119">
        <f>SUMIFS(tGrossReq[GrossReqUnits],tGrossReq[Plant],[@Plant],tGrossReq[Material],[@Material],tGrossReq[Fortnight],[@Fortnight])</f>
        <v/>
      </c>
      <c r="E11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1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9">
        <f>[@ProjectedOnHand_Begin]+[@ReceiptsUnits]-[@GrossReqUnits]</f>
        <v/>
      </c>
    </row>
    <row r="120">
      <c r="A120" t="inlineStr">
        <is>
          <t>West</t>
        </is>
      </c>
      <c r="B120" t="inlineStr">
        <is>
          <t>Pieza 5</t>
        </is>
      </c>
      <c r="C120" t="n">
        <v>7</v>
      </c>
      <c r="D120">
        <f>SUMIFS(tGrossReq[GrossReqUnits],tGrossReq[Plant],[@Plant],tGrossReq[Material],[@Material],tGrossReq[Fortnight],[@Fortnight])</f>
        <v/>
      </c>
      <c r="E120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0">
        <f>[@ProjectedOnHand_Begin]+[@ReceiptsUnits]-[@GrossReqUnits]</f>
        <v/>
      </c>
    </row>
    <row r="121">
      <c r="A121" t="inlineStr">
        <is>
          <t>West</t>
        </is>
      </c>
      <c r="B121" t="inlineStr">
        <is>
          <t>Pieza 5</t>
        </is>
      </c>
      <c r="C121" t="n">
        <v>8</v>
      </c>
      <c r="D121">
        <f>SUMIFS(tGrossReq[GrossReqUnits],tGrossReq[Plant],[@Plant],tGrossReq[Material],[@Material],tGrossReq[Fortnight],[@Fortnight])</f>
        <v/>
      </c>
      <c r="E121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1">
        <f>[@ProjectedOnHand_Begin]+[@ReceiptsUnits]-[@GrossReqUnits]</f>
        <v/>
      </c>
    </row>
    <row r="122">
      <c r="A122" t="inlineStr">
        <is>
          <t>West</t>
        </is>
      </c>
      <c r="B122" t="inlineStr">
        <is>
          <t>Pieza 6</t>
        </is>
      </c>
      <c r="C122" t="n">
        <v>1</v>
      </c>
      <c r="D122">
        <f>SUMIFS(tGrossReq[GrossReqUnits],tGrossReq[Plant],[@Plant],tGrossReq[Material],[@Material],tGrossReq[Fortnight],[@Fortnight])</f>
        <v/>
      </c>
      <c r="E122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2">
        <f>[@ProjectedOnHand_Begin]+[@ReceiptsUnits]-[@GrossReqUnits]</f>
        <v/>
      </c>
    </row>
    <row r="123">
      <c r="A123" t="inlineStr">
        <is>
          <t>West</t>
        </is>
      </c>
      <c r="B123" t="inlineStr">
        <is>
          <t>Pieza 6</t>
        </is>
      </c>
      <c r="C123" t="n">
        <v>2</v>
      </c>
      <c r="D123">
        <f>SUMIFS(tGrossReq[GrossReqUnits],tGrossReq[Plant],[@Plant],tGrossReq[Material],[@Material],tGrossReq[Fortnight],[@Fortnight])</f>
        <v/>
      </c>
      <c r="E123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3">
        <f>[@ProjectedOnHand_Begin]+[@ReceiptsUnits]-[@GrossReqUnits]</f>
        <v/>
      </c>
    </row>
    <row r="124">
      <c r="A124" t="inlineStr">
        <is>
          <t>West</t>
        </is>
      </c>
      <c r="B124" t="inlineStr">
        <is>
          <t>Pieza 6</t>
        </is>
      </c>
      <c r="C124" t="n">
        <v>3</v>
      </c>
      <c r="D124">
        <f>SUMIFS(tGrossReq[GrossReqUnits],tGrossReq[Plant],[@Plant],tGrossReq[Material],[@Material],tGrossReq[Fortnight],[@Fortnight])</f>
        <v/>
      </c>
      <c r="E124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4">
        <f>[@ProjectedOnHand_Begin]+[@ReceiptsUnits]-[@GrossReqUnits]</f>
        <v/>
      </c>
    </row>
    <row r="125">
      <c r="A125" t="inlineStr">
        <is>
          <t>West</t>
        </is>
      </c>
      <c r="B125" t="inlineStr">
        <is>
          <t>Pieza 6</t>
        </is>
      </c>
      <c r="C125" t="n">
        <v>4</v>
      </c>
      <c r="D125">
        <f>SUMIFS(tGrossReq[GrossReqUnits],tGrossReq[Plant],[@Plant],tGrossReq[Material],[@Material],tGrossReq[Fortnight],[@Fortnight])</f>
        <v/>
      </c>
      <c r="E125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5">
        <f>[@ProjectedOnHand_Begin]+[@ReceiptsUnits]-[@GrossReqUnits]</f>
        <v/>
      </c>
    </row>
    <row r="126">
      <c r="A126" t="inlineStr">
        <is>
          <t>West</t>
        </is>
      </c>
      <c r="B126" t="inlineStr">
        <is>
          <t>Pieza 6</t>
        </is>
      </c>
      <c r="C126" t="n">
        <v>5</v>
      </c>
      <c r="D126">
        <f>SUMIFS(tGrossReq[GrossReqUnits],tGrossReq[Plant],[@Plant],tGrossReq[Material],[@Material],tGrossReq[Fortnight],[@Fortnight])</f>
        <v/>
      </c>
      <c r="E126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6">
        <f>[@ProjectedOnHand_Begin]+[@ReceiptsUnits]-[@GrossReqUnits]</f>
        <v/>
      </c>
    </row>
    <row r="127">
      <c r="A127" t="inlineStr">
        <is>
          <t>West</t>
        </is>
      </c>
      <c r="B127" t="inlineStr">
        <is>
          <t>Pieza 6</t>
        </is>
      </c>
      <c r="C127" t="n">
        <v>6</v>
      </c>
      <c r="D127">
        <f>SUMIFS(tGrossReq[GrossReqUnits],tGrossReq[Plant],[@Plant],tGrossReq[Material],[@Material],tGrossReq[Fortnight],[@Fortnight])</f>
        <v/>
      </c>
      <c r="E127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7">
        <f>[@ProjectedOnHand_Begin]+[@ReceiptsUnits]-[@GrossReqUnits]</f>
        <v/>
      </c>
    </row>
    <row r="128">
      <c r="A128" t="inlineStr">
        <is>
          <t>West</t>
        </is>
      </c>
      <c r="B128" t="inlineStr">
        <is>
          <t>Pieza 6</t>
        </is>
      </c>
      <c r="C128" t="n">
        <v>7</v>
      </c>
      <c r="D128">
        <f>SUMIFS(tGrossReq[GrossReqUnits],tGrossReq[Plant],[@Plant],tGrossReq[Material],[@Material],tGrossReq[Fortnight],[@Fortnight])</f>
        <v/>
      </c>
      <c r="E128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8">
        <f>[@ProjectedOnHand_Begin]+[@ReceiptsUnits]-[@GrossReqUnits]</f>
        <v/>
      </c>
    </row>
    <row r="129">
      <c r="A129" t="inlineStr">
        <is>
          <t>West</t>
        </is>
      </c>
      <c r="B129" t="inlineStr">
        <is>
          <t>Pieza 6</t>
        </is>
      </c>
      <c r="C129" t="n">
        <v>8</v>
      </c>
      <c r="D129">
        <f>SUMIFS(tGrossReq[GrossReqUnits],tGrossReq[Plant],[@Plant],tGrossReq[Material],[@Material],tGrossReq[Fortnight],[@Fortnight])</f>
        <v/>
      </c>
      <c r="E129">
        <f>IF(XLOOKUP([@Material],tParams[Material],tParams[Type],"")="Part",XLOOKUP([@Plant]&amp;"|"&amp;[@Material]&amp;"|"&amp;[@Fortnight],tMRPParts[Plant]&amp;"|"&amp;tMRPParts[Material]&amp;"|"&amp;tMRPParts[Fortnight],tMRPParts[PlannedOrderReceiptUnits_Rounded],0),0)</f>
        <v/>
      </c>
      <c r="F12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9">
        <f>[@ProjectedOnHand_Begin]+[@ReceiptsUnits]-[@GrossReqUnits]</f>
        <v/>
      </c>
    </row>
  </sheetData>
  <mergeCells count="12">
    <mergeCell ref="A35:K35"/>
    <mergeCell ref="A3:K3"/>
    <mergeCell ref="A29:K29"/>
    <mergeCell ref="A41:K41"/>
    <mergeCell ref="A53:J53"/>
    <mergeCell ref="A2:K2"/>
    <mergeCell ref="A11:K11"/>
    <mergeCell ref="A47:K47"/>
    <mergeCell ref="A1:K1"/>
    <mergeCell ref="A17:K17"/>
    <mergeCell ref="A5:K5"/>
    <mergeCell ref="A23:K23"/>
  </mergeCells>
  <conditionalFormatting sqref="B10:I10">
    <cfRule type="cellIs" priority="2" operator="lessThan" dxfId="0">
      <formula>0</formula>
    </cfRule>
  </conditionalFormatting>
  <conditionalFormatting sqref="B16:I16">
    <cfRule type="cellIs" priority="10" operator="lessThan" dxfId="0">
      <formula>0</formula>
    </cfRule>
  </conditionalFormatting>
  <conditionalFormatting sqref="B22:I22">
    <cfRule type="cellIs" priority="18" operator="lessThan" dxfId="0">
      <formula>0</formula>
    </cfRule>
  </conditionalFormatting>
  <conditionalFormatting sqref="B28:I28">
    <cfRule type="cellIs" priority="26" operator="lessThan" dxfId="0">
      <formula>0</formula>
    </cfRule>
  </conditionalFormatting>
  <conditionalFormatting sqref="B34:I34">
    <cfRule type="cellIs" priority="34" operator="lessThan" dxfId="0">
      <formula>0</formula>
    </cfRule>
  </conditionalFormatting>
  <conditionalFormatting sqref="B40:I40">
    <cfRule type="cellIs" priority="42" operator="lessThan" dxfId="0">
      <formula>0</formula>
    </cfRule>
  </conditionalFormatting>
  <conditionalFormatting sqref="B46:I46">
    <cfRule type="cellIs" priority="50" operator="lessThan" dxfId="0">
      <formula>0</formula>
    </cfRule>
  </conditionalFormatting>
  <conditionalFormatting sqref="B55:I55">
    <cfRule type="cellIs" priority="58" operator="lessThan" dxfId="0">
      <formula>0</formula>
    </cfRule>
  </conditionalFormatting>
  <conditionalFormatting sqref="B55:I62">
    <cfRule type="cellIs" priority="59" operator="equal" dxfId="0">
      <formula>"⚠ RIESGO"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selection activeCell="B14" sqref="B14"/>
    </sheetView>
  </sheetViews>
  <sheetFormatPr baseColWidth="10" defaultColWidth="8.6640625" defaultRowHeight="14.4"/>
  <cols>
    <col width="15" customWidth="1" style="33" min="1" max="1"/>
  </cols>
  <sheetData>
    <row r="1" ht="17.25" customHeight="1" s="33">
      <c r="A1" t="inlineStr">
        <is>
          <t>MRP - PRODUCCION POR SECCION (MULTI-PLANTA)</t>
        </is>
      </c>
    </row>
    <row r="2" ht="15" customHeight="1" s="33"/>
    <row r="3">
      <c r="A3" t="inlineStr">
        <is>
          <t>Plant: Center</t>
        </is>
      </c>
    </row>
    <row r="4" ht="15" customHeight="1" s="33">
      <c r="A4" t="inlineStr">
        <is>
          <t>Seccion</t>
        </is>
      </c>
      <c r="G4" t="inlineStr">
        <is>
          <t>Q6</t>
        </is>
      </c>
      <c r="H4" t="inlineStr">
        <is>
          <t>Q7</t>
        </is>
      </c>
      <c r="I4" t="inlineStr">
        <is>
          <t>Q8</t>
        </is>
      </c>
    </row>
    <row r="5" ht="15" customHeight="1" s="33">
      <c r="A5" t="inlineStr">
        <is>
          <t>S5 - Final (EC)</t>
        </is>
      </c>
      <c r="B5">
        <f>XLOOKUP("Center"&amp;"|"&amp;1,tProdPlan[Plant]&amp;"|"&amp;tProdPlan[Fortnight],tProdPlan[EC_Produced],0)*DemandFactor</f>
        <v/>
      </c>
      <c r="C5">
        <f>XLOOKUP("Center"&amp;"|"&amp;2,tProdPlan[Plant]&amp;"|"&amp;tProdPlan[Fortnight],tProdPlan[EC_Produced],0)*DemandFactor</f>
        <v/>
      </c>
      <c r="D5">
        <f>XLOOKUP("Center"&amp;"|"&amp;3,tProdPlan[Plant]&amp;"|"&amp;tProdPlan[Fortnight],tProdPlan[EC_Produced],0)*DemandFactor</f>
        <v/>
      </c>
      <c r="E5">
        <f>XLOOKUP("Center"&amp;"|"&amp;4,tProdPlan[Plant]&amp;"|"&amp;tProdPlan[Fortnight],tProdPlan[EC_Produced],0)*DemandFactor</f>
        <v/>
      </c>
      <c r="F5">
        <f>XLOOKUP("Center"&amp;"|"&amp;5,tProdPlan[Plant]&amp;"|"&amp;tProdPlan[Fortnight],tProdPlan[EC_Produced],0)*DemandFactor</f>
        <v/>
      </c>
      <c r="G5">
        <f>XLOOKUP("Center"&amp;"|"&amp;6,tProdPlan[Plant]&amp;"|"&amp;tProdPlan[Fortnight],tProdPlan[EC_Produced],0)*DemandFactor</f>
        <v/>
      </c>
      <c r="H5">
        <f>XLOOKUP("Center"&amp;"|"&amp;7,tProdPlan[Plant]&amp;"|"&amp;tProdPlan[Fortnight],tProdPlan[EC_Produced],0)*DemandFactor</f>
        <v/>
      </c>
      <c r="I5">
        <f>XLOOKUP("Center"&amp;"|"&amp;8,tProdPlan[Plant]&amp;"|"&amp;tProdPlan[Fortnight],tProdPlan[EC_Produced],0)*DemandFactor</f>
        <v/>
      </c>
    </row>
    <row r="6" ht="15" customHeight="1" s="33">
      <c r="A6" t="inlineStr">
        <is>
          <t>S4 - Piezas (LT=1Q)</t>
        </is>
      </c>
      <c r="B6">
        <f>IFERROR(C5,0)</f>
        <v/>
      </c>
      <c r="C6">
        <f>IFERROR(D5,0)</f>
        <v/>
      </c>
      <c r="D6">
        <f>IFERROR(E5,0)</f>
        <v/>
      </c>
      <c r="E6">
        <f>IFERROR(F5,0)</f>
        <v/>
      </c>
      <c r="F6">
        <f>IFERROR(G5,0)</f>
        <v/>
      </c>
      <c r="G6">
        <f>IFERROR(H5,0)</f>
        <v/>
      </c>
      <c r="H6">
        <f>IFERROR(I5,0)</f>
        <v/>
      </c>
      <c r="I6">
        <f>0</f>
        <v/>
      </c>
    </row>
    <row r="7" ht="15" customHeight="1" s="33"/>
    <row r="8" ht="15" customHeight="1" s="33"/>
    <row r="9" ht="15" customHeight="1" s="33"/>
    <row r="10" ht="15" customHeight="1" s="33">
      <c r="A10" t="inlineStr">
        <is>
          <t>Plant: West</t>
        </is>
      </c>
    </row>
    <row r="11">
      <c r="A11" t="inlineStr">
        <is>
          <t>Seccion</t>
        </is>
      </c>
      <c r="B11" t="inlineStr">
        <is>
          <t>Q1</t>
        </is>
      </c>
      <c r="C11" t="inlineStr">
        <is>
          <t>Q2</t>
        </is>
      </c>
      <c r="D11" t="inlineStr">
        <is>
          <t>Q3</t>
        </is>
      </c>
      <c r="E11" t="inlineStr">
        <is>
          <t>Q4</t>
        </is>
      </c>
      <c r="F11" t="inlineStr">
        <is>
          <t>Q5</t>
        </is>
      </c>
      <c r="G11" t="inlineStr">
        <is>
          <t>Q6</t>
        </is>
      </c>
      <c r="H11" t="inlineStr">
        <is>
          <t>Q7</t>
        </is>
      </c>
      <c r="I11" t="inlineStr">
        <is>
          <t>Q8</t>
        </is>
      </c>
    </row>
    <row r="12">
      <c r="A12" t="inlineStr">
        <is>
          <t>S5 - Final (EC)</t>
        </is>
      </c>
      <c r="B12">
        <f>XLOOKUP("West"&amp;"|"&amp;1,tProdPlan[Plant]&amp;"|"&amp;tProdPlan[Fortnight],tProdPlan[EC_Produced],0)*DemandFactor</f>
        <v/>
      </c>
      <c r="C12">
        <f>XLOOKUP("West"&amp;"|"&amp;2,tProdPlan[Plant]&amp;"|"&amp;tProdPlan[Fortnight],tProdPlan[EC_Produced],0)*DemandFactor</f>
        <v/>
      </c>
      <c r="D12">
        <f>XLOOKUP("West"&amp;"|"&amp;3,tProdPlan[Plant]&amp;"|"&amp;tProdPlan[Fortnight],tProdPlan[EC_Produced],0)*DemandFactor</f>
        <v/>
      </c>
      <c r="E12">
        <f>XLOOKUP("West"&amp;"|"&amp;4,tProdPlan[Plant]&amp;"|"&amp;tProdPlan[Fortnight],tProdPlan[EC_Produced],0)*DemandFactor</f>
        <v/>
      </c>
      <c r="F12">
        <f>XLOOKUP("West"&amp;"|"&amp;5,tProdPlan[Plant]&amp;"|"&amp;tProdPlan[Fortnight],tProdPlan[EC_Produced],0)*DemandFactor</f>
        <v/>
      </c>
      <c r="G12">
        <f>XLOOKUP("West"&amp;"|"&amp;6,tProdPlan[Plant]&amp;"|"&amp;tProdPlan[Fortnight],tProdPlan[EC_Produced],0)*DemandFactor</f>
        <v/>
      </c>
      <c r="H12">
        <f>XLOOKUP("West"&amp;"|"&amp;7,tProdPlan[Plant]&amp;"|"&amp;tProdPlan[Fortnight],tProdPlan[EC_Produced],0)*DemandFactor</f>
        <v/>
      </c>
      <c r="I12">
        <f>XLOOKUP("West"&amp;"|"&amp;8,tProdPlan[Plant]&amp;"|"&amp;tProdPlan[Fortnight],tProdPlan[EC_Produced],0)*DemandFactor</f>
        <v/>
      </c>
    </row>
    <row r="13">
      <c r="A13" t="inlineStr">
        <is>
          <t>S4 - Piezas (LT=1Q)</t>
        </is>
      </c>
      <c r="B13">
        <f>IFERROR(C12,0)</f>
        <v/>
      </c>
      <c r="C13">
        <f>IFERROR(D12,0)</f>
        <v/>
      </c>
      <c r="D13">
        <f>IFERROR(E12,0)</f>
        <v/>
      </c>
      <c r="E13">
        <f>IFERROR(F12,0)</f>
        <v/>
      </c>
      <c r="F13">
        <f>IFERROR(G12,0)</f>
        <v/>
      </c>
      <c r="G13">
        <f>IFERROR(H12,0)</f>
        <v/>
      </c>
      <c r="H13">
        <f>IFERROR(I12,0)</f>
        <v/>
      </c>
      <c r="I13">
        <f>0</f>
        <v/>
      </c>
    </row>
  </sheetData>
  <mergeCells count="3">
    <mergeCell ref="A2:F2"/>
    <mergeCell ref="A1:F1"/>
    <mergeCell ref="A4:F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Fortnight</t>
        </is>
      </c>
      <c r="C1" t="inlineStr">
        <is>
          <t>Material</t>
        </is>
      </c>
      <c r="D1" t="inlineStr">
        <is>
          <t>GrossReqUnits</t>
        </is>
      </c>
    </row>
    <row r="2">
      <c r="A2" t="inlineStr">
        <is>
          <t>Center</t>
        </is>
      </c>
      <c r="B2" t="n">
        <v>1</v>
      </c>
      <c r="C2" t="inlineStr">
        <is>
          <t>Parte A</t>
        </is>
      </c>
      <c r="D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">
      <c r="A3" t="inlineStr">
        <is>
          <t>Center</t>
        </is>
      </c>
      <c r="B3" t="n">
        <v>1</v>
      </c>
      <c r="C3" t="inlineStr">
        <is>
          <t>Parte B</t>
        </is>
      </c>
      <c r="D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">
      <c r="A4" t="inlineStr">
        <is>
          <t>Center</t>
        </is>
      </c>
      <c r="B4" t="n">
        <v>1</v>
      </c>
      <c r="C4" t="inlineStr">
        <is>
          <t>Pieza 1</t>
        </is>
      </c>
      <c r="D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">
      <c r="A5" t="inlineStr">
        <is>
          <t>Center</t>
        </is>
      </c>
      <c r="B5" t="n">
        <v>1</v>
      </c>
      <c r="C5" t="inlineStr">
        <is>
          <t>Pieza 2</t>
        </is>
      </c>
      <c r="D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">
      <c r="A6" t="inlineStr">
        <is>
          <t>Center</t>
        </is>
      </c>
      <c r="B6" t="n">
        <v>1</v>
      </c>
      <c r="C6" t="inlineStr">
        <is>
          <t>Pieza 3</t>
        </is>
      </c>
      <c r="D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">
      <c r="A7" t="inlineStr">
        <is>
          <t>Center</t>
        </is>
      </c>
      <c r="B7" t="n">
        <v>1</v>
      </c>
      <c r="C7" t="inlineStr">
        <is>
          <t>Pieza 4</t>
        </is>
      </c>
      <c r="D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">
      <c r="A8" t="inlineStr">
        <is>
          <t>Center</t>
        </is>
      </c>
      <c r="B8" t="n">
        <v>1</v>
      </c>
      <c r="C8" t="inlineStr">
        <is>
          <t>Pieza 5</t>
        </is>
      </c>
      <c r="D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">
      <c r="A9" t="inlineStr">
        <is>
          <t>Center</t>
        </is>
      </c>
      <c r="B9" t="n">
        <v>1</v>
      </c>
      <c r="C9" t="inlineStr">
        <is>
          <t>Pieza 6</t>
        </is>
      </c>
      <c r="D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">
      <c r="A10" t="inlineStr">
        <is>
          <t>Center</t>
        </is>
      </c>
      <c r="B10" t="n">
        <v>2</v>
      </c>
      <c r="C10" t="inlineStr">
        <is>
          <t>Parte A</t>
        </is>
      </c>
      <c r="D1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">
      <c r="A11" t="inlineStr">
        <is>
          <t>Center</t>
        </is>
      </c>
      <c r="B11" t="n">
        <v>2</v>
      </c>
      <c r="C11" t="inlineStr">
        <is>
          <t>Parte B</t>
        </is>
      </c>
      <c r="D1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">
      <c r="A12" t="inlineStr">
        <is>
          <t>Center</t>
        </is>
      </c>
      <c r="B12" t="n">
        <v>2</v>
      </c>
      <c r="C12" t="inlineStr">
        <is>
          <t>Pieza 1</t>
        </is>
      </c>
      <c r="D1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3">
      <c r="A13" t="inlineStr">
        <is>
          <t>Center</t>
        </is>
      </c>
      <c r="B13" t="n">
        <v>2</v>
      </c>
      <c r="C13" t="inlineStr">
        <is>
          <t>Pieza 2</t>
        </is>
      </c>
      <c r="D1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4">
      <c r="A14" t="inlineStr">
        <is>
          <t>Center</t>
        </is>
      </c>
      <c r="B14" t="n">
        <v>2</v>
      </c>
      <c r="C14" t="inlineStr">
        <is>
          <t>Pieza 3</t>
        </is>
      </c>
      <c r="D1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5">
      <c r="A15" t="inlineStr">
        <is>
          <t>Center</t>
        </is>
      </c>
      <c r="B15" t="n">
        <v>2</v>
      </c>
      <c r="C15" t="inlineStr">
        <is>
          <t>Pieza 4</t>
        </is>
      </c>
      <c r="D1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6">
      <c r="A16" t="inlineStr">
        <is>
          <t>Center</t>
        </is>
      </c>
      <c r="B16" t="n">
        <v>2</v>
      </c>
      <c r="C16" t="inlineStr">
        <is>
          <t>Pieza 5</t>
        </is>
      </c>
      <c r="D1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7">
      <c r="A17" t="inlineStr">
        <is>
          <t>Center</t>
        </is>
      </c>
      <c r="B17" t="n">
        <v>2</v>
      </c>
      <c r="C17" t="inlineStr">
        <is>
          <t>Pieza 6</t>
        </is>
      </c>
      <c r="D1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9">
      <c r="A19" t="inlineStr">
        <is>
          <t>Center</t>
        </is>
      </c>
      <c r="B19" t="n">
        <v>3</v>
      </c>
      <c r="C19" t="inlineStr">
        <is>
          <t>Parte B</t>
        </is>
      </c>
      <c r="D1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0">
      <c r="A20" t="inlineStr">
        <is>
          <t>Center</t>
        </is>
      </c>
      <c r="B20" t="n">
        <v>3</v>
      </c>
      <c r="C20" t="inlineStr">
        <is>
          <t>Pieza 1</t>
        </is>
      </c>
      <c r="D2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1">
      <c r="A21" t="inlineStr">
        <is>
          <t>Center</t>
        </is>
      </c>
      <c r="B21" t="n">
        <v>3</v>
      </c>
      <c r="C21" t="inlineStr">
        <is>
          <t>Pieza 2</t>
        </is>
      </c>
      <c r="D2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2">
      <c r="A22" t="inlineStr">
        <is>
          <t>Center</t>
        </is>
      </c>
      <c r="B22" t="n">
        <v>3</v>
      </c>
      <c r="C22" t="inlineStr">
        <is>
          <t>Pieza 3</t>
        </is>
      </c>
      <c r="D2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3">
      <c r="A23" t="inlineStr">
        <is>
          <t>Center</t>
        </is>
      </c>
      <c r="B23" t="n">
        <v>3</v>
      </c>
      <c r="C23" t="inlineStr">
        <is>
          <t>Pieza 4</t>
        </is>
      </c>
      <c r="D2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4">
      <c r="A24" t="inlineStr">
        <is>
          <t>Center</t>
        </is>
      </c>
      <c r="B24" t="n">
        <v>3</v>
      </c>
      <c r="C24" t="inlineStr">
        <is>
          <t>Pieza 5</t>
        </is>
      </c>
      <c r="D2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5">
      <c r="A25" t="inlineStr">
        <is>
          <t>Center</t>
        </is>
      </c>
      <c r="B25" t="n">
        <v>3</v>
      </c>
      <c r="C25" t="inlineStr">
        <is>
          <t>Pieza 6</t>
        </is>
      </c>
      <c r="D2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6">
      <c r="A26" t="inlineStr">
        <is>
          <t>Center</t>
        </is>
      </c>
      <c r="B26" t="n">
        <v>4</v>
      </c>
      <c r="C26" t="inlineStr">
        <is>
          <t>Parte A</t>
        </is>
      </c>
      <c r="D2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8">
      <c r="A28" t="inlineStr">
        <is>
          <t>Center</t>
        </is>
      </c>
      <c r="B28" t="n">
        <v>4</v>
      </c>
      <c r="C28" t="inlineStr">
        <is>
          <t>Pieza 1</t>
        </is>
      </c>
      <c r="D2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9">
      <c r="A29" t="inlineStr">
        <is>
          <t>Center</t>
        </is>
      </c>
      <c r="B29" t="n">
        <v>4</v>
      </c>
      <c r="C29" t="inlineStr">
        <is>
          <t>Pieza 2</t>
        </is>
      </c>
      <c r="D2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0">
      <c r="A30" t="inlineStr">
        <is>
          <t>Center</t>
        </is>
      </c>
      <c r="B30" t="n">
        <v>4</v>
      </c>
      <c r="C30" t="inlineStr">
        <is>
          <t>Pieza 3</t>
        </is>
      </c>
      <c r="D3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1">
      <c r="A31" t="inlineStr">
        <is>
          <t>Center</t>
        </is>
      </c>
      <c r="B31" t="n">
        <v>4</v>
      </c>
      <c r="C31" t="inlineStr">
        <is>
          <t>Pieza 4</t>
        </is>
      </c>
      <c r="D3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2">
      <c r="A32" t="inlineStr">
        <is>
          <t>Center</t>
        </is>
      </c>
      <c r="B32" t="n">
        <v>4</v>
      </c>
      <c r="C32" t="inlineStr">
        <is>
          <t>Pieza 5</t>
        </is>
      </c>
      <c r="D3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3">
      <c r="A33" t="inlineStr">
        <is>
          <t>Center</t>
        </is>
      </c>
      <c r="B33" t="n">
        <v>4</v>
      </c>
      <c r="C33" t="inlineStr">
        <is>
          <t>Pieza 6</t>
        </is>
      </c>
      <c r="D3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4">
      <c r="A34" t="inlineStr">
        <is>
          <t>Center</t>
        </is>
      </c>
      <c r="B34" t="n">
        <v>5</v>
      </c>
      <c r="C34" t="inlineStr">
        <is>
          <t>Parte A</t>
        </is>
      </c>
      <c r="D3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5">
      <c r="A35" t="inlineStr">
        <is>
          <t>Center</t>
        </is>
      </c>
      <c r="B35" t="n">
        <v>5</v>
      </c>
      <c r="C35" t="inlineStr">
        <is>
          <t>Parte B</t>
        </is>
      </c>
      <c r="D3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6">
      <c r="A36" t="inlineStr">
        <is>
          <t>Center</t>
        </is>
      </c>
      <c r="B36" t="n">
        <v>5</v>
      </c>
      <c r="C36" t="inlineStr">
        <is>
          <t>Pieza 1</t>
        </is>
      </c>
      <c r="D3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7">
      <c r="A37" t="inlineStr">
        <is>
          <t>Center</t>
        </is>
      </c>
      <c r="B37" t="n">
        <v>5</v>
      </c>
      <c r="C37" t="inlineStr">
        <is>
          <t>Pieza 2</t>
        </is>
      </c>
      <c r="D3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8">
      <c r="A38" t="inlineStr">
        <is>
          <t>Center</t>
        </is>
      </c>
      <c r="B38" t="n">
        <v>5</v>
      </c>
      <c r="C38" t="inlineStr">
        <is>
          <t>Pieza 3</t>
        </is>
      </c>
      <c r="D3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9">
      <c r="A39" t="inlineStr">
        <is>
          <t>Center</t>
        </is>
      </c>
      <c r="B39" t="n">
        <v>5</v>
      </c>
      <c r="C39" t="inlineStr">
        <is>
          <t>Pieza 4</t>
        </is>
      </c>
      <c r="D3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0">
      <c r="A40" t="inlineStr">
        <is>
          <t>Center</t>
        </is>
      </c>
      <c r="B40" t="n">
        <v>5</v>
      </c>
      <c r="C40" t="inlineStr">
        <is>
          <t>Pieza 5</t>
        </is>
      </c>
      <c r="D4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1">
      <c r="A41" t="inlineStr">
        <is>
          <t>Center</t>
        </is>
      </c>
      <c r="B41" t="n">
        <v>5</v>
      </c>
      <c r="C41" t="inlineStr">
        <is>
          <t>Pieza 6</t>
        </is>
      </c>
      <c r="D4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2">
      <c r="A42" t="inlineStr">
        <is>
          <t>Center</t>
        </is>
      </c>
      <c r="B42" t="n">
        <v>6</v>
      </c>
      <c r="C42" t="inlineStr">
        <is>
          <t>Parte A</t>
        </is>
      </c>
      <c r="D4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3">
      <c r="A43" t="inlineStr">
        <is>
          <t>Center</t>
        </is>
      </c>
      <c r="B43" t="n">
        <v>6</v>
      </c>
      <c r="C43" t="inlineStr">
        <is>
          <t>Parte B</t>
        </is>
      </c>
      <c r="D4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4">
      <c r="A44" t="inlineStr">
        <is>
          <t>Center</t>
        </is>
      </c>
      <c r="B44" t="n">
        <v>6</v>
      </c>
      <c r="C44" t="inlineStr">
        <is>
          <t>Pieza 1</t>
        </is>
      </c>
      <c r="D4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5">
      <c r="A45" t="inlineStr">
        <is>
          <t>Center</t>
        </is>
      </c>
      <c r="B45" t="n">
        <v>6</v>
      </c>
      <c r="C45" t="inlineStr">
        <is>
          <t>Pieza 2</t>
        </is>
      </c>
      <c r="D4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6">
      <c r="A46" t="inlineStr">
        <is>
          <t>Center</t>
        </is>
      </c>
      <c r="B46" t="n">
        <v>6</v>
      </c>
      <c r="C46" t="inlineStr">
        <is>
          <t>Pieza 3</t>
        </is>
      </c>
      <c r="D4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7">
      <c r="A47" t="inlineStr">
        <is>
          <t>Center</t>
        </is>
      </c>
      <c r="B47" t="n">
        <v>6</v>
      </c>
      <c r="C47" t="inlineStr">
        <is>
          <t>Pieza 4</t>
        </is>
      </c>
      <c r="D4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8">
      <c r="A48" t="inlineStr">
        <is>
          <t>Center</t>
        </is>
      </c>
      <c r="B48" t="n">
        <v>6</v>
      </c>
      <c r="C48" t="inlineStr">
        <is>
          <t>Pieza 5</t>
        </is>
      </c>
      <c r="D4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9">
      <c r="A49" t="inlineStr">
        <is>
          <t>Center</t>
        </is>
      </c>
      <c r="B49" t="n">
        <v>6</v>
      </c>
      <c r="C49" t="inlineStr">
        <is>
          <t>Pieza 6</t>
        </is>
      </c>
      <c r="D4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0">
      <c r="A50" t="inlineStr">
        <is>
          <t>Center</t>
        </is>
      </c>
      <c r="B50" t="n">
        <v>7</v>
      </c>
      <c r="C50" t="inlineStr">
        <is>
          <t>Parte A</t>
        </is>
      </c>
      <c r="D5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1">
      <c r="A51" t="inlineStr">
        <is>
          <t>Center</t>
        </is>
      </c>
      <c r="B51" t="n">
        <v>7</v>
      </c>
      <c r="C51" t="inlineStr">
        <is>
          <t>Parte B</t>
        </is>
      </c>
      <c r="D5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2">
      <c r="A52" t="inlineStr">
        <is>
          <t>Center</t>
        </is>
      </c>
      <c r="B52" t="n">
        <v>7</v>
      </c>
      <c r="C52" t="inlineStr">
        <is>
          <t>Pieza 1</t>
        </is>
      </c>
      <c r="D5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3">
      <c r="A53" t="inlineStr">
        <is>
          <t>Center</t>
        </is>
      </c>
      <c r="B53" t="n">
        <v>7</v>
      </c>
      <c r="C53" t="inlineStr">
        <is>
          <t>Pieza 2</t>
        </is>
      </c>
      <c r="D5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4">
      <c r="A54" t="inlineStr">
        <is>
          <t>Center</t>
        </is>
      </c>
      <c r="B54" t="n">
        <v>7</v>
      </c>
      <c r="C54" t="inlineStr">
        <is>
          <t>Pieza 3</t>
        </is>
      </c>
      <c r="D5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5">
      <c r="A55" t="inlineStr">
        <is>
          <t>Center</t>
        </is>
      </c>
      <c r="B55" t="n">
        <v>7</v>
      </c>
      <c r="C55" t="inlineStr">
        <is>
          <t>Pieza 4</t>
        </is>
      </c>
      <c r="D5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6">
      <c r="A56" t="inlineStr">
        <is>
          <t>Center</t>
        </is>
      </c>
      <c r="B56" t="n">
        <v>7</v>
      </c>
      <c r="C56" t="inlineStr">
        <is>
          <t>Pieza 5</t>
        </is>
      </c>
      <c r="D5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7">
      <c r="A57" t="inlineStr">
        <is>
          <t>Center</t>
        </is>
      </c>
      <c r="B57" t="n">
        <v>7</v>
      </c>
      <c r="C57" t="inlineStr">
        <is>
          <t>Pieza 6</t>
        </is>
      </c>
      <c r="D5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8">
      <c r="A58" t="inlineStr">
        <is>
          <t>Center</t>
        </is>
      </c>
      <c r="B58" t="n">
        <v>8</v>
      </c>
      <c r="C58" t="inlineStr">
        <is>
          <t>Parte A</t>
        </is>
      </c>
      <c r="D5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9">
      <c r="A59" t="inlineStr">
        <is>
          <t>Center</t>
        </is>
      </c>
      <c r="B59" t="n">
        <v>8</v>
      </c>
      <c r="C59" t="inlineStr">
        <is>
          <t>Parte B</t>
        </is>
      </c>
      <c r="D5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0">
      <c r="A60" t="inlineStr">
        <is>
          <t>Center</t>
        </is>
      </c>
      <c r="B60" t="n">
        <v>8</v>
      </c>
      <c r="C60" t="inlineStr">
        <is>
          <t>Pieza 1</t>
        </is>
      </c>
      <c r="D6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1">
      <c r="A61" t="inlineStr">
        <is>
          <t>Center</t>
        </is>
      </c>
      <c r="B61" t="n">
        <v>8</v>
      </c>
      <c r="C61" t="inlineStr">
        <is>
          <t>Pieza 2</t>
        </is>
      </c>
      <c r="D6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2">
      <c r="A62" t="inlineStr">
        <is>
          <t>Center</t>
        </is>
      </c>
      <c r="B62" t="n">
        <v>8</v>
      </c>
      <c r="C62" t="inlineStr">
        <is>
          <t>Pieza 3</t>
        </is>
      </c>
      <c r="D6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3">
      <c r="A63" t="inlineStr">
        <is>
          <t>Center</t>
        </is>
      </c>
      <c r="B63" t="n">
        <v>8</v>
      </c>
      <c r="C63" t="inlineStr">
        <is>
          <t>Pieza 4</t>
        </is>
      </c>
      <c r="D6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4">
      <c r="A64" t="inlineStr">
        <is>
          <t>Center</t>
        </is>
      </c>
      <c r="B64" t="n">
        <v>8</v>
      </c>
      <c r="C64" t="inlineStr">
        <is>
          <t>Pieza 5</t>
        </is>
      </c>
      <c r="D6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5">
      <c r="A65" t="inlineStr">
        <is>
          <t>Center</t>
        </is>
      </c>
      <c r="B65" t="n">
        <v>8</v>
      </c>
      <c r="C65" t="inlineStr">
        <is>
          <t>Pieza 6</t>
        </is>
      </c>
      <c r="D6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6">
      <c r="A66" t="inlineStr">
        <is>
          <t>West</t>
        </is>
      </c>
      <c r="B66" t="n">
        <v>1</v>
      </c>
      <c r="C66" t="inlineStr">
        <is>
          <t>Parte A</t>
        </is>
      </c>
      <c r="D6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7">
      <c r="A67" t="inlineStr">
        <is>
          <t>West</t>
        </is>
      </c>
      <c r="B67" t="n">
        <v>1</v>
      </c>
      <c r="C67" t="inlineStr">
        <is>
          <t>Parte B</t>
        </is>
      </c>
      <c r="D6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8">
      <c r="A68" t="inlineStr">
        <is>
          <t>West</t>
        </is>
      </c>
      <c r="B68" t="n">
        <v>1</v>
      </c>
      <c r="C68" t="inlineStr">
        <is>
          <t>Pieza 1</t>
        </is>
      </c>
      <c r="D6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9">
      <c r="A69" t="inlineStr">
        <is>
          <t>West</t>
        </is>
      </c>
      <c r="B69" t="n">
        <v>1</v>
      </c>
      <c r="C69" t="inlineStr">
        <is>
          <t>Pieza 2</t>
        </is>
      </c>
      <c r="D6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0">
      <c r="A70" t="inlineStr">
        <is>
          <t>West</t>
        </is>
      </c>
      <c r="B70" t="n">
        <v>1</v>
      </c>
      <c r="C70" t="inlineStr">
        <is>
          <t>Pieza 3</t>
        </is>
      </c>
      <c r="D7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1">
      <c r="A71" t="inlineStr">
        <is>
          <t>West</t>
        </is>
      </c>
      <c r="B71" t="n">
        <v>1</v>
      </c>
      <c r="C71" t="inlineStr">
        <is>
          <t>Pieza 4</t>
        </is>
      </c>
      <c r="D7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2">
      <c r="A72" t="inlineStr">
        <is>
          <t>West</t>
        </is>
      </c>
      <c r="B72" t="n">
        <v>1</v>
      </c>
      <c r="C72" t="inlineStr">
        <is>
          <t>Pieza 5</t>
        </is>
      </c>
      <c r="D7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3">
      <c r="A73" t="inlineStr">
        <is>
          <t>West</t>
        </is>
      </c>
      <c r="B73" t="n">
        <v>1</v>
      </c>
      <c r="C73" t="inlineStr">
        <is>
          <t>Pieza 6</t>
        </is>
      </c>
      <c r="D7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4">
      <c r="A74" t="inlineStr">
        <is>
          <t>West</t>
        </is>
      </c>
      <c r="B74" t="n">
        <v>2</v>
      </c>
      <c r="C74" t="inlineStr">
        <is>
          <t>Parte A</t>
        </is>
      </c>
      <c r="D7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5">
      <c r="A75" t="inlineStr">
        <is>
          <t>West</t>
        </is>
      </c>
      <c r="B75" t="n">
        <v>2</v>
      </c>
      <c r="C75" t="inlineStr">
        <is>
          <t>Parte B</t>
        </is>
      </c>
      <c r="D7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6">
      <c r="A76" t="inlineStr">
        <is>
          <t>West</t>
        </is>
      </c>
      <c r="B76" t="n">
        <v>2</v>
      </c>
      <c r="C76" t="inlineStr">
        <is>
          <t>Pieza 1</t>
        </is>
      </c>
      <c r="D7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7">
      <c r="A77" t="inlineStr">
        <is>
          <t>West</t>
        </is>
      </c>
      <c r="B77" t="n">
        <v>2</v>
      </c>
      <c r="C77" t="inlineStr">
        <is>
          <t>Pieza 2</t>
        </is>
      </c>
      <c r="D7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8">
      <c r="A78" t="inlineStr">
        <is>
          <t>West</t>
        </is>
      </c>
      <c r="B78" t="n">
        <v>2</v>
      </c>
      <c r="C78" t="inlineStr">
        <is>
          <t>Pieza 3</t>
        </is>
      </c>
      <c r="D7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9">
      <c r="A79" t="inlineStr">
        <is>
          <t>West</t>
        </is>
      </c>
      <c r="B79" t="n">
        <v>2</v>
      </c>
      <c r="C79" t="inlineStr">
        <is>
          <t>Pieza 4</t>
        </is>
      </c>
      <c r="D7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0">
      <c r="A80" t="inlineStr">
        <is>
          <t>West</t>
        </is>
      </c>
      <c r="B80" t="n">
        <v>2</v>
      </c>
      <c r="C80" t="inlineStr">
        <is>
          <t>Pieza 5</t>
        </is>
      </c>
      <c r="D8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1">
      <c r="A81" t="inlineStr">
        <is>
          <t>West</t>
        </is>
      </c>
      <c r="B81" t="n">
        <v>2</v>
      </c>
      <c r="C81" t="inlineStr">
        <is>
          <t>Pieza 6</t>
        </is>
      </c>
      <c r="D8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2">
      <c r="A82" t="inlineStr">
        <is>
          <t>West</t>
        </is>
      </c>
      <c r="B82" t="n">
        <v>3</v>
      </c>
      <c r="C82" t="inlineStr">
        <is>
          <t>Parte A</t>
        </is>
      </c>
      <c r="D8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3">
      <c r="A83" t="inlineStr">
        <is>
          <t>West</t>
        </is>
      </c>
      <c r="B83" t="n">
        <v>3</v>
      </c>
      <c r="C83" t="inlineStr">
        <is>
          <t>Parte B</t>
        </is>
      </c>
      <c r="D8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4">
      <c r="A84" t="inlineStr">
        <is>
          <t>West</t>
        </is>
      </c>
      <c r="B84" t="n">
        <v>3</v>
      </c>
      <c r="C84" t="inlineStr">
        <is>
          <t>Pieza 1</t>
        </is>
      </c>
      <c r="D8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5">
      <c r="A85" t="inlineStr">
        <is>
          <t>West</t>
        </is>
      </c>
      <c r="B85" t="n">
        <v>3</v>
      </c>
      <c r="C85" t="inlineStr">
        <is>
          <t>Pieza 2</t>
        </is>
      </c>
      <c r="D8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6">
      <c r="A86" t="inlineStr">
        <is>
          <t>West</t>
        </is>
      </c>
      <c r="B86" t="n">
        <v>3</v>
      </c>
      <c r="C86" t="inlineStr">
        <is>
          <t>Pieza 3</t>
        </is>
      </c>
      <c r="D8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7">
      <c r="A87" t="inlineStr">
        <is>
          <t>West</t>
        </is>
      </c>
      <c r="B87" t="n">
        <v>3</v>
      </c>
      <c r="C87" t="inlineStr">
        <is>
          <t>Pieza 4</t>
        </is>
      </c>
      <c r="D8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8">
      <c r="A88" t="inlineStr">
        <is>
          <t>West</t>
        </is>
      </c>
      <c r="B88" t="n">
        <v>3</v>
      </c>
      <c r="C88" t="inlineStr">
        <is>
          <t>Pieza 5</t>
        </is>
      </c>
      <c r="D8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9">
      <c r="A89" t="inlineStr">
        <is>
          <t>West</t>
        </is>
      </c>
      <c r="B89" t="n">
        <v>3</v>
      </c>
      <c r="C89" t="inlineStr">
        <is>
          <t>Pieza 6</t>
        </is>
      </c>
      <c r="D8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0">
      <c r="A90" t="inlineStr">
        <is>
          <t>West</t>
        </is>
      </c>
      <c r="B90" t="n">
        <v>4</v>
      </c>
      <c r="C90" t="inlineStr">
        <is>
          <t>Parte A</t>
        </is>
      </c>
      <c r="D9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1">
      <c r="A91" t="inlineStr">
        <is>
          <t>West</t>
        </is>
      </c>
      <c r="B91" t="n">
        <v>4</v>
      </c>
      <c r="C91" t="inlineStr">
        <is>
          <t>Parte B</t>
        </is>
      </c>
      <c r="D9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2">
      <c r="A92" t="inlineStr">
        <is>
          <t>West</t>
        </is>
      </c>
      <c r="B92" t="n">
        <v>4</v>
      </c>
      <c r="C92" t="inlineStr">
        <is>
          <t>Pieza 1</t>
        </is>
      </c>
      <c r="D9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3">
      <c r="A93" t="inlineStr">
        <is>
          <t>West</t>
        </is>
      </c>
      <c r="B93" t="n">
        <v>4</v>
      </c>
      <c r="C93" t="inlineStr">
        <is>
          <t>Pieza 2</t>
        </is>
      </c>
      <c r="D9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4">
      <c r="A94" t="inlineStr">
        <is>
          <t>West</t>
        </is>
      </c>
      <c r="B94" t="n">
        <v>4</v>
      </c>
      <c r="C94" t="inlineStr">
        <is>
          <t>Pieza 3</t>
        </is>
      </c>
      <c r="D9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5">
      <c r="A95" t="inlineStr">
        <is>
          <t>West</t>
        </is>
      </c>
      <c r="B95" t="n">
        <v>4</v>
      </c>
      <c r="C95" t="inlineStr">
        <is>
          <t>Pieza 4</t>
        </is>
      </c>
      <c r="D9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6">
      <c r="A96" t="inlineStr">
        <is>
          <t>West</t>
        </is>
      </c>
      <c r="B96" t="n">
        <v>4</v>
      </c>
      <c r="C96" t="inlineStr">
        <is>
          <t>Pieza 5</t>
        </is>
      </c>
      <c r="D9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7">
      <c r="A97" t="inlineStr">
        <is>
          <t>West</t>
        </is>
      </c>
      <c r="B97" t="n">
        <v>4</v>
      </c>
      <c r="C97" t="inlineStr">
        <is>
          <t>Pieza 6</t>
        </is>
      </c>
      <c r="D9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8">
      <c r="A98" t="inlineStr">
        <is>
          <t>West</t>
        </is>
      </c>
      <c r="B98" t="n">
        <v>5</v>
      </c>
      <c r="C98" t="inlineStr">
        <is>
          <t>Parte A</t>
        </is>
      </c>
      <c r="D9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9">
      <c r="A99" t="inlineStr">
        <is>
          <t>West</t>
        </is>
      </c>
      <c r="B99" t="n">
        <v>5</v>
      </c>
      <c r="C99" t="inlineStr">
        <is>
          <t>Parte B</t>
        </is>
      </c>
      <c r="D9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0">
      <c r="A100" t="inlineStr">
        <is>
          <t>West</t>
        </is>
      </c>
      <c r="B100" t="n">
        <v>5</v>
      </c>
      <c r="C100" t="inlineStr">
        <is>
          <t>Pieza 1</t>
        </is>
      </c>
      <c r="D10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1">
      <c r="A101" t="inlineStr">
        <is>
          <t>West</t>
        </is>
      </c>
      <c r="B101" t="n">
        <v>5</v>
      </c>
      <c r="C101" t="inlineStr">
        <is>
          <t>Pieza 2</t>
        </is>
      </c>
      <c r="D10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2">
      <c r="A102" t="inlineStr">
        <is>
          <t>West</t>
        </is>
      </c>
      <c r="B102" t="n">
        <v>5</v>
      </c>
      <c r="C102" t="inlineStr">
        <is>
          <t>Pieza 3</t>
        </is>
      </c>
      <c r="D10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3">
      <c r="A103" t="inlineStr">
        <is>
          <t>West</t>
        </is>
      </c>
      <c r="B103" t="n">
        <v>5</v>
      </c>
      <c r="C103" t="inlineStr">
        <is>
          <t>Pieza 4</t>
        </is>
      </c>
      <c r="D10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4">
      <c r="A104" t="inlineStr">
        <is>
          <t>West</t>
        </is>
      </c>
      <c r="B104" t="n">
        <v>5</v>
      </c>
      <c r="C104" t="inlineStr">
        <is>
          <t>Pieza 5</t>
        </is>
      </c>
      <c r="D10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5">
      <c r="A105" t="inlineStr">
        <is>
          <t>West</t>
        </is>
      </c>
      <c r="B105" t="n">
        <v>5</v>
      </c>
      <c r="C105" t="inlineStr">
        <is>
          <t>Pieza 6</t>
        </is>
      </c>
      <c r="D10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6">
      <c r="A106" t="inlineStr">
        <is>
          <t>West</t>
        </is>
      </c>
      <c r="B106" t="n">
        <v>6</v>
      </c>
      <c r="C106" t="inlineStr">
        <is>
          <t>Parte A</t>
        </is>
      </c>
      <c r="D10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7">
      <c r="A107" t="inlineStr">
        <is>
          <t>West</t>
        </is>
      </c>
      <c r="B107" t="n">
        <v>6</v>
      </c>
      <c r="C107" t="inlineStr">
        <is>
          <t>Parte B</t>
        </is>
      </c>
      <c r="D10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8">
      <c r="A108" t="inlineStr">
        <is>
          <t>West</t>
        </is>
      </c>
      <c r="B108" t="n">
        <v>6</v>
      </c>
      <c r="C108" t="inlineStr">
        <is>
          <t>Pieza 1</t>
        </is>
      </c>
      <c r="D10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9">
      <c r="A109" t="inlineStr">
        <is>
          <t>West</t>
        </is>
      </c>
      <c r="B109" t="n">
        <v>6</v>
      </c>
      <c r="C109" t="inlineStr">
        <is>
          <t>Pieza 2</t>
        </is>
      </c>
      <c r="D10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0">
      <c r="A110" t="inlineStr">
        <is>
          <t>West</t>
        </is>
      </c>
      <c r="B110" t="n">
        <v>6</v>
      </c>
      <c r="C110" t="inlineStr">
        <is>
          <t>Pieza 3</t>
        </is>
      </c>
      <c r="D11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1">
      <c r="A111" t="inlineStr">
        <is>
          <t>West</t>
        </is>
      </c>
      <c r="B111" t="n">
        <v>6</v>
      </c>
      <c r="C111" t="inlineStr">
        <is>
          <t>Pieza 4</t>
        </is>
      </c>
      <c r="D11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2">
      <c r="A112" t="inlineStr">
        <is>
          <t>West</t>
        </is>
      </c>
      <c r="B112" t="n">
        <v>6</v>
      </c>
      <c r="C112" t="inlineStr">
        <is>
          <t>Pieza 5</t>
        </is>
      </c>
      <c r="D11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3">
      <c r="A113" t="inlineStr">
        <is>
          <t>West</t>
        </is>
      </c>
      <c r="B113" t="n">
        <v>6</v>
      </c>
      <c r="C113" t="inlineStr">
        <is>
          <t>Pieza 6</t>
        </is>
      </c>
      <c r="D11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4">
      <c r="A114" t="inlineStr">
        <is>
          <t>West</t>
        </is>
      </c>
      <c r="B114" t="n">
        <v>7</v>
      </c>
      <c r="C114" t="inlineStr">
        <is>
          <t>Parte A</t>
        </is>
      </c>
      <c r="D11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5">
      <c r="A115" t="inlineStr">
        <is>
          <t>West</t>
        </is>
      </c>
      <c r="B115" t="n">
        <v>7</v>
      </c>
      <c r="C115" t="inlineStr">
        <is>
          <t>Parte B</t>
        </is>
      </c>
      <c r="D11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6">
      <c r="A116" t="inlineStr">
        <is>
          <t>West</t>
        </is>
      </c>
      <c r="B116" t="n">
        <v>7</v>
      </c>
      <c r="C116" t="inlineStr">
        <is>
          <t>Pieza 1</t>
        </is>
      </c>
      <c r="D11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7">
      <c r="A117" t="inlineStr">
        <is>
          <t>West</t>
        </is>
      </c>
      <c r="B117" t="n">
        <v>7</v>
      </c>
      <c r="C117" t="inlineStr">
        <is>
          <t>Pieza 2</t>
        </is>
      </c>
      <c r="D11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8">
      <c r="A118" t="inlineStr">
        <is>
          <t>West</t>
        </is>
      </c>
      <c r="B118" t="n">
        <v>7</v>
      </c>
      <c r="C118" t="inlineStr">
        <is>
          <t>Pieza 3</t>
        </is>
      </c>
      <c r="D11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9">
      <c r="A119" t="inlineStr">
        <is>
          <t>West</t>
        </is>
      </c>
      <c r="B119" t="n">
        <v>7</v>
      </c>
      <c r="C119" t="inlineStr">
        <is>
          <t>Pieza 4</t>
        </is>
      </c>
      <c r="D11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0">
      <c r="A120" t="inlineStr">
        <is>
          <t>West</t>
        </is>
      </c>
      <c r="B120" t="n">
        <v>7</v>
      </c>
      <c r="C120" t="inlineStr">
        <is>
          <t>Pieza 5</t>
        </is>
      </c>
      <c r="D12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1">
      <c r="A121" t="inlineStr">
        <is>
          <t>West</t>
        </is>
      </c>
      <c r="B121" t="n">
        <v>7</v>
      </c>
      <c r="C121" t="inlineStr">
        <is>
          <t>Pieza 6</t>
        </is>
      </c>
      <c r="D12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2">
      <c r="A122" t="inlineStr">
        <is>
          <t>West</t>
        </is>
      </c>
      <c r="B122" t="n">
        <v>8</v>
      </c>
      <c r="C122" t="inlineStr">
        <is>
          <t>Parte A</t>
        </is>
      </c>
      <c r="D12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3">
      <c r="A123" t="inlineStr">
        <is>
          <t>West</t>
        </is>
      </c>
      <c r="B123" t="n">
        <v>8</v>
      </c>
      <c r="C123" t="inlineStr">
        <is>
          <t>Parte B</t>
        </is>
      </c>
      <c r="D12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4">
      <c r="A124" t="inlineStr">
        <is>
          <t>West</t>
        </is>
      </c>
      <c r="B124" t="n">
        <v>8</v>
      </c>
      <c r="C124" t="inlineStr">
        <is>
          <t>Pieza 1</t>
        </is>
      </c>
      <c r="D12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5">
      <c r="A125" t="inlineStr">
        <is>
          <t>West</t>
        </is>
      </c>
      <c r="B125" t="n">
        <v>8</v>
      </c>
      <c r="C125" t="inlineStr">
        <is>
          <t>Pieza 2</t>
        </is>
      </c>
      <c r="D12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6">
      <c r="A126" t="inlineStr">
        <is>
          <t>West</t>
        </is>
      </c>
      <c r="B126" t="n">
        <v>8</v>
      </c>
      <c r="C126" t="inlineStr">
        <is>
          <t>Pieza 3</t>
        </is>
      </c>
      <c r="D12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7">
      <c r="A127" t="inlineStr">
        <is>
          <t>West</t>
        </is>
      </c>
      <c r="B127" t="n">
        <v>8</v>
      </c>
      <c r="C127" t="inlineStr">
        <is>
          <t>Pieza 4</t>
        </is>
      </c>
      <c r="D12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8">
      <c r="A128" t="inlineStr">
        <is>
          <t>West</t>
        </is>
      </c>
      <c r="B128" t="n">
        <v>8</v>
      </c>
      <c r="C128" t="inlineStr">
        <is>
          <t>Pieza 5</t>
        </is>
      </c>
      <c r="D12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9">
      <c r="A129" t="inlineStr">
        <is>
          <t>West</t>
        </is>
      </c>
      <c r="B129" t="n">
        <v>8</v>
      </c>
      <c r="C129" t="inlineStr">
        <is>
          <t>Pieza 6</t>
        </is>
      </c>
      <c r="D129">
        <f>LET(mat,[@Material],pl,[@Plant],fn,[@Fortnight],cons,XLOOKUP(mat,tParams[Material],tParams[ConsPerEC],0),prod,XLOOKUP(pl&amp;"|"&amp;fn,tProdPlan[Plant]&amp;"|"&amp;tProdPlan[Fortnight],tProdPlan[EC_Produced],0),cons*prod)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Fortnight</t>
        </is>
      </c>
      <c r="D1" t="inlineStr">
        <is>
          <t>GrossReqUnits</t>
        </is>
      </c>
      <c r="E1" t="inlineStr">
        <is>
          <t>ReceiptsUnits</t>
        </is>
      </c>
      <c r="F1" t="inlineStr">
        <is>
          <t>ProjectedOnHand_Begin</t>
        </is>
      </c>
      <c r="G1" t="inlineStr">
        <is>
          <t>ProjectedOnHand_End</t>
        </is>
      </c>
      <c r="H1" t="inlineStr">
        <is>
          <t>SafetyStockUnits</t>
        </is>
      </c>
      <c r="I1" t="inlineStr">
        <is>
          <t>NetReqUnits</t>
        </is>
      </c>
      <c r="J1" t="inlineStr">
        <is>
          <t>PlannedOrderReceiptUnits</t>
        </is>
      </c>
      <c r="K1" t="inlineStr">
        <is>
          <t>PlannedOrderLots</t>
        </is>
      </c>
      <c r="L1" t="inlineStr">
        <is>
          <t>PlannedOrderReceiptUnits_Rounded</t>
        </is>
      </c>
      <c r="M1" t="inlineStr">
        <is>
          <t>PlannedOrderReleaseFortnight</t>
        </is>
      </c>
    </row>
    <row r="2">
      <c r="A2" t="inlineStr">
        <is>
          <t>Center</t>
        </is>
      </c>
      <c r="B2" t="inlineStr">
        <is>
          <t>Parte A</t>
        </is>
      </c>
      <c r="C2" t="n">
        <v>1</v>
      </c>
      <c r="D2">
        <f>SUMIFS(tGrossReq[GrossReqUnits],tGrossReq[Plant],[@Plant],tGrossReq[Material],[@Material],tGrossReq[Fortnight],[@Fortnight])</f>
        <v/>
      </c>
      <c r="E2">
        <f>[@PlannedOrderReceiptUnits_Rounded]</f>
        <v/>
      </c>
      <c r="F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">
        <f>[@ProjectedOnHand_Begin]+[@ReceiptsUnits]-[@GrossReqUnits]</f>
        <v/>
      </c>
      <c r="H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">
        <f>MAX(0,[@SafetyStockUnits]-([@ProjectedOnHand_Begin]-[@GrossReqUnits]))</f>
        <v/>
      </c>
      <c r="J2">
        <f>[@NetReqUnits]</f>
        <v/>
      </c>
      <c r="K2">
        <f>CEILING([@PlannedOrderReceiptUnits]/XLOOKUP([@Material],tParams[Material],tParams[BatchSize],1),1)</f>
        <v/>
      </c>
      <c r="L2">
        <f>[@PlannedOrderLots]*XLOOKUP([@Material],tParams[Material],tParams[BatchSize],1)</f>
        <v/>
      </c>
      <c r="M2">
        <f>[@Fortnight]</f>
        <v/>
      </c>
    </row>
    <row r="3">
      <c r="A3" t="inlineStr">
        <is>
          <t>Center</t>
        </is>
      </c>
      <c r="B3" t="inlineStr">
        <is>
          <t>Parte A</t>
        </is>
      </c>
      <c r="C3" t="n">
        <v>2</v>
      </c>
      <c r="D3">
        <f>SUMIFS(tGrossReq[GrossReqUnits],tGrossReq[Plant],[@Plant],tGrossReq[Material],[@Material],tGrossReq[Fortnight],[@Fortnight])</f>
        <v/>
      </c>
      <c r="E3">
        <f>[@PlannedOrderReceiptUnits_Rounded]</f>
        <v/>
      </c>
      <c r="F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">
        <f>[@ProjectedOnHand_Begin]+[@ReceiptsUnits]-[@GrossReqUnits]</f>
        <v/>
      </c>
      <c r="H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">
        <f>MAX(0,[@SafetyStockUnits]-([@ProjectedOnHand_Begin]-[@GrossReqUnits]))</f>
        <v/>
      </c>
      <c r="J3">
        <f>[@NetReqUnits]</f>
        <v/>
      </c>
      <c r="K3">
        <f>CEILING([@PlannedOrderReceiptUnits]/XLOOKUP([@Material],tParams[Material],tParams[BatchSize],1),1)</f>
        <v/>
      </c>
      <c r="L3">
        <f>[@PlannedOrderLots]*XLOOKUP([@Material],tParams[Material],tParams[BatchSize],1)</f>
        <v/>
      </c>
      <c r="M3">
        <f>[@Fortnight]</f>
        <v/>
      </c>
    </row>
    <row r="4">
      <c r="A4" t="inlineStr">
        <is>
          <t>Center</t>
        </is>
      </c>
      <c r="B4" t="inlineStr">
        <is>
          <t>Parte A</t>
        </is>
      </c>
      <c r="C4" t="n">
        <v>3</v>
      </c>
      <c r="D4">
        <f>SUMIFS(tGrossReq[GrossReqUnits],tGrossReq[Plant],[@Plant],tGrossReq[Material],[@Material],tGrossReq[Fortnight],[@Fortnight])</f>
        <v/>
      </c>
      <c r="E4">
        <f>[@PlannedOrderReceiptUnits_Rounded]</f>
        <v/>
      </c>
      <c r="F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4">
        <f>[@ProjectedOnHand_Begin]+[@ReceiptsUnits]-[@GrossReqUnits]</f>
        <v/>
      </c>
      <c r="H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4">
        <f>MAX(0,[@SafetyStockUnits]-([@ProjectedOnHand_Begin]-[@GrossReqUnits]))</f>
        <v/>
      </c>
      <c r="J4">
        <f>[@NetReqUnits]</f>
        <v/>
      </c>
      <c r="K4">
        <f>CEILING([@PlannedOrderReceiptUnits]/XLOOKUP([@Material],tParams[Material],tParams[BatchSize],1),1)</f>
        <v/>
      </c>
      <c r="L4">
        <f>[@PlannedOrderLots]*XLOOKUP([@Material],tParams[Material],tParams[BatchSize],1)</f>
        <v/>
      </c>
      <c r="M4">
        <f>[@Fortnight]</f>
        <v/>
      </c>
    </row>
    <row r="5">
      <c r="A5" t="inlineStr">
        <is>
          <t>Center</t>
        </is>
      </c>
      <c r="B5" t="inlineStr">
        <is>
          <t>Parte A</t>
        </is>
      </c>
      <c r="C5" t="n">
        <v>4</v>
      </c>
      <c r="D5">
        <f>SUMIFS(tGrossReq[GrossReqUnits],tGrossReq[Plant],[@Plant],tGrossReq[Material],[@Material],tGrossReq[Fortnight],[@Fortnight])</f>
        <v/>
      </c>
      <c r="E5">
        <f>[@PlannedOrderReceiptUnits_Rounded]</f>
        <v/>
      </c>
      <c r="F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5">
        <f>[@ProjectedOnHand_Begin]+[@ReceiptsUnits]-[@GrossReqUnits]</f>
        <v/>
      </c>
      <c r="H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5">
        <f>MAX(0,[@SafetyStockUnits]-([@ProjectedOnHand_Begin]-[@GrossReqUnits]))</f>
        <v/>
      </c>
      <c r="J5">
        <f>[@NetReqUnits]</f>
        <v/>
      </c>
      <c r="K5">
        <f>CEILING([@PlannedOrderReceiptUnits]/XLOOKUP([@Material],tParams[Material],tParams[BatchSize],1),1)</f>
        <v/>
      </c>
      <c r="L5">
        <f>[@PlannedOrderLots]*XLOOKUP([@Material],tParams[Material],tParams[BatchSize],1)</f>
        <v/>
      </c>
      <c r="M5">
        <f>[@Fortnight]</f>
        <v/>
      </c>
    </row>
    <row r="6">
      <c r="A6" t="inlineStr">
        <is>
          <t>Center</t>
        </is>
      </c>
      <c r="B6" t="inlineStr">
        <is>
          <t>Parte A</t>
        </is>
      </c>
      <c r="C6" t="n">
        <v>5</v>
      </c>
      <c r="D6">
        <f>SUMIFS(tGrossReq[GrossReqUnits],tGrossReq[Plant],[@Plant],tGrossReq[Material],[@Material],tGrossReq[Fortnight],[@Fortnight])</f>
        <v/>
      </c>
      <c r="E6">
        <f>[@PlannedOrderReceiptUnits_Rounded]</f>
        <v/>
      </c>
      <c r="F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6">
        <f>[@ProjectedOnHand_Begin]+[@ReceiptsUnits]-[@GrossReqUnits]</f>
        <v/>
      </c>
      <c r="H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6">
        <f>MAX(0,[@SafetyStockUnits]-([@ProjectedOnHand_Begin]-[@GrossReqUnits]))</f>
        <v/>
      </c>
      <c r="J6">
        <f>[@NetReqUnits]</f>
        <v/>
      </c>
      <c r="K6">
        <f>CEILING([@PlannedOrderReceiptUnits]/XLOOKUP([@Material],tParams[Material],tParams[BatchSize],1),1)</f>
        <v/>
      </c>
      <c r="L6">
        <f>[@PlannedOrderLots]*XLOOKUP([@Material],tParams[Material],tParams[BatchSize],1)</f>
        <v/>
      </c>
      <c r="M6">
        <f>[@Fortnight]</f>
        <v/>
      </c>
    </row>
    <row r="7">
      <c r="A7" t="inlineStr">
        <is>
          <t>Center</t>
        </is>
      </c>
      <c r="B7" t="inlineStr">
        <is>
          <t>Parte A</t>
        </is>
      </c>
      <c r="C7" t="n">
        <v>6</v>
      </c>
      <c r="D7">
        <f>SUMIFS(tGrossReq[GrossReqUnits],tGrossReq[Plant],[@Plant],tGrossReq[Material],[@Material],tGrossReq[Fortnight],[@Fortnight])</f>
        <v/>
      </c>
      <c r="E7">
        <f>[@PlannedOrderReceiptUnits_Rounded]</f>
        <v/>
      </c>
      <c r="F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7">
        <f>[@ProjectedOnHand_Begin]+[@ReceiptsUnits]-[@GrossReqUnits]</f>
        <v/>
      </c>
      <c r="H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7">
        <f>MAX(0,[@SafetyStockUnits]-([@ProjectedOnHand_Begin]-[@GrossReqUnits]))</f>
        <v/>
      </c>
      <c r="J7">
        <f>[@NetReqUnits]</f>
        <v/>
      </c>
      <c r="K7">
        <f>CEILING([@PlannedOrderReceiptUnits]/XLOOKUP([@Material],tParams[Material],tParams[BatchSize],1),1)</f>
        <v/>
      </c>
      <c r="L7">
        <f>[@PlannedOrderLots]*XLOOKUP([@Material],tParams[Material],tParams[BatchSize],1)</f>
        <v/>
      </c>
      <c r="M7">
        <f>[@Fortnight]</f>
        <v/>
      </c>
    </row>
    <row r="8">
      <c r="A8" t="inlineStr">
        <is>
          <t>Center</t>
        </is>
      </c>
      <c r="B8" t="inlineStr">
        <is>
          <t>Parte A</t>
        </is>
      </c>
      <c r="C8" t="n">
        <v>7</v>
      </c>
      <c r="D8">
        <f>SUMIFS(tGrossReq[GrossReqUnits],tGrossReq[Plant],[@Plant],tGrossReq[Material],[@Material],tGrossReq[Fortnight],[@Fortnight])</f>
        <v/>
      </c>
      <c r="E8">
        <f>[@PlannedOrderReceiptUnits_Rounded]</f>
        <v/>
      </c>
      <c r="F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8">
        <f>[@ProjectedOnHand_Begin]+[@ReceiptsUnits]-[@GrossReqUnits]</f>
        <v/>
      </c>
      <c r="H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8">
        <f>MAX(0,[@SafetyStockUnits]-([@ProjectedOnHand_Begin]-[@GrossReqUnits]))</f>
        <v/>
      </c>
      <c r="J8">
        <f>[@NetReqUnits]</f>
        <v/>
      </c>
      <c r="K8">
        <f>CEILING([@PlannedOrderReceiptUnits]/XLOOKUP([@Material],tParams[Material],tParams[BatchSize],1),1)</f>
        <v/>
      </c>
      <c r="L8">
        <f>[@PlannedOrderLots]*XLOOKUP([@Material],tParams[Material],tParams[BatchSize],1)</f>
        <v/>
      </c>
      <c r="M8">
        <f>[@Fortnight]</f>
        <v/>
      </c>
    </row>
    <row r="9">
      <c r="A9" t="inlineStr">
        <is>
          <t>Center</t>
        </is>
      </c>
      <c r="B9" t="inlineStr">
        <is>
          <t>Parte A</t>
        </is>
      </c>
      <c r="C9" t="n">
        <v>8</v>
      </c>
      <c r="D9">
        <f>SUMIFS(tGrossReq[GrossReqUnits],tGrossReq[Plant],[@Plant],tGrossReq[Material],[@Material],tGrossReq[Fortnight],[@Fortnight])</f>
        <v/>
      </c>
      <c r="E9">
        <f>[@PlannedOrderReceiptUnits_Rounded]</f>
        <v/>
      </c>
      <c r="F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9">
        <f>[@ProjectedOnHand_Begin]+[@ReceiptsUnits]-[@GrossReqUnits]</f>
        <v/>
      </c>
      <c r="H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9">
        <f>MAX(0,[@SafetyStockUnits]-([@ProjectedOnHand_Begin]-[@GrossReqUnits]))</f>
        <v/>
      </c>
      <c r="J9">
        <f>[@NetReqUnits]</f>
        <v/>
      </c>
      <c r="K9">
        <f>CEILING([@PlannedOrderReceiptUnits]/XLOOKUP([@Material],tParams[Material],tParams[BatchSize],1),1)</f>
        <v/>
      </c>
      <c r="L9">
        <f>[@PlannedOrderLots]*XLOOKUP([@Material],tParams[Material],tParams[BatchSize],1)</f>
        <v/>
      </c>
      <c r="M9">
        <f>[@Fortnight]</f>
        <v/>
      </c>
    </row>
    <row r="10">
      <c r="A10" t="inlineStr">
        <is>
          <t>Center</t>
        </is>
      </c>
      <c r="B10" t="inlineStr">
        <is>
          <t>Parte B</t>
        </is>
      </c>
      <c r="C10" t="n">
        <v>1</v>
      </c>
      <c r="D10">
        <f>SUMIFS(tGrossReq[GrossReqUnits],tGrossReq[Plant],[@Plant],tGrossReq[Material],[@Material],tGrossReq[Fortnight],[@Fortnight])</f>
        <v/>
      </c>
      <c r="E10">
        <f>[@PlannedOrderReceiptUnits_Rounded]</f>
        <v/>
      </c>
      <c r="F1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0">
        <f>[@ProjectedOnHand_Begin]+[@ReceiptsUnits]-[@GrossReqUnits]</f>
        <v/>
      </c>
      <c r="H1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0">
        <f>MAX(0,[@SafetyStockUnits]-([@ProjectedOnHand_Begin]-[@GrossReqUnits]))</f>
        <v/>
      </c>
      <c r="J10">
        <f>[@NetReqUnits]</f>
        <v/>
      </c>
      <c r="K10">
        <f>CEILING([@PlannedOrderReceiptUnits]/XLOOKUP([@Material],tParams[Material],tParams[BatchSize],1),1)</f>
        <v/>
      </c>
      <c r="L10">
        <f>[@PlannedOrderLots]*XLOOKUP([@Material],tParams[Material],tParams[BatchSize],1)</f>
        <v/>
      </c>
      <c r="M10">
        <f>[@Fortnight]</f>
        <v/>
      </c>
    </row>
    <row r="11">
      <c r="A11" t="inlineStr">
        <is>
          <t>Center</t>
        </is>
      </c>
      <c r="B11" t="inlineStr">
        <is>
          <t>Parte B</t>
        </is>
      </c>
      <c r="C11" t="n">
        <v>2</v>
      </c>
      <c r="D11">
        <f>SUMIFS(tGrossReq[GrossReqUnits],tGrossReq[Plant],[@Plant],tGrossReq[Material],[@Material],tGrossReq[Fortnight],[@Fortnight])</f>
        <v/>
      </c>
      <c r="E11">
        <f>[@PlannedOrderReceiptUnits_Rounded]</f>
        <v/>
      </c>
      <c r="F1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1">
        <f>[@ProjectedOnHand_Begin]+[@ReceiptsUnits]-[@GrossReqUnits]</f>
        <v/>
      </c>
      <c r="H1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1">
        <f>MAX(0,[@SafetyStockUnits]-([@ProjectedOnHand_Begin]-[@GrossReqUnits]))</f>
        <v/>
      </c>
      <c r="J11">
        <f>[@NetReqUnits]</f>
        <v/>
      </c>
      <c r="K11">
        <f>CEILING([@PlannedOrderReceiptUnits]/XLOOKUP([@Material],tParams[Material],tParams[BatchSize],1),1)</f>
        <v/>
      </c>
      <c r="L11">
        <f>[@PlannedOrderLots]*XLOOKUP([@Material],tParams[Material],tParams[BatchSize],1)</f>
        <v/>
      </c>
      <c r="M11">
        <f>[@Fortnight]</f>
        <v/>
      </c>
    </row>
    <row r="12">
      <c r="A12" t="inlineStr">
        <is>
          <t>Center</t>
        </is>
      </c>
      <c r="B12" t="inlineStr">
        <is>
          <t>Parte B</t>
        </is>
      </c>
      <c r="C12" t="n">
        <v>3</v>
      </c>
      <c r="D12">
        <f>SUMIFS(tGrossReq[GrossReqUnits],tGrossReq[Plant],[@Plant],tGrossReq[Material],[@Material],tGrossReq[Fortnight],[@Fortnight])</f>
        <v/>
      </c>
      <c r="E12">
        <f>[@PlannedOrderReceiptUnits_Rounded]</f>
        <v/>
      </c>
      <c r="F1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2">
        <f>[@ProjectedOnHand_Begin]+[@ReceiptsUnits]-[@GrossReqUnits]</f>
        <v/>
      </c>
      <c r="H1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2">
        <f>MAX(0,[@SafetyStockUnits]-([@ProjectedOnHand_Begin]-[@GrossReqUnits]))</f>
        <v/>
      </c>
      <c r="J12">
        <f>[@NetReqUnits]</f>
        <v/>
      </c>
      <c r="K12">
        <f>CEILING([@PlannedOrderReceiptUnits]/XLOOKUP([@Material],tParams[Material],tParams[BatchSize],1),1)</f>
        <v/>
      </c>
      <c r="L12">
        <f>[@PlannedOrderLots]*XLOOKUP([@Material],tParams[Material],tParams[BatchSize],1)</f>
        <v/>
      </c>
      <c r="M12">
        <f>[@Fortnight]</f>
        <v/>
      </c>
    </row>
    <row r="13">
      <c r="A13" t="inlineStr">
        <is>
          <t>Center</t>
        </is>
      </c>
      <c r="B13" t="inlineStr">
        <is>
          <t>Parte B</t>
        </is>
      </c>
      <c r="C13" t="n">
        <v>4</v>
      </c>
      <c r="D13">
        <f>SUMIFS(tGrossReq[GrossReqUnits],tGrossReq[Plant],[@Plant],tGrossReq[Material],[@Material],tGrossReq[Fortnight],[@Fortnight])</f>
        <v/>
      </c>
      <c r="E13">
        <f>[@PlannedOrderReceiptUnits_Rounded]</f>
        <v/>
      </c>
      <c r="F1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3">
        <f>[@ProjectedOnHand_Begin]+[@ReceiptsUnits]-[@GrossReqUnits]</f>
        <v/>
      </c>
      <c r="H1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3">
        <f>MAX(0,[@SafetyStockUnits]-([@ProjectedOnHand_Begin]-[@GrossReqUnits]))</f>
        <v/>
      </c>
      <c r="J13">
        <f>[@NetReqUnits]</f>
        <v/>
      </c>
      <c r="K13">
        <f>CEILING([@PlannedOrderReceiptUnits]/XLOOKUP([@Material],tParams[Material],tParams[BatchSize],1),1)</f>
        <v/>
      </c>
      <c r="L13">
        <f>[@PlannedOrderLots]*XLOOKUP([@Material],tParams[Material],tParams[BatchSize],1)</f>
        <v/>
      </c>
      <c r="M13">
        <f>[@Fortnight]</f>
        <v/>
      </c>
    </row>
    <row r="14">
      <c r="A14" t="inlineStr">
        <is>
          <t>Center</t>
        </is>
      </c>
      <c r="B14" t="inlineStr">
        <is>
          <t>Parte B</t>
        </is>
      </c>
      <c r="C14" t="n">
        <v>5</v>
      </c>
      <c r="D14">
        <f>SUMIFS(tGrossReq[GrossReqUnits],tGrossReq[Plant],[@Plant],tGrossReq[Material],[@Material],tGrossReq[Fortnight],[@Fortnight])</f>
        <v/>
      </c>
      <c r="E14">
        <f>[@PlannedOrderReceiptUnits_Rounded]</f>
        <v/>
      </c>
      <c r="F1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4">
        <f>[@ProjectedOnHand_Begin]+[@ReceiptsUnits]-[@GrossReqUnits]</f>
        <v/>
      </c>
      <c r="H1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4">
        <f>MAX(0,[@SafetyStockUnits]-([@ProjectedOnHand_Begin]-[@GrossReqUnits]))</f>
        <v/>
      </c>
      <c r="J14">
        <f>[@NetReqUnits]</f>
        <v/>
      </c>
      <c r="K14">
        <f>CEILING([@PlannedOrderReceiptUnits]/XLOOKUP([@Material],tParams[Material],tParams[BatchSize],1),1)</f>
        <v/>
      </c>
      <c r="L14">
        <f>[@PlannedOrderLots]*XLOOKUP([@Material],tParams[Material],tParams[BatchSize],1)</f>
        <v/>
      </c>
      <c r="M14">
        <f>[@Fortnight]</f>
        <v/>
      </c>
    </row>
    <row r="15">
      <c r="A15" t="inlineStr">
        <is>
          <t>Center</t>
        </is>
      </c>
      <c r="B15" t="inlineStr">
        <is>
          <t>Parte B</t>
        </is>
      </c>
      <c r="C15" t="n">
        <v>6</v>
      </c>
      <c r="D15">
        <f>SUMIFS(tGrossReq[GrossReqUnits],tGrossReq[Plant],[@Plant],tGrossReq[Material],[@Material],tGrossReq[Fortnight],[@Fortnight])</f>
        <v/>
      </c>
      <c r="E15">
        <f>[@PlannedOrderReceiptUnits_Rounded]</f>
        <v/>
      </c>
      <c r="F1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5">
        <f>[@ProjectedOnHand_Begin]+[@ReceiptsUnits]-[@GrossReqUnits]</f>
        <v/>
      </c>
      <c r="H1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5">
        <f>MAX(0,[@SafetyStockUnits]-([@ProjectedOnHand_Begin]-[@GrossReqUnits]))</f>
        <v/>
      </c>
      <c r="J15">
        <f>[@NetReqUnits]</f>
        <v/>
      </c>
      <c r="K15">
        <f>CEILING([@PlannedOrderReceiptUnits]/XLOOKUP([@Material],tParams[Material],tParams[BatchSize],1),1)</f>
        <v/>
      </c>
      <c r="L15">
        <f>[@PlannedOrderLots]*XLOOKUP([@Material],tParams[Material],tParams[BatchSize],1)</f>
        <v/>
      </c>
      <c r="M15">
        <f>[@Fortnight]</f>
        <v/>
      </c>
    </row>
    <row r="16">
      <c r="A16" t="inlineStr">
        <is>
          <t>Center</t>
        </is>
      </c>
      <c r="B16" t="inlineStr">
        <is>
          <t>Parte B</t>
        </is>
      </c>
      <c r="C16" t="n">
        <v>7</v>
      </c>
      <c r="D16">
        <f>SUMIFS(tGrossReq[GrossReqUnits],tGrossReq[Plant],[@Plant],tGrossReq[Material],[@Material],tGrossReq[Fortnight],[@Fortnight])</f>
        <v/>
      </c>
      <c r="E16">
        <f>[@PlannedOrderReceiptUnits_Rounded]</f>
        <v/>
      </c>
      <c r="F1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6">
        <f>[@ProjectedOnHand_Begin]+[@ReceiptsUnits]-[@GrossReqUnits]</f>
        <v/>
      </c>
      <c r="H1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6">
        <f>MAX(0,[@SafetyStockUnits]-([@ProjectedOnHand_Begin]-[@GrossReqUnits]))</f>
        <v/>
      </c>
      <c r="J16">
        <f>[@NetReqUnits]</f>
        <v/>
      </c>
      <c r="K16">
        <f>CEILING([@PlannedOrderReceiptUnits]/XLOOKUP([@Material],tParams[Material],tParams[BatchSize],1),1)</f>
        <v/>
      </c>
      <c r="L16">
        <f>[@PlannedOrderLots]*XLOOKUP([@Material],tParams[Material],tParams[BatchSize],1)</f>
        <v/>
      </c>
      <c r="M16">
        <f>[@Fortnight]</f>
        <v/>
      </c>
    </row>
    <row r="17">
      <c r="A17" t="inlineStr">
        <is>
          <t>Center</t>
        </is>
      </c>
      <c r="B17" t="inlineStr">
        <is>
          <t>Parte B</t>
        </is>
      </c>
      <c r="C17" t="n">
        <v>8</v>
      </c>
      <c r="D17">
        <f>SUMIFS(tGrossReq[GrossReqUnits],tGrossReq[Plant],[@Plant],tGrossReq[Material],[@Material],tGrossReq[Fortnight],[@Fortnight])</f>
        <v/>
      </c>
      <c r="E17">
        <f>[@PlannedOrderReceiptUnits_Rounded]</f>
        <v/>
      </c>
      <c r="F1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7">
        <f>[@ProjectedOnHand_Begin]+[@ReceiptsUnits]-[@GrossReqUnits]</f>
        <v/>
      </c>
      <c r="H1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7">
        <f>MAX(0,[@SafetyStockUnits]-([@ProjectedOnHand_Begin]-[@GrossReqUnits]))</f>
        <v/>
      </c>
      <c r="J17">
        <f>[@NetReqUnits]</f>
        <v/>
      </c>
      <c r="K17">
        <f>CEILING([@PlannedOrderReceiptUnits]/XLOOKUP([@Material],tParams[Material],tParams[BatchSize],1),1)</f>
        <v/>
      </c>
      <c r="L17">
        <f>[@PlannedOrderLots]*XLOOKUP([@Material],tParams[Material],tParams[BatchSize],1)</f>
        <v/>
      </c>
      <c r="M17">
        <f>[@Fortnight]</f>
        <v/>
      </c>
    </row>
    <row r="18">
      <c r="A18" t="inlineStr">
        <is>
          <t>West</t>
        </is>
      </c>
      <c r="B18" t="inlineStr">
        <is>
          <t>Parte A</t>
        </is>
      </c>
      <c r="C18" t="n">
        <v>1</v>
      </c>
      <c r="D18">
        <f>SUMIFS(tGrossReq[GrossReqUnits],tGrossReq[Plant],[@Plant],tGrossReq[Material],[@Material],tGrossReq[Fortnight],[@Fortnight])</f>
        <v/>
      </c>
      <c r="E18">
        <f>[@PlannedOrderReceiptUnits_Rounded]</f>
        <v/>
      </c>
      <c r="F1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8">
        <f>[@ProjectedOnHand_Begin]+[@ReceiptsUnits]-[@GrossReqUnits]</f>
        <v/>
      </c>
      <c r="H1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8">
        <f>MAX(0,[@SafetyStockUnits]-([@ProjectedOnHand_Begin]-[@GrossReqUnits]))</f>
        <v/>
      </c>
      <c r="J18">
        <f>[@NetReqUnits]</f>
        <v/>
      </c>
      <c r="K18">
        <f>CEILING([@PlannedOrderReceiptUnits]/XLOOKUP([@Material],tParams[Material],tParams[BatchSize],1),1)</f>
        <v/>
      </c>
      <c r="L18">
        <f>[@PlannedOrderLots]*XLOOKUP([@Material],tParams[Material],tParams[BatchSize],1)</f>
        <v/>
      </c>
      <c r="M18">
        <f>[@Fortnight]</f>
        <v/>
      </c>
    </row>
    <row r="19">
      <c r="A19" t="inlineStr">
        <is>
          <t>West</t>
        </is>
      </c>
      <c r="B19" t="inlineStr">
        <is>
          <t>Parte A</t>
        </is>
      </c>
      <c r="C19" t="n">
        <v>2</v>
      </c>
      <c r="D19">
        <f>SUMIFS(tGrossReq[GrossReqUnits],tGrossReq[Plant],[@Plant],tGrossReq[Material],[@Material],tGrossReq[Fortnight],[@Fortnight])</f>
        <v/>
      </c>
      <c r="E19">
        <f>[@PlannedOrderReceiptUnits_Rounded]</f>
        <v/>
      </c>
      <c r="F1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9">
        <f>[@ProjectedOnHand_Begin]+[@ReceiptsUnits]-[@GrossReqUnits]</f>
        <v/>
      </c>
      <c r="H1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9">
        <f>MAX(0,[@SafetyStockUnits]-([@ProjectedOnHand_Begin]-[@GrossReqUnits]))</f>
        <v/>
      </c>
      <c r="J19">
        <f>[@NetReqUnits]</f>
        <v/>
      </c>
      <c r="K19">
        <f>CEILING([@PlannedOrderReceiptUnits]/XLOOKUP([@Material],tParams[Material],tParams[BatchSize],1),1)</f>
        <v/>
      </c>
      <c r="L19">
        <f>[@PlannedOrderLots]*XLOOKUP([@Material],tParams[Material],tParams[BatchSize],1)</f>
        <v/>
      </c>
      <c r="M19">
        <f>[@Fortnight]</f>
        <v/>
      </c>
    </row>
    <row r="20">
      <c r="A20" t="inlineStr">
        <is>
          <t>West</t>
        </is>
      </c>
      <c r="B20" t="inlineStr">
        <is>
          <t>Parte A</t>
        </is>
      </c>
      <c r="C20" t="n">
        <v>3</v>
      </c>
      <c r="D20">
        <f>SUMIFS(tGrossReq[GrossReqUnits],tGrossReq[Plant],[@Plant],tGrossReq[Material],[@Material],tGrossReq[Fortnight],[@Fortnight])</f>
        <v/>
      </c>
      <c r="E20">
        <f>[@PlannedOrderReceiptUnits_Rounded]</f>
        <v/>
      </c>
      <c r="F2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0">
        <f>[@ProjectedOnHand_Begin]+[@ReceiptsUnits]-[@GrossReqUnits]</f>
        <v/>
      </c>
      <c r="H2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0">
        <f>MAX(0,[@SafetyStockUnits]-([@ProjectedOnHand_Begin]-[@GrossReqUnits]))</f>
        <v/>
      </c>
      <c r="J20">
        <f>[@NetReqUnits]</f>
        <v/>
      </c>
      <c r="K20">
        <f>CEILING([@PlannedOrderReceiptUnits]/XLOOKUP([@Material],tParams[Material],tParams[BatchSize],1),1)</f>
        <v/>
      </c>
      <c r="L20">
        <f>[@PlannedOrderLots]*XLOOKUP([@Material],tParams[Material],tParams[BatchSize],1)</f>
        <v/>
      </c>
      <c r="M20">
        <f>[@Fortnight]</f>
        <v/>
      </c>
    </row>
    <row r="21">
      <c r="A21" t="inlineStr">
        <is>
          <t>West</t>
        </is>
      </c>
      <c r="B21" t="inlineStr">
        <is>
          <t>Parte A</t>
        </is>
      </c>
      <c r="C21" t="n">
        <v>4</v>
      </c>
      <c r="D21">
        <f>SUMIFS(tGrossReq[GrossReqUnits],tGrossReq[Plant],[@Plant],tGrossReq[Material],[@Material],tGrossReq[Fortnight],[@Fortnight])</f>
        <v/>
      </c>
      <c r="E21">
        <f>[@PlannedOrderReceiptUnits_Rounded]</f>
        <v/>
      </c>
      <c r="F2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1">
        <f>[@ProjectedOnHand_Begin]+[@ReceiptsUnits]-[@GrossReqUnits]</f>
        <v/>
      </c>
      <c r="H2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1">
        <f>MAX(0,[@SafetyStockUnits]-([@ProjectedOnHand_Begin]-[@GrossReqUnits]))</f>
        <v/>
      </c>
      <c r="J21">
        <f>[@NetReqUnits]</f>
        <v/>
      </c>
      <c r="K21">
        <f>CEILING([@PlannedOrderReceiptUnits]/XLOOKUP([@Material],tParams[Material],tParams[BatchSize],1),1)</f>
        <v/>
      </c>
      <c r="L21">
        <f>[@PlannedOrderLots]*XLOOKUP([@Material],tParams[Material],tParams[BatchSize],1)</f>
        <v/>
      </c>
      <c r="M21">
        <f>[@Fortnight]</f>
        <v/>
      </c>
    </row>
    <row r="22">
      <c r="A22" t="inlineStr">
        <is>
          <t>West</t>
        </is>
      </c>
      <c r="B22" t="inlineStr">
        <is>
          <t>Parte A</t>
        </is>
      </c>
      <c r="C22" t="n">
        <v>5</v>
      </c>
      <c r="D22">
        <f>SUMIFS(tGrossReq[GrossReqUnits],tGrossReq[Plant],[@Plant],tGrossReq[Material],[@Material],tGrossReq[Fortnight],[@Fortnight])</f>
        <v/>
      </c>
      <c r="E22">
        <f>[@PlannedOrderReceiptUnits_Rounded]</f>
        <v/>
      </c>
      <c r="F2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2">
        <f>[@ProjectedOnHand_Begin]+[@ReceiptsUnits]-[@GrossReqUnits]</f>
        <v/>
      </c>
      <c r="H2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2">
        <f>MAX(0,[@SafetyStockUnits]-([@ProjectedOnHand_Begin]-[@GrossReqUnits]))</f>
        <v/>
      </c>
      <c r="J22">
        <f>[@NetReqUnits]</f>
        <v/>
      </c>
      <c r="K22">
        <f>CEILING([@PlannedOrderReceiptUnits]/XLOOKUP([@Material],tParams[Material],tParams[BatchSize],1),1)</f>
        <v/>
      </c>
      <c r="L22">
        <f>[@PlannedOrderLots]*XLOOKUP([@Material],tParams[Material],tParams[BatchSize],1)</f>
        <v/>
      </c>
      <c r="M22">
        <f>[@Fortnight]</f>
        <v/>
      </c>
    </row>
    <row r="23">
      <c r="A23" t="inlineStr">
        <is>
          <t>West</t>
        </is>
      </c>
      <c r="B23" t="inlineStr">
        <is>
          <t>Parte A</t>
        </is>
      </c>
      <c r="C23" t="n">
        <v>6</v>
      </c>
      <c r="D23">
        <f>SUMIFS(tGrossReq[GrossReqUnits],tGrossReq[Plant],[@Plant],tGrossReq[Material],[@Material],tGrossReq[Fortnight],[@Fortnight])</f>
        <v/>
      </c>
      <c r="E23">
        <f>[@PlannedOrderReceiptUnits_Rounded]</f>
        <v/>
      </c>
      <c r="F2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3">
        <f>[@ProjectedOnHand_Begin]+[@ReceiptsUnits]-[@GrossReqUnits]</f>
        <v/>
      </c>
      <c r="H2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3">
        <f>MAX(0,[@SafetyStockUnits]-([@ProjectedOnHand_Begin]-[@GrossReqUnits]))</f>
        <v/>
      </c>
      <c r="J23">
        <f>[@NetReqUnits]</f>
        <v/>
      </c>
      <c r="K23">
        <f>CEILING([@PlannedOrderReceiptUnits]/XLOOKUP([@Material],tParams[Material],tParams[BatchSize],1),1)</f>
        <v/>
      </c>
      <c r="L23">
        <f>[@PlannedOrderLots]*XLOOKUP([@Material],tParams[Material],tParams[BatchSize],1)</f>
        <v/>
      </c>
      <c r="M23">
        <f>[@Fortnight]</f>
        <v/>
      </c>
    </row>
    <row r="24">
      <c r="A24" t="inlineStr">
        <is>
          <t>West</t>
        </is>
      </c>
      <c r="B24" t="inlineStr">
        <is>
          <t>Parte A</t>
        </is>
      </c>
      <c r="C24" t="n">
        <v>7</v>
      </c>
      <c r="D24">
        <f>SUMIFS(tGrossReq[GrossReqUnits],tGrossReq[Plant],[@Plant],tGrossReq[Material],[@Material],tGrossReq[Fortnight],[@Fortnight])</f>
        <v/>
      </c>
      <c r="E24">
        <f>[@PlannedOrderReceiptUnits_Rounded]</f>
        <v/>
      </c>
      <c r="F2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4">
        <f>[@ProjectedOnHand_Begin]+[@ReceiptsUnits]-[@GrossReqUnits]</f>
        <v/>
      </c>
      <c r="H2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4">
        <f>MAX(0,[@SafetyStockUnits]-([@ProjectedOnHand_Begin]-[@GrossReqUnits]))</f>
        <v/>
      </c>
      <c r="J24">
        <f>[@NetReqUnits]</f>
        <v/>
      </c>
      <c r="K24">
        <f>CEILING([@PlannedOrderReceiptUnits]/XLOOKUP([@Material],tParams[Material],tParams[BatchSize],1),1)</f>
        <v/>
      </c>
      <c r="L24">
        <f>[@PlannedOrderLots]*XLOOKUP([@Material],tParams[Material],tParams[BatchSize],1)</f>
        <v/>
      </c>
      <c r="M24">
        <f>[@Fortnight]</f>
        <v/>
      </c>
    </row>
    <row r="25">
      <c r="A25" t="inlineStr">
        <is>
          <t>West</t>
        </is>
      </c>
      <c r="B25" t="inlineStr">
        <is>
          <t>Parte A</t>
        </is>
      </c>
      <c r="C25" t="n">
        <v>8</v>
      </c>
      <c r="D25">
        <f>SUMIFS(tGrossReq[GrossReqUnits],tGrossReq[Plant],[@Plant],tGrossReq[Material],[@Material],tGrossReq[Fortnight],[@Fortnight])</f>
        <v/>
      </c>
      <c r="E25">
        <f>[@PlannedOrderReceiptUnits_Rounded]</f>
        <v/>
      </c>
      <c r="F2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5">
        <f>[@ProjectedOnHand_Begin]+[@ReceiptsUnits]-[@GrossReqUnits]</f>
        <v/>
      </c>
      <c r="H2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5">
        <f>MAX(0,[@SafetyStockUnits]-([@ProjectedOnHand_Begin]-[@GrossReqUnits]))</f>
        <v/>
      </c>
      <c r="J25">
        <f>[@NetReqUnits]</f>
        <v/>
      </c>
      <c r="K25">
        <f>CEILING([@PlannedOrderReceiptUnits]/XLOOKUP([@Material],tParams[Material],tParams[BatchSize],1),1)</f>
        <v/>
      </c>
      <c r="L25">
        <f>[@PlannedOrderLots]*XLOOKUP([@Material],tParams[Material],tParams[BatchSize],1)</f>
        <v/>
      </c>
      <c r="M25">
        <f>[@Fortnight]</f>
        <v/>
      </c>
    </row>
    <row r="26">
      <c r="A26" t="inlineStr">
        <is>
          <t>West</t>
        </is>
      </c>
      <c r="B26" t="inlineStr">
        <is>
          <t>Parte B</t>
        </is>
      </c>
      <c r="C26" t="n">
        <v>1</v>
      </c>
      <c r="D26">
        <f>SUMIFS(tGrossReq[GrossReqUnits],tGrossReq[Plant],[@Plant],tGrossReq[Material],[@Material],tGrossReq[Fortnight],[@Fortnight])</f>
        <v/>
      </c>
      <c r="E26">
        <f>[@PlannedOrderReceiptUnits_Rounded]</f>
        <v/>
      </c>
      <c r="F2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6">
        <f>[@ProjectedOnHand_Begin]+[@ReceiptsUnits]-[@GrossReqUnits]</f>
        <v/>
      </c>
      <c r="H2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6">
        <f>MAX(0,[@SafetyStockUnits]-([@ProjectedOnHand_Begin]-[@GrossReqUnits]))</f>
        <v/>
      </c>
      <c r="J26">
        <f>[@NetReqUnits]</f>
        <v/>
      </c>
      <c r="K26">
        <f>CEILING([@PlannedOrderReceiptUnits]/XLOOKUP([@Material],tParams[Material],tParams[BatchSize],1),1)</f>
        <v/>
      </c>
      <c r="L26">
        <f>[@PlannedOrderLots]*XLOOKUP([@Material],tParams[Material],tParams[BatchSize],1)</f>
        <v/>
      </c>
      <c r="M26">
        <f>[@Fortnight]</f>
        <v/>
      </c>
    </row>
    <row r="27">
      <c r="A27" t="inlineStr">
        <is>
          <t>West</t>
        </is>
      </c>
      <c r="B27" t="inlineStr">
        <is>
          <t>Parte B</t>
        </is>
      </c>
      <c r="C27" t="n">
        <v>2</v>
      </c>
      <c r="D27">
        <f>SUMIFS(tGrossReq[GrossReqUnits],tGrossReq[Plant],[@Plant],tGrossReq[Material],[@Material],tGrossReq[Fortnight],[@Fortnight])</f>
        <v/>
      </c>
      <c r="E27">
        <f>[@PlannedOrderReceiptUnits_Rounded]</f>
        <v/>
      </c>
      <c r="F2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7">
        <f>[@ProjectedOnHand_Begin]+[@ReceiptsUnits]-[@GrossReqUnits]</f>
        <v/>
      </c>
      <c r="H2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7">
        <f>MAX(0,[@SafetyStockUnits]-([@ProjectedOnHand_Begin]-[@GrossReqUnits]))</f>
        <v/>
      </c>
      <c r="J27">
        <f>[@NetReqUnits]</f>
        <v/>
      </c>
      <c r="K27">
        <f>CEILING([@PlannedOrderReceiptUnits]/XLOOKUP([@Material],tParams[Material],tParams[BatchSize],1),1)</f>
        <v/>
      </c>
      <c r="L27">
        <f>[@PlannedOrderLots]*XLOOKUP([@Material],tParams[Material],tParams[BatchSize],1)</f>
        <v/>
      </c>
      <c r="M27">
        <f>[@Fortnight]</f>
        <v/>
      </c>
    </row>
    <row r="28">
      <c r="A28" t="inlineStr">
        <is>
          <t>West</t>
        </is>
      </c>
      <c r="B28" t="inlineStr">
        <is>
          <t>Parte B</t>
        </is>
      </c>
      <c r="C28" t="n">
        <v>3</v>
      </c>
      <c r="D28">
        <f>SUMIFS(tGrossReq[GrossReqUnits],tGrossReq[Plant],[@Plant],tGrossReq[Material],[@Material],tGrossReq[Fortnight],[@Fortnight])</f>
        <v/>
      </c>
      <c r="E28">
        <f>[@PlannedOrderReceiptUnits_Rounded]</f>
        <v/>
      </c>
      <c r="F2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8">
        <f>[@ProjectedOnHand_Begin]+[@ReceiptsUnits]-[@GrossReqUnits]</f>
        <v/>
      </c>
      <c r="H2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8">
        <f>MAX(0,[@SafetyStockUnits]-([@ProjectedOnHand_Begin]-[@GrossReqUnits]))</f>
        <v/>
      </c>
      <c r="J28">
        <f>[@NetReqUnits]</f>
        <v/>
      </c>
      <c r="K28">
        <f>CEILING([@PlannedOrderReceiptUnits]/XLOOKUP([@Material],tParams[Material],tParams[BatchSize],1),1)</f>
        <v/>
      </c>
      <c r="L28">
        <f>[@PlannedOrderLots]*XLOOKUP([@Material],tParams[Material],tParams[BatchSize],1)</f>
        <v/>
      </c>
      <c r="M28">
        <f>[@Fortnight]</f>
        <v/>
      </c>
    </row>
    <row r="29">
      <c r="A29" t="inlineStr">
        <is>
          <t>West</t>
        </is>
      </c>
      <c r="B29" t="inlineStr">
        <is>
          <t>Parte B</t>
        </is>
      </c>
      <c r="C29" t="n">
        <v>4</v>
      </c>
      <c r="D29">
        <f>SUMIFS(tGrossReq[GrossReqUnits],tGrossReq[Plant],[@Plant],tGrossReq[Material],[@Material],tGrossReq[Fortnight],[@Fortnight])</f>
        <v/>
      </c>
      <c r="E29">
        <f>[@PlannedOrderReceiptUnits_Rounded]</f>
        <v/>
      </c>
      <c r="F2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9">
        <f>[@ProjectedOnHand_Begin]+[@ReceiptsUnits]-[@GrossReqUnits]</f>
        <v/>
      </c>
      <c r="H2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9">
        <f>MAX(0,[@SafetyStockUnits]-([@ProjectedOnHand_Begin]-[@GrossReqUnits]))</f>
        <v/>
      </c>
      <c r="J29">
        <f>[@NetReqUnits]</f>
        <v/>
      </c>
      <c r="K29">
        <f>CEILING([@PlannedOrderReceiptUnits]/XLOOKUP([@Material],tParams[Material],tParams[BatchSize],1),1)</f>
        <v/>
      </c>
      <c r="L29">
        <f>[@PlannedOrderLots]*XLOOKUP([@Material],tParams[Material],tParams[BatchSize],1)</f>
        <v/>
      </c>
      <c r="M29">
        <f>[@Fortnight]</f>
        <v/>
      </c>
    </row>
    <row r="30">
      <c r="A30" t="inlineStr">
        <is>
          <t>West</t>
        </is>
      </c>
      <c r="B30" t="inlineStr">
        <is>
          <t>Parte B</t>
        </is>
      </c>
      <c r="C30" t="n">
        <v>5</v>
      </c>
      <c r="D30">
        <f>SUMIFS(tGrossReq[GrossReqUnits],tGrossReq[Plant],[@Plant],tGrossReq[Material],[@Material],tGrossReq[Fortnight],[@Fortnight])</f>
        <v/>
      </c>
      <c r="E30">
        <f>[@PlannedOrderReceiptUnits_Rounded]</f>
        <v/>
      </c>
      <c r="F3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0">
        <f>[@ProjectedOnHand_Begin]+[@ReceiptsUnits]-[@GrossReqUnits]</f>
        <v/>
      </c>
      <c r="H3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0">
        <f>MAX(0,[@SafetyStockUnits]-([@ProjectedOnHand_Begin]-[@GrossReqUnits]))</f>
        <v/>
      </c>
      <c r="J30">
        <f>[@NetReqUnits]</f>
        <v/>
      </c>
      <c r="K30">
        <f>CEILING([@PlannedOrderReceiptUnits]/XLOOKUP([@Material],tParams[Material],tParams[BatchSize],1),1)</f>
        <v/>
      </c>
      <c r="L30">
        <f>[@PlannedOrderLots]*XLOOKUP([@Material],tParams[Material],tParams[BatchSize],1)</f>
        <v/>
      </c>
      <c r="M30">
        <f>[@Fortnight]</f>
        <v/>
      </c>
    </row>
    <row r="31">
      <c r="A31" t="inlineStr">
        <is>
          <t>West</t>
        </is>
      </c>
      <c r="B31" t="inlineStr">
        <is>
          <t>Parte B</t>
        </is>
      </c>
      <c r="C31" t="n">
        <v>6</v>
      </c>
      <c r="D31">
        <f>SUMIFS(tGrossReq[GrossReqUnits],tGrossReq[Plant],[@Plant],tGrossReq[Material],[@Material],tGrossReq[Fortnight],[@Fortnight])</f>
        <v/>
      </c>
      <c r="E31">
        <f>[@PlannedOrderReceiptUnits_Rounded]</f>
        <v/>
      </c>
      <c r="F3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1">
        <f>[@ProjectedOnHand_Begin]+[@ReceiptsUnits]-[@GrossReqUnits]</f>
        <v/>
      </c>
      <c r="H3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1">
        <f>MAX(0,[@SafetyStockUnits]-([@ProjectedOnHand_Begin]-[@GrossReqUnits]))</f>
        <v/>
      </c>
      <c r="J31">
        <f>[@NetReqUnits]</f>
        <v/>
      </c>
      <c r="K31">
        <f>CEILING([@PlannedOrderReceiptUnits]/XLOOKUP([@Material],tParams[Material],tParams[BatchSize],1),1)</f>
        <v/>
      </c>
      <c r="L31">
        <f>[@PlannedOrderLots]*XLOOKUP([@Material],tParams[Material],tParams[BatchSize],1)</f>
        <v/>
      </c>
      <c r="M31">
        <f>[@Fortnight]</f>
        <v/>
      </c>
    </row>
    <row r="32">
      <c r="A32" t="inlineStr">
        <is>
          <t>West</t>
        </is>
      </c>
      <c r="B32" t="inlineStr">
        <is>
          <t>Parte B</t>
        </is>
      </c>
      <c r="C32" t="n">
        <v>7</v>
      </c>
      <c r="D32">
        <f>SUMIFS(tGrossReq[GrossReqUnits],tGrossReq[Plant],[@Plant],tGrossReq[Material],[@Material],tGrossReq[Fortnight],[@Fortnight])</f>
        <v/>
      </c>
      <c r="E32">
        <f>[@PlannedOrderReceiptUnits_Rounded]</f>
        <v/>
      </c>
      <c r="F3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2">
        <f>[@ProjectedOnHand_Begin]+[@ReceiptsUnits]-[@GrossReqUnits]</f>
        <v/>
      </c>
      <c r="H3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2">
        <f>MAX(0,[@SafetyStockUnits]-([@ProjectedOnHand_Begin]-[@GrossReqUnits]))</f>
        <v/>
      </c>
      <c r="J32">
        <f>[@NetReqUnits]</f>
        <v/>
      </c>
      <c r="K32">
        <f>CEILING([@PlannedOrderReceiptUnits]/XLOOKUP([@Material],tParams[Material],tParams[BatchSize],1),1)</f>
        <v/>
      </c>
      <c r="L32">
        <f>[@PlannedOrderLots]*XLOOKUP([@Material],tParams[Material],tParams[BatchSize],1)</f>
        <v/>
      </c>
      <c r="M32">
        <f>[@Fortnight]</f>
        <v/>
      </c>
    </row>
    <row r="33">
      <c r="A33" t="inlineStr">
        <is>
          <t>West</t>
        </is>
      </c>
      <c r="B33" t="inlineStr">
        <is>
          <t>Parte B</t>
        </is>
      </c>
      <c r="C33" t="n">
        <v>8</v>
      </c>
      <c r="D33">
        <f>SUMIFS(tGrossReq[GrossReqUnits],tGrossReq[Plant],[@Plant],tGrossReq[Material],[@Material],tGrossReq[Fortnight],[@Fortnight])</f>
        <v/>
      </c>
      <c r="E33">
        <f>[@PlannedOrderReceiptUnits_Rounded]</f>
        <v/>
      </c>
      <c r="F3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3">
        <f>[@ProjectedOnHand_Begin]+[@ReceiptsUnits]-[@GrossReqUnits]</f>
        <v/>
      </c>
      <c r="H3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3">
        <f>MAX(0,[@SafetyStockUnits]-([@ProjectedOnHand_Begin]-[@GrossReqUnits]))</f>
        <v/>
      </c>
      <c r="J33">
        <f>[@NetReqUnits]</f>
        <v/>
      </c>
      <c r="K33">
        <f>CEILING([@PlannedOrderReceiptUnits]/XLOOKUP([@Material],tParams[Material],tParams[BatchSize],1),1)</f>
        <v/>
      </c>
      <c r="L33">
        <f>[@PlannedOrderLots]*XLOOKUP([@Material],tParams[Material],tParams[BatchSize],1)</f>
        <v/>
      </c>
      <c r="M33">
        <f>[@Fortnight]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TotalGrossReqPeriodUnits</t>
        </is>
      </c>
      <c r="D1" t="inlineStr">
        <is>
          <t>SafetyStockUnits</t>
        </is>
      </c>
      <c r="E1" t="inlineStr">
        <is>
          <t>NetReqUnits</t>
        </is>
      </c>
      <c r="F1" t="inlineStr">
        <is>
          <t>PlannedLots_t0</t>
        </is>
      </c>
      <c r="G1" t="inlineStr">
        <is>
          <t>PlannedUnits_t0</t>
        </is>
      </c>
    </row>
    <row r="2">
      <c r="A2" t="inlineStr">
        <is>
          <t>Center</t>
        </is>
      </c>
      <c r="B2" t="inlineStr">
        <is>
          <t>Pieza 1</t>
        </is>
      </c>
      <c r="C2">
        <f>SUMIFS(tGrossReq[GrossReqUnits],tGrossReq[Plant],[@Plant],tGrossReq[Material],[@Material])</f>
        <v/>
      </c>
      <c r="D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2">
        <f>[@TotalGrossReqPeriodUnits]+[@SafetyStockUnits]-XLOOKUP([@Plant]&amp;"|"&amp;[@Material],tInv0[Plant]&amp;"|"&amp;tInv0[Material],tInv0[OnHand_InitialUnits],0)</f>
        <v/>
      </c>
      <c r="F2">
        <f>CEILING(MAX(0,[@NetReqUnits])/XLOOKUP([@Material],tParams[Material],tParams[BatchSize],1),1)</f>
        <v/>
      </c>
      <c r="G2">
        <f>[@PlannedLots_t0]*XLOOKUP([@Material],tParams[Material],tParams[BatchSize],1)</f>
        <v/>
      </c>
    </row>
    <row r="3">
      <c r="A3" t="inlineStr">
        <is>
          <t>Center</t>
        </is>
      </c>
      <c r="B3" t="inlineStr">
        <is>
          <t>Pieza 2</t>
        </is>
      </c>
      <c r="C3">
        <f>SUMIFS(tGrossReq[GrossReqUnits],tGrossReq[Plant],[@Plant],tGrossReq[Material],[@Material])</f>
        <v/>
      </c>
      <c r="D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3">
        <f>[@TotalGrossReqPeriodUnits]+[@SafetyStockUnits]-XLOOKUP([@Plant]&amp;"|"&amp;[@Material],tInv0[Plant]&amp;"|"&amp;tInv0[Material],tInv0[OnHand_InitialUnits],0)</f>
        <v/>
      </c>
      <c r="F3">
        <f>CEILING(MAX(0,[@NetReqUnits])/XLOOKUP([@Material],tParams[Material],tParams[BatchSize],1),1)</f>
        <v/>
      </c>
      <c r="G3">
        <f>[@PlannedLots_t0]*XLOOKUP([@Material],tParams[Material],tParams[BatchSize],1)</f>
        <v/>
      </c>
    </row>
    <row r="4">
      <c r="A4" t="inlineStr">
        <is>
          <t>Center</t>
        </is>
      </c>
      <c r="B4" t="inlineStr">
        <is>
          <t>Pieza 3</t>
        </is>
      </c>
      <c r="C4">
        <f>SUMIFS(tGrossReq[GrossReqUnits],tGrossReq[Plant],[@Plant],tGrossReq[Material],[@Material])</f>
        <v/>
      </c>
      <c r="D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4">
        <f>[@TotalGrossReqPeriodUnits]+[@SafetyStockUnits]-XLOOKUP([@Plant]&amp;"|"&amp;[@Material],tInv0[Plant]&amp;"|"&amp;tInv0[Material],tInv0[OnHand_InitialUnits],0)</f>
        <v/>
      </c>
      <c r="F4">
        <f>CEILING(MAX(0,[@NetReqUnits])/XLOOKUP([@Material],tParams[Material],tParams[BatchSize],1),1)</f>
        <v/>
      </c>
      <c r="G4">
        <f>[@PlannedLots_t0]*XLOOKUP([@Material],tParams[Material],tParams[BatchSize],1)</f>
        <v/>
      </c>
    </row>
    <row r="5">
      <c r="A5" t="inlineStr">
        <is>
          <t>Center</t>
        </is>
      </c>
      <c r="B5" t="inlineStr">
        <is>
          <t>Pieza 4</t>
        </is>
      </c>
      <c r="C5">
        <f>SUMIFS(tGrossReq[GrossReqUnits],tGrossReq[Plant],[@Plant],tGrossReq[Material],[@Material])</f>
        <v/>
      </c>
      <c r="D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5">
        <f>[@TotalGrossReqPeriodUnits]+[@SafetyStockUnits]-XLOOKUP([@Plant]&amp;"|"&amp;[@Material],tInv0[Plant]&amp;"|"&amp;tInv0[Material],tInv0[OnHand_InitialUnits],0)</f>
        <v/>
      </c>
      <c r="F5">
        <f>CEILING(MAX(0,[@NetReqUnits])/XLOOKUP([@Material],tParams[Material],tParams[BatchSize],1),1)</f>
        <v/>
      </c>
      <c r="G5">
        <f>[@PlannedLots_t0]*XLOOKUP([@Material],tParams[Material],tParams[BatchSize],1)</f>
        <v/>
      </c>
    </row>
    <row r="6">
      <c r="A6" t="inlineStr">
        <is>
          <t>Center</t>
        </is>
      </c>
      <c r="B6" t="inlineStr">
        <is>
          <t>Pieza 5</t>
        </is>
      </c>
      <c r="C6">
        <f>SUMIFS(tGrossReq[GrossReqUnits],tGrossReq[Plant],[@Plant],tGrossReq[Material],[@Material])</f>
        <v/>
      </c>
      <c r="D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6">
        <f>[@TotalGrossReqPeriodUnits]+[@SafetyStockUnits]-XLOOKUP([@Plant]&amp;"|"&amp;[@Material],tInv0[Plant]&amp;"|"&amp;tInv0[Material],tInv0[OnHand_InitialUnits],0)</f>
        <v/>
      </c>
      <c r="F6">
        <f>CEILING(MAX(0,[@NetReqUnits])/XLOOKUP([@Material],tParams[Material],tParams[BatchSize],1),1)</f>
        <v/>
      </c>
      <c r="G6">
        <f>[@PlannedLots_t0]*XLOOKUP([@Material],tParams[Material],tParams[BatchSize],1)</f>
        <v/>
      </c>
    </row>
    <row r="7">
      <c r="A7" t="inlineStr">
        <is>
          <t>Center</t>
        </is>
      </c>
      <c r="B7" t="inlineStr">
        <is>
          <t>Pieza 6</t>
        </is>
      </c>
      <c r="C7">
        <f>SUMIFS(tGrossReq[GrossReqUnits],tGrossReq[Plant],[@Plant],tGrossReq[Material],[@Material])</f>
        <v/>
      </c>
      <c r="D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7">
        <f>[@TotalGrossReqPeriodUnits]+[@SafetyStockUnits]-XLOOKUP([@Plant]&amp;"|"&amp;[@Material],tInv0[Plant]&amp;"|"&amp;tInv0[Material],tInv0[OnHand_InitialUnits],0)</f>
        <v/>
      </c>
      <c r="F7">
        <f>CEILING(MAX(0,[@NetReqUnits])/XLOOKUP([@Material],tParams[Material],tParams[BatchSize],1),1)</f>
        <v/>
      </c>
      <c r="G7">
        <f>[@PlannedLots_t0]*XLOOKUP([@Material],tParams[Material],tParams[BatchSize],1)</f>
        <v/>
      </c>
    </row>
    <row r="8">
      <c r="A8" t="inlineStr">
        <is>
          <t>West</t>
        </is>
      </c>
      <c r="B8" t="inlineStr">
        <is>
          <t>Pieza 1</t>
        </is>
      </c>
      <c r="C8">
        <f>SUMIFS(tGrossReq[GrossReqUnits],tGrossReq[Plant],[@Plant],tGrossReq[Material],[@Material])</f>
        <v/>
      </c>
      <c r="D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8">
        <f>[@TotalGrossReqPeriodUnits]+[@SafetyStockUnits]-XLOOKUP([@Plant]&amp;"|"&amp;[@Material],tInv0[Plant]&amp;"|"&amp;tInv0[Material],tInv0[OnHand_InitialUnits],0)</f>
        <v/>
      </c>
      <c r="F8">
        <f>CEILING(MAX(0,[@NetReqUnits])/XLOOKUP([@Material],tParams[Material],tParams[BatchSize],1),1)</f>
        <v/>
      </c>
      <c r="G8">
        <f>[@PlannedLots_t0]*XLOOKUP([@Material],tParams[Material],tParams[BatchSize],1)</f>
        <v/>
      </c>
    </row>
    <row r="9">
      <c r="A9" t="inlineStr">
        <is>
          <t>West</t>
        </is>
      </c>
      <c r="B9" t="inlineStr">
        <is>
          <t>Pieza 2</t>
        </is>
      </c>
      <c r="C9">
        <f>SUMIFS(tGrossReq[GrossReqUnits],tGrossReq[Plant],[@Plant],tGrossReq[Material],[@Material])</f>
        <v/>
      </c>
      <c r="D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9">
        <f>[@TotalGrossReqPeriodUnits]+[@SafetyStockUnits]-XLOOKUP([@Plant]&amp;"|"&amp;[@Material],tInv0[Plant]&amp;"|"&amp;tInv0[Material],tInv0[OnHand_InitialUnits],0)</f>
        <v/>
      </c>
      <c r="F9">
        <f>CEILING(MAX(0,[@NetReqUnits])/XLOOKUP([@Material],tParams[Material],tParams[BatchSize],1),1)</f>
        <v/>
      </c>
      <c r="G9">
        <f>[@PlannedLots_t0]*XLOOKUP([@Material],tParams[Material],tParams[BatchSize],1)</f>
        <v/>
      </c>
    </row>
    <row r="10">
      <c r="A10" t="inlineStr">
        <is>
          <t>West</t>
        </is>
      </c>
      <c r="B10" t="inlineStr">
        <is>
          <t>Pieza 3</t>
        </is>
      </c>
      <c r="C10">
        <f>SUMIFS(tGrossReq[GrossReqUnits],tGrossReq[Plant],[@Plant],tGrossReq[Material],[@Material])</f>
        <v/>
      </c>
      <c r="D1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0">
        <f>[@TotalGrossReqPeriodUnits]+[@SafetyStockUnits]-XLOOKUP([@Plant]&amp;"|"&amp;[@Material],tInv0[Plant]&amp;"|"&amp;tInv0[Material],tInv0[OnHand_InitialUnits],0)</f>
        <v/>
      </c>
      <c r="F10">
        <f>CEILING(MAX(0,[@NetReqUnits])/XLOOKUP([@Material],tParams[Material],tParams[BatchSize],1),1)</f>
        <v/>
      </c>
      <c r="G10">
        <f>[@PlannedLots_t0]*XLOOKUP([@Material],tParams[Material],tParams[BatchSize],1)</f>
        <v/>
      </c>
    </row>
    <row r="11">
      <c r="A11" t="inlineStr">
        <is>
          <t>West</t>
        </is>
      </c>
      <c r="B11" t="inlineStr">
        <is>
          <t>Pieza 4</t>
        </is>
      </c>
      <c r="C11">
        <f>SUMIFS(tGrossReq[GrossReqUnits],tGrossReq[Plant],[@Plant],tGrossReq[Material],[@Material])</f>
        <v/>
      </c>
      <c r="D1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1">
        <f>[@TotalGrossReqPeriodUnits]+[@SafetyStockUnits]-XLOOKUP([@Plant]&amp;"|"&amp;[@Material],tInv0[Plant]&amp;"|"&amp;tInv0[Material],tInv0[OnHand_InitialUnits],0)</f>
        <v/>
      </c>
      <c r="F11">
        <f>CEILING(MAX(0,[@NetReqUnits])/XLOOKUP([@Material],tParams[Material],tParams[BatchSize],1),1)</f>
        <v/>
      </c>
      <c r="G11">
        <f>[@PlannedLots_t0]*XLOOKUP([@Material],tParams[Material],tParams[BatchSize],1)</f>
        <v/>
      </c>
    </row>
    <row r="12">
      <c r="A12" t="inlineStr">
        <is>
          <t>West</t>
        </is>
      </c>
      <c r="B12" t="inlineStr">
        <is>
          <t>Pieza 5</t>
        </is>
      </c>
      <c r="C12">
        <f>SUMIFS(tGrossReq[GrossReqUnits],tGrossReq[Plant],[@Plant],tGrossReq[Material],[@Material])</f>
        <v/>
      </c>
      <c r="D1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2">
        <f>[@TotalGrossReqPeriodUnits]+[@SafetyStockUnits]-XLOOKUP([@Plant]&amp;"|"&amp;[@Material],tInv0[Plant]&amp;"|"&amp;tInv0[Material],tInv0[OnHand_InitialUnits],0)</f>
        <v/>
      </c>
      <c r="F12">
        <f>CEILING(MAX(0,[@NetReqUnits])/XLOOKUP([@Material],tParams[Material],tParams[BatchSize],1),1)</f>
        <v/>
      </c>
      <c r="G12">
        <f>[@PlannedLots_t0]*XLOOKUP([@Material],tParams[Material],tParams[BatchSize],1)</f>
        <v/>
      </c>
    </row>
    <row r="13">
      <c r="A13" t="inlineStr">
        <is>
          <t>West</t>
        </is>
      </c>
      <c r="B13" t="inlineStr">
        <is>
          <t>Pieza 6</t>
        </is>
      </c>
      <c r="C13">
        <f>SUMIFS(tGrossReq[GrossReqUnits],tGrossReq[Plant],[@Plant],tGrossReq[Material],[@Material])</f>
        <v/>
      </c>
      <c r="D1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3">
        <f>[@TotalGrossReqPeriodUnits]+[@SafetyStockUnits]-XLOOKUP([@Plant]&amp;"|"&amp;[@Material],tInv0[Plant]&amp;"|"&amp;tInv0[Material],tInv0[OnHand_InitialUnits],0)</f>
        <v/>
      </c>
      <c r="F13">
        <f>CEILING(MAX(0,[@NetReqUnits])/XLOOKUP([@Material],tParams[Material],tParams[BatchSize],1),1)</f>
        <v/>
      </c>
      <c r="G13">
        <f>[@PlannedLots_t0]*XLOOKUP([@Material],tParams[Material],tParams[BatchSize],1)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tZeroValue</t>
        </is>
      </c>
      <c r="B1">
        <f>Inputs!$B$2</f>
        <v/>
      </c>
    </row>
    <row r="3">
      <c r="A3" t="inlineStr">
        <is>
          <t>Plant</t>
        </is>
      </c>
      <c r="B3" t="inlineStr">
        <is>
          <t>Fortnight</t>
        </is>
      </c>
      <c r="C3" t="inlineStr">
        <is>
          <t>Material</t>
        </is>
      </c>
      <c r="D3" t="inlineStr">
        <is>
          <t>Lots</t>
        </is>
      </c>
      <c r="E3" t="inlineStr">
        <is>
          <t>Supplier</t>
        </is>
      </c>
    </row>
    <row r="4">
      <c r="A4" t="inlineStr">
        <is>
          <t>Center</t>
        </is>
      </c>
      <c r="B4">
        <f>tZeroValue</f>
        <v/>
      </c>
      <c r="C4" t="inlineStr">
        <is>
          <t>Pieza 1</t>
        </is>
      </c>
      <c r="D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">
        <f>IF(XLOOKUP([@Material],tParams[Material],tParams[Type],"")="Piece","Single",XLOOKUP([@Plant]&amp;"|"&amp;[@Material],tPolicy[Plant]&amp;"|"&amp;tPolicy[Material],tPolicy[PreferredSupplier],""))</f>
        <v/>
      </c>
    </row>
    <row r="5">
      <c r="A5" t="inlineStr">
        <is>
          <t>Center</t>
        </is>
      </c>
      <c r="B5">
        <f>tZeroValue</f>
        <v/>
      </c>
      <c r="C5" t="inlineStr">
        <is>
          <t>Pieza 2</t>
        </is>
      </c>
      <c r="D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5">
        <f>IF(XLOOKUP([@Material],tParams[Material],tParams[Type],"")="Piece","Single",XLOOKUP([@Plant]&amp;"|"&amp;[@Material],tPolicy[Plant]&amp;"|"&amp;tPolicy[Material],tPolicy[PreferredSupplier],""))</f>
        <v/>
      </c>
    </row>
    <row r="6">
      <c r="A6" t="inlineStr">
        <is>
          <t>Center</t>
        </is>
      </c>
      <c r="B6">
        <f>tZeroValue</f>
        <v/>
      </c>
      <c r="C6" t="inlineStr">
        <is>
          <t>Pieza 3</t>
        </is>
      </c>
      <c r="D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6">
        <f>IF(XLOOKUP([@Material],tParams[Material],tParams[Type],"")="Piece","Single",XLOOKUP([@Plant]&amp;"|"&amp;[@Material],tPolicy[Plant]&amp;"|"&amp;tPolicy[Material],tPolicy[PreferredSupplier],""))</f>
        <v/>
      </c>
    </row>
    <row r="7">
      <c r="A7" t="inlineStr">
        <is>
          <t>Center</t>
        </is>
      </c>
      <c r="B7">
        <f>tZeroValue</f>
        <v/>
      </c>
      <c r="C7" t="inlineStr">
        <is>
          <t>Pieza 4</t>
        </is>
      </c>
      <c r="D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7">
        <f>IF(XLOOKUP([@Material],tParams[Material],tParams[Type],"")="Piece","Single",XLOOKUP([@Plant]&amp;"|"&amp;[@Material],tPolicy[Plant]&amp;"|"&amp;tPolicy[Material],tPolicy[PreferredSupplier],""))</f>
        <v/>
      </c>
    </row>
    <row r="8">
      <c r="A8" t="inlineStr">
        <is>
          <t>Center</t>
        </is>
      </c>
      <c r="B8">
        <f>tZeroValue</f>
        <v/>
      </c>
      <c r="C8" t="inlineStr">
        <is>
          <t>Pieza 5</t>
        </is>
      </c>
      <c r="D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8">
        <f>IF(XLOOKUP([@Material],tParams[Material],tParams[Type],"")="Piece","Single",XLOOKUP([@Plant]&amp;"|"&amp;[@Material],tPolicy[Plant]&amp;"|"&amp;tPolicy[Material],tPolicy[PreferredSupplier],""))</f>
        <v/>
      </c>
    </row>
    <row r="9">
      <c r="A9" t="inlineStr">
        <is>
          <t>Center</t>
        </is>
      </c>
      <c r="B9">
        <f>tZeroValue</f>
        <v/>
      </c>
      <c r="C9" t="inlineStr">
        <is>
          <t>Pieza 6</t>
        </is>
      </c>
      <c r="D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9">
        <f>IF(XLOOKUP([@Material],tParams[Material],tParams[Type],"")="Piece","Single",XLOOKUP([@Plant]&amp;"|"&amp;[@Material],tPolicy[Plant]&amp;"|"&amp;tPolicy[Material],tPolicy[PreferredSupplier],""))</f>
        <v/>
      </c>
    </row>
    <row r="10">
      <c r="A10" t="inlineStr">
        <is>
          <t>West</t>
        </is>
      </c>
      <c r="B10">
        <f>tZeroValue</f>
        <v/>
      </c>
      <c r="C10" t="inlineStr">
        <is>
          <t>Pieza 1</t>
        </is>
      </c>
      <c r="D1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0">
        <f>IF(XLOOKUP([@Material],tParams[Material],tParams[Type],"")="Piece","Single",XLOOKUP([@Plant]&amp;"|"&amp;[@Material],tPolicy[Plant]&amp;"|"&amp;tPolicy[Material],tPolicy[PreferredSupplier],""))</f>
        <v/>
      </c>
    </row>
    <row r="11">
      <c r="A11" t="inlineStr">
        <is>
          <t>West</t>
        </is>
      </c>
      <c r="B11">
        <f>tZeroValue</f>
        <v/>
      </c>
      <c r="C11" t="inlineStr">
        <is>
          <t>Pieza 2</t>
        </is>
      </c>
      <c r="D1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1">
        <f>IF(XLOOKUP([@Material],tParams[Material],tParams[Type],"")="Piece","Single",XLOOKUP([@Plant]&amp;"|"&amp;[@Material],tPolicy[Plant]&amp;"|"&amp;tPolicy[Material],tPolicy[PreferredSupplier],""))</f>
        <v/>
      </c>
    </row>
    <row r="12">
      <c r="A12" t="inlineStr">
        <is>
          <t>West</t>
        </is>
      </c>
      <c r="B12">
        <f>tZeroValue</f>
        <v/>
      </c>
      <c r="C12" t="inlineStr">
        <is>
          <t>Pieza 3</t>
        </is>
      </c>
      <c r="D1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2">
        <f>IF(XLOOKUP([@Material],tParams[Material],tParams[Type],"")="Piece","Single",XLOOKUP([@Plant]&amp;"|"&amp;[@Material],tPolicy[Plant]&amp;"|"&amp;tPolicy[Material],tPolicy[PreferredSupplier],""))</f>
        <v/>
      </c>
    </row>
    <row r="13">
      <c r="A13" t="inlineStr">
        <is>
          <t>West</t>
        </is>
      </c>
      <c r="B13">
        <f>tZeroValue</f>
        <v/>
      </c>
      <c r="C13" t="inlineStr">
        <is>
          <t>Pieza 4</t>
        </is>
      </c>
      <c r="D1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3">
        <f>IF(XLOOKUP([@Material],tParams[Material],tParams[Type],"")="Piece","Single",XLOOKUP([@Plant]&amp;"|"&amp;[@Material],tPolicy[Plant]&amp;"|"&amp;tPolicy[Material],tPolicy[PreferredSupplier],""))</f>
        <v/>
      </c>
    </row>
    <row r="14">
      <c r="A14" t="inlineStr">
        <is>
          <t>West</t>
        </is>
      </c>
      <c r="B14">
        <f>tZeroValue</f>
        <v/>
      </c>
      <c r="C14" t="inlineStr">
        <is>
          <t>Pieza 5</t>
        </is>
      </c>
      <c r="D1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4">
        <f>IF(XLOOKUP([@Material],tParams[Material],tParams[Type],"")="Piece","Single",XLOOKUP([@Plant]&amp;"|"&amp;[@Material],tPolicy[Plant]&amp;"|"&amp;tPolicy[Material],tPolicy[PreferredSupplier],""))</f>
        <v/>
      </c>
    </row>
    <row r="15">
      <c r="A15" t="inlineStr">
        <is>
          <t>West</t>
        </is>
      </c>
      <c r="B15">
        <f>tZeroValue</f>
        <v/>
      </c>
      <c r="C15" t="inlineStr">
        <is>
          <t>Pieza 6</t>
        </is>
      </c>
      <c r="D1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5">
        <f>IF(XLOOKUP([@Material],tParams[Material],tParams[Type],"")="Piece","Single",XLOOKUP([@Plant]&amp;"|"&amp;[@Material],tPolicy[Plant]&amp;"|"&amp;tPolicy[Material],tPolicy[PreferredSupplier],""))</f>
        <v/>
      </c>
    </row>
    <row r="16">
      <c r="A16" t="inlineStr">
        <is>
          <t>Center</t>
        </is>
      </c>
      <c r="B16" t="n">
        <v>1</v>
      </c>
      <c r="C16" t="inlineStr">
        <is>
          <t>Parte A</t>
        </is>
      </c>
      <c r="D1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6">
        <f>IF(XLOOKUP([@Material],tParams[Material],tParams[Type],"")="Piece","Single",XLOOKUP([@Plant]&amp;"|"&amp;[@Material],tPolicy[Plant]&amp;"|"&amp;tPolicy[Material],tPolicy[PreferredSupplier],""))</f>
        <v/>
      </c>
    </row>
    <row r="17">
      <c r="A17" t="inlineStr">
        <is>
          <t>Center</t>
        </is>
      </c>
      <c r="B17" t="n">
        <v>2</v>
      </c>
      <c r="C17" t="inlineStr">
        <is>
          <t>Parte A</t>
        </is>
      </c>
      <c r="D1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7">
        <f>IF(XLOOKUP([@Material],tParams[Material],tParams[Type],"")="Piece","Single",XLOOKUP([@Plant]&amp;"|"&amp;[@Material],tPolicy[Plant]&amp;"|"&amp;tPolicy[Material],tPolicy[PreferredSupplier],""))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8">
        <f>IF(XLOOKUP([@Material],tParams[Material],tParams[Type],"")="Piece","Single",XLOOKUP([@Plant]&amp;"|"&amp;[@Material],tPolicy[Plant]&amp;"|"&amp;tPolicy[Material],tPolicy[PreferredSupplier],""))</f>
        <v/>
      </c>
    </row>
    <row r="19">
      <c r="A19" t="inlineStr">
        <is>
          <t>Center</t>
        </is>
      </c>
      <c r="B19" t="n">
        <v>4</v>
      </c>
      <c r="C19" t="inlineStr">
        <is>
          <t>Parte A</t>
        </is>
      </c>
      <c r="D1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9">
        <f>IF(XLOOKUP([@Material],tParams[Material],tParams[Type],"")="Piece","Single",XLOOKUP([@Plant]&amp;"|"&amp;[@Material],tPolicy[Plant]&amp;"|"&amp;tPolicy[Material],tPolicy[PreferredSupplier],""))</f>
        <v/>
      </c>
    </row>
    <row r="20">
      <c r="A20" t="inlineStr">
        <is>
          <t>Center</t>
        </is>
      </c>
      <c r="B20" t="n">
        <v>5</v>
      </c>
      <c r="C20" t="inlineStr">
        <is>
          <t>Parte A</t>
        </is>
      </c>
      <c r="D2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0">
        <f>IF(XLOOKUP([@Material],tParams[Material],tParams[Type],"")="Piece","Single",XLOOKUP([@Plant]&amp;"|"&amp;[@Material],tPolicy[Plant]&amp;"|"&amp;tPolicy[Material],tPolicy[PreferredSupplier],""))</f>
        <v/>
      </c>
    </row>
    <row r="21">
      <c r="A21" t="inlineStr">
        <is>
          <t>Center</t>
        </is>
      </c>
      <c r="B21" t="n">
        <v>6</v>
      </c>
      <c r="C21" t="inlineStr">
        <is>
          <t>Parte A</t>
        </is>
      </c>
      <c r="D2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1">
        <f>IF(XLOOKUP([@Material],tParams[Material],tParams[Type],"")="Piece","Single",XLOOKUP([@Plant]&amp;"|"&amp;[@Material],tPolicy[Plant]&amp;"|"&amp;tPolicy[Material],tPolicy[PreferredSupplier],""))</f>
        <v/>
      </c>
    </row>
    <row r="22">
      <c r="A22" t="inlineStr">
        <is>
          <t>Center</t>
        </is>
      </c>
      <c r="B22" t="n">
        <v>7</v>
      </c>
      <c r="C22" t="inlineStr">
        <is>
          <t>Parte A</t>
        </is>
      </c>
      <c r="D2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2">
        <f>IF(XLOOKUP([@Material],tParams[Material],tParams[Type],"")="Piece","Single",XLOOKUP([@Plant]&amp;"|"&amp;[@Material],tPolicy[Plant]&amp;"|"&amp;tPolicy[Material],tPolicy[PreferredSupplier],""))</f>
        <v/>
      </c>
    </row>
    <row r="23">
      <c r="A23" t="inlineStr">
        <is>
          <t>Center</t>
        </is>
      </c>
      <c r="B23" t="n">
        <v>8</v>
      </c>
      <c r="C23" t="inlineStr">
        <is>
          <t>Parte A</t>
        </is>
      </c>
      <c r="D2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3">
        <f>IF(XLOOKUP([@Material],tParams[Material],tParams[Type],"")="Piece","Single",XLOOKUP([@Plant]&amp;"|"&amp;[@Material],tPolicy[Plant]&amp;"|"&amp;tPolicy[Material],tPolicy[PreferredSupplier],""))</f>
        <v/>
      </c>
    </row>
    <row r="24">
      <c r="A24" t="inlineStr">
        <is>
          <t>Center</t>
        </is>
      </c>
      <c r="B24" t="n">
        <v>1</v>
      </c>
      <c r="C24" t="inlineStr">
        <is>
          <t>Parte B</t>
        </is>
      </c>
      <c r="D2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4">
        <f>IF(XLOOKUP([@Material],tParams[Material],tParams[Type],"")="Piece","Single",XLOOKUP([@Plant]&amp;"|"&amp;[@Material],tPolicy[Plant]&amp;"|"&amp;tPolicy[Material],tPolicy[PreferredSupplier],""))</f>
        <v/>
      </c>
    </row>
    <row r="25">
      <c r="A25" t="inlineStr">
        <is>
          <t>Center</t>
        </is>
      </c>
      <c r="B25" t="n">
        <v>2</v>
      </c>
      <c r="C25" t="inlineStr">
        <is>
          <t>Parte B</t>
        </is>
      </c>
      <c r="D2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5">
        <f>IF(XLOOKUP([@Material],tParams[Material],tParams[Type],"")="Piece","Single",XLOOKUP([@Plant]&amp;"|"&amp;[@Material],tPolicy[Plant]&amp;"|"&amp;tPolicy[Material],tPolicy[PreferredSupplier],""))</f>
        <v/>
      </c>
    </row>
    <row r="26">
      <c r="A26" t="inlineStr">
        <is>
          <t>Center</t>
        </is>
      </c>
      <c r="B26" t="n">
        <v>3</v>
      </c>
      <c r="C26" t="inlineStr">
        <is>
          <t>Parte B</t>
        </is>
      </c>
      <c r="D2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6">
        <f>IF(XLOOKUP([@Material],tParams[Material],tParams[Type],"")="Piece","Single",XLOOKUP([@Plant]&amp;"|"&amp;[@Material],tPolicy[Plant]&amp;"|"&amp;tPolicy[Material],tPolicy[PreferredSupplier],""))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7">
        <f>IF(XLOOKUP([@Material],tParams[Material],tParams[Type],"")="Piece","Single",XLOOKUP([@Plant]&amp;"|"&amp;[@Material],tPolicy[Plant]&amp;"|"&amp;tPolicy[Material],tPolicy[PreferredSupplier],""))</f>
        <v/>
      </c>
    </row>
    <row r="28">
      <c r="A28" t="inlineStr">
        <is>
          <t>Center</t>
        </is>
      </c>
      <c r="B28" t="n">
        <v>5</v>
      </c>
      <c r="C28" t="inlineStr">
        <is>
          <t>Parte B</t>
        </is>
      </c>
      <c r="D2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8">
        <f>IF(XLOOKUP([@Material],tParams[Material],tParams[Type],"")="Piece","Single",XLOOKUP([@Plant]&amp;"|"&amp;[@Material],tPolicy[Plant]&amp;"|"&amp;tPolicy[Material],tPolicy[PreferredSupplier],""))</f>
        <v/>
      </c>
    </row>
    <row r="29">
      <c r="A29" t="inlineStr">
        <is>
          <t>Center</t>
        </is>
      </c>
      <c r="B29" t="n">
        <v>6</v>
      </c>
      <c r="C29" t="inlineStr">
        <is>
          <t>Parte B</t>
        </is>
      </c>
      <c r="D2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9">
        <f>IF(XLOOKUP([@Material],tParams[Material],tParams[Type],"")="Piece","Single",XLOOKUP([@Plant]&amp;"|"&amp;[@Material],tPolicy[Plant]&amp;"|"&amp;tPolicy[Material],tPolicy[PreferredSupplier],""))</f>
        <v/>
      </c>
    </row>
    <row r="30">
      <c r="A30" t="inlineStr">
        <is>
          <t>Center</t>
        </is>
      </c>
      <c r="B30" t="n">
        <v>7</v>
      </c>
      <c r="C30" t="inlineStr">
        <is>
          <t>Parte B</t>
        </is>
      </c>
      <c r="D3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0">
        <f>IF(XLOOKUP([@Material],tParams[Material],tParams[Type],"")="Piece","Single",XLOOKUP([@Plant]&amp;"|"&amp;[@Material],tPolicy[Plant]&amp;"|"&amp;tPolicy[Material],tPolicy[PreferredSupplier],""))</f>
        <v/>
      </c>
    </row>
    <row r="31">
      <c r="A31" t="inlineStr">
        <is>
          <t>Center</t>
        </is>
      </c>
      <c r="B31" t="n">
        <v>8</v>
      </c>
      <c r="C31" t="inlineStr">
        <is>
          <t>Parte B</t>
        </is>
      </c>
      <c r="D3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1">
        <f>IF(XLOOKUP([@Material],tParams[Material],tParams[Type],"")="Piece","Single",XLOOKUP([@Plant]&amp;"|"&amp;[@Material],tPolicy[Plant]&amp;"|"&amp;tPolicy[Material],tPolicy[PreferredSupplier],""))</f>
        <v/>
      </c>
    </row>
    <row r="32">
      <c r="A32" t="inlineStr">
        <is>
          <t>West</t>
        </is>
      </c>
      <c r="B32" t="n">
        <v>1</v>
      </c>
      <c r="C32" t="inlineStr">
        <is>
          <t>Parte A</t>
        </is>
      </c>
      <c r="D3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2">
        <f>IF(XLOOKUP([@Material],tParams[Material],tParams[Type],"")="Piece","Single",XLOOKUP([@Plant]&amp;"|"&amp;[@Material],tPolicy[Plant]&amp;"|"&amp;tPolicy[Material],tPolicy[PreferredSupplier],""))</f>
        <v/>
      </c>
    </row>
    <row r="33">
      <c r="A33" t="inlineStr">
        <is>
          <t>West</t>
        </is>
      </c>
      <c r="B33" t="n">
        <v>2</v>
      </c>
      <c r="C33" t="inlineStr">
        <is>
          <t>Parte A</t>
        </is>
      </c>
      <c r="D3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3">
        <f>IF(XLOOKUP([@Material],tParams[Material],tParams[Type],"")="Piece","Single",XLOOKUP([@Plant]&amp;"|"&amp;[@Material],tPolicy[Plant]&amp;"|"&amp;tPolicy[Material],tPolicy[PreferredSupplier],""))</f>
        <v/>
      </c>
    </row>
    <row r="34">
      <c r="A34" t="inlineStr">
        <is>
          <t>West</t>
        </is>
      </c>
      <c r="B34" t="n">
        <v>3</v>
      </c>
      <c r="C34" t="inlineStr">
        <is>
          <t>Parte A</t>
        </is>
      </c>
      <c r="D3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4">
        <f>IF(XLOOKUP([@Material],tParams[Material],tParams[Type],"")="Piece","Single",XLOOKUP([@Plant]&amp;"|"&amp;[@Material],tPolicy[Plant]&amp;"|"&amp;tPolicy[Material],tPolicy[PreferredSupplier],""))</f>
        <v/>
      </c>
    </row>
    <row r="35">
      <c r="A35" t="inlineStr">
        <is>
          <t>West</t>
        </is>
      </c>
      <c r="B35" t="n">
        <v>4</v>
      </c>
      <c r="C35" t="inlineStr">
        <is>
          <t>Parte A</t>
        </is>
      </c>
      <c r="D3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5">
        <f>IF(XLOOKUP([@Material],tParams[Material],tParams[Type],"")="Piece","Single",XLOOKUP([@Plant]&amp;"|"&amp;[@Material],tPolicy[Plant]&amp;"|"&amp;tPolicy[Material],tPolicy[PreferredSupplier],""))</f>
        <v/>
      </c>
    </row>
    <row r="36">
      <c r="A36" t="inlineStr">
        <is>
          <t>West</t>
        </is>
      </c>
      <c r="B36" t="n">
        <v>5</v>
      </c>
      <c r="C36" t="inlineStr">
        <is>
          <t>Parte A</t>
        </is>
      </c>
      <c r="D3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6">
        <f>IF(XLOOKUP([@Material],tParams[Material],tParams[Type],"")="Piece","Single",XLOOKUP([@Plant]&amp;"|"&amp;[@Material],tPolicy[Plant]&amp;"|"&amp;tPolicy[Material],tPolicy[PreferredSupplier],""))</f>
        <v/>
      </c>
    </row>
    <row r="37">
      <c r="A37" t="inlineStr">
        <is>
          <t>West</t>
        </is>
      </c>
      <c r="B37" t="n">
        <v>6</v>
      </c>
      <c r="C37" t="inlineStr">
        <is>
          <t>Parte A</t>
        </is>
      </c>
      <c r="D3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7">
        <f>IF(XLOOKUP([@Material],tParams[Material],tParams[Type],"")="Piece","Single",XLOOKUP([@Plant]&amp;"|"&amp;[@Material],tPolicy[Plant]&amp;"|"&amp;tPolicy[Material],tPolicy[PreferredSupplier],""))</f>
        <v/>
      </c>
    </row>
    <row r="38">
      <c r="A38" t="inlineStr">
        <is>
          <t>West</t>
        </is>
      </c>
      <c r="B38" t="n">
        <v>7</v>
      </c>
      <c r="C38" t="inlineStr">
        <is>
          <t>Parte A</t>
        </is>
      </c>
      <c r="D3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8">
        <f>IF(XLOOKUP([@Material],tParams[Material],tParams[Type],"")="Piece","Single",XLOOKUP([@Plant]&amp;"|"&amp;[@Material],tPolicy[Plant]&amp;"|"&amp;tPolicy[Material],tPolicy[PreferredSupplier],""))</f>
        <v/>
      </c>
    </row>
    <row r="39">
      <c r="A39" t="inlineStr">
        <is>
          <t>West</t>
        </is>
      </c>
      <c r="B39" t="n">
        <v>8</v>
      </c>
      <c r="C39" t="inlineStr">
        <is>
          <t>Parte A</t>
        </is>
      </c>
      <c r="D3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9">
        <f>IF(XLOOKUP([@Material],tParams[Material],tParams[Type],"")="Piece","Single",XLOOKUP([@Plant]&amp;"|"&amp;[@Material],tPolicy[Plant]&amp;"|"&amp;tPolicy[Material],tPolicy[PreferredSupplier],""))</f>
        <v/>
      </c>
    </row>
    <row r="40">
      <c r="A40" t="inlineStr">
        <is>
          <t>West</t>
        </is>
      </c>
      <c r="B40" t="n">
        <v>1</v>
      </c>
      <c r="C40" t="inlineStr">
        <is>
          <t>Parte B</t>
        </is>
      </c>
      <c r="D4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0">
        <f>IF(XLOOKUP([@Material],tParams[Material],tParams[Type],"")="Piece","Single",XLOOKUP([@Plant]&amp;"|"&amp;[@Material],tPolicy[Plant]&amp;"|"&amp;tPolicy[Material],tPolicy[PreferredSupplier],""))</f>
        <v/>
      </c>
    </row>
    <row r="41">
      <c r="A41" t="inlineStr">
        <is>
          <t>West</t>
        </is>
      </c>
      <c r="B41" t="n">
        <v>2</v>
      </c>
      <c r="C41" t="inlineStr">
        <is>
          <t>Parte B</t>
        </is>
      </c>
      <c r="D4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1">
        <f>IF(XLOOKUP([@Material],tParams[Material],tParams[Type],"")="Piece","Single",XLOOKUP([@Plant]&amp;"|"&amp;[@Material],tPolicy[Plant]&amp;"|"&amp;tPolicy[Material],tPolicy[PreferredSupplier],""))</f>
        <v/>
      </c>
    </row>
    <row r="42">
      <c r="A42" t="inlineStr">
        <is>
          <t>West</t>
        </is>
      </c>
      <c r="B42" t="n">
        <v>3</v>
      </c>
      <c r="C42" t="inlineStr">
        <is>
          <t>Parte B</t>
        </is>
      </c>
      <c r="D4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2">
        <f>IF(XLOOKUP([@Material],tParams[Material],tParams[Type],"")="Piece","Single",XLOOKUP([@Plant]&amp;"|"&amp;[@Material],tPolicy[Plant]&amp;"|"&amp;tPolicy[Material],tPolicy[PreferredSupplier],""))</f>
        <v/>
      </c>
    </row>
    <row r="43">
      <c r="A43" t="inlineStr">
        <is>
          <t>West</t>
        </is>
      </c>
      <c r="B43" t="n">
        <v>4</v>
      </c>
      <c r="C43" t="inlineStr">
        <is>
          <t>Parte B</t>
        </is>
      </c>
      <c r="D4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3">
        <f>IF(XLOOKUP([@Material],tParams[Material],tParams[Type],"")="Piece","Single",XLOOKUP([@Plant]&amp;"|"&amp;[@Material],tPolicy[Plant]&amp;"|"&amp;tPolicy[Material],tPolicy[PreferredSupplier],""))</f>
        <v/>
      </c>
    </row>
    <row r="44">
      <c r="A44" t="inlineStr">
        <is>
          <t>West</t>
        </is>
      </c>
      <c r="B44" t="n">
        <v>5</v>
      </c>
      <c r="C44" t="inlineStr">
        <is>
          <t>Parte B</t>
        </is>
      </c>
      <c r="D4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4">
        <f>IF(XLOOKUP([@Material],tParams[Material],tParams[Type],"")="Piece","Single",XLOOKUP([@Plant]&amp;"|"&amp;[@Material],tPolicy[Plant]&amp;"|"&amp;tPolicy[Material],tPolicy[PreferredSupplier],""))</f>
        <v/>
      </c>
    </row>
    <row r="45">
      <c r="A45" t="inlineStr">
        <is>
          <t>West</t>
        </is>
      </c>
      <c r="B45" t="n">
        <v>6</v>
      </c>
      <c r="C45" t="inlineStr">
        <is>
          <t>Parte B</t>
        </is>
      </c>
      <c r="D4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5">
        <f>IF(XLOOKUP([@Material],tParams[Material],tParams[Type],"")="Piece","Single",XLOOKUP([@Plant]&amp;"|"&amp;[@Material],tPolicy[Plant]&amp;"|"&amp;tPolicy[Material],tPolicy[PreferredSupplier],""))</f>
        <v/>
      </c>
    </row>
    <row r="46">
      <c r="A46" t="inlineStr">
        <is>
          <t>West</t>
        </is>
      </c>
      <c r="B46" t="n">
        <v>7</v>
      </c>
      <c r="C46" t="inlineStr">
        <is>
          <t>Parte B</t>
        </is>
      </c>
      <c r="D4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6">
        <f>IF(XLOOKUP([@Material],tParams[Material],tParams[Type],"")="Piece","Single",XLOOKUP([@Plant]&amp;"|"&amp;[@Material],tPolicy[Plant]&amp;"|"&amp;tPolicy[Material],tPolicy[PreferredSupplier],""))</f>
        <v/>
      </c>
    </row>
    <row r="47">
      <c r="A47" t="inlineStr">
        <is>
          <t>West</t>
        </is>
      </c>
      <c r="B47" t="n">
        <v>8</v>
      </c>
      <c r="C47" t="inlineStr">
        <is>
          <t>Parte B</t>
        </is>
      </c>
      <c r="D4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7">
        <f>IF(XLOOKUP([@Material],tParams[Material],tParams[Type],"")="Piece","Single",XLOOKUP([@Plant]&amp;"|"&amp;[@Material],tPolicy[Plant]&amp;"|"&amp;tPolicy[Material],tPolicy[PreferredSupplier],""))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2026-01-12T17:03:36Z</dcterms:created>
  <dcterms:modified xsi:type="dcterms:W3CDTF">2026-01-13T23:42:08Z</dcterms:modified>
  <cp:lastModifiedBy>Alberto Daniel Quiroga Villalobos</cp:lastModifiedBy>
  <cp:revision>0</cp:revision>
</cp:coreProperties>
</file>