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BOM_Consumo" sheetId="2" state="visible" r:id="rId4"/>
    <sheet name="Inventario_Dinamico" sheetId="3" state="visible" r:id="rId5"/>
    <sheet name="Compras_y_Lotes" sheetId="4" state="visible" r:id="rId6"/>
    <sheet name="Costos" sheetId="5" state="visible" r:id="rId7"/>
    <sheet name="Cashflow_Compras" sheetId="6" state="visible" r:id="rId8"/>
    <sheet name="Escenarios" sheetId="7" state="visible" r:id="rId9"/>
    <sheet name="Analisis_Proveedores" sheetId="8" state="visible" r:id="rId10"/>
    <sheet name="Dashboard" sheetId="9" state="visible" r:id="rId11"/>
    <sheet name="Riesgo_Proveedor_B" sheetId="10" state="visible" r:id="rId12"/>
    <sheet name="Cashflow_Integrado" sheetId="11" state="visible" r:id="rId13"/>
    <sheet name="EXSIM_Upload" sheetId="12" state="visible" r:id="rId14"/>
    <sheet name="Multi_Planta" sheetId="13" state="visible" r:id="rId15"/>
    <sheet name="MRP_LeadTimes" sheetId="14" state="visible" r:id="rId16"/>
    <sheet name="Reconciliacion" sheetId="15" state="visible" r:id="rId17"/>
    <sheet name="ESG_CO2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<sst xmlns="http://schemas.openxmlformats.org/spreadsheetml/2006/main" count="806" uniqueCount="310">
  <si>
    <t xml:space="preserve">INPUTS - PURCHASING MANAGER</t>
  </si>
  <si>
    <t xml:space="preserve">Solo inputs manuales. AZUL = modificar según tu estrategia. Sin fórmulas en esta hoja.</t>
  </si>
  <si>
    <t xml:space="preserve">1. PRODUCCIÓN PLANEADA POR QUINCENA (Electroclean)</t>
  </si>
  <si>
    <t xml:space="preserve">Quincena →</t>
  </si>
  <si>
    <t xml:space="preserve">Q1</t>
  </si>
  <si>
    <t xml:space="preserve">Q2</t>
  </si>
  <si>
    <t xml:space="preserve">Q3</t>
  </si>
  <si>
    <t xml:space="preserve">Q4</t>
  </si>
  <si>
    <t xml:space="preserve">Q5</t>
  </si>
  <si>
    <t xml:space="preserve">Q6</t>
  </si>
  <si>
    <t xml:space="preserve">Q7</t>
  </si>
  <si>
    <t xml:space="preserve">Q8</t>
  </si>
  <si>
    <t xml:space="preserve">TOTAL</t>
  </si>
  <si>
    <t xml:space="preserve">Producción EC</t>
  </si>
  <si>
    <t xml:space="preserve">2. INVENTARIO INICIAL (Fin Periodo Anterior)</t>
  </si>
  <si>
    <t xml:space="preserve">Material</t>
  </si>
  <si>
    <t xml:space="preserve">Inventario Inicial</t>
  </si>
  <si>
    <t xml:space="preserve">Unidad</t>
  </si>
  <si>
    <t xml:space="preserve">Fuente</t>
  </si>
  <si>
    <t xml:space="preserve">Parte A</t>
  </si>
  <si>
    <t xml:space="preserve">unidades</t>
  </si>
  <si>
    <t xml:space="preserve">Fin Periodo 6</t>
  </si>
  <si>
    <t xml:space="preserve">Parte B</t>
  </si>
  <si>
    <t xml:space="preserve">Pieza 1</t>
  </si>
  <si>
    <t xml:space="preserve">Pieza 2</t>
  </si>
  <si>
    <t xml:space="preserve">Pieza 3</t>
  </si>
  <si>
    <t xml:space="preserve">Pieza 4</t>
  </si>
  <si>
    <t xml:space="preserve">Pieza 5</t>
  </si>
  <si>
    <t xml:space="preserve">Pieza 6</t>
  </si>
  <si>
    <t xml:space="preserve">3. BILL OF MATERIALS (BOM) - Consumo por Electroclean</t>
  </si>
  <si>
    <t xml:space="preserve">Consumo por EC</t>
  </si>
  <si>
    <t xml:space="preserve">Observaciones</t>
  </si>
  <si>
    <t xml:space="preserve">unidades/EC</t>
  </si>
  <si>
    <t xml:space="preserve">1:1</t>
  </si>
  <si>
    <t xml:space="preserve">1:5</t>
  </si>
  <si>
    <t xml:space="preserve">1:100</t>
  </si>
  <si>
    <t xml:space="preserve">8:1</t>
  </si>
  <si>
    <t xml:space="preserve">30%</t>
  </si>
  <si>
    <t xml:space="preserve">60%</t>
  </si>
  <si>
    <t xml:space="preserve">2:1</t>
  </si>
  <si>
    <t xml:space="preserve">75%</t>
  </si>
  <si>
    <t xml:space="preserve">4. BATCH SIZES (Tamaño de Lote)</t>
  </si>
  <si>
    <t xml:space="preserve">Batch Size</t>
  </si>
  <si>
    <t xml:space="preserve">MOQ (Min Order)</t>
  </si>
  <si>
    <t xml:space="preserve">-</t>
  </si>
  <si>
    <t xml:space="preserve">Lote fijo</t>
  </si>
  <si>
    <t xml:space="preserve">Individual</t>
  </si>
  <si>
    <t xml:space="preserve">Caja 100</t>
  </si>
  <si>
    <t xml:space="preserve">Lote 30</t>
  </si>
  <si>
    <t xml:space="preserve">Lote 60</t>
  </si>
  <si>
    <t xml:space="preserve">Lote 100</t>
  </si>
  <si>
    <t xml:space="preserve">Pallet 150</t>
  </si>
  <si>
    <t xml:space="preserve">5. PRECIOS POR BATCH</t>
  </si>
  <si>
    <t xml:space="preserve">Moneda</t>
  </si>
  <si>
    <t xml:space="preserve">$</t>
  </si>
  <si>
    <t xml:space="preserve">6. ORDERING COST &amp; HOLDING COST</t>
  </si>
  <si>
    <t xml:space="preserve">Ordering Cost</t>
  </si>
  <si>
    <t xml:space="preserve">Holding Cost/U/Q</t>
  </si>
  <si>
    <t xml:space="preserve">Notas</t>
  </si>
  <si>
    <t xml:space="preserve">Por pedido / Por unidad-quincena</t>
  </si>
  <si>
    <t xml:space="preserve">Piezas 1-6</t>
  </si>
  <si>
    <t xml:space="preserve">Solo compra en t=0, sin costos adicionales</t>
  </si>
  <si>
    <t xml:space="preserve">7. PROVEEDORES - PARTE A</t>
  </si>
  <si>
    <t xml:space="preserve">ID</t>
  </si>
  <si>
    <t xml:space="preserve">Precio Base</t>
  </si>
  <si>
    <t xml:space="preserve">Términos Pago</t>
  </si>
  <si>
    <t xml:space="preserve">Descuento</t>
  </si>
  <si>
    <t xml:space="preserve">MOQ Desc.</t>
  </si>
  <si>
    <t xml:space="preserve">Confiabilidad</t>
  </si>
  <si>
    <t xml:space="preserve">A</t>
  </si>
  <si>
    <t xml:space="preserve">Inmediato (0Q)</t>
  </si>
  <si>
    <t xml:space="preserve">No</t>
  </si>
  <si>
    <t xml:space="preserve">100%</t>
  </si>
  <si>
    <t xml:space="preserve">B</t>
  </si>
  <si>
    <t xml:space="preserve">+2 Quincenas</t>
  </si>
  <si>
    <t xml:space="preserve">16% si Q≥150</t>
  </si>
  <si>
    <t xml:space="preserve">80%</t>
  </si>
  <si>
    <t xml:space="preserve">C</t>
  </si>
  <si>
    <t xml:space="preserve">+8 Quincenas</t>
  </si>
  <si>
    <t xml:space="preserve">PROVEEDOR ELEGIDO →</t>
  </si>
  <si>
    <t xml:space="preserve">8. PROVEEDORES - PARTE B</t>
  </si>
  <si>
    <t xml:space="preserve">16% si Q≥80</t>
  </si>
  <si>
    <t xml:space="preserve">9. SAFETY STOCK (Stock de Seguridad)</t>
  </si>
  <si>
    <t xml:space="preserve">Safety Stock</t>
  </si>
  <si>
    <t xml:space="preserve">% Consumo Prom</t>
  </si>
  <si>
    <t xml:space="preserve">Días Cobertura</t>
  </si>
  <si>
    <t xml:space="preserve">10. BUFFER MÍNIMO (Cobertura Operativa)</t>
  </si>
  <si>
    <t xml:space="preserve">Buffer = Quincenas de cobertura mínima antes de alerta</t>
  </si>
  <si>
    <t xml:space="preserve">Buffer (Quincenas)</t>
  </si>
  <si>
    <t xml:space="preserve">Consumo Prom/Q</t>
  </si>
  <si>
    <t xml:space="preserve">Inv. Mínimo Calc</t>
  </si>
  <si>
    <t xml:space="preserve">Crítico?</t>
  </si>
  <si>
    <t xml:space="preserve">BOM_CONSUMO - Cálculo de Consumo por Quincena</t>
  </si>
  <si>
    <t xml:space="preserve">Fórmula: Consumo_Q = Producción_EC_Q × Consumo_por_EC</t>
  </si>
  <si>
    <t xml:space="preserve">VERDE = datos de Inputs | NEGRO = fórmulas calculadas</t>
  </si>
  <si>
    <t xml:space="preserve">Consumo/EC</t>
  </si>
  <si>
    <t xml:space="preserve">PRODUCCIÓN TOTAL EC</t>
  </si>
  <si>
    <t xml:space="preserve">INVENTARIO DINÁMICO - Control por Quincena</t>
  </si>
  <si>
    <t xml:space="preserve">Fórmula: Inv_Final_Q = Inv_Inicial_Q + Recepciones_Q - Consumo_Q</t>
  </si>
  <si>
    <t xml:space="preserve">AMARILLO = ingresar recepciones manualmente | ROJO = inventario negativo (ALERTA)</t>
  </si>
  <si>
    <t xml:space="preserve">Concepto</t>
  </si>
  <si>
    <t xml:space="preserve">Inv_Inicial</t>
  </si>
  <si>
    <t xml:space="preserve">Recepciones</t>
  </si>
  <si>
    <t xml:space="preserve">Consumo</t>
  </si>
  <si>
    <t xml:space="preserve">Inv_Final</t>
  </si>
  <si>
    <t xml:space="preserve">VALIDACIONES Y ALERTAS</t>
  </si>
  <si>
    <t xml:space="preserve">Min Global</t>
  </si>
  <si>
    <t xml:space="preserve">COMPRAS Y LOTES - Decisiones de Compra</t>
  </si>
  <si>
    <t xml:space="preserve">Convierte consumo en decisiones reales de compra (lotes)</t>
  </si>
  <si>
    <t xml:space="preserve">AMARILLO = TUS DECISIONES de cuántos lotes comprar</t>
  </si>
  <si>
    <t xml:space="preserve">PIEZAS 1-6: COMPRA ÚNICA EN t=0</t>
  </si>
  <si>
    <t xml:space="preserve">Demanda Total</t>
  </si>
  <si>
    <t xml:space="preserve">Lotes Teóricos</t>
  </si>
  <si>
    <t xml:space="preserve">COMPRAR (Lotes)</t>
  </si>
  <si>
    <t xml:space="preserve">Total Unidades</t>
  </si>
  <si>
    <t xml:space="preserve">Precio/Batch</t>
  </si>
  <si>
    <t xml:space="preserve">Costo Total</t>
  </si>
  <si>
    <t xml:space="preserve">Status</t>
  </si>
  <si>
    <t xml:space="preserve">TOTAL PIEZAS</t>
  </si>
  <si>
    <t xml:space="preserve">PARTES A y B: COMPRA POR QUINCENA</t>
  </si>
  <si>
    <t xml:space="preserve">Quincena</t>
  </si>
  <si>
    <t xml:space="preserve">Demanda</t>
  </si>
  <si>
    <t xml:space="preserve">Unidades</t>
  </si>
  <si>
    <t xml:space="preserve">Costo</t>
  </si>
  <si>
    <t xml:space="preserve">Pago en Q</t>
  </si>
  <si>
    <t xml:space="preserve">COSTOS - Análisis Completo</t>
  </si>
  <si>
    <t xml:space="preserve">Costo Total = Costo de Compra + Ordering Cost + Holding Cost</t>
  </si>
  <si>
    <t xml:space="preserve">Costo Compra</t>
  </si>
  <si>
    <t xml:space="preserve"># Pedidos</t>
  </si>
  <si>
    <t xml:space="preserve">Holding Cost</t>
  </si>
  <si>
    <t xml:space="preserve">COSTO TOTAL</t>
  </si>
  <si>
    <t xml:space="preserve">CASHFLOW - Pagos por Quincena</t>
  </si>
  <si>
    <t xml:space="preserve">Proyección de pagos según términos de cada proveedor</t>
  </si>
  <si>
    <t xml:space="preserve">IMPORTANTE: Coordinar con Finanzas para asegurar liquidez</t>
  </si>
  <si>
    <t xml:space="preserve">Piezas 1-6 (t=0)</t>
  </si>
  <si>
    <t xml:space="preserve">TOTAL PAGOS</t>
  </si>
  <si>
    <t xml:space="preserve">ESCENARIOS - Análisis Comparativo</t>
  </si>
  <si>
    <t xml:space="preserve">Compara 3 estrategias: Conservador / Base / Agresivo</t>
  </si>
  <si>
    <t xml:space="preserve">SELECCIONAR ESCENARIO:</t>
  </si>
  <si>
    <t xml:space="preserve">Base</t>
  </si>
  <si>
    <t xml:space="preserve">Parámetro</t>
  </si>
  <si>
    <t xml:space="preserve">Conservador</t>
  </si>
  <si>
    <t xml:space="preserve">Agresivo</t>
  </si>
  <si>
    <t xml:space="preserve">Descripción</t>
  </si>
  <si>
    <t xml:space="preserve">20%</t>
  </si>
  <si>
    <t xml:space="preserve">10%</t>
  </si>
  <si>
    <t xml:space="preserve">5%</t>
  </si>
  <si>
    <t xml:space="preserve">% sobre consumo promedio</t>
  </si>
  <si>
    <t xml:space="preserve">Proveedor Parte A</t>
  </si>
  <si>
    <t xml:space="preserve">A (seguro)</t>
  </si>
  <si>
    <t xml:space="preserve">B (descuento)</t>
  </si>
  <si>
    <t xml:space="preserve">Estrategia de proveedor</t>
  </si>
  <si>
    <t xml:space="preserve">Proveedor Parte B</t>
  </si>
  <si>
    <t xml:space="preserve">Frecuencia Pedidos</t>
  </si>
  <si>
    <t xml:space="preserve">Cada 4Q</t>
  </si>
  <si>
    <t xml:space="preserve">Cada 2Q</t>
  </si>
  <si>
    <t xml:space="preserve">Cada Q</t>
  </si>
  <si>
    <t xml:space="preserve">Frecuencia de compra</t>
  </si>
  <si>
    <t xml:space="preserve">RESULTADOS ESTIMADOS</t>
  </si>
  <si>
    <t xml:space="preserve">Alto</t>
  </si>
  <si>
    <t xml:space="preserve">Medio</t>
  </si>
  <si>
    <t xml:space="preserve">Bajo</t>
  </si>
  <si>
    <t xml:space="preserve">Costo de compras + inventario</t>
  </si>
  <si>
    <t xml:space="preserve">Riesgo Stockout</t>
  </si>
  <si>
    <t xml:space="preserve">Muy Bajo</t>
  </si>
  <si>
    <t xml:space="preserve">Probabilidad de quedarse sin stock</t>
  </si>
  <si>
    <t xml:space="preserve">Capital Inmovilizado</t>
  </si>
  <si>
    <t xml:space="preserve">Inventario promedio</t>
  </si>
  <si>
    <t xml:space="preserve">Cashflow Peak</t>
  </si>
  <si>
    <t xml:space="preserve">Distribuido</t>
  </si>
  <si>
    <t xml:space="preserve">Concentrado</t>
  </si>
  <si>
    <t xml:space="preserve">Pago máximo en una Q</t>
  </si>
  <si>
    <t xml:space="preserve">COMPARACIÓN LADO A LADO - KPIs POR ESCENARIO</t>
  </si>
  <si>
    <t xml:space="preserve">KPI</t>
  </si>
  <si>
    <t xml:space="preserve">Mejor</t>
  </si>
  <si>
    <t xml:space="preserve">Diferencia</t>
  </si>
  <si>
    <t xml:space="preserve">Costo Total Compras</t>
  </si>
  <si>
    <t xml:space="preserve">Total Pagos</t>
  </si>
  <si>
    <t xml:space="preserve">Pago Peak</t>
  </si>
  <si>
    <t xml:space="preserve"># Stockouts Esperados</t>
  </si>
  <si>
    <t xml:space="preserve">Valor Esperado Pérdida</t>
  </si>
  <si>
    <t xml:space="preserve">Buffer Promedio (Q)</t>
  </si>
  <si>
    <t xml:space="preserve">ANÁLISIS DE PROVEEDORES - Herramienta de Decisión</t>
  </si>
  <si>
    <t xml:space="preserve">Compara costo total por proveedor según volumen y términos</t>
  </si>
  <si>
    <t xml:space="preserve">PARTE A - Análisis Comparativo</t>
  </si>
  <si>
    <t xml:space="preserve">Volumen a Comprar (batches):</t>
  </si>
  <si>
    <t xml:space="preserve">Proveedor</t>
  </si>
  <si>
    <t xml:space="preserve">Precio Final</t>
  </si>
  <si>
    <t xml:space="preserve">Riesgo</t>
  </si>
  <si>
    <t xml:space="preserve">Costo Ajustado</t>
  </si>
  <si>
    <t xml:space="preserve">Ranking</t>
  </si>
  <si>
    <t xml:space="preserve">Inmediato</t>
  </si>
  <si>
    <t xml:space="preserve">0%</t>
  </si>
  <si>
    <t xml:space="preserve">+2Q</t>
  </si>
  <si>
    <t xml:space="preserve">+8Q</t>
  </si>
  <si>
    <t xml:space="preserve">RECOMENDACIÓN:</t>
  </si>
  <si>
    <t xml:space="preserve">PARTE B - Análisis Comparativo</t>
  </si>
  <si>
    <t xml:space="preserve">DASHBOARD - Purchasing Manager</t>
  </si>
  <si>
    <t xml:space="preserve">INDICADORES CLAVE (KPIs)</t>
  </si>
  <si>
    <t xml:space="preserve">Costo Total de Compras:</t>
  </si>
  <si>
    <t xml:space="preserve">Total Pagos Periodo:</t>
  </si>
  <si>
    <t xml:space="preserve"># Pedidos Totales:</t>
  </si>
  <si>
    <t xml:space="preserve">pedidos</t>
  </si>
  <si>
    <t xml:space="preserve">Pago Pico (Max en una Q):</t>
  </si>
  <si>
    <t xml:space="preserve">Inventario Negativo:</t>
  </si>
  <si>
    <t xml:space="preserve">TBD</t>
  </si>
  <si>
    <t xml:space="preserve">materiales</t>
  </si>
  <si>
    <t xml:space="preserve">Stock &lt; Safety:</t>
  </si>
  <si>
    <t xml:space="preserve">ESTRATEGIA ACTUAL</t>
  </si>
  <si>
    <t xml:space="preserve">Proveedor Parte A:</t>
  </si>
  <si>
    <t xml:space="preserve">Proveedor Parte B:</t>
  </si>
  <si>
    <t xml:space="preserve">Escenario:</t>
  </si>
  <si>
    <t xml:space="preserve">⚠️ ALERTAS CRÍTICAS</t>
  </si>
  <si>
    <t xml:space="preserve">Materiales con Inv &lt; Buffer:</t>
  </si>
  <si>
    <t xml:space="preserve">Riesgo por Proveedor B:</t>
  </si>
  <si>
    <t xml:space="preserve">Cashflow Peak &gt; $100k:</t>
  </si>
  <si>
    <t xml:space="preserve">ANÁLISIS DE RIESGO - PROVEEDOR B</t>
  </si>
  <si>
    <t xml:space="preserve">CRÍTICO: Proveedor B tiene 20% probabilidad de NO ENTREGAR (sin pago, pero SIN producción)</t>
  </si>
  <si>
    <t xml:space="preserve">PARÁMETROS DE RIESGO</t>
  </si>
  <si>
    <t xml:space="preserve">Valor</t>
  </si>
  <si>
    <t xml:space="preserve">Prob. Incumplimiento Prov. B</t>
  </si>
  <si>
    <t xml:space="preserve">EXSIM Rules</t>
  </si>
  <si>
    <t xml:space="preserve">Costo Oportunidad ($/EC perdido)</t>
  </si>
  <si>
    <t xml:space="preserve">Margin estimado</t>
  </si>
  <si>
    <t xml:space="preserve">Lead time recuperación (Q)</t>
  </si>
  <si>
    <t xml:space="preserve">Assumption</t>
  </si>
  <si>
    <t xml:space="preserve">ANÁLISIS DE IMPACTO POR MATERIAL (si usas Proveedor B)</t>
  </si>
  <si>
    <t xml:space="preserve">Proveedor Elegido</t>
  </si>
  <si>
    <t xml:space="preserve">Total Lotes P7</t>
  </si>
  <si>
    <t xml:space="preserve">Prob. Falla</t>
  </si>
  <si>
    <t xml:space="preserve">Lotes Perdidos (Esperado)</t>
  </si>
  <si>
    <t xml:space="preserve">Unidades Perdidas</t>
  </si>
  <si>
    <t xml:space="preserve">EC Sin Producir</t>
  </si>
  <si>
    <t xml:space="preserve">Costo Oportunidad</t>
  </si>
  <si>
    <t xml:space="preserve">DECISIÓN: PROVEEDOR A vs B (Análisis Ajustado por Riesgo)</t>
  </si>
  <si>
    <t xml:space="preserve">Ahorro</t>
  </si>
  <si>
    <t xml:space="preserve">Costo Neto Ajustado</t>
  </si>
  <si>
    <t xml:space="preserve">Decisión Recomendada</t>
  </si>
  <si>
    <t xml:space="preserve">CASHFLOW INTEGRADO - PURCHASING</t>
  </si>
  <si>
    <t xml:space="preserve">Pagos REALES por quincena: Compras + Ordering + Holding (para coordinar con Finanzas)</t>
  </si>
  <si>
    <t xml:space="preserve">1. PAGOS DE COMPRAS (según términos de proveedor)</t>
  </si>
  <si>
    <t xml:space="preserve">Parte A (según proveedor)</t>
  </si>
  <si>
    <t xml:space="preserve">Parte B (según proveedor)</t>
  </si>
  <si>
    <t xml:space="preserve">SUBTOTAL COMPRAS</t>
  </si>
  <si>
    <t xml:space="preserve">2. ORDERING COSTS (por pedido realizado)</t>
  </si>
  <si>
    <t xml:space="preserve">SUBTOTAL ORDERING</t>
  </si>
  <si>
    <t xml:space="preserve">3. HOLDING COSTS (por inventario promedio en quincena)</t>
  </si>
  <si>
    <t xml:space="preserve">SUBTOTAL HOLDING</t>
  </si>
  <si>
    <t xml:space="preserve">TOTAL OUTFLOW PURCHASING</t>
  </si>
  <si>
    <t xml:space="preserve">ANÁLISIS</t>
  </si>
  <si>
    <t xml:space="preserve">Pago Máximo (Peak):</t>
  </si>
  <si>
    <t xml:space="preserve">Quincena más costosa</t>
  </si>
  <si>
    <t xml:space="preserve">Pago Mínimo:</t>
  </si>
  <si>
    <t xml:space="preserve">Quincena más barata</t>
  </si>
  <si>
    <t xml:space="preserve">Pago Promedio:</t>
  </si>
  <si>
    <t xml:space="preserve">Promedio por quincena</t>
  </si>
  <si>
    <t xml:space="preserve">Desviación Est.:</t>
  </si>
  <si>
    <t xml:space="preserve">Volatilidad del flujo</t>
  </si>
  <si>
    <t xml:space="preserve">EXSIM UPLOAD - COPIAR DIRECTO A PLATAFORMA</t>
  </si>
  <si>
    <t xml:space="preserve">Formato exacto para subir decisiones a EXSIM. Copiar columnas B-E directamente.</t>
  </si>
  <si>
    <t xml:space="preserve">PIEZAS 1-6 (Compra única en t=0)</t>
  </si>
  <si>
    <t xml:space="preserve">Fortnight</t>
  </si>
  <si>
    <t xml:space="preserve">Lots</t>
  </si>
  <si>
    <t xml:space="preserve">Supplier</t>
  </si>
  <si>
    <t xml:space="preserve">Notes</t>
  </si>
  <si>
    <t xml:space="preserve">Único</t>
  </si>
  <si>
    <t xml:space="preserve">PARTE A (Por Quincena)</t>
  </si>
  <si>
    <t xml:space="preserve">PARTE B (Por Quincena)</t>
  </si>
  <si>
    <t xml:space="preserve">MULTI-PLANTA: CENTRO Y OESTE</t>
  </si>
  <si>
    <t xml:space="preserve">Inventarios y producción por región (EXSIM requiere separación)</t>
  </si>
  <si>
    <t xml:space="preserve">INVENTARIO POR PLANTA</t>
  </si>
  <si>
    <t xml:space="preserve">Centro</t>
  </si>
  <si>
    <t xml:space="preserve">Oeste</t>
  </si>
  <si>
    <t xml:space="preserve">% Centro</t>
  </si>
  <si>
    <t xml:space="preserve">MRP - PRODUCCIÓN POR SECCIÓN</t>
  </si>
  <si>
    <t xml:space="preserve">5 secciones (S1-S5), cada una tarda 1 quincena. WIP entre secciones.</t>
  </si>
  <si>
    <t xml:space="preserve">FLUJO DE PRODUCCIÓN</t>
  </si>
  <si>
    <t xml:space="preserve">Sección</t>
  </si>
  <si>
    <t xml:space="preserve">Input</t>
  </si>
  <si>
    <t xml:space="preserve">Process</t>
  </si>
  <si>
    <t xml:space="preserve">Output</t>
  </si>
  <si>
    <t xml:space="preserve">Lead Time</t>
  </si>
  <si>
    <t xml:space="preserve">S1</t>
  </si>
  <si>
    <t xml:space="preserve">Ensambla Piezas</t>
  </si>
  <si>
    <t xml:space="preserve">Semi A</t>
  </si>
  <si>
    <t xml:space="preserve">1Q</t>
  </si>
  <si>
    <t xml:space="preserve">S2</t>
  </si>
  <si>
    <t xml:space="preserve">Semi B</t>
  </si>
  <si>
    <t xml:space="preserve">S3</t>
  </si>
  <si>
    <t xml:space="preserve">Semi C</t>
  </si>
  <si>
    <t xml:space="preserve">S4</t>
  </si>
  <si>
    <t xml:space="preserve">Semi D</t>
  </si>
  <si>
    <t xml:space="preserve">S5</t>
  </si>
  <si>
    <t xml:space="preserve">Semis</t>
  </si>
  <si>
    <t xml:space="preserve">Ensambla final</t>
  </si>
  <si>
    <t xml:space="preserve">Electroclean</t>
  </si>
  <si>
    <t xml:space="preserve">RECONCILIACIÓN CON REPORTES EXSIM</t>
  </si>
  <si>
    <t xml:space="preserve">Pega reportes del simulador aquí para comparar</t>
  </si>
  <si>
    <t xml:space="preserve">RAW MATERIALS INVENTORY</t>
  </si>
  <si>
    <t xml:space="preserve">EXSIM Q1</t>
  </si>
  <si>
    <t xml:space="preserve">Modelo Q1</t>
  </si>
  <si>
    <t xml:space="preserve">Diff</t>
  </si>
  <si>
    <t xml:space="preserve">ESG - EMISIONES CO2</t>
  </si>
  <si>
    <t xml:space="preserve">kg CO2 por proveedor (Tabla VII caso EXSIM)</t>
  </si>
  <si>
    <t xml:space="preserve">EMISIONES POR PROVEEDOR</t>
  </si>
  <si>
    <t xml:space="preserve">Prov A (kg)</t>
  </si>
  <si>
    <t xml:space="preserve">Prov B (kg)</t>
  </si>
  <si>
    <t xml:space="preserve">Prov C (kg)</t>
  </si>
  <si>
    <t xml:space="preserve">Elegido</t>
  </si>
  <si>
    <t xml:space="preserve">Total CO2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</si>
</sst>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.00"/>
    <numFmt numFmtId="167" formatCode="\$#,##0"/>
    <numFmt numFmtId="168" formatCode="\$#,##0.00"/>
    <numFmt numFmtId="169" formatCode="\$0.00"/>
    <numFmt numFmtId="170" formatCode="0%"/>
    <numFmt numFmtId="171" formatCode="0"/>
    <numFmt numFmtId="172" formatCode="0.0"/>
    <numFmt numFmtId="173" formatCode="#,##0.00"/>
    <numFmt numFmtId="174" formatCode="General"/>
    <numFmt numFmtId="175" formatCode="#,##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i val="true"/>
      <sz val="9"/>
      <color rgb="FF0000FF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0"/>
      <name val="Cambria"/>
      <family val="0"/>
      <charset val="1"/>
    </font>
    <font>
      <sz val="10"/>
      <color rgb="FF0000FF"/>
      <name val="Cambria"/>
      <family val="0"/>
      <charset val="1"/>
    </font>
    <font>
      <sz val="10"/>
      <color rgb="FF000000"/>
      <name val="Cambria"/>
      <family val="0"/>
      <charset val="1"/>
    </font>
    <font>
      <i val="true"/>
      <sz val="9"/>
      <name val="Cambria"/>
      <family val="0"/>
      <charset val="1"/>
    </font>
    <font>
      <i val="true"/>
      <sz val="9"/>
      <color rgb="FFFF0000"/>
      <name val="Cambria"/>
      <family val="0"/>
      <charset val="1"/>
    </font>
    <font>
      <i val="true"/>
      <sz val="9"/>
      <color rgb="FF008000"/>
      <name val="Cambria"/>
      <family val="0"/>
      <charset val="1"/>
    </font>
    <font>
      <sz val="10"/>
      <color rgb="FF008000"/>
      <name val="Cambria"/>
      <family val="0"/>
      <charset val="1"/>
    </font>
    <font>
      <i val="true"/>
      <sz val="9"/>
      <color rgb="FFFF6B00"/>
      <name val="Cambria"/>
      <family val="0"/>
      <charset val="1"/>
    </font>
    <font>
      <sz val="10"/>
      <name val="Cambria"/>
      <family val="0"/>
      <charset val="1"/>
    </font>
    <font>
      <b val="true"/>
      <sz val="11"/>
      <color rgb="FF008000"/>
      <name val="Cambria"/>
      <family val="0"/>
      <charset val="1"/>
    </font>
    <font>
      <b val="true"/>
      <sz val="16"/>
      <color rgb="FFFFFFFF"/>
      <name val="Cambria"/>
      <family val="0"/>
      <charset val="1"/>
    </font>
    <font>
      <b val="true"/>
      <sz val="12"/>
      <color rgb="FFFF0000"/>
      <name val="Cambria"/>
      <family val="0"/>
      <charset val="1"/>
    </font>
    <font>
      <b val="true"/>
      <sz val="14"/>
      <color rgb="FFFF0000"/>
      <name val="Cambria"/>
      <family val="0"/>
      <charset val="1"/>
    </font>
    <font>
      <b val="true"/>
      <i val="true"/>
      <sz val="10"/>
      <color rgb="FFFF0000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4"/>
      <color rgb="FFFFFFFF"/>
      <name val="Cambria"/>
      <family val="0"/>
      <charset val="1"/>
    </font>
    <font>
      <sz val="11"/>
      <color rgb="FF008000"/>
      <name val="Cambria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203764"/>
      </patternFill>
    </fill>
    <fill>
      <patternFill patternType="solid">
        <fgColor rgb="FFE7E6E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CCFFFF"/>
      </patternFill>
    </fill>
    <fill>
      <patternFill patternType="solid">
        <fgColor rgb="FF203764"/>
        <bgColor rgb="FF1F4E78"/>
      </patternFill>
    </fill>
    <fill>
      <patternFill patternType="solid">
        <fgColor rgb="FFFFC7CE"/>
        <bgColor rgb="FFE7E6E6"/>
      </patternFill>
    </fill>
    <fill>
      <patternFill patternType="solid">
        <fgColor rgb="FFFFA500"/>
        <bgColor rgb="FFFFCC00"/>
      </patternFill>
    </fill>
    <fill>
      <patternFill patternType="solid">
        <fgColor rgb="FFFF0000"/>
        <bgColor rgb="FF993300"/>
      </patternFill>
    </fill>
    <fill>
      <patternFill patternType="solid">
        <fgColor rgb="FF008000"/>
        <bgColor rgb="FF228B22"/>
      </patternFill>
    </fill>
    <fill>
      <patternFill patternType="solid">
        <fgColor rgb="FF0066CC"/>
        <bgColor rgb="FF008080"/>
      </patternFill>
    </fill>
    <fill>
      <patternFill patternType="solid">
        <fgColor rgb="FF228B22"/>
        <bgColor rgb="FF008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6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3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1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11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1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A500"/>
      <rgbColor rgb="FFFF6B00"/>
      <rgbColor rgb="FF666699"/>
      <rgbColor rgb="FF969696"/>
      <rgbColor rgb="FF203764"/>
      <rgbColor rgb="FF228B22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5"/>
    <col collapsed="false" customWidth="true" hidden="false" outlineLevel="0" max="7" min="2" style="1" width="15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</row>
    <row r="6" customFormat="false" ht="15" hidden="false" customHeight="true" outlineLevel="0" collapsed="false">
      <c r="A6" s="6" t="s">
        <v>13</v>
      </c>
      <c r="B6" s="7" t="n">
        <v>1850</v>
      </c>
      <c r="C6" s="7" t="n">
        <v>1850</v>
      </c>
      <c r="D6" s="7" t="n">
        <v>1850</v>
      </c>
      <c r="E6" s="7" t="n">
        <v>1850</v>
      </c>
      <c r="F6" s="7" t="n">
        <v>1850</v>
      </c>
      <c r="G6" s="7" t="n">
        <v>1850</v>
      </c>
      <c r="H6" s="7" t="n">
        <v>1850</v>
      </c>
      <c r="I6" s="7" t="n">
        <v>1850</v>
      </c>
      <c r="J6" s="8" t="n">
        <f aca="false">SUM(B6:I6)</f>
        <v>14800</v>
      </c>
    </row>
    <row r="9" customFormat="false" ht="15" hidden="false" customHeight="true" outlineLevel="0" collapsed="false">
      <c r="A9" s="4" t="s">
        <v>14</v>
      </c>
      <c r="B9" s="4"/>
      <c r="C9" s="4"/>
      <c r="D9" s="4"/>
    </row>
    <row r="10" customFormat="false" ht="15" hidden="false" customHeight="true" outlineLevel="0" collapsed="false">
      <c r="A10" s="9" t="s">
        <v>15</v>
      </c>
      <c r="B10" s="9" t="s">
        <v>16</v>
      </c>
      <c r="C10" s="9" t="s">
        <v>17</v>
      </c>
      <c r="D10" s="9" t="s">
        <v>18</v>
      </c>
    </row>
    <row r="11" customFormat="false" ht="15" hidden="false" customHeight="true" outlineLevel="0" collapsed="false">
      <c r="A11" s="10" t="s">
        <v>19</v>
      </c>
      <c r="B11" s="7" t="n">
        <v>4512</v>
      </c>
      <c r="C11" s="11" t="s">
        <v>20</v>
      </c>
      <c r="D11" s="12" t="s">
        <v>21</v>
      </c>
    </row>
    <row r="12" customFormat="false" ht="15" hidden="false" customHeight="true" outlineLevel="0" collapsed="false">
      <c r="A12" s="10" t="s">
        <v>22</v>
      </c>
      <c r="B12" s="7" t="n">
        <v>1058</v>
      </c>
      <c r="C12" s="11" t="s">
        <v>20</v>
      </c>
      <c r="D12" s="12" t="s">
        <v>21</v>
      </c>
    </row>
    <row r="13" customFormat="false" ht="15" hidden="false" customHeight="true" outlineLevel="0" collapsed="false">
      <c r="A13" s="10" t="s">
        <v>23</v>
      </c>
      <c r="B13" s="7" t="n">
        <v>130</v>
      </c>
      <c r="C13" s="11" t="s">
        <v>20</v>
      </c>
      <c r="D13" s="12" t="s">
        <v>21</v>
      </c>
    </row>
    <row r="14" customFormat="false" ht="15" hidden="false" customHeight="true" outlineLevel="0" collapsed="false">
      <c r="A14" s="10" t="s">
        <v>24</v>
      </c>
      <c r="B14" s="7" t="n">
        <v>5268</v>
      </c>
      <c r="C14" s="11" t="s">
        <v>20</v>
      </c>
      <c r="D14" s="12" t="s">
        <v>21</v>
      </c>
    </row>
    <row r="15" customFormat="false" ht="15" hidden="false" customHeight="true" outlineLevel="0" collapsed="false">
      <c r="A15" s="10" t="s">
        <v>25</v>
      </c>
      <c r="B15" s="7" t="n">
        <v>4333</v>
      </c>
      <c r="C15" s="11" t="s">
        <v>20</v>
      </c>
      <c r="D15" s="12" t="s">
        <v>21</v>
      </c>
    </row>
    <row r="16" customFormat="false" ht="15" hidden="false" customHeight="true" outlineLevel="0" collapsed="false">
      <c r="A16" s="10" t="s">
        <v>26</v>
      </c>
      <c r="B16" s="7" t="n">
        <v>8487</v>
      </c>
      <c r="C16" s="11" t="s">
        <v>20</v>
      </c>
      <c r="D16" s="12" t="s">
        <v>21</v>
      </c>
    </row>
    <row r="17" customFormat="false" ht="15" hidden="false" customHeight="true" outlineLevel="0" collapsed="false">
      <c r="A17" s="10" t="s">
        <v>27</v>
      </c>
      <c r="B17" s="7" t="n">
        <v>23192</v>
      </c>
      <c r="C17" s="11" t="s">
        <v>20</v>
      </c>
      <c r="D17" s="12" t="s">
        <v>21</v>
      </c>
    </row>
    <row r="18" customFormat="false" ht="15" hidden="false" customHeight="true" outlineLevel="0" collapsed="false">
      <c r="A18" s="10" t="s">
        <v>28</v>
      </c>
      <c r="B18" s="7" t="n">
        <v>6035</v>
      </c>
      <c r="C18" s="11" t="s">
        <v>20</v>
      </c>
      <c r="D18" s="12" t="s">
        <v>21</v>
      </c>
    </row>
    <row r="21" customFormat="false" ht="15" hidden="false" customHeight="true" outlineLevel="0" collapsed="false">
      <c r="A21" s="4" t="s">
        <v>29</v>
      </c>
      <c r="B21" s="4"/>
      <c r="C21" s="4"/>
      <c r="D21" s="4"/>
    </row>
    <row r="22" customFormat="false" ht="15" hidden="false" customHeight="true" outlineLevel="0" collapsed="false">
      <c r="A22" s="9" t="s">
        <v>15</v>
      </c>
      <c r="B22" s="9" t="s">
        <v>30</v>
      </c>
      <c r="C22" s="9" t="s">
        <v>17</v>
      </c>
      <c r="D22" s="9" t="s">
        <v>31</v>
      </c>
    </row>
    <row r="23" customFormat="false" ht="15" hidden="false" customHeight="true" outlineLevel="0" collapsed="false">
      <c r="A23" s="10" t="s">
        <v>19</v>
      </c>
      <c r="B23" s="13" t="n">
        <v>1</v>
      </c>
      <c r="C23" s="10" t="s">
        <v>32</v>
      </c>
      <c r="D23" s="12" t="s">
        <v>33</v>
      </c>
    </row>
    <row r="24" customFormat="false" ht="15" hidden="false" customHeight="true" outlineLevel="0" collapsed="false">
      <c r="A24" s="10" t="s">
        <v>22</v>
      </c>
      <c r="B24" s="13" t="n">
        <v>0.2</v>
      </c>
      <c r="C24" s="10" t="s">
        <v>32</v>
      </c>
      <c r="D24" s="12" t="s">
        <v>34</v>
      </c>
    </row>
    <row r="25" customFormat="false" ht="15" hidden="false" customHeight="true" outlineLevel="0" collapsed="false">
      <c r="A25" s="10" t="s">
        <v>23</v>
      </c>
      <c r="B25" s="13" t="n">
        <v>0.01</v>
      </c>
      <c r="C25" s="10" t="s">
        <v>32</v>
      </c>
      <c r="D25" s="12" t="s">
        <v>35</v>
      </c>
    </row>
    <row r="26" customFormat="false" ht="15" hidden="false" customHeight="true" outlineLevel="0" collapsed="false">
      <c r="A26" s="10" t="s">
        <v>24</v>
      </c>
      <c r="B26" s="13" t="n">
        <v>8</v>
      </c>
      <c r="C26" s="10" t="s">
        <v>32</v>
      </c>
      <c r="D26" s="12" t="s">
        <v>36</v>
      </c>
    </row>
    <row r="27" customFormat="false" ht="15" hidden="false" customHeight="true" outlineLevel="0" collapsed="false">
      <c r="A27" s="10" t="s">
        <v>25</v>
      </c>
      <c r="B27" s="13" t="n">
        <v>0.3</v>
      </c>
      <c r="C27" s="10" t="s">
        <v>32</v>
      </c>
      <c r="D27" s="12" t="s">
        <v>37</v>
      </c>
    </row>
    <row r="28" customFormat="false" ht="15" hidden="false" customHeight="true" outlineLevel="0" collapsed="false">
      <c r="A28" s="10" t="s">
        <v>26</v>
      </c>
      <c r="B28" s="13" t="n">
        <v>0.6</v>
      </c>
      <c r="C28" s="10" t="s">
        <v>32</v>
      </c>
      <c r="D28" s="12" t="s">
        <v>38</v>
      </c>
    </row>
    <row r="29" customFormat="false" ht="15" hidden="false" customHeight="true" outlineLevel="0" collapsed="false">
      <c r="A29" s="10" t="s">
        <v>27</v>
      </c>
      <c r="B29" s="13" t="n">
        <v>2</v>
      </c>
      <c r="C29" s="10" t="s">
        <v>32</v>
      </c>
      <c r="D29" s="12" t="s">
        <v>39</v>
      </c>
    </row>
    <row r="30" customFormat="false" ht="15" hidden="false" customHeight="true" outlineLevel="0" collapsed="false">
      <c r="A30" s="10" t="s">
        <v>28</v>
      </c>
      <c r="B30" s="13" t="n">
        <v>0.75</v>
      </c>
      <c r="C30" s="10" t="s">
        <v>32</v>
      </c>
      <c r="D30" s="12" t="s">
        <v>40</v>
      </c>
    </row>
    <row r="33" customFormat="false" ht="15" hidden="false" customHeight="true" outlineLevel="0" collapsed="false">
      <c r="A33" s="4" t="s">
        <v>41</v>
      </c>
      <c r="B33" s="4"/>
      <c r="C33" s="4"/>
      <c r="D33" s="4"/>
    </row>
    <row r="34" customFormat="false" ht="15" hidden="false" customHeight="true" outlineLevel="0" collapsed="false">
      <c r="A34" s="9" t="s">
        <v>15</v>
      </c>
      <c r="B34" s="9" t="s">
        <v>42</v>
      </c>
      <c r="C34" s="9" t="s">
        <v>43</v>
      </c>
      <c r="D34" s="9" t="s">
        <v>31</v>
      </c>
    </row>
    <row r="35" customFormat="false" ht="15" hidden="false" customHeight="true" outlineLevel="0" collapsed="false">
      <c r="A35" s="10" t="s">
        <v>19</v>
      </c>
      <c r="B35" s="7" t="n">
        <v>30</v>
      </c>
      <c r="C35" s="11" t="s">
        <v>44</v>
      </c>
      <c r="D35" s="12" t="s">
        <v>45</v>
      </c>
    </row>
    <row r="36" customFormat="false" ht="15" hidden="false" customHeight="true" outlineLevel="0" collapsed="false">
      <c r="A36" s="10" t="s">
        <v>22</v>
      </c>
      <c r="B36" s="7" t="n">
        <v>12</v>
      </c>
      <c r="C36" s="11" t="s">
        <v>44</v>
      </c>
      <c r="D36" s="12" t="s">
        <v>45</v>
      </c>
    </row>
    <row r="37" customFormat="false" ht="15" hidden="false" customHeight="true" outlineLevel="0" collapsed="false">
      <c r="A37" s="10" t="s">
        <v>23</v>
      </c>
      <c r="B37" s="7" t="n">
        <v>1</v>
      </c>
      <c r="C37" s="11" t="s">
        <v>44</v>
      </c>
      <c r="D37" s="12" t="s">
        <v>46</v>
      </c>
    </row>
    <row r="38" customFormat="false" ht="15" hidden="false" customHeight="true" outlineLevel="0" collapsed="false">
      <c r="A38" s="10" t="s">
        <v>24</v>
      </c>
      <c r="B38" s="7" t="n">
        <v>100</v>
      </c>
      <c r="C38" s="11" t="s">
        <v>44</v>
      </c>
      <c r="D38" s="12" t="s">
        <v>47</v>
      </c>
    </row>
    <row r="39" customFormat="false" ht="15" hidden="false" customHeight="true" outlineLevel="0" collapsed="false">
      <c r="A39" s="10" t="s">
        <v>25</v>
      </c>
      <c r="B39" s="7" t="n">
        <v>30</v>
      </c>
      <c r="C39" s="11" t="s">
        <v>44</v>
      </c>
      <c r="D39" s="12" t="s">
        <v>48</v>
      </c>
    </row>
    <row r="40" customFormat="false" ht="15" hidden="false" customHeight="true" outlineLevel="0" collapsed="false">
      <c r="A40" s="10" t="s">
        <v>26</v>
      </c>
      <c r="B40" s="7" t="n">
        <v>60</v>
      </c>
      <c r="C40" s="11" t="s">
        <v>44</v>
      </c>
      <c r="D40" s="12" t="s">
        <v>49</v>
      </c>
    </row>
    <row r="41" customFormat="false" ht="15" hidden="false" customHeight="true" outlineLevel="0" collapsed="false">
      <c r="A41" s="10" t="s">
        <v>27</v>
      </c>
      <c r="B41" s="7" t="n">
        <v>100</v>
      </c>
      <c r="C41" s="11" t="s">
        <v>44</v>
      </c>
      <c r="D41" s="12" t="s">
        <v>50</v>
      </c>
    </row>
    <row r="42" customFormat="false" ht="15" hidden="false" customHeight="true" outlineLevel="0" collapsed="false">
      <c r="A42" s="10" t="s">
        <v>28</v>
      </c>
      <c r="B42" s="7" t="n">
        <v>150</v>
      </c>
      <c r="C42" s="11" t="s">
        <v>44</v>
      </c>
      <c r="D42" s="12" t="s">
        <v>51</v>
      </c>
    </row>
    <row r="43" customFormat="false" ht="15" hidden="false" customHeight="true" outlineLevel="0" collapsed="false">
      <c r="B43" s="1" t="n">
        <v>125</v>
      </c>
      <c r="C43" s="1" t="n">
        <f aca="false">B43/B35</f>
        <v>4.16666666666667</v>
      </c>
    </row>
    <row r="44" customFormat="false" ht="15" hidden="false" customHeight="true" outlineLevel="0" collapsed="false">
      <c r="B44" s="1" t="n">
        <v>330</v>
      </c>
      <c r="C44" s="1" t="n">
        <f aca="false">B44/B36</f>
        <v>27.5</v>
      </c>
    </row>
    <row r="45" customFormat="false" ht="15" hidden="false" customHeight="true" outlineLevel="0" collapsed="false">
      <c r="A45" s="4" t="s">
        <v>52</v>
      </c>
      <c r="B45" s="4"/>
      <c r="C45" s="4"/>
      <c r="D45" s="4"/>
    </row>
    <row r="46" customFormat="false" ht="15" hidden="false" customHeight="true" outlineLevel="0" collapsed="false">
      <c r="A46" s="9" t="s">
        <v>15</v>
      </c>
      <c r="B46" s="9" t="n">
        <v>7</v>
      </c>
      <c r="C46" s="9" t="n">
        <f aca="false">B46/B38</f>
        <v>0.07</v>
      </c>
      <c r="D46" s="9" t="s">
        <v>53</v>
      </c>
    </row>
    <row r="47" customFormat="false" ht="15" hidden="false" customHeight="true" outlineLevel="0" collapsed="false">
      <c r="A47" s="10" t="s">
        <v>19</v>
      </c>
      <c r="B47" s="14" t="n">
        <v>125</v>
      </c>
      <c r="C47" s="15" t="n">
        <f aca="false">B47/B35</f>
        <v>4.16666666666667</v>
      </c>
      <c r="D47" s="11" t="s">
        <v>54</v>
      </c>
    </row>
    <row r="48" customFormat="false" ht="15" hidden="false" customHeight="true" outlineLevel="0" collapsed="false">
      <c r="A48" s="10" t="s">
        <v>22</v>
      </c>
      <c r="B48" s="14" t="n">
        <v>330</v>
      </c>
      <c r="C48" s="15" t="n">
        <f aca="false">B48/B36</f>
        <v>27.5</v>
      </c>
      <c r="D48" s="11" t="s">
        <v>54</v>
      </c>
    </row>
    <row r="49" customFormat="false" ht="15" hidden="false" customHeight="true" outlineLevel="0" collapsed="false">
      <c r="A49" s="10" t="s">
        <v>23</v>
      </c>
      <c r="B49" s="14" t="n">
        <v>60</v>
      </c>
      <c r="C49" s="15" t="n">
        <f aca="false">B49/B37</f>
        <v>60</v>
      </c>
      <c r="D49" s="11" t="s">
        <v>54</v>
      </c>
    </row>
    <row r="50" customFormat="false" ht="15" hidden="false" customHeight="true" outlineLevel="0" collapsed="false">
      <c r="A50" s="10" t="s">
        <v>24</v>
      </c>
      <c r="B50" s="14" t="n">
        <v>7</v>
      </c>
      <c r="C50" s="15" t="n">
        <f aca="false">B50/B38</f>
        <v>0.07</v>
      </c>
      <c r="D50" s="11" t="s">
        <v>54</v>
      </c>
    </row>
    <row r="51" customFormat="false" ht="15" hidden="false" customHeight="true" outlineLevel="0" collapsed="false">
      <c r="A51" s="10" t="s">
        <v>25</v>
      </c>
      <c r="B51" s="14" t="n">
        <v>36</v>
      </c>
      <c r="C51" s="15" t="n">
        <f aca="false">B51/B39</f>
        <v>1.2</v>
      </c>
      <c r="D51" s="11" t="s">
        <v>54</v>
      </c>
    </row>
    <row r="52" customFormat="false" ht="15" hidden="false" customHeight="true" outlineLevel="0" collapsed="false">
      <c r="A52" s="10" t="s">
        <v>26</v>
      </c>
      <c r="B52" s="14" t="n">
        <v>24</v>
      </c>
      <c r="C52" s="15" t="n">
        <f aca="false">B52/B40</f>
        <v>0.4</v>
      </c>
      <c r="D52" s="11" t="s">
        <v>54</v>
      </c>
    </row>
    <row r="53" customFormat="false" ht="15" hidden="false" customHeight="true" outlineLevel="0" collapsed="false">
      <c r="A53" s="10" t="s">
        <v>27</v>
      </c>
      <c r="B53" s="14" t="n">
        <v>30</v>
      </c>
      <c r="C53" s="15" t="n">
        <f aca="false">B53/B41</f>
        <v>0.3</v>
      </c>
      <c r="D53" s="11" t="s">
        <v>54</v>
      </c>
    </row>
    <row r="54" customFormat="false" ht="15" hidden="false" customHeight="true" outlineLevel="0" collapsed="false">
      <c r="A54" s="10" t="s">
        <v>28</v>
      </c>
      <c r="B54" s="14" t="n">
        <v>28</v>
      </c>
      <c r="C54" s="15" t="n">
        <f aca="false">B54/B42</f>
        <v>0.186666666666667</v>
      </c>
      <c r="D54" s="11" t="s">
        <v>54</v>
      </c>
    </row>
    <row r="57" customFormat="false" ht="15" hidden="false" customHeight="true" outlineLevel="0" collapsed="false">
      <c r="A57" s="4" t="s">
        <v>55</v>
      </c>
      <c r="B57" s="4"/>
      <c r="C57" s="4"/>
      <c r="D57" s="4"/>
      <c r="E57" s="4"/>
    </row>
    <row r="58" customFormat="false" ht="15" hidden="false" customHeight="true" outlineLevel="0" collapsed="false">
      <c r="A58" s="9" t="s">
        <v>15</v>
      </c>
      <c r="B58" s="9" t="s">
        <v>56</v>
      </c>
      <c r="C58" s="9" t="s">
        <v>57</v>
      </c>
      <c r="D58" s="9" t="s">
        <v>58</v>
      </c>
    </row>
    <row r="59" customFormat="false" ht="15" hidden="false" customHeight="true" outlineLevel="0" collapsed="false">
      <c r="A59" s="10" t="s">
        <v>19</v>
      </c>
      <c r="B59" s="14" t="n">
        <v>2300</v>
      </c>
      <c r="C59" s="16" t="n">
        <v>0.3</v>
      </c>
      <c r="D59" s="12" t="s">
        <v>59</v>
      </c>
    </row>
    <row r="60" customFormat="false" ht="15" hidden="false" customHeight="true" outlineLevel="0" collapsed="false">
      <c r="A60" s="10" t="s">
        <v>22</v>
      </c>
      <c r="B60" s="14" t="n">
        <v>6000</v>
      </c>
      <c r="C60" s="16" t="n">
        <v>4.5</v>
      </c>
      <c r="D60" s="12" t="s">
        <v>59</v>
      </c>
    </row>
    <row r="61" customFormat="false" ht="15" hidden="false" customHeight="true" outlineLevel="0" collapsed="false">
      <c r="A61" s="10" t="s">
        <v>60</v>
      </c>
      <c r="B61" s="14" t="n">
        <v>0</v>
      </c>
      <c r="C61" s="16" t="n">
        <v>0</v>
      </c>
      <c r="D61" s="12" t="s">
        <v>61</v>
      </c>
    </row>
    <row r="64" customFormat="false" ht="15" hidden="false" customHeight="true" outlineLevel="0" collapsed="false">
      <c r="A64" s="4" t="s">
        <v>62</v>
      </c>
      <c r="B64" s="4"/>
      <c r="C64" s="4"/>
      <c r="D64" s="4"/>
      <c r="E64" s="4"/>
      <c r="F64" s="4"/>
      <c r="G64" s="4"/>
    </row>
    <row r="65" customFormat="false" ht="15" hidden="false" customHeight="true" outlineLevel="0" collapsed="false">
      <c r="A65" s="9" t="s">
        <v>63</v>
      </c>
      <c r="B65" s="9" t="s">
        <v>64</v>
      </c>
      <c r="C65" s="9" t="s">
        <v>65</v>
      </c>
      <c r="D65" s="9" t="s">
        <v>66</v>
      </c>
      <c r="E65" s="9" t="s">
        <v>67</v>
      </c>
      <c r="F65" s="9" t="s">
        <v>68</v>
      </c>
    </row>
    <row r="66" customFormat="false" ht="15" hidden="false" customHeight="true" outlineLevel="0" collapsed="false">
      <c r="A66" s="11" t="s">
        <v>69</v>
      </c>
      <c r="B66" s="17" t="n">
        <v>125</v>
      </c>
      <c r="C66" s="18" t="s">
        <v>70</v>
      </c>
      <c r="D66" s="18" t="s">
        <v>71</v>
      </c>
      <c r="E66" s="18" t="s">
        <v>44</v>
      </c>
      <c r="F66" s="11" t="s">
        <v>72</v>
      </c>
    </row>
    <row r="67" customFormat="false" ht="15" hidden="false" customHeight="true" outlineLevel="0" collapsed="false">
      <c r="A67" s="11" t="s">
        <v>73</v>
      </c>
      <c r="B67" s="17" t="n">
        <v>100</v>
      </c>
      <c r="C67" s="18" t="s">
        <v>74</v>
      </c>
      <c r="D67" s="18" t="s">
        <v>75</v>
      </c>
      <c r="E67" s="18" t="n">
        <v>150</v>
      </c>
      <c r="F67" s="11" t="s">
        <v>76</v>
      </c>
    </row>
    <row r="68" customFormat="false" ht="15" hidden="false" customHeight="true" outlineLevel="0" collapsed="false">
      <c r="A68" s="11" t="s">
        <v>77</v>
      </c>
      <c r="B68" s="17" t="n">
        <v>140</v>
      </c>
      <c r="C68" s="18" t="s">
        <v>78</v>
      </c>
      <c r="D68" s="18" t="s">
        <v>71</v>
      </c>
      <c r="E68" s="18" t="s">
        <v>44</v>
      </c>
      <c r="F68" s="11" t="s">
        <v>72</v>
      </c>
    </row>
    <row r="69" customFormat="false" ht="15" hidden="false" customHeight="true" outlineLevel="0" collapsed="false">
      <c r="A69" s="19" t="s">
        <v>79</v>
      </c>
      <c r="B69" s="20" t="s">
        <v>69</v>
      </c>
    </row>
    <row r="72" customFormat="false" ht="15" hidden="false" customHeight="true" outlineLevel="0" collapsed="false">
      <c r="A72" s="4" t="s">
        <v>80</v>
      </c>
      <c r="B72" s="4"/>
      <c r="C72" s="4"/>
      <c r="D72" s="4"/>
      <c r="E72" s="4"/>
      <c r="F72" s="4"/>
      <c r="G72" s="4"/>
    </row>
    <row r="73" customFormat="false" ht="15" hidden="false" customHeight="true" outlineLevel="0" collapsed="false">
      <c r="A73" s="9" t="s">
        <v>63</v>
      </c>
      <c r="B73" s="9" t="s">
        <v>64</v>
      </c>
      <c r="C73" s="9" t="s">
        <v>65</v>
      </c>
      <c r="D73" s="9" t="s">
        <v>66</v>
      </c>
      <c r="E73" s="9" t="s">
        <v>67</v>
      </c>
      <c r="F73" s="9" t="s">
        <v>68</v>
      </c>
    </row>
    <row r="74" customFormat="false" ht="15" hidden="false" customHeight="true" outlineLevel="0" collapsed="false">
      <c r="A74" s="11" t="s">
        <v>69</v>
      </c>
      <c r="B74" s="17" t="n">
        <v>330</v>
      </c>
      <c r="C74" s="18" t="s">
        <v>70</v>
      </c>
      <c r="D74" s="18" t="s">
        <v>71</v>
      </c>
      <c r="E74" s="18" t="s">
        <v>44</v>
      </c>
      <c r="F74" s="11" t="s">
        <v>72</v>
      </c>
    </row>
    <row r="75" customFormat="false" ht="15" hidden="false" customHeight="true" outlineLevel="0" collapsed="false">
      <c r="A75" s="11" t="s">
        <v>73</v>
      </c>
      <c r="B75" s="17" t="n">
        <v>264</v>
      </c>
      <c r="C75" s="18" t="s">
        <v>74</v>
      </c>
      <c r="D75" s="18" t="s">
        <v>81</v>
      </c>
      <c r="E75" s="18" t="n">
        <v>80</v>
      </c>
      <c r="F75" s="11" t="s">
        <v>76</v>
      </c>
    </row>
    <row r="76" customFormat="false" ht="15" hidden="false" customHeight="true" outlineLevel="0" collapsed="false">
      <c r="A76" s="11" t="s">
        <v>77</v>
      </c>
      <c r="B76" s="17" t="n">
        <v>370</v>
      </c>
      <c r="C76" s="18" t="s">
        <v>78</v>
      </c>
      <c r="D76" s="18" t="s">
        <v>71</v>
      </c>
      <c r="E76" s="18" t="s">
        <v>44</v>
      </c>
      <c r="F76" s="11" t="s">
        <v>72</v>
      </c>
    </row>
    <row r="77" customFormat="false" ht="15" hidden="false" customHeight="true" outlineLevel="0" collapsed="false">
      <c r="A77" s="19" t="s">
        <v>79</v>
      </c>
      <c r="B77" s="20" t="s">
        <v>69</v>
      </c>
    </row>
    <row r="80" customFormat="false" ht="15" hidden="false" customHeight="true" outlineLevel="0" collapsed="false">
      <c r="A80" s="4" t="s">
        <v>82</v>
      </c>
      <c r="B80" s="4"/>
      <c r="C80" s="4"/>
      <c r="D80" s="4"/>
    </row>
    <row r="81" customFormat="false" ht="15" hidden="false" customHeight="true" outlineLevel="0" collapsed="false">
      <c r="A81" s="9" t="s">
        <v>15</v>
      </c>
      <c r="B81" s="9" t="s">
        <v>83</v>
      </c>
      <c r="C81" s="9" t="s">
        <v>84</v>
      </c>
      <c r="D81" s="9" t="s">
        <v>85</v>
      </c>
    </row>
    <row r="82" customFormat="false" ht="15" hidden="false" customHeight="true" outlineLevel="0" collapsed="false">
      <c r="A82" s="10" t="s">
        <v>19</v>
      </c>
      <c r="B82" s="7" t="n">
        <v>2000</v>
      </c>
      <c r="C82" s="21" t="n">
        <v>10</v>
      </c>
      <c r="D82" s="22" t="n">
        <v>1</v>
      </c>
    </row>
    <row r="83" customFormat="false" ht="15" hidden="false" customHeight="true" outlineLevel="0" collapsed="false">
      <c r="A83" s="10" t="s">
        <v>22</v>
      </c>
      <c r="B83" s="7" t="n">
        <v>500</v>
      </c>
      <c r="C83" s="21" t="n">
        <v>10</v>
      </c>
      <c r="D83" s="22" t="n">
        <v>1</v>
      </c>
    </row>
    <row r="84" customFormat="false" ht="15" hidden="false" customHeight="true" outlineLevel="0" collapsed="false">
      <c r="A84" s="10" t="s">
        <v>23</v>
      </c>
      <c r="B84" s="7" t="n">
        <v>50</v>
      </c>
      <c r="C84" s="21" t="n">
        <v>20</v>
      </c>
      <c r="D84" s="22" t="n">
        <v>2</v>
      </c>
    </row>
    <row r="85" customFormat="false" ht="15" hidden="false" customHeight="true" outlineLevel="0" collapsed="false">
      <c r="A85" s="10" t="s">
        <v>24</v>
      </c>
      <c r="B85" s="7" t="n">
        <v>10000</v>
      </c>
      <c r="C85" s="21" t="n">
        <v>10</v>
      </c>
      <c r="D85" s="22" t="n">
        <v>1</v>
      </c>
    </row>
    <row r="86" customFormat="false" ht="15" hidden="false" customHeight="true" outlineLevel="0" collapsed="false">
      <c r="A86" s="10" t="s">
        <v>25</v>
      </c>
      <c r="B86" s="7" t="n">
        <v>1000</v>
      </c>
      <c r="C86" s="21" t="n">
        <v>15</v>
      </c>
      <c r="D86" s="22" t="n">
        <v>1</v>
      </c>
    </row>
    <row r="87" customFormat="false" ht="15" hidden="false" customHeight="true" outlineLevel="0" collapsed="false">
      <c r="A87" s="10" t="s">
        <v>26</v>
      </c>
      <c r="B87" s="7" t="n">
        <v>2000</v>
      </c>
      <c r="C87" s="21" t="n">
        <v>15</v>
      </c>
      <c r="D87" s="22" t="n">
        <v>1</v>
      </c>
    </row>
    <row r="88" customFormat="false" ht="15" hidden="false" customHeight="true" outlineLevel="0" collapsed="false">
      <c r="A88" s="23" t="s">
        <v>86</v>
      </c>
      <c r="B88" s="23"/>
      <c r="C88" s="23"/>
      <c r="D88" s="23"/>
      <c r="E88" s="23"/>
    </row>
    <row r="89" customFormat="false" ht="15" hidden="false" customHeight="true" outlineLevel="0" collapsed="false">
      <c r="A89" s="24" t="s">
        <v>87</v>
      </c>
      <c r="B89" s="24"/>
      <c r="C89" s="24"/>
      <c r="D89" s="24"/>
      <c r="E89" s="24"/>
    </row>
    <row r="90" customFormat="false" ht="15" hidden="false" customHeight="true" outlineLevel="0" collapsed="false">
      <c r="A90" s="9" t="s">
        <v>15</v>
      </c>
      <c r="B90" s="9" t="s">
        <v>88</v>
      </c>
      <c r="C90" s="9" t="s">
        <v>89</v>
      </c>
      <c r="D90" s="9" t="s">
        <v>90</v>
      </c>
      <c r="E90" s="9" t="s">
        <v>91</v>
      </c>
    </row>
    <row r="91" customFormat="false" ht="15" hidden="false" customHeight="true" outlineLevel="0" collapsed="false">
      <c r="A91" s="10" t="s">
        <v>19</v>
      </c>
      <c r="B91" s="25" t="n">
        <v>1</v>
      </c>
      <c r="C91" s="26" t="n">
        <f aca="false">BOM_Consumo!K6/8</f>
        <v>370</v>
      </c>
      <c r="D91" s="26" t="n">
        <f aca="false">B91*C91</f>
        <v>370</v>
      </c>
      <c r="E91" s="27" t="str">
        <f aca="false">IF(B91&gt;=1.5,"NO","SÍ - RIESGO ALTO")</f>
        <v>SÍ - RIESGO ALTO</v>
      </c>
    </row>
    <row r="92" customFormat="false" ht="15" hidden="false" customHeight="true" outlineLevel="0" collapsed="false">
      <c r="A92" s="10" t="s">
        <v>22</v>
      </c>
      <c r="B92" s="25" t="n">
        <v>1</v>
      </c>
      <c r="C92" s="26" t="n">
        <f aca="false">BOM_Consumo!K7/8</f>
        <v>18.5</v>
      </c>
      <c r="D92" s="26" t="n">
        <f aca="false">B92*C92</f>
        <v>18.5</v>
      </c>
      <c r="E92" s="27" t="str">
        <f aca="false">IF(B92&gt;=1.5,"NO","SÍ - RIESGO ALTO")</f>
        <v>SÍ - RIESGO ALTO</v>
      </c>
    </row>
    <row r="93" customFormat="false" ht="15" hidden="false" customHeight="true" outlineLevel="0" collapsed="false">
      <c r="A93" s="10" t="s">
        <v>23</v>
      </c>
      <c r="B93" s="25" t="n">
        <v>2</v>
      </c>
      <c r="C93" s="26" t="n">
        <f aca="false">BOM_Consumo!K8/8</f>
        <v>14800</v>
      </c>
      <c r="D93" s="26" t="n">
        <f aca="false">B93*C93</f>
        <v>29600</v>
      </c>
      <c r="E93" s="27" t="str">
        <f aca="false">IF(B93&gt;=1.5,"NO","SÍ - RIESGO ALTO")</f>
        <v>NO</v>
      </c>
    </row>
    <row r="94" customFormat="false" ht="15" hidden="false" customHeight="true" outlineLevel="0" collapsed="false">
      <c r="A94" s="10" t="s">
        <v>24</v>
      </c>
      <c r="B94" s="25" t="n">
        <v>1</v>
      </c>
      <c r="C94" s="26" t="n">
        <f aca="false">BOM_Consumo!K9/8</f>
        <v>555</v>
      </c>
      <c r="D94" s="26" t="n">
        <f aca="false">B94*C94</f>
        <v>555</v>
      </c>
      <c r="E94" s="27" t="str">
        <f aca="false">IF(B94&gt;=1.5,"NO","SÍ - RIESGO ALTO")</f>
        <v>SÍ - RIESGO ALTO</v>
      </c>
    </row>
    <row r="95" customFormat="false" ht="15" hidden="false" customHeight="true" outlineLevel="0" collapsed="false">
      <c r="A95" s="10" t="s">
        <v>25</v>
      </c>
      <c r="B95" s="25" t="n">
        <v>1</v>
      </c>
      <c r="C95" s="26" t="n">
        <f aca="false">BOM_Consumo!K10/8</f>
        <v>1110</v>
      </c>
      <c r="D95" s="26" t="n">
        <f aca="false">B95*C95</f>
        <v>1110</v>
      </c>
      <c r="E95" s="27" t="str">
        <f aca="false">IF(B95&gt;=1.5,"NO","SÍ - RIESGO ALTO")</f>
        <v>SÍ - RIESGO ALTO</v>
      </c>
    </row>
    <row r="96" customFormat="false" ht="15" hidden="false" customHeight="true" outlineLevel="0" collapsed="false">
      <c r="A96" s="10" t="s">
        <v>26</v>
      </c>
      <c r="B96" s="25" t="n">
        <v>1</v>
      </c>
      <c r="C96" s="26" t="n">
        <f aca="false">BOM_Consumo!K11/8</f>
        <v>3700</v>
      </c>
      <c r="D96" s="26" t="n">
        <f aca="false">B96*C96</f>
        <v>3700</v>
      </c>
      <c r="E96" s="27" t="str">
        <f aca="false">IF(B96&gt;=1.5,"NO","SÍ - RIESGO ALTO")</f>
        <v>SÍ - RIESGO ALTO</v>
      </c>
    </row>
    <row r="97" customFormat="false" ht="15" hidden="false" customHeight="true" outlineLevel="0" collapsed="false">
      <c r="A97" s="10" t="s">
        <v>27</v>
      </c>
      <c r="B97" s="25" t="n">
        <v>1</v>
      </c>
      <c r="C97" s="26" t="n">
        <f aca="false">BOM_Consumo!K12/8</f>
        <v>1387.5</v>
      </c>
      <c r="D97" s="26" t="n">
        <f aca="false">B97*C97</f>
        <v>1387.5</v>
      </c>
      <c r="E97" s="27" t="str">
        <f aca="false">IF(B97&gt;=1.5,"NO","SÍ - RIESGO ALTO")</f>
        <v>SÍ - RIESGO ALTO</v>
      </c>
    </row>
    <row r="98" customFormat="false" ht="15" hidden="false" customHeight="true" outlineLevel="0" collapsed="false">
      <c r="A98" s="10" t="s">
        <v>28</v>
      </c>
      <c r="B98" s="25" t="n">
        <v>1</v>
      </c>
      <c r="C98" s="26" t="n">
        <f aca="false">BOM_Consumo!K13/8</f>
        <v>0</v>
      </c>
      <c r="D98" s="26" t="n">
        <f aca="false">B98*C98</f>
        <v>0</v>
      </c>
      <c r="E98" s="27" t="str">
        <f aca="false">IF(B98&gt;=1.5,"NO","SÍ - RIESGO ALTO")</f>
        <v>SÍ - RIESGO ALTO</v>
      </c>
    </row>
  </sheetData>
  <mergeCells count="13">
    <mergeCell ref="A1:K1"/>
    <mergeCell ref="A2:K2"/>
    <mergeCell ref="A4:K4"/>
    <mergeCell ref="A9:D9"/>
    <mergeCell ref="A21:D21"/>
    <mergeCell ref="A33:D33"/>
    <mergeCell ref="A45:D45"/>
    <mergeCell ref="A57:E57"/>
    <mergeCell ref="A64:G64"/>
    <mergeCell ref="A72:G72"/>
    <mergeCell ref="A80:D80"/>
    <mergeCell ref="A88:E88"/>
    <mergeCell ref="A89:E8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11" min="2" style="1" width="12"/>
  </cols>
  <sheetData>
    <row r="1" customFormat="false" ht="17.25" hidden="false" customHeight="true" outlineLevel="0" collapsed="false">
      <c r="A1" s="2" t="s">
        <v>92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true" outlineLevel="0" collapsed="false">
      <c r="A2" s="28" t="s">
        <v>93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</row>
    <row r="3" customFormat="false" ht="15" hidden="false" customHeight="true" outlineLevel="0" collapsed="false">
      <c r="A3" s="29" t="s">
        <v>94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</row>
    <row r="5" customFormat="false" ht="15" hidden="false" customHeight="true" outlineLevel="0" collapsed="false">
      <c r="A5" s="30" t="s">
        <v>15</v>
      </c>
      <c r="B5" s="30" t="s">
        <v>95</v>
      </c>
      <c r="C5" s="30" t="s">
        <v>4</v>
      </c>
      <c r="D5" s="30" t="s">
        <v>5</v>
      </c>
      <c r="E5" s="30" t="s">
        <v>6</v>
      </c>
      <c r="F5" s="30" t="s">
        <v>7</v>
      </c>
      <c r="G5" s="30" t="s">
        <v>8</v>
      </c>
      <c r="H5" s="30" t="s">
        <v>9</v>
      </c>
      <c r="I5" s="30" t="s">
        <v>10</v>
      </c>
      <c r="J5" s="30" t="s">
        <v>11</v>
      </c>
      <c r="K5" s="30" t="s">
        <v>12</v>
      </c>
    </row>
    <row r="6" customFormat="false" ht="15" hidden="false" customHeight="true" outlineLevel="0" collapsed="false">
      <c r="A6" s="10" t="s">
        <v>19</v>
      </c>
      <c r="B6" s="31" t="n">
        <f aca="false">Inputs!B24</f>
        <v>0.2</v>
      </c>
      <c r="C6" s="32" t="n">
        <f aca="false">Inputs!B$6*B6</f>
        <v>370</v>
      </c>
      <c r="D6" s="32" t="n">
        <f aca="false">Inputs!C$6*B6</f>
        <v>370</v>
      </c>
      <c r="E6" s="32" t="n">
        <f aca="false">Inputs!D$6*B6</f>
        <v>370</v>
      </c>
      <c r="F6" s="32" t="n">
        <f aca="false">Inputs!E$6*B6</f>
        <v>370</v>
      </c>
      <c r="G6" s="32" t="n">
        <f aca="false">Inputs!F$6*B6</f>
        <v>370</v>
      </c>
      <c r="H6" s="32" t="n">
        <f aca="false">Inputs!G$6*B6</f>
        <v>370</v>
      </c>
      <c r="I6" s="32" t="n">
        <f aca="false">Inputs!H$6*B6</f>
        <v>370</v>
      </c>
      <c r="J6" s="32" t="n">
        <f aca="false">Inputs!I$6*B6</f>
        <v>370</v>
      </c>
      <c r="K6" s="33" t="n">
        <f aca="false">SUM(C6:J6)</f>
        <v>2960</v>
      </c>
    </row>
    <row r="7" customFormat="false" ht="15" hidden="false" customHeight="true" outlineLevel="0" collapsed="false">
      <c r="A7" s="10" t="s">
        <v>22</v>
      </c>
      <c r="B7" s="31" t="n">
        <f aca="false">Inputs!B25</f>
        <v>0.01</v>
      </c>
      <c r="C7" s="32" t="n">
        <f aca="false">Inputs!B$6*B7</f>
        <v>18.5</v>
      </c>
      <c r="D7" s="32" t="n">
        <f aca="false">Inputs!C$6*B7</f>
        <v>18.5</v>
      </c>
      <c r="E7" s="32" t="n">
        <f aca="false">Inputs!D$6*B7</f>
        <v>18.5</v>
      </c>
      <c r="F7" s="32" t="n">
        <f aca="false">Inputs!E$6*B7</f>
        <v>18.5</v>
      </c>
      <c r="G7" s="32" t="n">
        <f aca="false">Inputs!F$6*B7</f>
        <v>18.5</v>
      </c>
      <c r="H7" s="32" t="n">
        <f aca="false">Inputs!G$6*B7</f>
        <v>18.5</v>
      </c>
      <c r="I7" s="32" t="n">
        <f aca="false">Inputs!H$6*B7</f>
        <v>18.5</v>
      </c>
      <c r="J7" s="32" t="n">
        <f aca="false">Inputs!I$6*B7</f>
        <v>18.5</v>
      </c>
      <c r="K7" s="33" t="n">
        <f aca="false">SUM(C7:J7)</f>
        <v>148</v>
      </c>
    </row>
    <row r="8" customFormat="false" ht="15" hidden="false" customHeight="true" outlineLevel="0" collapsed="false">
      <c r="A8" s="10" t="s">
        <v>23</v>
      </c>
      <c r="B8" s="31" t="n">
        <f aca="false">Inputs!B26</f>
        <v>8</v>
      </c>
      <c r="C8" s="32" t="n">
        <f aca="false">Inputs!B$6*B8</f>
        <v>14800</v>
      </c>
      <c r="D8" s="32" t="n">
        <f aca="false">Inputs!C$6*B8</f>
        <v>14800</v>
      </c>
      <c r="E8" s="32" t="n">
        <f aca="false">Inputs!D$6*B8</f>
        <v>14800</v>
      </c>
      <c r="F8" s="32" t="n">
        <f aca="false">Inputs!E$6*B8</f>
        <v>14800</v>
      </c>
      <c r="G8" s="32" t="n">
        <f aca="false">Inputs!F$6*B8</f>
        <v>14800</v>
      </c>
      <c r="H8" s="32" t="n">
        <f aca="false">Inputs!G$6*B8</f>
        <v>14800</v>
      </c>
      <c r="I8" s="32" t="n">
        <f aca="false">Inputs!H$6*B8</f>
        <v>14800</v>
      </c>
      <c r="J8" s="32" t="n">
        <f aca="false">Inputs!I$6*B8</f>
        <v>14800</v>
      </c>
      <c r="K8" s="33" t="n">
        <f aca="false">SUM(C8:J8)</f>
        <v>118400</v>
      </c>
    </row>
    <row r="9" customFormat="false" ht="15" hidden="false" customHeight="true" outlineLevel="0" collapsed="false">
      <c r="A9" s="10" t="s">
        <v>24</v>
      </c>
      <c r="B9" s="31" t="n">
        <f aca="false">Inputs!B27</f>
        <v>0.3</v>
      </c>
      <c r="C9" s="32" t="n">
        <f aca="false">Inputs!B$6*B9</f>
        <v>555</v>
      </c>
      <c r="D9" s="32" t="n">
        <f aca="false">Inputs!C$6*B9</f>
        <v>555</v>
      </c>
      <c r="E9" s="32" t="n">
        <f aca="false">Inputs!D$6*B9</f>
        <v>555</v>
      </c>
      <c r="F9" s="32" t="n">
        <f aca="false">Inputs!E$6*B9</f>
        <v>555</v>
      </c>
      <c r="G9" s="32" t="n">
        <f aca="false">Inputs!F$6*B9</f>
        <v>555</v>
      </c>
      <c r="H9" s="32" t="n">
        <f aca="false">Inputs!G$6*B9</f>
        <v>555</v>
      </c>
      <c r="I9" s="32" t="n">
        <f aca="false">Inputs!H$6*B9</f>
        <v>555</v>
      </c>
      <c r="J9" s="32" t="n">
        <f aca="false">Inputs!I$6*B9</f>
        <v>555</v>
      </c>
      <c r="K9" s="33" t="n">
        <f aca="false">SUM(C9:J9)</f>
        <v>4440</v>
      </c>
    </row>
    <row r="10" customFormat="false" ht="15" hidden="false" customHeight="true" outlineLevel="0" collapsed="false">
      <c r="A10" s="10" t="s">
        <v>25</v>
      </c>
      <c r="B10" s="31" t="n">
        <f aca="false">Inputs!B28</f>
        <v>0.6</v>
      </c>
      <c r="C10" s="32" t="n">
        <f aca="false">Inputs!B$6*B10</f>
        <v>1110</v>
      </c>
      <c r="D10" s="32" t="n">
        <f aca="false">Inputs!C$6*B10</f>
        <v>1110</v>
      </c>
      <c r="E10" s="32" t="n">
        <f aca="false">Inputs!D$6*B10</f>
        <v>1110</v>
      </c>
      <c r="F10" s="32" t="n">
        <f aca="false">Inputs!E$6*B10</f>
        <v>1110</v>
      </c>
      <c r="G10" s="32" t="n">
        <f aca="false">Inputs!F$6*B10</f>
        <v>1110</v>
      </c>
      <c r="H10" s="32" t="n">
        <f aca="false">Inputs!G$6*B10</f>
        <v>1110</v>
      </c>
      <c r="I10" s="32" t="n">
        <f aca="false">Inputs!H$6*B10</f>
        <v>1110</v>
      </c>
      <c r="J10" s="32" t="n">
        <f aca="false">Inputs!I$6*B10</f>
        <v>1110</v>
      </c>
      <c r="K10" s="33" t="n">
        <f aca="false">SUM(C10:J10)</f>
        <v>8880</v>
      </c>
    </row>
    <row r="11" customFormat="false" ht="15" hidden="false" customHeight="true" outlineLevel="0" collapsed="false">
      <c r="A11" s="10" t="s">
        <v>26</v>
      </c>
      <c r="B11" s="31" t="n">
        <f aca="false">Inputs!B29</f>
        <v>2</v>
      </c>
      <c r="C11" s="32" t="n">
        <f aca="false">Inputs!B$6*B11</f>
        <v>3700</v>
      </c>
      <c r="D11" s="32" t="n">
        <f aca="false">Inputs!C$6*B11</f>
        <v>3700</v>
      </c>
      <c r="E11" s="32" t="n">
        <f aca="false">Inputs!D$6*B11</f>
        <v>3700</v>
      </c>
      <c r="F11" s="32" t="n">
        <f aca="false">Inputs!E$6*B11</f>
        <v>3700</v>
      </c>
      <c r="G11" s="32" t="n">
        <f aca="false">Inputs!F$6*B11</f>
        <v>3700</v>
      </c>
      <c r="H11" s="32" t="n">
        <f aca="false">Inputs!G$6*B11</f>
        <v>3700</v>
      </c>
      <c r="I11" s="32" t="n">
        <f aca="false">Inputs!H$6*B11</f>
        <v>3700</v>
      </c>
      <c r="J11" s="32" t="n">
        <f aca="false">Inputs!I$6*B11</f>
        <v>3700</v>
      </c>
      <c r="K11" s="33" t="n">
        <f aca="false">SUM(C11:J11)</f>
        <v>29600</v>
      </c>
    </row>
    <row r="12" customFormat="false" ht="15" hidden="false" customHeight="true" outlineLevel="0" collapsed="false">
      <c r="A12" s="10" t="s">
        <v>27</v>
      </c>
      <c r="B12" s="31" t="n">
        <f aca="false">Inputs!B30</f>
        <v>0.75</v>
      </c>
      <c r="C12" s="32" t="n">
        <f aca="false">Inputs!B$6*B12</f>
        <v>1387.5</v>
      </c>
      <c r="D12" s="32" t="n">
        <f aca="false">Inputs!C$6*B12</f>
        <v>1387.5</v>
      </c>
      <c r="E12" s="32" t="n">
        <f aca="false">Inputs!D$6*B12</f>
        <v>1387.5</v>
      </c>
      <c r="F12" s="32" t="n">
        <f aca="false">Inputs!E$6*B12</f>
        <v>1387.5</v>
      </c>
      <c r="G12" s="32" t="n">
        <f aca="false">Inputs!F$6*B12</f>
        <v>1387.5</v>
      </c>
      <c r="H12" s="32" t="n">
        <f aca="false">Inputs!G$6*B12</f>
        <v>1387.5</v>
      </c>
      <c r="I12" s="32" t="n">
        <f aca="false">Inputs!H$6*B12</f>
        <v>1387.5</v>
      </c>
      <c r="J12" s="32" t="n">
        <f aca="false">Inputs!I$6*B12</f>
        <v>1387.5</v>
      </c>
      <c r="K12" s="33" t="n">
        <f aca="false">SUM(C12:J12)</f>
        <v>11100</v>
      </c>
    </row>
    <row r="13" customFormat="false" ht="15" hidden="false" customHeight="true" outlineLevel="0" collapsed="false">
      <c r="A13" s="10" t="s">
        <v>28</v>
      </c>
      <c r="B13" s="31" t="n">
        <f aca="false">Inputs!B31</f>
        <v>0</v>
      </c>
      <c r="C13" s="32" t="n">
        <f aca="false">Inputs!B$6*B13</f>
        <v>0</v>
      </c>
      <c r="D13" s="32" t="n">
        <f aca="false">Inputs!C$6*B13</f>
        <v>0</v>
      </c>
      <c r="E13" s="32" t="n">
        <f aca="false">Inputs!D$6*B13</f>
        <v>0</v>
      </c>
      <c r="F13" s="32" t="n">
        <f aca="false">Inputs!E$6*B13</f>
        <v>0</v>
      </c>
      <c r="G13" s="32" t="n">
        <f aca="false">Inputs!F$6*B13</f>
        <v>0</v>
      </c>
      <c r="H13" s="32" t="n">
        <f aca="false">Inputs!G$6*B13</f>
        <v>0</v>
      </c>
      <c r="I13" s="32" t="n">
        <f aca="false">Inputs!H$6*B13</f>
        <v>0</v>
      </c>
      <c r="J13" s="32" t="n">
        <f aca="false">Inputs!I$6*B13</f>
        <v>0</v>
      </c>
      <c r="K13" s="33" t="n">
        <f aca="false">SUM(C13:J13)</f>
        <v>0</v>
      </c>
    </row>
    <row r="15" customFormat="false" ht="15" hidden="false" customHeight="true" outlineLevel="0" collapsed="false">
      <c r="A15" s="34" t="s">
        <v>96</v>
      </c>
      <c r="B15" s="34"/>
      <c r="C15" s="35" t="n">
        <f aca="false">Inputs!B6</f>
        <v>1850</v>
      </c>
      <c r="D15" s="35" t="n">
        <f aca="false">Inputs!C6</f>
        <v>1850</v>
      </c>
      <c r="E15" s="35" t="n">
        <f aca="false">Inputs!D6</f>
        <v>1850</v>
      </c>
      <c r="F15" s="35" t="n">
        <f aca="false">Inputs!E6</f>
        <v>1850</v>
      </c>
      <c r="G15" s="35" t="n">
        <f aca="false">Inputs!F6</f>
        <v>1850</v>
      </c>
      <c r="H15" s="35" t="n">
        <f aca="false">Inputs!G6</f>
        <v>1850</v>
      </c>
      <c r="I15" s="35" t="n">
        <f aca="false">Inputs!H6</f>
        <v>1850</v>
      </c>
      <c r="J15" s="35" t="n">
        <f aca="false">Inputs!I6</f>
        <v>1850</v>
      </c>
      <c r="K15" s="33" t="n">
        <f aca="false">SUM(C15:J15)</f>
        <v>14800</v>
      </c>
    </row>
  </sheetData>
  <mergeCells count="4">
    <mergeCell ref="A1:L1"/>
    <mergeCell ref="A2:L2"/>
    <mergeCell ref="A3:L3"/>
    <mergeCell ref="A15:B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9" min="2" style="1" width="12"/>
  </cols>
  <sheetData>
    <row r="1" customFormat="false" ht="17.25" hidden="false" customHeight="true" outlineLevel="0" collapsed="false">
      <c r="A1" s="2" t="s">
        <v>97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true" outlineLevel="0" collapsed="false">
      <c r="A2" s="28" t="s">
        <v>98</v>
      </c>
      <c r="B2" s="28"/>
      <c r="C2" s="28"/>
      <c r="D2" s="28"/>
      <c r="E2" s="28"/>
      <c r="F2" s="28"/>
      <c r="G2" s="28"/>
      <c r="H2" s="28"/>
      <c r="I2" s="28"/>
      <c r="J2" s="28"/>
      <c r="K2" s="28"/>
    </row>
    <row r="3" customFormat="false" ht="15" hidden="false" customHeight="true" outlineLevel="0" collapsed="false">
      <c r="A3" s="36" t="s">
        <v>99</v>
      </c>
      <c r="B3" s="36"/>
      <c r="C3" s="36"/>
      <c r="D3" s="36"/>
      <c r="E3" s="36"/>
      <c r="F3" s="36"/>
      <c r="G3" s="36"/>
      <c r="H3" s="36"/>
      <c r="I3" s="36"/>
      <c r="J3" s="36"/>
      <c r="K3" s="36"/>
    </row>
    <row r="5" customFormat="false" ht="15" hidden="false" customHeight="true" outlineLevel="0" collapsed="false">
      <c r="A5" s="4" t="s">
        <v>19</v>
      </c>
      <c r="B5" s="4"/>
      <c r="C5" s="4"/>
      <c r="D5" s="4"/>
      <c r="E5" s="4"/>
      <c r="F5" s="4"/>
      <c r="G5" s="4"/>
      <c r="H5" s="4"/>
      <c r="I5" s="4"/>
      <c r="J5" s="4"/>
      <c r="K5" s="4"/>
    </row>
    <row r="6" customFormat="false" ht="15" hidden="false" customHeight="true" outlineLevel="0" collapsed="false">
      <c r="A6" s="5" t="s">
        <v>100</v>
      </c>
      <c r="B6" s="5" t="s">
        <v>4</v>
      </c>
      <c r="C6" s="5" t="s">
        <v>5</v>
      </c>
      <c r="D6" s="5" t="s">
        <v>6</v>
      </c>
      <c r="E6" s="5" t="s">
        <v>7</v>
      </c>
      <c r="F6" s="5" t="s">
        <v>8</v>
      </c>
      <c r="G6" s="5" t="s">
        <v>9</v>
      </c>
      <c r="H6" s="5" t="s">
        <v>10</v>
      </c>
      <c r="I6" s="5" t="s">
        <v>11</v>
      </c>
    </row>
    <row r="7" customFormat="false" ht="15" hidden="false" customHeight="true" outlineLevel="0" collapsed="false">
      <c r="A7" s="10" t="s">
        <v>101</v>
      </c>
      <c r="B7" s="37" t="n">
        <f aca="false">Inputs!B13</f>
        <v>130</v>
      </c>
      <c r="C7" s="26" t="n">
        <f aca="false">B10</f>
        <v>-240</v>
      </c>
      <c r="D7" s="26" t="n">
        <f aca="false">C10</f>
        <v>-610</v>
      </c>
      <c r="E7" s="26" t="n">
        <f aca="false">D10</f>
        <v>-980</v>
      </c>
      <c r="F7" s="26" t="n">
        <f aca="false">E10</f>
        <v>-1350</v>
      </c>
      <c r="G7" s="26" t="n">
        <f aca="false">F10</f>
        <v>-1720</v>
      </c>
      <c r="H7" s="26" t="n">
        <f aca="false">G10</f>
        <v>-2090</v>
      </c>
      <c r="I7" s="26" t="n">
        <f aca="false">H10</f>
        <v>-2460</v>
      </c>
    </row>
    <row r="8" customFormat="false" ht="15" hidden="false" customHeight="true" outlineLevel="0" collapsed="false">
      <c r="A8" s="10" t="s">
        <v>102</v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</row>
    <row r="9" customFormat="false" ht="15" hidden="false" customHeight="true" outlineLevel="0" collapsed="false">
      <c r="A9" s="10" t="s">
        <v>103</v>
      </c>
      <c r="B9" s="37" t="n">
        <f aca="false">BOM_Consumo!C6</f>
        <v>370</v>
      </c>
      <c r="C9" s="37" t="n">
        <f aca="false">BOM_Consumo!D6</f>
        <v>370</v>
      </c>
      <c r="D9" s="37" t="n">
        <f aca="false">BOM_Consumo!E6</f>
        <v>370</v>
      </c>
      <c r="E9" s="37" t="n">
        <f aca="false">BOM_Consumo!F6</f>
        <v>370</v>
      </c>
      <c r="F9" s="37" t="n">
        <f aca="false">BOM_Consumo!G6</f>
        <v>370</v>
      </c>
      <c r="G9" s="37" t="n">
        <f aca="false">BOM_Consumo!H6</f>
        <v>370</v>
      </c>
      <c r="H9" s="37" t="n">
        <f aca="false">BOM_Consumo!I6</f>
        <v>370</v>
      </c>
      <c r="I9" s="37" t="n">
        <f aca="false">BOM_Consumo!J6</f>
        <v>370</v>
      </c>
    </row>
    <row r="10" customFormat="false" ht="15" hidden="false" customHeight="true" outlineLevel="0" collapsed="false">
      <c r="A10" s="6" t="s">
        <v>104</v>
      </c>
      <c r="B10" s="33" t="n">
        <f aca="false">B7+B8-B9</f>
        <v>-240</v>
      </c>
      <c r="C10" s="33" t="n">
        <f aca="false">C7+C8-C9</f>
        <v>-610</v>
      </c>
      <c r="D10" s="33" t="n">
        <f aca="false">D7+D8-D9</f>
        <v>-980</v>
      </c>
      <c r="E10" s="33" t="n">
        <f aca="false">E7+E8-E9</f>
        <v>-1350</v>
      </c>
      <c r="F10" s="33" t="n">
        <f aca="false">F7+F8-F9</f>
        <v>-1720</v>
      </c>
      <c r="G10" s="33" t="n">
        <f aca="false">G7+G8-G9</f>
        <v>-2090</v>
      </c>
      <c r="H10" s="33" t="n">
        <f aca="false">H7+H8-H9</f>
        <v>-2460</v>
      </c>
      <c r="I10" s="33" t="n">
        <f aca="false">I7+I8-I9</f>
        <v>-2830</v>
      </c>
    </row>
    <row r="11" customFormat="false" ht="15" hidden="false" customHeight="true" outlineLevel="0" collapsed="false">
      <c r="A11" s="4" t="s">
        <v>22</v>
      </c>
      <c r="B11" s="4"/>
      <c r="C11" s="4"/>
      <c r="D11" s="4"/>
      <c r="E11" s="4"/>
      <c r="F11" s="4"/>
      <c r="G11" s="4"/>
      <c r="H11" s="4"/>
      <c r="I11" s="4"/>
      <c r="J11" s="4"/>
      <c r="K11" s="4"/>
    </row>
    <row r="12" customFormat="false" ht="15" hidden="false" customHeight="true" outlineLevel="0" collapsed="false">
      <c r="A12" s="5" t="s">
        <v>100</v>
      </c>
      <c r="B12" s="5" t="s">
        <v>4</v>
      </c>
      <c r="C12" s="5" t="s">
        <v>5</v>
      </c>
      <c r="D12" s="5" t="s">
        <v>6</v>
      </c>
      <c r="E12" s="5" t="s">
        <v>7</v>
      </c>
      <c r="F12" s="5" t="s">
        <v>8</v>
      </c>
      <c r="G12" s="5" t="s">
        <v>9</v>
      </c>
      <c r="H12" s="5" t="s">
        <v>10</v>
      </c>
      <c r="I12" s="5" t="s">
        <v>11</v>
      </c>
    </row>
    <row r="13" customFormat="false" ht="15" hidden="false" customHeight="true" outlineLevel="0" collapsed="false">
      <c r="A13" s="10" t="s">
        <v>101</v>
      </c>
      <c r="B13" s="37" t="n">
        <f aca="false">Inputs!B14</f>
        <v>5268</v>
      </c>
      <c r="C13" s="26" t="n">
        <f aca="false">B16</f>
        <v>5249.5</v>
      </c>
      <c r="D13" s="26" t="n">
        <f aca="false">C16</f>
        <v>5231</v>
      </c>
      <c r="E13" s="26" t="n">
        <f aca="false">D16</f>
        <v>5212.5</v>
      </c>
      <c r="F13" s="26" t="n">
        <f aca="false">E16</f>
        <v>5194</v>
      </c>
      <c r="G13" s="26" t="n">
        <f aca="false">F16</f>
        <v>5175.5</v>
      </c>
      <c r="H13" s="26" t="n">
        <f aca="false">G16</f>
        <v>5157</v>
      </c>
      <c r="I13" s="26" t="n">
        <f aca="false">H16</f>
        <v>5138.5</v>
      </c>
    </row>
    <row r="14" customFormat="false" ht="15" hidden="false" customHeight="true" outlineLevel="0" collapsed="false">
      <c r="A14" s="10" t="s">
        <v>102</v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</v>
      </c>
    </row>
    <row r="15" customFormat="false" ht="15" hidden="false" customHeight="true" outlineLevel="0" collapsed="false">
      <c r="A15" s="10" t="s">
        <v>103</v>
      </c>
      <c r="B15" s="37" t="n">
        <f aca="false">BOM_Consumo!C7</f>
        <v>18.5</v>
      </c>
      <c r="C15" s="37" t="n">
        <f aca="false">BOM_Consumo!D7</f>
        <v>18.5</v>
      </c>
      <c r="D15" s="37" t="n">
        <f aca="false">BOM_Consumo!E7</f>
        <v>18.5</v>
      </c>
      <c r="E15" s="37" t="n">
        <f aca="false">BOM_Consumo!F7</f>
        <v>18.5</v>
      </c>
      <c r="F15" s="37" t="n">
        <f aca="false">BOM_Consumo!G7</f>
        <v>18.5</v>
      </c>
      <c r="G15" s="37" t="n">
        <f aca="false">BOM_Consumo!H7</f>
        <v>18.5</v>
      </c>
      <c r="H15" s="37" t="n">
        <f aca="false">BOM_Consumo!I7</f>
        <v>18.5</v>
      </c>
      <c r="I15" s="37" t="n">
        <f aca="false">BOM_Consumo!J7</f>
        <v>18.5</v>
      </c>
    </row>
    <row r="16" customFormat="false" ht="15" hidden="false" customHeight="true" outlineLevel="0" collapsed="false">
      <c r="A16" s="6" t="s">
        <v>104</v>
      </c>
      <c r="B16" s="33" t="n">
        <f aca="false">B13+B14-B15</f>
        <v>5249.5</v>
      </c>
      <c r="C16" s="33" t="n">
        <f aca="false">C13+C14-C15</f>
        <v>5231</v>
      </c>
      <c r="D16" s="33" t="n">
        <f aca="false">D13+D14-D15</f>
        <v>5212.5</v>
      </c>
      <c r="E16" s="33" t="n">
        <f aca="false">E13+E14-E15</f>
        <v>5194</v>
      </c>
      <c r="F16" s="33" t="n">
        <f aca="false">F13+F14-F15</f>
        <v>5175.5</v>
      </c>
      <c r="G16" s="33" t="n">
        <f aca="false">G13+G14-G15</f>
        <v>5157</v>
      </c>
      <c r="H16" s="33" t="n">
        <f aca="false">H13+H14-H15</f>
        <v>5138.5</v>
      </c>
      <c r="I16" s="33" t="n">
        <f aca="false">I13+I14-I15</f>
        <v>5120</v>
      </c>
    </row>
    <row r="17" customFormat="false" ht="15" hidden="false" customHeight="true" outlineLevel="0" collapsed="false">
      <c r="A17" s="4" t="s">
        <v>23</v>
      </c>
      <c r="B17" s="4"/>
      <c r="C17" s="4"/>
      <c r="D17" s="4"/>
      <c r="E17" s="4"/>
      <c r="F17" s="4"/>
      <c r="G17" s="4"/>
      <c r="H17" s="4"/>
      <c r="I17" s="4"/>
      <c r="J17" s="4"/>
      <c r="K17" s="4"/>
    </row>
    <row r="18" customFormat="false" ht="15" hidden="false" customHeight="true" outlineLevel="0" collapsed="false">
      <c r="A18" s="5" t="s">
        <v>100</v>
      </c>
      <c r="B18" s="5" t="s">
        <v>4</v>
      </c>
      <c r="C18" s="5" t="s">
        <v>5</v>
      </c>
      <c r="D18" s="5" t="s">
        <v>6</v>
      </c>
      <c r="E18" s="5" t="s">
        <v>7</v>
      </c>
      <c r="F18" s="5" t="s">
        <v>8</v>
      </c>
      <c r="G18" s="5" t="s">
        <v>9</v>
      </c>
      <c r="H18" s="5" t="s">
        <v>10</v>
      </c>
      <c r="I18" s="5" t="s">
        <v>11</v>
      </c>
    </row>
    <row r="19" customFormat="false" ht="15" hidden="false" customHeight="true" outlineLevel="0" collapsed="false">
      <c r="A19" s="10" t="s">
        <v>101</v>
      </c>
      <c r="B19" s="37" t="n">
        <f aca="false">Inputs!B15</f>
        <v>4333</v>
      </c>
      <c r="C19" s="26" t="n">
        <f aca="false">B22</f>
        <v>-10467</v>
      </c>
      <c r="D19" s="26" t="n">
        <f aca="false">C22</f>
        <v>-25267</v>
      </c>
      <c r="E19" s="26" t="n">
        <f aca="false">D22</f>
        <v>-40067</v>
      </c>
      <c r="F19" s="26" t="n">
        <f aca="false">E22</f>
        <v>-54867</v>
      </c>
      <c r="G19" s="26" t="n">
        <f aca="false">F22</f>
        <v>-69667</v>
      </c>
      <c r="H19" s="26" t="n">
        <f aca="false">G22</f>
        <v>-84467</v>
      </c>
      <c r="I19" s="26" t="n">
        <f aca="false">H22</f>
        <v>-99267</v>
      </c>
    </row>
    <row r="20" customFormat="false" ht="15" hidden="false" customHeight="true" outlineLevel="0" collapsed="false">
      <c r="A20" s="10" t="s">
        <v>102</v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</row>
    <row r="21" customFormat="false" ht="15" hidden="false" customHeight="true" outlineLevel="0" collapsed="false">
      <c r="A21" s="10" t="s">
        <v>103</v>
      </c>
      <c r="B21" s="37" t="n">
        <f aca="false">BOM_Consumo!C8</f>
        <v>14800</v>
      </c>
      <c r="C21" s="37" t="n">
        <f aca="false">BOM_Consumo!D8</f>
        <v>14800</v>
      </c>
      <c r="D21" s="37" t="n">
        <f aca="false">BOM_Consumo!E8</f>
        <v>14800</v>
      </c>
      <c r="E21" s="37" t="n">
        <f aca="false">BOM_Consumo!F8</f>
        <v>14800</v>
      </c>
      <c r="F21" s="37" t="n">
        <f aca="false">BOM_Consumo!G8</f>
        <v>14800</v>
      </c>
      <c r="G21" s="37" t="n">
        <f aca="false">BOM_Consumo!H8</f>
        <v>14800</v>
      </c>
      <c r="H21" s="37" t="n">
        <f aca="false">BOM_Consumo!I8</f>
        <v>14800</v>
      </c>
      <c r="I21" s="37" t="n">
        <f aca="false">BOM_Consumo!J8</f>
        <v>14800</v>
      </c>
    </row>
    <row r="22" customFormat="false" ht="15" hidden="false" customHeight="true" outlineLevel="0" collapsed="false">
      <c r="A22" s="6" t="s">
        <v>104</v>
      </c>
      <c r="B22" s="33" t="n">
        <f aca="false">B19+B20-B21</f>
        <v>-10467</v>
      </c>
      <c r="C22" s="33" t="n">
        <f aca="false">C19+C20-C21</f>
        <v>-25267</v>
      </c>
      <c r="D22" s="33" t="n">
        <f aca="false">D19+D20-D21</f>
        <v>-40067</v>
      </c>
      <c r="E22" s="33" t="n">
        <f aca="false">E19+E20-E21</f>
        <v>-54867</v>
      </c>
      <c r="F22" s="33" t="n">
        <f aca="false">F19+F20-F21</f>
        <v>-69667</v>
      </c>
      <c r="G22" s="33" t="n">
        <f aca="false">G19+G20-G21</f>
        <v>-84467</v>
      </c>
      <c r="H22" s="33" t="n">
        <f aca="false">H19+H20-H21</f>
        <v>-99267</v>
      </c>
      <c r="I22" s="33" t="n">
        <f aca="false">I19+I20-I21</f>
        <v>-114067</v>
      </c>
    </row>
    <row r="23" customFormat="false" ht="15" hidden="false" customHeight="true" outlineLevel="0" collapsed="false">
      <c r="A23" s="4" t="s">
        <v>24</v>
      </c>
      <c r="B23" s="4"/>
      <c r="C23" s="4"/>
      <c r="D23" s="4"/>
      <c r="E23" s="4"/>
      <c r="F23" s="4"/>
      <c r="G23" s="4"/>
      <c r="H23" s="4"/>
      <c r="I23" s="4"/>
      <c r="J23" s="4"/>
      <c r="K23" s="4"/>
    </row>
    <row r="24" customFormat="false" ht="15" hidden="false" customHeight="true" outlineLevel="0" collapsed="false">
      <c r="A24" s="5" t="s">
        <v>100</v>
      </c>
      <c r="B24" s="5" t="s">
        <v>4</v>
      </c>
      <c r="C24" s="5" t="s">
        <v>5</v>
      </c>
      <c r="D24" s="5" t="s">
        <v>6</v>
      </c>
      <c r="E24" s="5" t="s">
        <v>7</v>
      </c>
      <c r="F24" s="5" t="s">
        <v>8</v>
      </c>
      <c r="G24" s="5" t="s">
        <v>9</v>
      </c>
      <c r="H24" s="5" t="s">
        <v>10</v>
      </c>
      <c r="I24" s="5" t="s">
        <v>11</v>
      </c>
    </row>
    <row r="25" customFormat="false" ht="15" hidden="false" customHeight="true" outlineLevel="0" collapsed="false">
      <c r="A25" s="10" t="s">
        <v>101</v>
      </c>
      <c r="B25" s="37" t="n">
        <f aca="false">Inputs!B16</f>
        <v>8487</v>
      </c>
      <c r="C25" s="26" t="n">
        <f aca="false">B28</f>
        <v>7932</v>
      </c>
      <c r="D25" s="26" t="n">
        <f aca="false">C28</f>
        <v>7377</v>
      </c>
      <c r="E25" s="26" t="n">
        <f aca="false">D28</f>
        <v>6822</v>
      </c>
      <c r="F25" s="26" t="n">
        <f aca="false">E28</f>
        <v>6267</v>
      </c>
      <c r="G25" s="26" t="n">
        <f aca="false">F28</f>
        <v>5712</v>
      </c>
      <c r="H25" s="26" t="n">
        <f aca="false">G28</f>
        <v>5157</v>
      </c>
      <c r="I25" s="26" t="n">
        <f aca="false">H28</f>
        <v>4602</v>
      </c>
    </row>
    <row r="26" customFormat="false" ht="15" hidden="false" customHeight="true" outlineLevel="0" collapsed="false">
      <c r="A26" s="10" t="s">
        <v>102</v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</row>
    <row r="27" customFormat="false" ht="15" hidden="false" customHeight="true" outlineLevel="0" collapsed="false">
      <c r="A27" s="10" t="s">
        <v>103</v>
      </c>
      <c r="B27" s="37" t="n">
        <f aca="false">BOM_Consumo!C9</f>
        <v>555</v>
      </c>
      <c r="C27" s="37" t="n">
        <f aca="false">BOM_Consumo!D9</f>
        <v>555</v>
      </c>
      <c r="D27" s="37" t="n">
        <f aca="false">BOM_Consumo!E9</f>
        <v>555</v>
      </c>
      <c r="E27" s="37" t="n">
        <f aca="false">BOM_Consumo!F9</f>
        <v>555</v>
      </c>
      <c r="F27" s="37" t="n">
        <f aca="false">BOM_Consumo!G9</f>
        <v>555</v>
      </c>
      <c r="G27" s="37" t="n">
        <f aca="false">BOM_Consumo!H9</f>
        <v>555</v>
      </c>
      <c r="H27" s="37" t="n">
        <f aca="false">BOM_Consumo!I9</f>
        <v>555</v>
      </c>
      <c r="I27" s="37" t="n">
        <f aca="false">BOM_Consumo!J9</f>
        <v>555</v>
      </c>
    </row>
    <row r="28" customFormat="false" ht="15" hidden="false" customHeight="true" outlineLevel="0" collapsed="false">
      <c r="A28" s="6" t="s">
        <v>104</v>
      </c>
      <c r="B28" s="33" t="n">
        <f aca="false">B25+B26-B27</f>
        <v>7932</v>
      </c>
      <c r="C28" s="33" t="n">
        <f aca="false">C25+C26-C27</f>
        <v>7377</v>
      </c>
      <c r="D28" s="33" t="n">
        <f aca="false">D25+D26-D27</f>
        <v>6822</v>
      </c>
      <c r="E28" s="33" t="n">
        <f aca="false">E25+E26-E27</f>
        <v>6267</v>
      </c>
      <c r="F28" s="33" t="n">
        <f aca="false">F25+F26-F27</f>
        <v>5712</v>
      </c>
      <c r="G28" s="33" t="n">
        <f aca="false">G25+G26-G27</f>
        <v>5157</v>
      </c>
      <c r="H28" s="33" t="n">
        <f aca="false">H25+H26-H27</f>
        <v>4602</v>
      </c>
      <c r="I28" s="33" t="n">
        <f aca="false">I25+I26-I27</f>
        <v>4047</v>
      </c>
    </row>
    <row r="29" customFormat="false" ht="15" hidden="false" customHeight="true" outlineLevel="0" collapsed="false">
      <c r="A29" s="4" t="s">
        <v>25</v>
      </c>
      <c r="B29" s="4"/>
      <c r="C29" s="4"/>
      <c r="D29" s="4"/>
      <c r="E29" s="4"/>
      <c r="F29" s="4"/>
      <c r="G29" s="4"/>
      <c r="H29" s="4"/>
      <c r="I29" s="4"/>
      <c r="J29" s="4"/>
      <c r="K29" s="4"/>
    </row>
    <row r="30" customFormat="false" ht="15" hidden="false" customHeight="true" outlineLevel="0" collapsed="false">
      <c r="A30" s="5" t="s">
        <v>100</v>
      </c>
      <c r="B30" s="5" t="s">
        <v>4</v>
      </c>
      <c r="C30" s="5" t="s">
        <v>5</v>
      </c>
      <c r="D30" s="5" t="s">
        <v>6</v>
      </c>
      <c r="E30" s="5" t="s">
        <v>7</v>
      </c>
      <c r="F30" s="5" t="s">
        <v>8</v>
      </c>
      <c r="G30" s="5" t="s">
        <v>9</v>
      </c>
      <c r="H30" s="5" t="s">
        <v>10</v>
      </c>
      <c r="I30" s="5" t="s">
        <v>11</v>
      </c>
    </row>
    <row r="31" customFormat="false" ht="15" hidden="false" customHeight="true" outlineLevel="0" collapsed="false">
      <c r="A31" s="10" t="s">
        <v>101</v>
      </c>
      <c r="B31" s="37" t="n">
        <f aca="false">Inputs!B17</f>
        <v>23192</v>
      </c>
      <c r="C31" s="26" t="n">
        <f aca="false">B34</f>
        <v>22082</v>
      </c>
      <c r="D31" s="26" t="n">
        <f aca="false">C34</f>
        <v>20972</v>
      </c>
      <c r="E31" s="26" t="n">
        <f aca="false">D34</f>
        <v>19862</v>
      </c>
      <c r="F31" s="26" t="n">
        <f aca="false">E34</f>
        <v>18752</v>
      </c>
      <c r="G31" s="26" t="n">
        <f aca="false">F34</f>
        <v>17642</v>
      </c>
      <c r="H31" s="26" t="n">
        <f aca="false">G34</f>
        <v>16532</v>
      </c>
      <c r="I31" s="26" t="n">
        <f aca="false">H34</f>
        <v>15422</v>
      </c>
    </row>
    <row r="32" customFormat="false" ht="15" hidden="false" customHeight="true" outlineLevel="0" collapsed="false">
      <c r="A32" s="10" t="s">
        <v>102</v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</row>
    <row r="33" customFormat="false" ht="15" hidden="false" customHeight="true" outlineLevel="0" collapsed="false">
      <c r="A33" s="10" t="s">
        <v>103</v>
      </c>
      <c r="B33" s="37" t="n">
        <f aca="false">BOM_Consumo!C10</f>
        <v>1110</v>
      </c>
      <c r="C33" s="37" t="n">
        <f aca="false">BOM_Consumo!D10</f>
        <v>1110</v>
      </c>
      <c r="D33" s="37" t="n">
        <f aca="false">BOM_Consumo!E10</f>
        <v>1110</v>
      </c>
      <c r="E33" s="37" t="n">
        <f aca="false">BOM_Consumo!F10</f>
        <v>1110</v>
      </c>
      <c r="F33" s="37" t="n">
        <f aca="false">BOM_Consumo!G10</f>
        <v>1110</v>
      </c>
      <c r="G33" s="37" t="n">
        <f aca="false">BOM_Consumo!H10</f>
        <v>1110</v>
      </c>
      <c r="H33" s="37" t="n">
        <f aca="false">BOM_Consumo!I10</f>
        <v>1110</v>
      </c>
      <c r="I33" s="37" t="n">
        <f aca="false">BOM_Consumo!J10</f>
        <v>1110</v>
      </c>
    </row>
    <row r="34" customFormat="false" ht="15" hidden="false" customHeight="true" outlineLevel="0" collapsed="false">
      <c r="A34" s="6" t="s">
        <v>104</v>
      </c>
      <c r="B34" s="33" t="n">
        <f aca="false">B31+B32-B33</f>
        <v>22082</v>
      </c>
      <c r="C34" s="33" t="n">
        <f aca="false">C31+C32-C33</f>
        <v>20972</v>
      </c>
      <c r="D34" s="33" t="n">
        <f aca="false">D31+D32-D33</f>
        <v>19862</v>
      </c>
      <c r="E34" s="33" t="n">
        <f aca="false">E31+E32-E33</f>
        <v>18752</v>
      </c>
      <c r="F34" s="33" t="n">
        <f aca="false">F31+F32-F33</f>
        <v>17642</v>
      </c>
      <c r="G34" s="33" t="n">
        <f aca="false">G31+G32-G33</f>
        <v>16532</v>
      </c>
      <c r="H34" s="33" t="n">
        <f aca="false">H31+H32-H33</f>
        <v>15422</v>
      </c>
      <c r="I34" s="33" t="n">
        <f aca="false">I31+I32-I33</f>
        <v>14312</v>
      </c>
    </row>
    <row r="35" customFormat="false" ht="15" hidden="false" customHeight="true" outlineLevel="0" collapsed="false">
      <c r="A35" s="4" t="s">
        <v>26</v>
      </c>
      <c r="B35" s="4"/>
      <c r="C35" s="4"/>
      <c r="D35" s="4"/>
      <c r="E35" s="4"/>
      <c r="F35" s="4"/>
      <c r="G35" s="4"/>
      <c r="H35" s="4"/>
      <c r="I35" s="4"/>
      <c r="J35" s="4"/>
      <c r="K35" s="4"/>
    </row>
    <row r="36" customFormat="false" ht="15" hidden="false" customHeight="true" outlineLevel="0" collapsed="false">
      <c r="A36" s="5" t="s">
        <v>100</v>
      </c>
      <c r="B36" s="5" t="s">
        <v>4</v>
      </c>
      <c r="C36" s="5" t="s">
        <v>5</v>
      </c>
      <c r="D36" s="5" t="s">
        <v>6</v>
      </c>
      <c r="E36" s="5" t="s">
        <v>7</v>
      </c>
      <c r="F36" s="5" t="s">
        <v>8</v>
      </c>
      <c r="G36" s="5" t="s">
        <v>9</v>
      </c>
      <c r="H36" s="5" t="s">
        <v>10</v>
      </c>
      <c r="I36" s="5" t="s">
        <v>11</v>
      </c>
    </row>
    <row r="37" customFormat="false" ht="15" hidden="false" customHeight="true" outlineLevel="0" collapsed="false">
      <c r="A37" s="10" t="s">
        <v>101</v>
      </c>
      <c r="B37" s="37" t="n">
        <f aca="false">Inputs!B18</f>
        <v>6035</v>
      </c>
      <c r="C37" s="26" t="n">
        <f aca="false">B40</f>
        <v>2335</v>
      </c>
      <c r="D37" s="26" t="n">
        <f aca="false">C40</f>
        <v>-1365</v>
      </c>
      <c r="E37" s="26" t="n">
        <f aca="false">D40</f>
        <v>-5065</v>
      </c>
      <c r="F37" s="26" t="n">
        <f aca="false">E40</f>
        <v>-8765</v>
      </c>
      <c r="G37" s="26" t="n">
        <f aca="false">F40</f>
        <v>-12465</v>
      </c>
      <c r="H37" s="26" t="n">
        <f aca="false">G40</f>
        <v>-16165</v>
      </c>
      <c r="I37" s="26" t="n">
        <f aca="false">H40</f>
        <v>-19865</v>
      </c>
    </row>
    <row r="38" customFormat="false" ht="15" hidden="false" customHeight="true" outlineLevel="0" collapsed="false">
      <c r="A38" s="10" t="s">
        <v>102</v>
      </c>
      <c r="B38" s="7" t="n">
        <v>0</v>
      </c>
      <c r="C38" s="7" t="n">
        <v>0</v>
      </c>
      <c r="D38" s="7" t="n">
        <v>0</v>
      </c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</row>
    <row r="39" customFormat="false" ht="15" hidden="false" customHeight="true" outlineLevel="0" collapsed="false">
      <c r="A39" s="10" t="s">
        <v>103</v>
      </c>
      <c r="B39" s="37" t="n">
        <f aca="false">BOM_Consumo!C11</f>
        <v>3700</v>
      </c>
      <c r="C39" s="37" t="n">
        <f aca="false">BOM_Consumo!D11</f>
        <v>3700</v>
      </c>
      <c r="D39" s="37" t="n">
        <f aca="false">BOM_Consumo!E11</f>
        <v>3700</v>
      </c>
      <c r="E39" s="37" t="n">
        <f aca="false">BOM_Consumo!F11</f>
        <v>3700</v>
      </c>
      <c r="F39" s="37" t="n">
        <f aca="false">BOM_Consumo!G11</f>
        <v>3700</v>
      </c>
      <c r="G39" s="37" t="n">
        <f aca="false">BOM_Consumo!H11</f>
        <v>3700</v>
      </c>
      <c r="H39" s="37" t="n">
        <f aca="false">BOM_Consumo!I11</f>
        <v>3700</v>
      </c>
      <c r="I39" s="37" t="n">
        <f aca="false">BOM_Consumo!J11</f>
        <v>3700</v>
      </c>
    </row>
    <row r="40" customFormat="false" ht="15" hidden="false" customHeight="true" outlineLevel="0" collapsed="false">
      <c r="A40" s="6" t="s">
        <v>104</v>
      </c>
      <c r="B40" s="33" t="n">
        <f aca="false">B37+B38-B39</f>
        <v>2335</v>
      </c>
      <c r="C40" s="33" t="n">
        <f aca="false">C37+C38-C39</f>
        <v>-1365</v>
      </c>
      <c r="D40" s="33" t="n">
        <f aca="false">D37+D38-D39</f>
        <v>-5065</v>
      </c>
      <c r="E40" s="33" t="n">
        <f aca="false">E37+E38-E39</f>
        <v>-8765</v>
      </c>
      <c r="F40" s="33" t="n">
        <f aca="false">F37+F38-F39</f>
        <v>-12465</v>
      </c>
      <c r="G40" s="33" t="n">
        <f aca="false">G37+G38-G39</f>
        <v>-16165</v>
      </c>
      <c r="H40" s="33" t="n">
        <f aca="false">H37+H38-H39</f>
        <v>-19865</v>
      </c>
      <c r="I40" s="33" t="n">
        <f aca="false">I37+I38-I39</f>
        <v>-23565</v>
      </c>
    </row>
    <row r="41" customFormat="false" ht="15" hidden="false" customHeight="true" outlineLevel="0" collapsed="false">
      <c r="A41" s="4" t="s">
        <v>27</v>
      </c>
      <c r="B41" s="4"/>
      <c r="C41" s="4"/>
      <c r="D41" s="4"/>
      <c r="E41" s="4"/>
      <c r="F41" s="4"/>
      <c r="G41" s="4"/>
      <c r="H41" s="4"/>
      <c r="I41" s="4"/>
      <c r="J41" s="4"/>
      <c r="K41" s="4"/>
    </row>
    <row r="42" customFormat="false" ht="15" hidden="false" customHeight="true" outlineLevel="0" collapsed="false">
      <c r="A42" s="5" t="s">
        <v>100</v>
      </c>
      <c r="B42" s="5" t="s">
        <v>4</v>
      </c>
      <c r="C42" s="5" t="s">
        <v>5</v>
      </c>
      <c r="D42" s="5" t="s">
        <v>6</v>
      </c>
      <c r="E42" s="5" t="s">
        <v>7</v>
      </c>
      <c r="F42" s="5" t="s">
        <v>8</v>
      </c>
      <c r="G42" s="5" t="s">
        <v>9</v>
      </c>
      <c r="H42" s="5" t="s">
        <v>10</v>
      </c>
      <c r="I42" s="5" t="s">
        <v>11</v>
      </c>
    </row>
    <row r="43" customFormat="false" ht="15" hidden="false" customHeight="true" outlineLevel="0" collapsed="false">
      <c r="A43" s="10" t="s">
        <v>101</v>
      </c>
      <c r="B43" s="37" t="n">
        <f aca="false">Inputs!B19</f>
        <v>0</v>
      </c>
      <c r="C43" s="26" t="n">
        <f aca="false">B46</f>
        <v>-1387.5</v>
      </c>
      <c r="D43" s="26" t="n">
        <f aca="false">C46</f>
        <v>-2775</v>
      </c>
      <c r="E43" s="26" t="n">
        <f aca="false">D46</f>
        <v>-4162.5</v>
      </c>
      <c r="F43" s="26" t="n">
        <f aca="false">E46</f>
        <v>-5550</v>
      </c>
      <c r="G43" s="26" t="n">
        <f aca="false">F46</f>
        <v>-6937.5</v>
      </c>
      <c r="H43" s="26" t="n">
        <f aca="false">G46</f>
        <v>-8325</v>
      </c>
      <c r="I43" s="26" t="n">
        <f aca="false">H46</f>
        <v>-9712.5</v>
      </c>
    </row>
    <row r="44" customFormat="false" ht="15" hidden="false" customHeight="true" outlineLevel="0" collapsed="false">
      <c r="A44" s="10" t="s">
        <v>102</v>
      </c>
      <c r="B44" s="7" t="n">
        <v>0</v>
      </c>
      <c r="C44" s="7" t="n">
        <v>0</v>
      </c>
      <c r="D44" s="7" t="n">
        <v>0</v>
      </c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</row>
    <row r="45" customFormat="false" ht="15" hidden="false" customHeight="true" outlineLevel="0" collapsed="false">
      <c r="A45" s="10" t="s">
        <v>103</v>
      </c>
      <c r="B45" s="37" t="n">
        <f aca="false">BOM_Consumo!C12</f>
        <v>1387.5</v>
      </c>
      <c r="C45" s="37" t="n">
        <f aca="false">BOM_Consumo!D12</f>
        <v>1387.5</v>
      </c>
      <c r="D45" s="37" t="n">
        <f aca="false">BOM_Consumo!E12</f>
        <v>1387.5</v>
      </c>
      <c r="E45" s="37" t="n">
        <f aca="false">BOM_Consumo!F12</f>
        <v>1387.5</v>
      </c>
      <c r="F45" s="37" t="n">
        <f aca="false">BOM_Consumo!G12</f>
        <v>1387.5</v>
      </c>
      <c r="G45" s="37" t="n">
        <f aca="false">BOM_Consumo!H12</f>
        <v>1387.5</v>
      </c>
      <c r="H45" s="37" t="n">
        <f aca="false">BOM_Consumo!I12</f>
        <v>1387.5</v>
      </c>
      <c r="I45" s="37" t="n">
        <f aca="false">BOM_Consumo!J12</f>
        <v>1387.5</v>
      </c>
    </row>
    <row r="46" customFormat="false" ht="15" hidden="false" customHeight="true" outlineLevel="0" collapsed="false">
      <c r="A46" s="6" t="s">
        <v>104</v>
      </c>
      <c r="B46" s="33" t="n">
        <f aca="false">B43+B44-B45</f>
        <v>-1387.5</v>
      </c>
      <c r="C46" s="33" t="n">
        <f aca="false">C43+C44-C45</f>
        <v>-2775</v>
      </c>
      <c r="D46" s="33" t="n">
        <f aca="false">D43+D44-D45</f>
        <v>-4162.5</v>
      </c>
      <c r="E46" s="33" t="n">
        <f aca="false">E43+E44-E45</f>
        <v>-5550</v>
      </c>
      <c r="F46" s="33" t="n">
        <f aca="false">F43+F44-F45</f>
        <v>-6937.5</v>
      </c>
      <c r="G46" s="33" t="n">
        <f aca="false">G43+G44-G45</f>
        <v>-8325</v>
      </c>
      <c r="H46" s="33" t="n">
        <f aca="false">H43+H44-H45</f>
        <v>-9712.5</v>
      </c>
      <c r="I46" s="33" t="n">
        <f aca="false">I43+I44-I45</f>
        <v>-11100</v>
      </c>
    </row>
    <row r="47" customFormat="false" ht="15" hidden="false" customHeight="true" outlineLevel="0" collapsed="false">
      <c r="A47" s="4" t="s">
        <v>28</v>
      </c>
      <c r="B47" s="4"/>
      <c r="C47" s="4"/>
      <c r="D47" s="4"/>
      <c r="E47" s="4"/>
      <c r="F47" s="4"/>
      <c r="G47" s="4"/>
      <c r="H47" s="4"/>
      <c r="I47" s="4"/>
      <c r="J47" s="4"/>
      <c r="K47" s="4"/>
    </row>
    <row r="48" customFormat="false" ht="15" hidden="false" customHeight="true" outlineLevel="0" collapsed="false">
      <c r="A48" s="5" t="s">
        <v>100</v>
      </c>
      <c r="B48" s="5" t="s">
        <v>4</v>
      </c>
      <c r="C48" s="5" t="s">
        <v>5</v>
      </c>
      <c r="D48" s="5" t="s">
        <v>6</v>
      </c>
      <c r="E48" s="5" t="s">
        <v>7</v>
      </c>
      <c r="F48" s="5" t="s">
        <v>8</v>
      </c>
      <c r="G48" s="5" t="s">
        <v>9</v>
      </c>
      <c r="H48" s="5" t="s">
        <v>10</v>
      </c>
      <c r="I48" s="5" t="s">
        <v>11</v>
      </c>
    </row>
    <row r="49" customFormat="false" ht="15" hidden="false" customHeight="true" outlineLevel="0" collapsed="false">
      <c r="A49" s="10" t="s">
        <v>101</v>
      </c>
      <c r="B49" s="37" t="n">
        <f aca="false">Inputs!B20</f>
        <v>0</v>
      </c>
      <c r="C49" s="26" t="str">
        <f aca="false">B52</f>
        <v>OK</v>
      </c>
      <c r="D49" s="26" t="str">
        <f aca="false">C52</f>
        <v>OK</v>
      </c>
      <c r="E49" s="26" t="str">
        <f aca="false">D52</f>
        <v>OK</v>
      </c>
      <c r="F49" s="26" t="str">
        <f aca="false">E52</f>
        <v>OK</v>
      </c>
      <c r="G49" s="26" t="str">
        <f aca="false">F52</f>
        <v>OK</v>
      </c>
      <c r="H49" s="26" t="str">
        <f aca="false">G52</f>
        <v>OK</v>
      </c>
      <c r="I49" s="26" t="str">
        <f aca="false">H52</f>
        <v>OK</v>
      </c>
    </row>
    <row r="50" customFormat="false" ht="15" hidden="false" customHeight="true" outlineLevel="0" collapsed="false">
      <c r="A50" s="23" t="s">
        <v>105</v>
      </c>
      <c r="B50" s="23"/>
      <c r="C50" s="23"/>
      <c r="D50" s="23"/>
      <c r="E50" s="23"/>
      <c r="F50" s="23"/>
      <c r="G50" s="23"/>
      <c r="H50" s="23"/>
      <c r="I50" s="23"/>
      <c r="J50" s="23"/>
    </row>
    <row r="51" customFormat="false" ht="15" hidden="false" customHeight="true" outlineLevel="0" collapsed="false">
      <c r="A51" s="9" t="s">
        <v>15</v>
      </c>
      <c r="B51" s="38" t="s">
        <v>4</v>
      </c>
      <c r="C51" s="38" t="s">
        <v>5</v>
      </c>
      <c r="D51" s="38" t="s">
        <v>6</v>
      </c>
      <c r="E51" s="38" t="s">
        <v>7</v>
      </c>
      <c r="F51" s="38" t="s">
        <v>8</v>
      </c>
      <c r="G51" s="38" t="s">
        <v>9</v>
      </c>
      <c r="H51" s="38" t="s">
        <v>10</v>
      </c>
      <c r="I51" s="38" t="s">
        <v>11</v>
      </c>
      <c r="J51" s="9" t="s">
        <v>106</v>
      </c>
    </row>
    <row r="52" customFormat="false" ht="15" hidden="false" customHeight="true" outlineLevel="0" collapsed="false">
      <c r="A52" s="6" t="s">
        <v>19</v>
      </c>
      <c r="B52" s="33" t="str">
        <f aca="false">IF(B9&lt;Inputs!D92,"⚠ RIESGO","OK")</f>
        <v>OK</v>
      </c>
      <c r="C52" s="33" t="str">
        <f aca="false">IF(C9&lt;Inputs!D92,"⚠ RIESGO","OK")</f>
        <v>OK</v>
      </c>
      <c r="D52" s="33" t="str">
        <f aca="false">IF(D9&lt;Inputs!D92,"⚠ RIESGO","OK")</f>
        <v>OK</v>
      </c>
      <c r="E52" s="33" t="str">
        <f aca="false">IF(E9&lt;Inputs!D92,"⚠ RIESGO","OK")</f>
        <v>OK</v>
      </c>
      <c r="F52" s="33" t="str">
        <f aca="false">IF(F9&lt;Inputs!D92,"⚠ RIESGO","OK")</f>
        <v>OK</v>
      </c>
      <c r="G52" s="33" t="str">
        <f aca="false">IF(G9&lt;Inputs!D92,"⚠ RIESGO","OK")</f>
        <v>OK</v>
      </c>
      <c r="H52" s="33" t="str">
        <f aca="false">IF(H9&lt;Inputs!D92,"⚠ RIESGO","OK")</f>
        <v>OK</v>
      </c>
      <c r="I52" s="33" t="str">
        <f aca="false">IF(I9&lt;Inputs!D92,"⚠ RIESGO","OK")</f>
        <v>OK</v>
      </c>
      <c r="J52" s="39" t="n">
        <f aca="false">MIN(B9:I9)</f>
        <v>370</v>
      </c>
    </row>
    <row r="53" customFormat="false" ht="15" hidden="false" customHeight="true" outlineLevel="0" collapsed="false">
      <c r="A53" s="10" t="s">
        <v>22</v>
      </c>
      <c r="B53" s="27" t="str">
        <f aca="false">IF(B14&lt;Inputs!D93,"⚠ RIESGO","OK")</f>
        <v>⚠ RIESGO</v>
      </c>
      <c r="C53" s="27" t="str">
        <f aca="false">IF(C14&lt;Inputs!D93,"⚠ RIESGO","OK")</f>
        <v>⚠ RIESGO</v>
      </c>
      <c r="D53" s="27" t="str">
        <f aca="false">IF(D14&lt;Inputs!D93,"⚠ RIESGO","OK")</f>
        <v>⚠ RIESGO</v>
      </c>
      <c r="E53" s="27" t="str">
        <f aca="false">IF(E14&lt;Inputs!D93,"⚠ RIESGO","OK")</f>
        <v>⚠ RIESGO</v>
      </c>
      <c r="F53" s="27" t="str">
        <f aca="false">IF(F14&lt;Inputs!D93,"⚠ RIESGO","OK")</f>
        <v>⚠ RIESGO</v>
      </c>
      <c r="G53" s="27" t="str">
        <f aca="false">IF(G14&lt;Inputs!D93,"⚠ RIESGO","OK")</f>
        <v>⚠ RIESGO</v>
      </c>
      <c r="H53" s="27" t="str">
        <f aca="false">IF(H14&lt;Inputs!D93,"⚠ RIESGO","OK")</f>
        <v>⚠ RIESGO</v>
      </c>
      <c r="I53" s="27" t="str">
        <f aca="false">IF(I14&lt;Inputs!D93,"⚠ RIESGO","OK")</f>
        <v>⚠ RIESGO</v>
      </c>
      <c r="J53" s="39" t="n">
        <f aca="false">MIN(B14:I14)</f>
        <v>0</v>
      </c>
    </row>
    <row r="54" customFormat="false" ht="15" hidden="false" customHeight="true" outlineLevel="0" collapsed="false">
      <c r="A54" s="10" t="s">
        <v>23</v>
      </c>
      <c r="B54" s="27" t="str">
        <f aca="false">IF(B19&lt;Inputs!D94,"⚠ RIESGO","OK")</f>
        <v>OK</v>
      </c>
      <c r="C54" s="27" t="str">
        <f aca="false">IF(C19&lt;Inputs!D94,"⚠ RIESGO","OK")</f>
        <v>⚠ RIESGO</v>
      </c>
      <c r="D54" s="27" t="str">
        <f aca="false">IF(D19&lt;Inputs!D94,"⚠ RIESGO","OK")</f>
        <v>⚠ RIESGO</v>
      </c>
      <c r="E54" s="27" t="str">
        <f aca="false">IF(E19&lt;Inputs!D94,"⚠ RIESGO","OK")</f>
        <v>⚠ RIESGO</v>
      </c>
      <c r="F54" s="27" t="str">
        <f aca="false">IF(F19&lt;Inputs!D94,"⚠ RIESGO","OK")</f>
        <v>⚠ RIESGO</v>
      </c>
      <c r="G54" s="27" t="str">
        <f aca="false">IF(G19&lt;Inputs!D94,"⚠ RIESGO","OK")</f>
        <v>⚠ RIESGO</v>
      </c>
      <c r="H54" s="27" t="str">
        <f aca="false">IF(H19&lt;Inputs!D94,"⚠ RIESGO","OK")</f>
        <v>⚠ RIESGO</v>
      </c>
      <c r="I54" s="27" t="str">
        <f aca="false">IF(I19&lt;Inputs!D94,"⚠ RIESGO","OK")</f>
        <v>⚠ RIESGO</v>
      </c>
      <c r="J54" s="39" t="n">
        <f aca="false">MIN(B19:I19)</f>
        <v>-99267</v>
      </c>
    </row>
    <row r="55" customFormat="false" ht="15" hidden="false" customHeight="true" outlineLevel="0" collapsed="false">
      <c r="A55" s="10" t="s">
        <v>24</v>
      </c>
      <c r="B55" s="27" t="str">
        <f aca="false">IF(B24&lt;Inputs!D95,"⚠ RIESGO","OK")</f>
        <v>OK</v>
      </c>
      <c r="C55" s="27" t="str">
        <f aca="false">IF(C24&lt;Inputs!D95,"⚠ RIESGO","OK")</f>
        <v>OK</v>
      </c>
      <c r="D55" s="27" t="str">
        <f aca="false">IF(D24&lt;Inputs!D95,"⚠ RIESGO","OK")</f>
        <v>OK</v>
      </c>
      <c r="E55" s="27" t="str">
        <f aca="false">IF(E24&lt;Inputs!D95,"⚠ RIESGO","OK")</f>
        <v>OK</v>
      </c>
      <c r="F55" s="27" t="str">
        <f aca="false">IF(F24&lt;Inputs!D95,"⚠ RIESGO","OK")</f>
        <v>OK</v>
      </c>
      <c r="G55" s="27" t="str">
        <f aca="false">IF(G24&lt;Inputs!D95,"⚠ RIESGO","OK")</f>
        <v>OK</v>
      </c>
      <c r="H55" s="27" t="str">
        <f aca="false">IF(H24&lt;Inputs!D95,"⚠ RIESGO","OK")</f>
        <v>OK</v>
      </c>
      <c r="I55" s="27" t="str">
        <f aca="false">IF(I24&lt;Inputs!D95,"⚠ RIESGO","OK")</f>
        <v>OK</v>
      </c>
      <c r="J55" s="39" t="n">
        <f aca="false">MIN(B24:I24)</f>
        <v>0</v>
      </c>
    </row>
    <row r="56" customFormat="false" ht="15" hidden="false" customHeight="true" outlineLevel="0" collapsed="false">
      <c r="A56" s="10" t="s">
        <v>25</v>
      </c>
      <c r="B56" s="27" t="str">
        <f aca="false">IF(B29&lt;Inputs!D96,"⚠ RIESGO","OK")</f>
        <v>⚠ RIESGO</v>
      </c>
      <c r="C56" s="27" t="str">
        <f aca="false">IF(C29&lt;Inputs!D96,"⚠ RIESGO","OK")</f>
        <v>⚠ RIESGO</v>
      </c>
      <c r="D56" s="27" t="str">
        <f aca="false">IF(D29&lt;Inputs!D96,"⚠ RIESGO","OK")</f>
        <v>⚠ RIESGO</v>
      </c>
      <c r="E56" s="27" t="str">
        <f aca="false">IF(E29&lt;Inputs!D96,"⚠ RIESGO","OK")</f>
        <v>⚠ RIESGO</v>
      </c>
      <c r="F56" s="27" t="str">
        <f aca="false">IF(F29&lt;Inputs!D96,"⚠ RIESGO","OK")</f>
        <v>⚠ RIESGO</v>
      </c>
      <c r="G56" s="27" t="str">
        <f aca="false">IF(G29&lt;Inputs!D96,"⚠ RIESGO","OK")</f>
        <v>⚠ RIESGO</v>
      </c>
      <c r="H56" s="27" t="str">
        <f aca="false">IF(H29&lt;Inputs!D96,"⚠ RIESGO","OK")</f>
        <v>⚠ RIESGO</v>
      </c>
      <c r="I56" s="27" t="str">
        <f aca="false">IF(I29&lt;Inputs!D96,"⚠ RIESGO","OK")</f>
        <v>⚠ RIESGO</v>
      </c>
      <c r="J56" s="39" t="n">
        <f aca="false">MIN(B29:I29)</f>
        <v>0</v>
      </c>
    </row>
    <row r="57" customFormat="false" ht="15" hidden="false" customHeight="true" outlineLevel="0" collapsed="false">
      <c r="A57" s="10" t="s">
        <v>26</v>
      </c>
      <c r="B57" s="27" t="str">
        <f aca="false">IF(B34&lt;Inputs!D97,"⚠ RIESGO","OK")</f>
        <v>OK</v>
      </c>
      <c r="C57" s="27" t="str">
        <f aca="false">IF(C34&lt;Inputs!D97,"⚠ RIESGO","OK")</f>
        <v>OK</v>
      </c>
      <c r="D57" s="27" t="str">
        <f aca="false">IF(D34&lt;Inputs!D97,"⚠ RIESGO","OK")</f>
        <v>OK</v>
      </c>
      <c r="E57" s="27" t="str">
        <f aca="false">IF(E34&lt;Inputs!D97,"⚠ RIESGO","OK")</f>
        <v>OK</v>
      </c>
      <c r="F57" s="27" t="str">
        <f aca="false">IF(F34&lt;Inputs!D97,"⚠ RIESGO","OK")</f>
        <v>OK</v>
      </c>
      <c r="G57" s="27" t="str">
        <f aca="false">IF(G34&lt;Inputs!D97,"⚠ RIESGO","OK")</f>
        <v>OK</v>
      </c>
      <c r="H57" s="27" t="str">
        <f aca="false">IF(H34&lt;Inputs!D97,"⚠ RIESGO","OK")</f>
        <v>OK</v>
      </c>
      <c r="I57" s="27" t="str">
        <f aca="false">IF(I34&lt;Inputs!D97,"⚠ RIESGO","OK")</f>
        <v>OK</v>
      </c>
      <c r="J57" s="39" t="n">
        <f aca="false">MIN(B34:I34)</f>
        <v>14312</v>
      </c>
    </row>
    <row r="58" customFormat="false" ht="15" hidden="false" customHeight="true" outlineLevel="0" collapsed="false">
      <c r="A58" s="10" t="s">
        <v>27</v>
      </c>
      <c r="B58" s="27" t="str">
        <f aca="false">IF(B39&lt;Inputs!D98,"⚠ RIESGO","OK")</f>
        <v>OK</v>
      </c>
      <c r="C58" s="27" t="str">
        <f aca="false">IF(C39&lt;Inputs!D98,"⚠ RIESGO","OK")</f>
        <v>OK</v>
      </c>
      <c r="D58" s="27" t="str">
        <f aca="false">IF(D39&lt;Inputs!D98,"⚠ RIESGO","OK")</f>
        <v>OK</v>
      </c>
      <c r="E58" s="27" t="str">
        <f aca="false">IF(E39&lt;Inputs!D98,"⚠ RIESGO","OK")</f>
        <v>OK</v>
      </c>
      <c r="F58" s="27" t="str">
        <f aca="false">IF(F39&lt;Inputs!D98,"⚠ RIESGO","OK")</f>
        <v>OK</v>
      </c>
      <c r="G58" s="27" t="str">
        <f aca="false">IF(G39&lt;Inputs!D98,"⚠ RIESGO","OK")</f>
        <v>OK</v>
      </c>
      <c r="H58" s="27" t="str">
        <f aca="false">IF(H39&lt;Inputs!D98,"⚠ RIESGO","OK")</f>
        <v>OK</v>
      </c>
      <c r="I58" s="27" t="str">
        <f aca="false">IF(I39&lt;Inputs!D98,"⚠ RIESGO","OK")</f>
        <v>OK</v>
      </c>
      <c r="J58" s="39" t="n">
        <f aca="false">MIN(B39:I39)</f>
        <v>3700</v>
      </c>
    </row>
    <row r="59" customFormat="false" ht="15" hidden="false" customHeight="true" outlineLevel="0" collapsed="false">
      <c r="A59" s="10" t="s">
        <v>28</v>
      </c>
      <c r="B59" s="27" t="str">
        <f aca="false">IF(B44&lt;Inputs!D99,"⚠ RIESGO","OK")</f>
        <v>OK</v>
      </c>
      <c r="C59" s="27" t="str">
        <f aca="false">IF(C44&lt;Inputs!D99,"⚠ RIESGO","OK")</f>
        <v>OK</v>
      </c>
      <c r="D59" s="27" t="str">
        <f aca="false">IF(D44&lt;Inputs!D99,"⚠ RIESGO","OK")</f>
        <v>OK</v>
      </c>
      <c r="E59" s="27" t="str">
        <f aca="false">IF(E44&lt;Inputs!D99,"⚠ RIESGO","OK")</f>
        <v>OK</v>
      </c>
      <c r="F59" s="27" t="str">
        <f aca="false">IF(F44&lt;Inputs!D99,"⚠ RIESGO","OK")</f>
        <v>OK</v>
      </c>
      <c r="G59" s="27" t="str">
        <f aca="false">IF(G44&lt;Inputs!D99,"⚠ RIESGO","OK")</f>
        <v>OK</v>
      </c>
      <c r="H59" s="27" t="str">
        <f aca="false">IF(H44&lt;Inputs!D99,"⚠ RIESGO","OK")</f>
        <v>OK</v>
      </c>
      <c r="I59" s="27" t="str">
        <f aca="false">IF(I44&lt;Inputs!D99,"⚠ RIESGO","OK")</f>
        <v>OK</v>
      </c>
      <c r="J59" s="39" t="n">
        <f aca="false">MIN(B44:I44)</f>
        <v>0</v>
      </c>
    </row>
  </sheetData>
  <mergeCells count="12">
    <mergeCell ref="A1:K1"/>
    <mergeCell ref="A2:K2"/>
    <mergeCell ref="A3:K3"/>
    <mergeCell ref="A5:K5"/>
    <mergeCell ref="A11:K11"/>
    <mergeCell ref="A17:K17"/>
    <mergeCell ref="A23:K23"/>
    <mergeCell ref="A29:K29"/>
    <mergeCell ref="A35:K35"/>
    <mergeCell ref="A41:K41"/>
    <mergeCell ref="A47:K47"/>
    <mergeCell ref="A50:J50"/>
  </mergeCells>
  <conditionalFormatting sqref="B10">
    <cfRule type="cellIs" priority="2" operator="lessThan" aboveAverage="0" equalAverage="0" bottom="0" percent="0" rank="0" text="" dxfId="0">
      <formula>0</formula>
    </cfRule>
  </conditionalFormatting>
  <conditionalFormatting sqref="C10">
    <cfRule type="cellIs" priority="3" operator="lessThan" aboveAverage="0" equalAverage="0" bottom="0" percent="0" rank="0" text="" dxfId="0">
      <formula>0</formula>
    </cfRule>
  </conditionalFormatting>
  <conditionalFormatting sqref="D10">
    <cfRule type="cellIs" priority="4" operator="lessThan" aboveAverage="0" equalAverage="0" bottom="0" percent="0" rank="0" text="" dxfId="0">
      <formula>0</formula>
    </cfRule>
  </conditionalFormatting>
  <conditionalFormatting sqref="E10">
    <cfRule type="cellIs" priority="5" operator="lessThan" aboveAverage="0" equalAverage="0" bottom="0" percent="0" rank="0" text="" dxfId="0">
      <formula>0</formula>
    </cfRule>
  </conditionalFormatting>
  <conditionalFormatting sqref="F10">
    <cfRule type="cellIs" priority="6" operator="lessThan" aboveAverage="0" equalAverage="0" bottom="0" percent="0" rank="0" text="" dxfId="0">
      <formula>0</formula>
    </cfRule>
  </conditionalFormatting>
  <conditionalFormatting sqref="G10">
    <cfRule type="cellIs" priority="7" operator="lessThan" aboveAverage="0" equalAverage="0" bottom="0" percent="0" rank="0" text="" dxfId="0">
      <formula>0</formula>
    </cfRule>
  </conditionalFormatting>
  <conditionalFormatting sqref="H10">
    <cfRule type="cellIs" priority="8" operator="lessThan" aboveAverage="0" equalAverage="0" bottom="0" percent="0" rank="0" text="" dxfId="0">
      <formula>0</formula>
    </cfRule>
  </conditionalFormatting>
  <conditionalFormatting sqref="I10">
    <cfRule type="cellIs" priority="9" operator="lessThan" aboveAverage="0" equalAverage="0" bottom="0" percent="0" rank="0" text="" dxfId="0">
      <formula>0</formula>
    </cfRule>
  </conditionalFormatting>
  <conditionalFormatting sqref="B16">
    <cfRule type="cellIs" priority="10" operator="lessThan" aboveAverage="0" equalAverage="0" bottom="0" percent="0" rank="0" text="" dxfId="0">
      <formula>0</formula>
    </cfRule>
  </conditionalFormatting>
  <conditionalFormatting sqref="C16">
    <cfRule type="cellIs" priority="11" operator="lessThan" aboveAverage="0" equalAverage="0" bottom="0" percent="0" rank="0" text="" dxfId="0">
      <formula>0</formula>
    </cfRule>
  </conditionalFormatting>
  <conditionalFormatting sqref="D16">
    <cfRule type="cellIs" priority="12" operator="lessThan" aboveAverage="0" equalAverage="0" bottom="0" percent="0" rank="0" text="" dxfId="0">
      <formula>0</formula>
    </cfRule>
  </conditionalFormatting>
  <conditionalFormatting sqref="E16">
    <cfRule type="cellIs" priority="13" operator="lessThan" aboveAverage="0" equalAverage="0" bottom="0" percent="0" rank="0" text="" dxfId="0">
      <formula>0</formula>
    </cfRule>
  </conditionalFormatting>
  <conditionalFormatting sqref="F16">
    <cfRule type="cellIs" priority="14" operator="lessThan" aboveAverage="0" equalAverage="0" bottom="0" percent="0" rank="0" text="" dxfId="0">
      <formula>0</formula>
    </cfRule>
  </conditionalFormatting>
  <conditionalFormatting sqref="G16">
    <cfRule type="cellIs" priority="15" operator="lessThan" aboveAverage="0" equalAverage="0" bottom="0" percent="0" rank="0" text="" dxfId="0">
      <formula>0</formula>
    </cfRule>
  </conditionalFormatting>
  <conditionalFormatting sqref="H16">
    <cfRule type="cellIs" priority="16" operator="lessThan" aboveAverage="0" equalAverage="0" bottom="0" percent="0" rank="0" text="" dxfId="0">
      <formula>0</formula>
    </cfRule>
  </conditionalFormatting>
  <conditionalFormatting sqref="I16">
    <cfRule type="cellIs" priority="17" operator="lessThan" aboveAverage="0" equalAverage="0" bottom="0" percent="0" rank="0" text="" dxfId="0">
      <formula>0</formula>
    </cfRule>
  </conditionalFormatting>
  <conditionalFormatting sqref="B22">
    <cfRule type="cellIs" priority="18" operator="lessThan" aboveAverage="0" equalAverage="0" bottom="0" percent="0" rank="0" text="" dxfId="0">
      <formula>0</formula>
    </cfRule>
  </conditionalFormatting>
  <conditionalFormatting sqref="C22">
    <cfRule type="cellIs" priority="19" operator="lessThan" aboveAverage="0" equalAverage="0" bottom="0" percent="0" rank="0" text="" dxfId="0">
      <formula>0</formula>
    </cfRule>
  </conditionalFormatting>
  <conditionalFormatting sqref="D22">
    <cfRule type="cellIs" priority="20" operator="lessThan" aboveAverage="0" equalAverage="0" bottom="0" percent="0" rank="0" text="" dxfId="0">
      <formula>0</formula>
    </cfRule>
  </conditionalFormatting>
  <conditionalFormatting sqref="E22">
    <cfRule type="cellIs" priority="21" operator="lessThan" aboveAverage="0" equalAverage="0" bottom="0" percent="0" rank="0" text="" dxfId="0">
      <formula>0</formula>
    </cfRule>
  </conditionalFormatting>
  <conditionalFormatting sqref="F22">
    <cfRule type="cellIs" priority="22" operator="lessThan" aboveAverage="0" equalAverage="0" bottom="0" percent="0" rank="0" text="" dxfId="0">
      <formula>0</formula>
    </cfRule>
  </conditionalFormatting>
  <conditionalFormatting sqref="G22">
    <cfRule type="cellIs" priority="23" operator="lessThan" aboveAverage="0" equalAverage="0" bottom="0" percent="0" rank="0" text="" dxfId="0">
      <formula>0</formula>
    </cfRule>
  </conditionalFormatting>
  <conditionalFormatting sqref="H22">
    <cfRule type="cellIs" priority="24" operator="lessThan" aboveAverage="0" equalAverage="0" bottom="0" percent="0" rank="0" text="" dxfId="0">
      <formula>0</formula>
    </cfRule>
  </conditionalFormatting>
  <conditionalFormatting sqref="I22">
    <cfRule type="cellIs" priority="25" operator="lessThan" aboveAverage="0" equalAverage="0" bottom="0" percent="0" rank="0" text="" dxfId="0">
      <formula>0</formula>
    </cfRule>
  </conditionalFormatting>
  <conditionalFormatting sqref="B28">
    <cfRule type="cellIs" priority="26" operator="lessThan" aboveAverage="0" equalAverage="0" bottom="0" percent="0" rank="0" text="" dxfId="0">
      <formula>0</formula>
    </cfRule>
  </conditionalFormatting>
  <conditionalFormatting sqref="C28">
    <cfRule type="cellIs" priority="27" operator="lessThan" aboveAverage="0" equalAverage="0" bottom="0" percent="0" rank="0" text="" dxfId="0">
      <formula>0</formula>
    </cfRule>
  </conditionalFormatting>
  <conditionalFormatting sqref="D28">
    <cfRule type="cellIs" priority="28" operator="lessThan" aboveAverage="0" equalAverage="0" bottom="0" percent="0" rank="0" text="" dxfId="0">
      <formula>0</formula>
    </cfRule>
  </conditionalFormatting>
  <conditionalFormatting sqref="E28">
    <cfRule type="cellIs" priority="29" operator="lessThan" aboveAverage="0" equalAverage="0" bottom="0" percent="0" rank="0" text="" dxfId="0">
      <formula>0</formula>
    </cfRule>
  </conditionalFormatting>
  <conditionalFormatting sqref="F28">
    <cfRule type="cellIs" priority="30" operator="lessThan" aboveAverage="0" equalAverage="0" bottom="0" percent="0" rank="0" text="" dxfId="0">
      <formula>0</formula>
    </cfRule>
  </conditionalFormatting>
  <conditionalFormatting sqref="G28">
    <cfRule type="cellIs" priority="31" operator="lessThan" aboveAverage="0" equalAverage="0" bottom="0" percent="0" rank="0" text="" dxfId="0">
      <formula>0</formula>
    </cfRule>
  </conditionalFormatting>
  <conditionalFormatting sqref="H28">
    <cfRule type="cellIs" priority="32" operator="lessThan" aboveAverage="0" equalAverage="0" bottom="0" percent="0" rank="0" text="" dxfId="0">
      <formula>0</formula>
    </cfRule>
  </conditionalFormatting>
  <conditionalFormatting sqref="I28">
    <cfRule type="cellIs" priority="33" operator="lessThan" aboveAverage="0" equalAverage="0" bottom="0" percent="0" rank="0" text="" dxfId="0">
      <formula>0</formula>
    </cfRule>
  </conditionalFormatting>
  <conditionalFormatting sqref="B34">
    <cfRule type="cellIs" priority="34" operator="lessThan" aboveAverage="0" equalAverage="0" bottom="0" percent="0" rank="0" text="" dxfId="0">
      <formula>0</formula>
    </cfRule>
  </conditionalFormatting>
  <conditionalFormatting sqref="C34">
    <cfRule type="cellIs" priority="35" operator="lessThan" aboveAverage="0" equalAverage="0" bottom="0" percent="0" rank="0" text="" dxfId="0">
      <formula>0</formula>
    </cfRule>
  </conditionalFormatting>
  <conditionalFormatting sqref="D34">
    <cfRule type="cellIs" priority="36" operator="lessThan" aboveAverage="0" equalAverage="0" bottom="0" percent="0" rank="0" text="" dxfId="0">
      <formula>0</formula>
    </cfRule>
  </conditionalFormatting>
  <conditionalFormatting sqref="E34">
    <cfRule type="cellIs" priority="37" operator="lessThan" aboveAverage="0" equalAverage="0" bottom="0" percent="0" rank="0" text="" dxfId="0">
      <formula>0</formula>
    </cfRule>
  </conditionalFormatting>
  <conditionalFormatting sqref="F34">
    <cfRule type="cellIs" priority="38" operator="lessThan" aboveAverage="0" equalAverage="0" bottom="0" percent="0" rank="0" text="" dxfId="0">
      <formula>0</formula>
    </cfRule>
  </conditionalFormatting>
  <conditionalFormatting sqref="G34">
    <cfRule type="cellIs" priority="39" operator="lessThan" aboveAverage="0" equalAverage="0" bottom="0" percent="0" rank="0" text="" dxfId="0">
      <formula>0</formula>
    </cfRule>
  </conditionalFormatting>
  <conditionalFormatting sqref="H34">
    <cfRule type="cellIs" priority="40" operator="lessThan" aboveAverage="0" equalAverage="0" bottom="0" percent="0" rank="0" text="" dxfId="0">
      <formula>0</formula>
    </cfRule>
  </conditionalFormatting>
  <conditionalFormatting sqref="I34">
    <cfRule type="cellIs" priority="41" operator="lessThan" aboveAverage="0" equalAverage="0" bottom="0" percent="0" rank="0" text="" dxfId="0">
      <formula>0</formula>
    </cfRule>
  </conditionalFormatting>
  <conditionalFormatting sqref="B40">
    <cfRule type="cellIs" priority="42" operator="lessThan" aboveAverage="0" equalAverage="0" bottom="0" percent="0" rank="0" text="" dxfId="0">
      <formula>0</formula>
    </cfRule>
  </conditionalFormatting>
  <conditionalFormatting sqref="C40">
    <cfRule type="cellIs" priority="43" operator="lessThan" aboveAverage="0" equalAverage="0" bottom="0" percent="0" rank="0" text="" dxfId="0">
      <formula>0</formula>
    </cfRule>
  </conditionalFormatting>
  <conditionalFormatting sqref="D40">
    <cfRule type="cellIs" priority="44" operator="lessThan" aboveAverage="0" equalAverage="0" bottom="0" percent="0" rank="0" text="" dxfId="0">
      <formula>0</formula>
    </cfRule>
  </conditionalFormatting>
  <conditionalFormatting sqref="E40">
    <cfRule type="cellIs" priority="45" operator="lessThan" aboveAverage="0" equalAverage="0" bottom="0" percent="0" rank="0" text="" dxfId="0">
      <formula>0</formula>
    </cfRule>
  </conditionalFormatting>
  <conditionalFormatting sqref="F40">
    <cfRule type="cellIs" priority="46" operator="lessThan" aboveAverage="0" equalAverage="0" bottom="0" percent="0" rank="0" text="" dxfId="0">
      <formula>0</formula>
    </cfRule>
  </conditionalFormatting>
  <conditionalFormatting sqref="G40">
    <cfRule type="cellIs" priority="47" operator="lessThan" aboveAverage="0" equalAverage="0" bottom="0" percent="0" rank="0" text="" dxfId="0">
      <formula>0</formula>
    </cfRule>
  </conditionalFormatting>
  <conditionalFormatting sqref="H40">
    <cfRule type="cellIs" priority="48" operator="lessThan" aboveAverage="0" equalAverage="0" bottom="0" percent="0" rank="0" text="" dxfId="0">
      <formula>0</formula>
    </cfRule>
  </conditionalFormatting>
  <conditionalFormatting sqref="I40">
    <cfRule type="cellIs" priority="49" operator="lessThan" aboveAverage="0" equalAverage="0" bottom="0" percent="0" rank="0" text="" dxfId="0">
      <formula>0</formula>
    </cfRule>
  </conditionalFormatting>
  <conditionalFormatting sqref="B46">
    <cfRule type="cellIs" priority="50" operator="lessThan" aboveAverage="0" equalAverage="0" bottom="0" percent="0" rank="0" text="" dxfId="0">
      <formula>0</formula>
    </cfRule>
  </conditionalFormatting>
  <conditionalFormatting sqref="C46">
    <cfRule type="cellIs" priority="51" operator="lessThan" aboveAverage="0" equalAverage="0" bottom="0" percent="0" rank="0" text="" dxfId="0">
      <formula>0</formula>
    </cfRule>
  </conditionalFormatting>
  <conditionalFormatting sqref="D46">
    <cfRule type="cellIs" priority="52" operator="lessThan" aboveAverage="0" equalAverage="0" bottom="0" percent="0" rank="0" text="" dxfId="0">
      <formula>0</formula>
    </cfRule>
  </conditionalFormatting>
  <conditionalFormatting sqref="E46">
    <cfRule type="cellIs" priority="53" operator="lessThan" aboveAverage="0" equalAverage="0" bottom="0" percent="0" rank="0" text="" dxfId="0">
      <formula>0</formula>
    </cfRule>
  </conditionalFormatting>
  <conditionalFormatting sqref="F46">
    <cfRule type="cellIs" priority="54" operator="lessThan" aboveAverage="0" equalAverage="0" bottom="0" percent="0" rank="0" text="" dxfId="0">
      <formula>0</formula>
    </cfRule>
  </conditionalFormatting>
  <conditionalFormatting sqref="G46">
    <cfRule type="cellIs" priority="55" operator="lessThan" aboveAverage="0" equalAverage="0" bottom="0" percent="0" rank="0" text="" dxfId="0">
      <formula>0</formula>
    </cfRule>
  </conditionalFormatting>
  <conditionalFormatting sqref="H46">
    <cfRule type="cellIs" priority="56" operator="lessThan" aboveAverage="0" equalAverage="0" bottom="0" percent="0" rank="0" text="" dxfId="0">
      <formula>0</formula>
    </cfRule>
  </conditionalFormatting>
  <conditionalFormatting sqref="I46">
    <cfRule type="cellIs" priority="57" operator="lessThan" aboveAverage="0" equalAverage="0" bottom="0" percent="0" rank="0" text="" dxfId="0">
      <formula>0</formula>
    </cfRule>
  </conditionalFormatting>
  <conditionalFormatting sqref="B52">
    <cfRule type="cellIs" priority="58" operator="lessThan" aboveAverage="0" equalAverage="0" bottom="0" percent="0" rank="0" text="" dxfId="0">
      <formula>0</formula>
    </cfRule>
    <cfRule type="cellIs" priority="59" operator="equal" aboveAverage="0" equalAverage="0" bottom="0" percent="0" rank="0" text="" dxfId="0">
      <formula>"⚠ RIESGO"</formula>
    </cfRule>
  </conditionalFormatting>
  <conditionalFormatting sqref="C52">
    <cfRule type="cellIs" priority="60" operator="lessThan" aboveAverage="0" equalAverage="0" bottom="0" percent="0" rank="0" text="" dxfId="0">
      <formula>0</formula>
    </cfRule>
    <cfRule type="cellIs" priority="61" operator="equal" aboveAverage="0" equalAverage="0" bottom="0" percent="0" rank="0" text="" dxfId="0">
      <formula>"⚠ RIESGO"</formula>
    </cfRule>
  </conditionalFormatting>
  <conditionalFormatting sqref="D52">
    <cfRule type="cellIs" priority="62" operator="lessThan" aboveAverage="0" equalAverage="0" bottom="0" percent="0" rank="0" text="" dxfId="0">
      <formula>0</formula>
    </cfRule>
    <cfRule type="cellIs" priority="63" operator="equal" aboveAverage="0" equalAverage="0" bottom="0" percent="0" rank="0" text="" dxfId="0">
      <formula>"⚠ RIESGO"</formula>
    </cfRule>
  </conditionalFormatting>
  <conditionalFormatting sqref="E52">
    <cfRule type="cellIs" priority="64" operator="lessThan" aboveAverage="0" equalAverage="0" bottom="0" percent="0" rank="0" text="" dxfId="0">
      <formula>0</formula>
    </cfRule>
    <cfRule type="cellIs" priority="65" operator="equal" aboveAverage="0" equalAverage="0" bottom="0" percent="0" rank="0" text="" dxfId="0">
      <formula>"⚠ RIESGO"</formula>
    </cfRule>
  </conditionalFormatting>
  <conditionalFormatting sqref="F52">
    <cfRule type="cellIs" priority="66" operator="lessThan" aboveAverage="0" equalAverage="0" bottom="0" percent="0" rank="0" text="" dxfId="0">
      <formula>0</formula>
    </cfRule>
    <cfRule type="cellIs" priority="67" operator="equal" aboveAverage="0" equalAverage="0" bottom="0" percent="0" rank="0" text="" dxfId="0">
      <formula>"⚠ RIESGO"</formula>
    </cfRule>
  </conditionalFormatting>
  <conditionalFormatting sqref="G52">
    <cfRule type="cellIs" priority="68" operator="lessThan" aboveAverage="0" equalAverage="0" bottom="0" percent="0" rank="0" text="" dxfId="0">
      <formula>0</formula>
    </cfRule>
    <cfRule type="cellIs" priority="69" operator="equal" aboveAverage="0" equalAverage="0" bottom="0" percent="0" rank="0" text="" dxfId="0">
      <formula>"⚠ RIESGO"</formula>
    </cfRule>
  </conditionalFormatting>
  <conditionalFormatting sqref="H52">
    <cfRule type="cellIs" priority="70" operator="lessThan" aboveAverage="0" equalAverage="0" bottom="0" percent="0" rank="0" text="" dxfId="0">
      <formula>0</formula>
    </cfRule>
    <cfRule type="cellIs" priority="71" operator="equal" aboveAverage="0" equalAverage="0" bottom="0" percent="0" rank="0" text="" dxfId="0">
      <formula>"⚠ RIESGO"</formula>
    </cfRule>
  </conditionalFormatting>
  <conditionalFormatting sqref="I52">
    <cfRule type="cellIs" priority="72" operator="lessThan" aboveAverage="0" equalAverage="0" bottom="0" percent="0" rank="0" text="" dxfId="0">
      <formula>0</formula>
    </cfRule>
    <cfRule type="cellIs" priority="73" operator="equal" aboveAverage="0" equalAverage="0" bottom="0" percent="0" rank="0" text="" dxfId="0">
      <formula>"⚠ RIESGO"</formula>
    </cfRule>
  </conditionalFormatting>
  <conditionalFormatting sqref="B53">
    <cfRule type="cellIs" priority="74" operator="equal" aboveAverage="0" equalAverage="0" bottom="0" percent="0" rank="0" text="" dxfId="0">
      <formula>"⚠ RIESGO"</formula>
    </cfRule>
  </conditionalFormatting>
  <conditionalFormatting sqref="C53">
    <cfRule type="cellIs" priority="75" operator="equal" aboveAverage="0" equalAverage="0" bottom="0" percent="0" rank="0" text="" dxfId="0">
      <formula>"⚠ RIESGO"</formula>
    </cfRule>
  </conditionalFormatting>
  <conditionalFormatting sqref="D53">
    <cfRule type="cellIs" priority="76" operator="equal" aboveAverage="0" equalAverage="0" bottom="0" percent="0" rank="0" text="" dxfId="0">
      <formula>"⚠ RIESGO"</formula>
    </cfRule>
  </conditionalFormatting>
  <conditionalFormatting sqref="E53">
    <cfRule type="cellIs" priority="77" operator="equal" aboveAverage="0" equalAverage="0" bottom="0" percent="0" rank="0" text="" dxfId="0">
      <formula>"⚠ RIESGO"</formula>
    </cfRule>
  </conditionalFormatting>
  <conditionalFormatting sqref="F53">
    <cfRule type="cellIs" priority="78" operator="equal" aboveAverage="0" equalAverage="0" bottom="0" percent="0" rank="0" text="" dxfId="0">
      <formula>"⚠ RIESGO"</formula>
    </cfRule>
  </conditionalFormatting>
  <conditionalFormatting sqref="G53">
    <cfRule type="cellIs" priority="79" operator="equal" aboveAverage="0" equalAverage="0" bottom="0" percent="0" rank="0" text="" dxfId="0">
      <formula>"⚠ RIESGO"</formula>
    </cfRule>
  </conditionalFormatting>
  <conditionalFormatting sqref="H53">
    <cfRule type="cellIs" priority="80" operator="equal" aboveAverage="0" equalAverage="0" bottom="0" percent="0" rank="0" text="" dxfId="0">
      <formula>"⚠ RIESGO"</formula>
    </cfRule>
  </conditionalFormatting>
  <conditionalFormatting sqref="I53">
    <cfRule type="cellIs" priority="81" operator="equal" aboveAverage="0" equalAverage="0" bottom="0" percent="0" rank="0" text="" dxfId="0">
      <formula>"⚠ RIESGO"</formula>
    </cfRule>
  </conditionalFormatting>
  <conditionalFormatting sqref="B54">
    <cfRule type="cellIs" priority="82" operator="equal" aboveAverage="0" equalAverage="0" bottom="0" percent="0" rank="0" text="" dxfId="0">
      <formula>"⚠ RIESGO"</formula>
    </cfRule>
  </conditionalFormatting>
  <conditionalFormatting sqref="C54">
    <cfRule type="cellIs" priority="83" operator="equal" aboveAverage="0" equalAverage="0" bottom="0" percent="0" rank="0" text="" dxfId="0">
      <formula>"⚠ RIESGO"</formula>
    </cfRule>
  </conditionalFormatting>
  <conditionalFormatting sqref="D54">
    <cfRule type="cellIs" priority="84" operator="equal" aboveAverage="0" equalAverage="0" bottom="0" percent="0" rank="0" text="" dxfId="0">
      <formula>"⚠ RIESGO"</formula>
    </cfRule>
  </conditionalFormatting>
  <conditionalFormatting sqref="E54">
    <cfRule type="cellIs" priority="85" operator="equal" aboveAverage="0" equalAverage="0" bottom="0" percent="0" rank="0" text="" dxfId="0">
      <formula>"⚠ RIESGO"</formula>
    </cfRule>
  </conditionalFormatting>
  <conditionalFormatting sqref="F54">
    <cfRule type="cellIs" priority="86" operator="equal" aboveAverage="0" equalAverage="0" bottom="0" percent="0" rank="0" text="" dxfId="0">
      <formula>"⚠ RIESGO"</formula>
    </cfRule>
  </conditionalFormatting>
  <conditionalFormatting sqref="G54">
    <cfRule type="cellIs" priority="87" operator="equal" aboveAverage="0" equalAverage="0" bottom="0" percent="0" rank="0" text="" dxfId="0">
      <formula>"⚠ RIESGO"</formula>
    </cfRule>
  </conditionalFormatting>
  <conditionalFormatting sqref="H54">
    <cfRule type="cellIs" priority="88" operator="equal" aboveAverage="0" equalAverage="0" bottom="0" percent="0" rank="0" text="" dxfId="0">
      <formula>"⚠ RIESGO"</formula>
    </cfRule>
  </conditionalFormatting>
  <conditionalFormatting sqref="I54">
    <cfRule type="cellIs" priority="89" operator="equal" aboveAverage="0" equalAverage="0" bottom="0" percent="0" rank="0" text="" dxfId="0">
      <formula>"⚠ RIESGO"</formula>
    </cfRule>
  </conditionalFormatting>
  <conditionalFormatting sqref="B55">
    <cfRule type="cellIs" priority="90" operator="equal" aboveAverage="0" equalAverage="0" bottom="0" percent="0" rank="0" text="" dxfId="0">
      <formula>"⚠ RIESGO"</formula>
    </cfRule>
  </conditionalFormatting>
  <conditionalFormatting sqref="C55">
    <cfRule type="cellIs" priority="91" operator="equal" aboveAverage="0" equalAverage="0" bottom="0" percent="0" rank="0" text="" dxfId="0">
      <formula>"⚠ RIESGO"</formula>
    </cfRule>
  </conditionalFormatting>
  <conditionalFormatting sqref="D55">
    <cfRule type="cellIs" priority="92" operator="equal" aboveAverage="0" equalAverage="0" bottom="0" percent="0" rank="0" text="" dxfId="0">
      <formula>"⚠ RIESGO"</formula>
    </cfRule>
  </conditionalFormatting>
  <conditionalFormatting sqref="E55">
    <cfRule type="cellIs" priority="93" operator="equal" aboveAverage="0" equalAverage="0" bottom="0" percent="0" rank="0" text="" dxfId="0">
      <formula>"⚠ RIESGO"</formula>
    </cfRule>
  </conditionalFormatting>
  <conditionalFormatting sqref="F55">
    <cfRule type="cellIs" priority="94" operator="equal" aboveAverage="0" equalAverage="0" bottom="0" percent="0" rank="0" text="" dxfId="0">
      <formula>"⚠ RIESGO"</formula>
    </cfRule>
  </conditionalFormatting>
  <conditionalFormatting sqref="G55">
    <cfRule type="cellIs" priority="95" operator="equal" aboveAverage="0" equalAverage="0" bottom="0" percent="0" rank="0" text="" dxfId="0">
      <formula>"⚠ RIESGO"</formula>
    </cfRule>
  </conditionalFormatting>
  <conditionalFormatting sqref="H55">
    <cfRule type="cellIs" priority="96" operator="equal" aboveAverage="0" equalAverage="0" bottom="0" percent="0" rank="0" text="" dxfId="0">
      <formula>"⚠ RIESGO"</formula>
    </cfRule>
  </conditionalFormatting>
  <conditionalFormatting sqref="I55">
    <cfRule type="cellIs" priority="97" operator="equal" aboveAverage="0" equalAverage="0" bottom="0" percent="0" rank="0" text="" dxfId="0">
      <formula>"⚠ RIESGO"</formula>
    </cfRule>
  </conditionalFormatting>
  <conditionalFormatting sqref="B56">
    <cfRule type="cellIs" priority="98" operator="equal" aboveAverage="0" equalAverage="0" bottom="0" percent="0" rank="0" text="" dxfId="0">
      <formula>"⚠ RIESGO"</formula>
    </cfRule>
  </conditionalFormatting>
  <conditionalFormatting sqref="C56">
    <cfRule type="cellIs" priority="99" operator="equal" aboveAverage="0" equalAverage="0" bottom="0" percent="0" rank="0" text="" dxfId="0">
      <formula>"⚠ RIESGO"</formula>
    </cfRule>
  </conditionalFormatting>
  <conditionalFormatting sqref="D56">
    <cfRule type="cellIs" priority="100" operator="equal" aboveAverage="0" equalAverage="0" bottom="0" percent="0" rank="0" text="" dxfId="0">
      <formula>"⚠ RIESGO"</formula>
    </cfRule>
  </conditionalFormatting>
  <conditionalFormatting sqref="E56">
    <cfRule type="cellIs" priority="101" operator="equal" aboveAverage="0" equalAverage="0" bottom="0" percent="0" rank="0" text="" dxfId="0">
      <formula>"⚠ RIESGO"</formula>
    </cfRule>
  </conditionalFormatting>
  <conditionalFormatting sqref="F56">
    <cfRule type="cellIs" priority="102" operator="equal" aboveAverage="0" equalAverage="0" bottom="0" percent="0" rank="0" text="" dxfId="0">
      <formula>"⚠ RIESGO"</formula>
    </cfRule>
  </conditionalFormatting>
  <conditionalFormatting sqref="G56">
    <cfRule type="cellIs" priority="103" operator="equal" aboveAverage="0" equalAverage="0" bottom="0" percent="0" rank="0" text="" dxfId="0">
      <formula>"⚠ RIESGO"</formula>
    </cfRule>
  </conditionalFormatting>
  <conditionalFormatting sqref="H56">
    <cfRule type="cellIs" priority="104" operator="equal" aboveAverage="0" equalAverage="0" bottom="0" percent="0" rank="0" text="" dxfId="0">
      <formula>"⚠ RIESGO"</formula>
    </cfRule>
  </conditionalFormatting>
  <conditionalFormatting sqref="I56">
    <cfRule type="cellIs" priority="105" operator="equal" aboveAverage="0" equalAverage="0" bottom="0" percent="0" rank="0" text="" dxfId="0">
      <formula>"⚠ RIESGO"</formula>
    </cfRule>
  </conditionalFormatting>
  <conditionalFormatting sqref="B57">
    <cfRule type="cellIs" priority="106" operator="equal" aboveAverage="0" equalAverage="0" bottom="0" percent="0" rank="0" text="" dxfId="0">
      <formula>"⚠ RIESGO"</formula>
    </cfRule>
  </conditionalFormatting>
  <conditionalFormatting sqref="C57">
    <cfRule type="cellIs" priority="107" operator="equal" aboveAverage="0" equalAverage="0" bottom="0" percent="0" rank="0" text="" dxfId="0">
      <formula>"⚠ RIESGO"</formula>
    </cfRule>
  </conditionalFormatting>
  <conditionalFormatting sqref="D57">
    <cfRule type="cellIs" priority="108" operator="equal" aboveAverage="0" equalAverage="0" bottom="0" percent="0" rank="0" text="" dxfId="0">
      <formula>"⚠ RIESGO"</formula>
    </cfRule>
  </conditionalFormatting>
  <conditionalFormatting sqref="E57">
    <cfRule type="cellIs" priority="109" operator="equal" aboveAverage="0" equalAverage="0" bottom="0" percent="0" rank="0" text="" dxfId="0">
      <formula>"⚠ RIESGO"</formula>
    </cfRule>
  </conditionalFormatting>
  <conditionalFormatting sqref="F57">
    <cfRule type="cellIs" priority="110" operator="equal" aboveAverage="0" equalAverage="0" bottom="0" percent="0" rank="0" text="" dxfId="0">
      <formula>"⚠ RIESGO"</formula>
    </cfRule>
  </conditionalFormatting>
  <conditionalFormatting sqref="G57">
    <cfRule type="cellIs" priority="111" operator="equal" aboveAverage="0" equalAverage="0" bottom="0" percent="0" rank="0" text="" dxfId="0">
      <formula>"⚠ RIESGO"</formula>
    </cfRule>
  </conditionalFormatting>
  <conditionalFormatting sqref="H57">
    <cfRule type="cellIs" priority="112" operator="equal" aboveAverage="0" equalAverage="0" bottom="0" percent="0" rank="0" text="" dxfId="0">
      <formula>"⚠ RIESGO"</formula>
    </cfRule>
  </conditionalFormatting>
  <conditionalFormatting sqref="I57">
    <cfRule type="cellIs" priority="113" operator="equal" aboveAverage="0" equalAverage="0" bottom="0" percent="0" rank="0" text="" dxfId="0">
      <formula>"⚠ RIESGO"</formula>
    </cfRule>
  </conditionalFormatting>
  <conditionalFormatting sqref="B58">
    <cfRule type="cellIs" priority="114" operator="equal" aboveAverage="0" equalAverage="0" bottom="0" percent="0" rank="0" text="" dxfId="0">
      <formula>"⚠ RIESGO"</formula>
    </cfRule>
  </conditionalFormatting>
  <conditionalFormatting sqref="C58">
    <cfRule type="cellIs" priority="115" operator="equal" aboveAverage="0" equalAverage="0" bottom="0" percent="0" rank="0" text="" dxfId="0">
      <formula>"⚠ RIESGO"</formula>
    </cfRule>
  </conditionalFormatting>
  <conditionalFormatting sqref="D58">
    <cfRule type="cellIs" priority="116" operator="equal" aboveAverage="0" equalAverage="0" bottom="0" percent="0" rank="0" text="" dxfId="0">
      <formula>"⚠ RIESGO"</formula>
    </cfRule>
  </conditionalFormatting>
  <conditionalFormatting sqref="E58">
    <cfRule type="cellIs" priority="117" operator="equal" aboveAverage="0" equalAverage="0" bottom="0" percent="0" rank="0" text="" dxfId="0">
      <formula>"⚠ RIESGO"</formula>
    </cfRule>
  </conditionalFormatting>
  <conditionalFormatting sqref="F58">
    <cfRule type="cellIs" priority="118" operator="equal" aboveAverage="0" equalAverage="0" bottom="0" percent="0" rank="0" text="" dxfId="0">
      <formula>"⚠ RIESGO"</formula>
    </cfRule>
  </conditionalFormatting>
  <conditionalFormatting sqref="G58">
    <cfRule type="cellIs" priority="119" operator="equal" aboveAverage="0" equalAverage="0" bottom="0" percent="0" rank="0" text="" dxfId="0">
      <formula>"⚠ RIESGO"</formula>
    </cfRule>
  </conditionalFormatting>
  <conditionalFormatting sqref="H58">
    <cfRule type="cellIs" priority="120" operator="equal" aboveAverage="0" equalAverage="0" bottom="0" percent="0" rank="0" text="" dxfId="0">
      <formula>"⚠ RIESGO"</formula>
    </cfRule>
  </conditionalFormatting>
  <conditionalFormatting sqref="I58">
    <cfRule type="cellIs" priority="121" operator="equal" aboveAverage="0" equalAverage="0" bottom="0" percent="0" rank="0" text="" dxfId="0">
      <formula>"⚠ RIESGO"</formula>
    </cfRule>
  </conditionalFormatting>
  <conditionalFormatting sqref="B59">
    <cfRule type="cellIs" priority="122" operator="equal" aboveAverage="0" equalAverage="0" bottom="0" percent="0" rank="0" text="" dxfId="0">
      <formula>"⚠ RIESGO"</formula>
    </cfRule>
  </conditionalFormatting>
  <conditionalFormatting sqref="C59">
    <cfRule type="cellIs" priority="123" operator="equal" aboveAverage="0" equalAverage="0" bottom="0" percent="0" rank="0" text="" dxfId="0">
      <formula>"⚠ RIESGO"</formula>
    </cfRule>
  </conditionalFormatting>
  <conditionalFormatting sqref="D59">
    <cfRule type="cellIs" priority="124" operator="equal" aboveAverage="0" equalAverage="0" bottom="0" percent="0" rank="0" text="" dxfId="0">
      <formula>"⚠ RIESGO"</formula>
    </cfRule>
  </conditionalFormatting>
  <conditionalFormatting sqref="E59">
    <cfRule type="cellIs" priority="125" operator="equal" aboveAverage="0" equalAverage="0" bottom="0" percent="0" rank="0" text="" dxfId="0">
      <formula>"⚠ RIESGO"</formula>
    </cfRule>
  </conditionalFormatting>
  <conditionalFormatting sqref="F59">
    <cfRule type="cellIs" priority="126" operator="equal" aboveAverage="0" equalAverage="0" bottom="0" percent="0" rank="0" text="" dxfId="0">
      <formula>"⚠ RIESGO"</formula>
    </cfRule>
  </conditionalFormatting>
  <conditionalFormatting sqref="G59">
    <cfRule type="cellIs" priority="127" operator="equal" aboveAverage="0" equalAverage="0" bottom="0" percent="0" rank="0" text="" dxfId="0">
      <formula>"⚠ RIESGO"</formula>
    </cfRule>
  </conditionalFormatting>
  <conditionalFormatting sqref="H59">
    <cfRule type="cellIs" priority="128" operator="equal" aboveAverage="0" equalAverage="0" bottom="0" percent="0" rank="0" text="" dxfId="0">
      <formula>"⚠ RIESGO"</formula>
    </cfRule>
  </conditionalFormatting>
  <conditionalFormatting sqref="I59">
    <cfRule type="cellIs" priority="129" operator="equal" aboveAverage="0" equalAverage="0" bottom="0" percent="0" rank="0" text="" dxfId="0">
      <formula>"⚠ RIESGO"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11" min="2" style="1" width="11"/>
  </cols>
  <sheetData>
    <row r="1" customFormat="false" ht="17.25" hidden="false" customHeight="true" outlineLevel="0" collapsed="false">
      <c r="A1" s="2" t="s">
        <v>107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true" outlineLevel="0" collapsed="false">
      <c r="A2" s="28" t="s">
        <v>108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</row>
    <row r="3" customFormat="false" ht="15" hidden="false" customHeight="true" outlineLevel="0" collapsed="false">
      <c r="A3" s="40" t="s">
        <v>109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</row>
    <row r="5" customFormat="false" ht="15" hidden="false" customHeight="true" outlineLevel="0" collapsed="false">
      <c r="A5" s="4" t="s">
        <v>110</v>
      </c>
      <c r="B5" s="4"/>
      <c r="C5" s="4"/>
      <c r="D5" s="4"/>
      <c r="E5" s="4"/>
      <c r="F5" s="4"/>
      <c r="G5" s="4"/>
      <c r="H5" s="4"/>
      <c r="I5" s="4"/>
      <c r="J5" s="4"/>
    </row>
    <row r="6" customFormat="false" ht="23.25" hidden="false" customHeight="true" outlineLevel="0" collapsed="false">
      <c r="A6" s="41" t="s">
        <v>15</v>
      </c>
      <c r="B6" s="41" t="s">
        <v>111</v>
      </c>
      <c r="C6" s="41" t="s">
        <v>42</v>
      </c>
      <c r="D6" s="41" t="s">
        <v>112</v>
      </c>
      <c r="E6" s="41" t="s">
        <v>113</v>
      </c>
      <c r="F6" s="41" t="s">
        <v>114</v>
      </c>
      <c r="G6" s="41" t="s">
        <v>115</v>
      </c>
      <c r="H6" s="41" t="s">
        <v>116</v>
      </c>
      <c r="I6" s="41" t="s">
        <v>117</v>
      </c>
    </row>
    <row r="7" customFormat="false" ht="15" hidden="false" customHeight="true" outlineLevel="0" collapsed="false">
      <c r="A7" s="10" t="s">
        <v>23</v>
      </c>
      <c r="B7" s="42" t="n">
        <f aca="false">BOM_Consumo!K8</f>
        <v>118400</v>
      </c>
      <c r="C7" s="42" t="n">
        <f aca="false">Inputs!B35</f>
        <v>30</v>
      </c>
      <c r="D7" s="43" t="n">
        <f aca="false">ROUNDUP(B7/C7,0)</f>
        <v>3947</v>
      </c>
      <c r="E7" s="44" t="n">
        <f aca="false">D7</f>
        <v>3947</v>
      </c>
      <c r="F7" s="43" t="n">
        <f aca="false">E7*C7</f>
        <v>118410</v>
      </c>
      <c r="G7" s="45" t="n">
        <f aca="false">Inputs!B45</f>
        <v>0</v>
      </c>
      <c r="H7" s="46" t="n">
        <f aca="false">E7*G7</f>
        <v>0</v>
      </c>
      <c r="I7" s="27" t="str">
        <f aca="false">IF(F7&gt;=B7,"OK","INSUFICIENTE")</f>
        <v>OK</v>
      </c>
    </row>
    <row r="8" customFormat="false" ht="15" hidden="false" customHeight="true" outlineLevel="0" collapsed="false">
      <c r="A8" s="10" t="s">
        <v>24</v>
      </c>
      <c r="B8" s="42" t="n">
        <f aca="false">BOM_Consumo!K9</f>
        <v>4440</v>
      </c>
      <c r="C8" s="42" t="n">
        <f aca="false">Inputs!B36</f>
        <v>12</v>
      </c>
      <c r="D8" s="43" t="n">
        <f aca="false">ROUNDUP(B8/C8,0)</f>
        <v>370</v>
      </c>
      <c r="E8" s="44" t="n">
        <f aca="false">D8</f>
        <v>370</v>
      </c>
      <c r="F8" s="43" t="n">
        <f aca="false">E8*C8</f>
        <v>4440</v>
      </c>
      <c r="G8" s="45" t="n">
        <f aca="false">Inputs!B46</f>
        <v>7</v>
      </c>
      <c r="H8" s="46" t="n">
        <f aca="false">E8*G8</f>
        <v>2590</v>
      </c>
      <c r="I8" s="27" t="str">
        <f aca="false">IF(F8&gt;=B8,"OK","INSUFICIENTE")</f>
        <v>OK</v>
      </c>
    </row>
    <row r="9" customFormat="false" ht="15" hidden="false" customHeight="true" outlineLevel="0" collapsed="false">
      <c r="A9" s="10" t="s">
        <v>25</v>
      </c>
      <c r="B9" s="42" t="n">
        <f aca="false">BOM_Consumo!K10</f>
        <v>8880</v>
      </c>
      <c r="C9" s="42" t="n">
        <f aca="false">Inputs!B37</f>
        <v>1</v>
      </c>
      <c r="D9" s="43" t="n">
        <f aca="false">ROUNDUP(B9/C9,0)</f>
        <v>8880</v>
      </c>
      <c r="E9" s="44" t="n">
        <f aca="false">D9</f>
        <v>8880</v>
      </c>
      <c r="F9" s="43" t="n">
        <f aca="false">E9*C9</f>
        <v>8880</v>
      </c>
      <c r="G9" s="45" t="n">
        <f aca="false">Inputs!B47</f>
        <v>125</v>
      </c>
      <c r="H9" s="46" t="n">
        <f aca="false">E9*G9</f>
        <v>1110000</v>
      </c>
      <c r="I9" s="27" t="str">
        <f aca="false">IF(F9&gt;=B9,"OK","INSUFICIENTE")</f>
        <v>OK</v>
      </c>
    </row>
    <row r="10" customFormat="false" ht="15" hidden="false" customHeight="true" outlineLevel="0" collapsed="false">
      <c r="A10" s="10" t="s">
        <v>26</v>
      </c>
      <c r="B10" s="42" t="n">
        <f aca="false">BOM_Consumo!K11</f>
        <v>29600</v>
      </c>
      <c r="C10" s="42" t="n">
        <f aca="false">Inputs!B38</f>
        <v>100</v>
      </c>
      <c r="D10" s="43" t="n">
        <f aca="false">ROUNDUP(B10/C10,0)</f>
        <v>296</v>
      </c>
      <c r="E10" s="44" t="n">
        <f aca="false">D10</f>
        <v>296</v>
      </c>
      <c r="F10" s="43" t="n">
        <f aca="false">E10*C10</f>
        <v>29600</v>
      </c>
      <c r="G10" s="45" t="n">
        <f aca="false">Inputs!B48</f>
        <v>330</v>
      </c>
      <c r="H10" s="46" t="n">
        <f aca="false">E10*G10</f>
        <v>97680</v>
      </c>
      <c r="I10" s="27" t="str">
        <f aca="false">IF(F10&gt;=B10,"OK","INSUFICIENTE")</f>
        <v>OK</v>
      </c>
    </row>
    <row r="11" customFormat="false" ht="15" hidden="false" customHeight="true" outlineLevel="0" collapsed="false">
      <c r="A11" s="10" t="s">
        <v>27</v>
      </c>
      <c r="B11" s="42" t="n">
        <f aca="false">BOM_Consumo!K12</f>
        <v>11100</v>
      </c>
      <c r="C11" s="42" t="n">
        <f aca="false">Inputs!B39</f>
        <v>30</v>
      </c>
      <c r="D11" s="43" t="n">
        <f aca="false">ROUNDUP(B11/C11,0)</f>
        <v>370</v>
      </c>
      <c r="E11" s="44" t="n">
        <f aca="false">D11</f>
        <v>370</v>
      </c>
      <c r="F11" s="43" t="n">
        <f aca="false">E11*C11</f>
        <v>11100</v>
      </c>
      <c r="G11" s="45" t="n">
        <f aca="false">Inputs!B49</f>
        <v>60</v>
      </c>
      <c r="H11" s="46" t="n">
        <f aca="false">E11*G11</f>
        <v>22200</v>
      </c>
      <c r="I11" s="27" t="str">
        <f aca="false">IF(F11&gt;=B11,"OK","INSUFICIENTE")</f>
        <v>OK</v>
      </c>
    </row>
    <row r="12" customFormat="false" ht="15" hidden="false" customHeight="true" outlineLevel="0" collapsed="false">
      <c r="A12" s="10" t="s">
        <v>28</v>
      </c>
      <c r="B12" s="42" t="n">
        <f aca="false">BOM_Consumo!K13</f>
        <v>0</v>
      </c>
      <c r="C12" s="42" t="n">
        <f aca="false">Inputs!B40</f>
        <v>60</v>
      </c>
      <c r="D12" s="43" t="n">
        <f aca="false">ROUNDUP(B12/C12,0)</f>
        <v>0</v>
      </c>
      <c r="E12" s="44" t="n">
        <f aca="false">D12</f>
        <v>0</v>
      </c>
      <c r="F12" s="43" t="n">
        <f aca="false">E12*C12</f>
        <v>0</v>
      </c>
      <c r="G12" s="45" t="n">
        <f aca="false">Inputs!B50</f>
        <v>7</v>
      </c>
      <c r="H12" s="46" t="n">
        <f aca="false">E12*G12</f>
        <v>0</v>
      </c>
      <c r="I12" s="27" t="str">
        <f aca="false">IF(F12&gt;=B12,"OK","INSUFICIENTE")</f>
        <v>OK</v>
      </c>
    </row>
    <row r="13" customFormat="false" ht="15" hidden="false" customHeight="true" outlineLevel="0" collapsed="false">
      <c r="A13" s="34" t="s">
        <v>118</v>
      </c>
      <c r="B13" s="34"/>
      <c r="C13" s="34"/>
      <c r="D13" s="34"/>
      <c r="E13" s="34"/>
      <c r="F13" s="34"/>
      <c r="G13" s="34"/>
      <c r="H13" s="47" t="n">
        <f aca="false">SUM(H7:H12)</f>
        <v>1232470</v>
      </c>
    </row>
    <row r="16" customFormat="false" ht="15" hidden="false" customHeight="true" outlineLevel="0" collapsed="false">
      <c r="A16" s="4" t="s">
        <v>119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customFormat="false" ht="23.25" hidden="false" customHeight="true" outlineLevel="0" collapsed="false">
      <c r="A17" s="41" t="s">
        <v>15</v>
      </c>
      <c r="B17" s="41" t="s">
        <v>120</v>
      </c>
      <c r="C17" s="41" t="s">
        <v>121</v>
      </c>
      <c r="D17" s="41" t="s">
        <v>42</v>
      </c>
      <c r="E17" s="41" t="s">
        <v>112</v>
      </c>
      <c r="F17" s="41" t="s">
        <v>113</v>
      </c>
      <c r="G17" s="41" t="s">
        <v>122</v>
      </c>
      <c r="H17" s="41" t="s">
        <v>115</v>
      </c>
      <c r="I17" s="41" t="s">
        <v>123</v>
      </c>
      <c r="J17" s="41" t="s">
        <v>65</v>
      </c>
      <c r="K17" s="41" t="s">
        <v>124</v>
      </c>
    </row>
    <row r="18" customFormat="false" ht="15" hidden="false" customHeight="true" outlineLevel="0" collapsed="false">
      <c r="A18" s="48" t="s">
        <v>19</v>
      </c>
      <c r="B18" s="11" t="s">
        <v>4</v>
      </c>
      <c r="C18" s="42" t="n">
        <f aca="false">BOM_Consumo!C6</f>
        <v>370</v>
      </c>
      <c r="D18" s="42" t="n">
        <f aca="false">Inputs!B35</f>
        <v>30</v>
      </c>
      <c r="E18" s="43" t="n">
        <f aca="false">IF(C18&gt;0,ROUNDUP(C18/D18,0),0)</f>
        <v>13</v>
      </c>
      <c r="F18" s="44" t="n">
        <v>0</v>
      </c>
      <c r="G18" s="43" t="n">
        <f aca="false">F18*D18</f>
        <v>0</v>
      </c>
      <c r="H18" s="45" t="n">
        <f aca="false">Inputs!B43</f>
        <v>125</v>
      </c>
      <c r="I18" s="46" t="n">
        <f aca="false">F18*H18</f>
        <v>0</v>
      </c>
      <c r="J18" s="49" t="str">
        <f aca="false">Inputs!C58</f>
        <v>Holding Cost/U/Q</v>
      </c>
      <c r="K18" s="27" t="s">
        <v>4</v>
      </c>
    </row>
    <row r="19" customFormat="false" ht="15" hidden="false" customHeight="true" outlineLevel="0" collapsed="false">
      <c r="A19" s="48"/>
      <c r="B19" s="11" t="s">
        <v>5</v>
      </c>
      <c r="C19" s="42" t="n">
        <f aca="false">BOM_Consumo!D6</f>
        <v>370</v>
      </c>
      <c r="D19" s="42" t="n">
        <f aca="false">Inputs!B35</f>
        <v>30</v>
      </c>
      <c r="E19" s="43" t="n">
        <f aca="false">IF(C19&gt;0,ROUNDUP(C19/D19,0),0)</f>
        <v>13</v>
      </c>
      <c r="F19" s="44" t="n">
        <v>0</v>
      </c>
      <c r="G19" s="43" t="n">
        <f aca="false">F19*D19</f>
        <v>0</v>
      </c>
      <c r="H19" s="45" t="n">
        <f aca="false">Inputs!B43</f>
        <v>125</v>
      </c>
      <c r="I19" s="46" t="n">
        <f aca="false">F19*H19</f>
        <v>0</v>
      </c>
      <c r="J19" s="49" t="str">
        <f aca="false">Inputs!C58</f>
        <v>Holding Cost/U/Q</v>
      </c>
      <c r="K19" s="27" t="s">
        <v>5</v>
      </c>
    </row>
    <row r="20" customFormat="false" ht="15" hidden="false" customHeight="true" outlineLevel="0" collapsed="false">
      <c r="A20" s="48"/>
      <c r="B20" s="11" t="s">
        <v>6</v>
      </c>
      <c r="C20" s="42" t="n">
        <f aca="false">BOM_Consumo!E6</f>
        <v>370</v>
      </c>
      <c r="D20" s="42" t="n">
        <f aca="false">Inputs!B35</f>
        <v>30</v>
      </c>
      <c r="E20" s="43" t="n">
        <f aca="false">IF(C20&gt;0,ROUNDUP(C20/D20,0),0)</f>
        <v>13</v>
      </c>
      <c r="F20" s="44" t="n">
        <v>0</v>
      </c>
      <c r="G20" s="43" t="n">
        <f aca="false">F20*D20</f>
        <v>0</v>
      </c>
      <c r="H20" s="45" t="n">
        <f aca="false">Inputs!B43</f>
        <v>125</v>
      </c>
      <c r="I20" s="46" t="n">
        <f aca="false">F20*H20</f>
        <v>0</v>
      </c>
      <c r="J20" s="49" t="str">
        <f aca="false">Inputs!C58</f>
        <v>Holding Cost/U/Q</v>
      </c>
      <c r="K20" s="27" t="s">
        <v>6</v>
      </c>
    </row>
    <row r="21" customFormat="false" ht="15" hidden="false" customHeight="true" outlineLevel="0" collapsed="false">
      <c r="A21" s="48"/>
      <c r="B21" s="11" t="s">
        <v>7</v>
      </c>
      <c r="C21" s="42" t="n">
        <f aca="false">BOM_Consumo!F6</f>
        <v>370</v>
      </c>
      <c r="D21" s="42" t="n">
        <f aca="false">Inputs!B35</f>
        <v>30</v>
      </c>
      <c r="E21" s="43" t="n">
        <f aca="false">IF(C21&gt;0,ROUNDUP(C21/D21,0),0)</f>
        <v>13</v>
      </c>
      <c r="F21" s="44" t="n">
        <v>0</v>
      </c>
      <c r="G21" s="43" t="n">
        <f aca="false">F21*D21</f>
        <v>0</v>
      </c>
      <c r="H21" s="45" t="n">
        <f aca="false">Inputs!B43</f>
        <v>125</v>
      </c>
      <c r="I21" s="46" t="n">
        <f aca="false">F21*H21</f>
        <v>0</v>
      </c>
      <c r="J21" s="49" t="str">
        <f aca="false">Inputs!C58</f>
        <v>Holding Cost/U/Q</v>
      </c>
      <c r="K21" s="27" t="s">
        <v>7</v>
      </c>
    </row>
    <row r="22" customFormat="false" ht="15" hidden="false" customHeight="true" outlineLevel="0" collapsed="false">
      <c r="A22" s="48"/>
      <c r="B22" s="11" t="s">
        <v>8</v>
      </c>
      <c r="C22" s="42" t="n">
        <f aca="false">BOM_Consumo!G6</f>
        <v>370</v>
      </c>
      <c r="D22" s="42" t="n">
        <f aca="false">Inputs!B35</f>
        <v>30</v>
      </c>
      <c r="E22" s="43" t="n">
        <f aca="false">IF(C22&gt;0,ROUNDUP(C22/D22,0),0)</f>
        <v>13</v>
      </c>
      <c r="F22" s="44" t="n">
        <v>0</v>
      </c>
      <c r="G22" s="43" t="n">
        <f aca="false">F22*D22</f>
        <v>0</v>
      </c>
      <c r="H22" s="45" t="n">
        <f aca="false">Inputs!B43</f>
        <v>125</v>
      </c>
      <c r="I22" s="46" t="n">
        <f aca="false">F22*H22</f>
        <v>0</v>
      </c>
      <c r="J22" s="49" t="str">
        <f aca="false">Inputs!C58</f>
        <v>Holding Cost/U/Q</v>
      </c>
      <c r="K22" s="27" t="s">
        <v>8</v>
      </c>
    </row>
    <row r="23" customFormat="false" ht="15" hidden="false" customHeight="true" outlineLevel="0" collapsed="false">
      <c r="A23" s="48"/>
      <c r="B23" s="11" t="s">
        <v>9</v>
      </c>
      <c r="C23" s="42" t="n">
        <f aca="false">BOM_Consumo!H6</f>
        <v>370</v>
      </c>
      <c r="D23" s="42" t="n">
        <f aca="false">Inputs!B35</f>
        <v>30</v>
      </c>
      <c r="E23" s="43" t="n">
        <f aca="false">IF(C23&gt;0,ROUNDUP(C23/D23,0),0)</f>
        <v>13</v>
      </c>
      <c r="F23" s="44" t="n">
        <v>0</v>
      </c>
      <c r="G23" s="43" t="n">
        <f aca="false">F23*D23</f>
        <v>0</v>
      </c>
      <c r="H23" s="45" t="n">
        <f aca="false">Inputs!B43</f>
        <v>125</v>
      </c>
      <c r="I23" s="46" t="n">
        <f aca="false">F23*H23</f>
        <v>0</v>
      </c>
      <c r="J23" s="49" t="str">
        <f aca="false">Inputs!C58</f>
        <v>Holding Cost/U/Q</v>
      </c>
      <c r="K23" s="27" t="s">
        <v>9</v>
      </c>
    </row>
    <row r="24" customFormat="false" ht="15" hidden="false" customHeight="true" outlineLevel="0" collapsed="false">
      <c r="A24" s="48"/>
      <c r="B24" s="11" t="s">
        <v>10</v>
      </c>
      <c r="C24" s="42" t="n">
        <f aca="false">BOM_Consumo!I6</f>
        <v>370</v>
      </c>
      <c r="D24" s="42" t="n">
        <f aca="false">Inputs!B35</f>
        <v>30</v>
      </c>
      <c r="E24" s="43" t="n">
        <f aca="false">IF(C24&gt;0,ROUNDUP(C24/D24,0),0)</f>
        <v>13</v>
      </c>
      <c r="F24" s="44" t="n">
        <v>0</v>
      </c>
      <c r="G24" s="43" t="n">
        <f aca="false">F24*D24</f>
        <v>0</v>
      </c>
      <c r="H24" s="45" t="n">
        <f aca="false">Inputs!B43</f>
        <v>125</v>
      </c>
      <c r="I24" s="46" t="n">
        <f aca="false">F24*H24</f>
        <v>0</v>
      </c>
      <c r="J24" s="49" t="str">
        <f aca="false">Inputs!C58</f>
        <v>Holding Cost/U/Q</v>
      </c>
      <c r="K24" s="27" t="s">
        <v>10</v>
      </c>
    </row>
    <row r="25" customFormat="false" ht="15" hidden="false" customHeight="true" outlineLevel="0" collapsed="false">
      <c r="A25" s="48"/>
      <c r="B25" s="11" t="s">
        <v>11</v>
      </c>
      <c r="C25" s="42" t="n">
        <f aca="false">BOM_Consumo!J6</f>
        <v>370</v>
      </c>
      <c r="D25" s="42" t="n">
        <f aca="false">Inputs!B35</f>
        <v>30</v>
      </c>
      <c r="E25" s="43" t="n">
        <f aca="false">IF(C25&gt;0,ROUNDUP(C25/D25,0),0)</f>
        <v>13</v>
      </c>
      <c r="F25" s="44" t="n">
        <v>0</v>
      </c>
      <c r="G25" s="43" t="n">
        <f aca="false">F25*D25</f>
        <v>0</v>
      </c>
      <c r="H25" s="45" t="n">
        <f aca="false">Inputs!B43</f>
        <v>125</v>
      </c>
      <c r="I25" s="46" t="n">
        <f aca="false">F25*H25</f>
        <v>0</v>
      </c>
      <c r="J25" s="49" t="str">
        <f aca="false">Inputs!C58</f>
        <v>Holding Cost/U/Q</v>
      </c>
      <c r="K25" s="27" t="s">
        <v>11</v>
      </c>
    </row>
    <row r="26" customFormat="false" ht="15" hidden="false" customHeight="true" outlineLevel="0" collapsed="false">
      <c r="A26" s="48" t="s">
        <v>22</v>
      </c>
      <c r="B26" s="11" t="s">
        <v>4</v>
      </c>
      <c r="C26" s="42" t="n">
        <f aca="false">BOM_Consumo!C7</f>
        <v>18.5</v>
      </c>
      <c r="D26" s="42" t="n">
        <f aca="false">Inputs!B36</f>
        <v>12</v>
      </c>
      <c r="E26" s="43" t="n">
        <f aca="false">IF(C26&gt;0,ROUNDUP(C26/D26,0),0)</f>
        <v>2</v>
      </c>
      <c r="F26" s="44" t="n">
        <v>0</v>
      </c>
      <c r="G26" s="43" t="n">
        <f aca="false">F26*D26</f>
        <v>0</v>
      </c>
      <c r="H26" s="45" t="n">
        <f aca="false">Inputs!B44</f>
        <v>330</v>
      </c>
      <c r="I26" s="46" t="n">
        <f aca="false">F26*H26</f>
        <v>0</v>
      </c>
      <c r="J26" s="49" t="n">
        <f aca="false">Inputs!C69</f>
        <v>0</v>
      </c>
      <c r="K26" s="27" t="s">
        <v>4</v>
      </c>
    </row>
    <row r="27" customFormat="false" ht="15" hidden="false" customHeight="true" outlineLevel="0" collapsed="false">
      <c r="A27" s="48"/>
      <c r="B27" s="11" t="s">
        <v>5</v>
      </c>
      <c r="C27" s="42" t="n">
        <f aca="false">BOM_Consumo!D7</f>
        <v>18.5</v>
      </c>
      <c r="D27" s="42" t="n">
        <f aca="false">Inputs!B36</f>
        <v>12</v>
      </c>
      <c r="E27" s="43" t="n">
        <f aca="false">IF(C27&gt;0,ROUNDUP(C27/D27,0),0)</f>
        <v>2</v>
      </c>
      <c r="F27" s="44" t="n">
        <v>0</v>
      </c>
      <c r="G27" s="43" t="n">
        <f aca="false">F27*D27</f>
        <v>0</v>
      </c>
      <c r="H27" s="45" t="n">
        <f aca="false">Inputs!B44</f>
        <v>330</v>
      </c>
      <c r="I27" s="46" t="n">
        <f aca="false">F27*H27</f>
        <v>0</v>
      </c>
      <c r="J27" s="49" t="n">
        <f aca="false">Inputs!C69</f>
        <v>0</v>
      </c>
      <c r="K27" s="27" t="s">
        <v>5</v>
      </c>
    </row>
    <row r="28" customFormat="false" ht="15" hidden="false" customHeight="true" outlineLevel="0" collapsed="false">
      <c r="A28" s="48"/>
      <c r="B28" s="11" t="s">
        <v>6</v>
      </c>
      <c r="C28" s="42" t="n">
        <f aca="false">BOM_Consumo!E7</f>
        <v>18.5</v>
      </c>
      <c r="D28" s="42" t="n">
        <f aca="false">Inputs!B36</f>
        <v>12</v>
      </c>
      <c r="E28" s="43" t="n">
        <f aca="false">IF(C28&gt;0,ROUNDUP(C28/D28,0),0)</f>
        <v>2</v>
      </c>
      <c r="F28" s="44" t="n">
        <v>0</v>
      </c>
      <c r="G28" s="43" t="n">
        <f aca="false">F28*D28</f>
        <v>0</v>
      </c>
      <c r="H28" s="45" t="n">
        <f aca="false">Inputs!B44</f>
        <v>330</v>
      </c>
      <c r="I28" s="46" t="n">
        <f aca="false">F28*H28</f>
        <v>0</v>
      </c>
      <c r="J28" s="49" t="n">
        <f aca="false">Inputs!C69</f>
        <v>0</v>
      </c>
      <c r="K28" s="27" t="s">
        <v>6</v>
      </c>
    </row>
    <row r="29" customFormat="false" ht="15" hidden="false" customHeight="true" outlineLevel="0" collapsed="false">
      <c r="A29" s="48"/>
      <c r="B29" s="11" t="s">
        <v>7</v>
      </c>
      <c r="C29" s="42" t="n">
        <f aca="false">BOM_Consumo!F7</f>
        <v>18.5</v>
      </c>
      <c r="D29" s="42" t="n">
        <f aca="false">Inputs!B36</f>
        <v>12</v>
      </c>
      <c r="E29" s="43" t="n">
        <f aca="false">IF(C29&gt;0,ROUNDUP(C29/D29,0),0)</f>
        <v>2</v>
      </c>
      <c r="F29" s="44" t="n">
        <v>0</v>
      </c>
      <c r="G29" s="43" t="n">
        <f aca="false">F29*D29</f>
        <v>0</v>
      </c>
      <c r="H29" s="45" t="n">
        <f aca="false">Inputs!B44</f>
        <v>330</v>
      </c>
      <c r="I29" s="46" t="n">
        <f aca="false">F29*H29</f>
        <v>0</v>
      </c>
      <c r="J29" s="49" t="n">
        <f aca="false">Inputs!C69</f>
        <v>0</v>
      </c>
      <c r="K29" s="27" t="s">
        <v>7</v>
      </c>
    </row>
    <row r="30" customFormat="false" ht="15" hidden="false" customHeight="true" outlineLevel="0" collapsed="false">
      <c r="A30" s="48"/>
      <c r="B30" s="11" t="s">
        <v>8</v>
      </c>
      <c r="C30" s="42" t="n">
        <f aca="false">BOM_Consumo!G7</f>
        <v>18.5</v>
      </c>
      <c r="D30" s="42" t="n">
        <f aca="false">Inputs!B36</f>
        <v>12</v>
      </c>
      <c r="E30" s="43" t="n">
        <f aca="false">IF(C30&gt;0,ROUNDUP(C30/D30,0),0)</f>
        <v>2</v>
      </c>
      <c r="F30" s="44" t="n">
        <v>0</v>
      </c>
      <c r="G30" s="43" t="n">
        <f aca="false">F30*D30</f>
        <v>0</v>
      </c>
      <c r="H30" s="45" t="n">
        <f aca="false">Inputs!B44</f>
        <v>330</v>
      </c>
      <c r="I30" s="46" t="n">
        <f aca="false">F30*H30</f>
        <v>0</v>
      </c>
      <c r="J30" s="49" t="n">
        <f aca="false">Inputs!C69</f>
        <v>0</v>
      </c>
      <c r="K30" s="27" t="s">
        <v>8</v>
      </c>
    </row>
    <row r="31" customFormat="false" ht="15" hidden="false" customHeight="true" outlineLevel="0" collapsed="false">
      <c r="A31" s="48"/>
      <c r="B31" s="11" t="s">
        <v>9</v>
      </c>
      <c r="C31" s="42" t="n">
        <f aca="false">BOM_Consumo!H7</f>
        <v>18.5</v>
      </c>
      <c r="D31" s="42" t="n">
        <f aca="false">Inputs!B36</f>
        <v>12</v>
      </c>
      <c r="E31" s="43" t="n">
        <f aca="false">IF(C31&gt;0,ROUNDUP(C31/D31,0),0)</f>
        <v>2</v>
      </c>
      <c r="F31" s="44" t="n">
        <v>0</v>
      </c>
      <c r="G31" s="43" t="n">
        <f aca="false">F31*D31</f>
        <v>0</v>
      </c>
      <c r="H31" s="45" t="n">
        <f aca="false">Inputs!B44</f>
        <v>330</v>
      </c>
      <c r="I31" s="46" t="n">
        <f aca="false">F31*H31</f>
        <v>0</v>
      </c>
      <c r="J31" s="49" t="n">
        <f aca="false">Inputs!C69</f>
        <v>0</v>
      </c>
      <c r="K31" s="27" t="s">
        <v>9</v>
      </c>
    </row>
    <row r="32" customFormat="false" ht="15" hidden="false" customHeight="true" outlineLevel="0" collapsed="false">
      <c r="A32" s="48"/>
      <c r="B32" s="11" t="s">
        <v>10</v>
      </c>
      <c r="C32" s="42" t="n">
        <f aca="false">BOM_Consumo!I7</f>
        <v>18.5</v>
      </c>
      <c r="D32" s="42" t="n">
        <f aca="false">Inputs!B36</f>
        <v>12</v>
      </c>
      <c r="E32" s="43" t="n">
        <f aca="false">IF(C32&gt;0,ROUNDUP(C32/D32,0),0)</f>
        <v>2</v>
      </c>
      <c r="F32" s="44" t="n">
        <v>0</v>
      </c>
      <c r="G32" s="43" t="n">
        <f aca="false">F32*D32</f>
        <v>0</v>
      </c>
      <c r="H32" s="45" t="n">
        <f aca="false">Inputs!B44</f>
        <v>330</v>
      </c>
      <c r="I32" s="46" t="n">
        <f aca="false">F32*H32</f>
        <v>0</v>
      </c>
      <c r="J32" s="49" t="n">
        <f aca="false">Inputs!C69</f>
        <v>0</v>
      </c>
      <c r="K32" s="27" t="s">
        <v>10</v>
      </c>
    </row>
    <row r="33" customFormat="false" ht="15" hidden="false" customHeight="true" outlineLevel="0" collapsed="false">
      <c r="A33" s="48"/>
      <c r="B33" s="11" t="s">
        <v>11</v>
      </c>
      <c r="C33" s="42" t="n">
        <f aca="false">BOM_Consumo!J7</f>
        <v>18.5</v>
      </c>
      <c r="D33" s="42" t="n">
        <f aca="false">Inputs!B36</f>
        <v>12</v>
      </c>
      <c r="E33" s="43" t="n">
        <f aca="false">IF(C33&gt;0,ROUNDUP(C33/D33,0),0)</f>
        <v>2</v>
      </c>
      <c r="F33" s="44" t="n">
        <v>0</v>
      </c>
      <c r="G33" s="43" t="n">
        <f aca="false">F33*D33</f>
        <v>0</v>
      </c>
      <c r="H33" s="45" t="n">
        <f aca="false">Inputs!B44</f>
        <v>330</v>
      </c>
      <c r="I33" s="46" t="n">
        <f aca="false">F33*H33</f>
        <v>0</v>
      </c>
      <c r="J33" s="49" t="n">
        <f aca="false">Inputs!C69</f>
        <v>0</v>
      </c>
      <c r="K33" s="27" t="s">
        <v>11</v>
      </c>
    </row>
  </sheetData>
  <mergeCells count="8">
    <mergeCell ref="A1:L1"/>
    <mergeCell ref="A2:L2"/>
    <mergeCell ref="A3:L3"/>
    <mergeCell ref="A5:J5"/>
    <mergeCell ref="A13:G13"/>
    <mergeCell ref="A16:L16"/>
    <mergeCell ref="A18:A25"/>
    <mergeCell ref="A26:A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1" width="15"/>
  </cols>
  <sheetData>
    <row r="1" customFormat="false" ht="17.25" hidden="false" customHeight="true" outlineLevel="0" collapsed="false">
      <c r="A1" s="2" t="s">
        <v>125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28" t="s">
        <v>126</v>
      </c>
      <c r="B2" s="28"/>
      <c r="C2" s="28"/>
      <c r="D2" s="28"/>
      <c r="E2" s="28"/>
      <c r="F2" s="28"/>
    </row>
    <row r="4" customFormat="false" ht="15" hidden="false" customHeight="true" outlineLevel="0" collapsed="false">
      <c r="A4" s="50" t="s">
        <v>15</v>
      </c>
      <c r="B4" s="50" t="s">
        <v>127</v>
      </c>
      <c r="C4" s="50" t="s">
        <v>128</v>
      </c>
      <c r="D4" s="50" t="s">
        <v>56</v>
      </c>
      <c r="E4" s="50" t="s">
        <v>129</v>
      </c>
      <c r="F4" s="50" t="s">
        <v>116</v>
      </c>
    </row>
    <row r="5" customFormat="false" ht="15" hidden="false" customHeight="true" outlineLevel="0" collapsed="false">
      <c r="A5" s="10" t="s">
        <v>23</v>
      </c>
      <c r="B5" s="45" t="n">
        <f aca="false">Compras_y_Lotes!H7</f>
        <v>0</v>
      </c>
      <c r="C5" s="51" t="n">
        <v>1</v>
      </c>
      <c r="D5" s="46" t="n">
        <v>0</v>
      </c>
      <c r="E5" s="46" t="n">
        <v>0</v>
      </c>
      <c r="F5" s="46" t="n">
        <f aca="false">B5+D5+E5</f>
        <v>0</v>
      </c>
    </row>
    <row r="6" customFormat="false" ht="15" hidden="false" customHeight="true" outlineLevel="0" collapsed="false">
      <c r="A6" s="10" t="s">
        <v>24</v>
      </c>
      <c r="B6" s="45" t="n">
        <f aca="false">Compras_y_Lotes!H8</f>
        <v>2590</v>
      </c>
      <c r="C6" s="51" t="n">
        <v>1</v>
      </c>
      <c r="D6" s="46" t="n">
        <v>0</v>
      </c>
      <c r="E6" s="46" t="n">
        <v>0</v>
      </c>
      <c r="F6" s="46" t="n">
        <f aca="false">B6+D6+E6</f>
        <v>2590</v>
      </c>
    </row>
    <row r="7" customFormat="false" ht="15" hidden="false" customHeight="true" outlineLevel="0" collapsed="false">
      <c r="A7" s="10" t="s">
        <v>25</v>
      </c>
      <c r="B7" s="45" t="n">
        <f aca="false">Compras_y_Lotes!H9</f>
        <v>1110000</v>
      </c>
      <c r="C7" s="51" t="n">
        <v>1</v>
      </c>
      <c r="D7" s="46" t="n">
        <v>0</v>
      </c>
      <c r="E7" s="46" t="n">
        <v>0</v>
      </c>
      <c r="F7" s="46" t="n">
        <f aca="false">B7+D7+E7</f>
        <v>1110000</v>
      </c>
    </row>
    <row r="8" customFormat="false" ht="15" hidden="false" customHeight="true" outlineLevel="0" collapsed="false">
      <c r="A8" s="10" t="s">
        <v>26</v>
      </c>
      <c r="B8" s="45" t="n">
        <f aca="false">Compras_y_Lotes!H10</f>
        <v>97680</v>
      </c>
      <c r="C8" s="51" t="n">
        <v>1</v>
      </c>
      <c r="D8" s="46" t="n">
        <v>0</v>
      </c>
      <c r="E8" s="46" t="n">
        <v>0</v>
      </c>
      <c r="F8" s="46" t="n">
        <f aca="false">B8+D8+E8</f>
        <v>97680</v>
      </c>
    </row>
    <row r="9" customFormat="false" ht="15" hidden="false" customHeight="true" outlineLevel="0" collapsed="false">
      <c r="A9" s="10" t="s">
        <v>27</v>
      </c>
      <c r="B9" s="45" t="n">
        <f aca="false">Compras_y_Lotes!H11</f>
        <v>22200</v>
      </c>
      <c r="C9" s="51" t="n">
        <v>1</v>
      </c>
      <c r="D9" s="46" t="n">
        <v>0</v>
      </c>
      <c r="E9" s="46" t="n">
        <v>0</v>
      </c>
      <c r="F9" s="46" t="n">
        <f aca="false">B9+D9+E9</f>
        <v>22200</v>
      </c>
    </row>
    <row r="10" customFormat="false" ht="15" hidden="false" customHeight="true" outlineLevel="0" collapsed="false">
      <c r="A10" s="10" t="s">
        <v>28</v>
      </c>
      <c r="B10" s="45" t="n">
        <f aca="false">Compras_y_Lotes!H12</f>
        <v>0</v>
      </c>
      <c r="C10" s="51" t="n">
        <v>1</v>
      </c>
      <c r="D10" s="46" t="n">
        <v>0</v>
      </c>
      <c r="E10" s="46" t="n">
        <v>0</v>
      </c>
      <c r="F10" s="46" t="n">
        <f aca="false">B10+D10+E10</f>
        <v>0</v>
      </c>
    </row>
    <row r="11" customFormat="false" ht="15" hidden="false" customHeight="true" outlineLevel="0" collapsed="false">
      <c r="A11" s="10" t="s">
        <v>19</v>
      </c>
      <c r="B11" s="45" t="n">
        <f aca="false">SUM(Compras_y_Lotes!I18:I25)</f>
        <v>0</v>
      </c>
      <c r="C11" s="52" t="n">
        <f aca="false">COUNTIF(Compras_y_Lotes!F18:F25,"&gt;0")</f>
        <v>0</v>
      </c>
      <c r="D11" s="46" t="n">
        <f aca="false">C11*Inputs!B52</f>
        <v>0</v>
      </c>
      <c r="E11" s="53" t="n">
        <f aca="false">0</f>
        <v>0</v>
      </c>
      <c r="F11" s="46" t="n">
        <f aca="false">B11+D11+E11</f>
        <v>0</v>
      </c>
    </row>
    <row r="12" customFormat="false" ht="15" hidden="false" customHeight="true" outlineLevel="0" collapsed="false">
      <c r="A12" s="10" t="s">
        <v>22</v>
      </c>
      <c r="B12" s="45" t="n">
        <f aca="false">SUM(Compras_y_Lotes!I26:I33)</f>
        <v>0</v>
      </c>
      <c r="C12" s="52" t="n">
        <f aca="false">COUNTIF(Compras_y_Lotes!F26:F33,"&gt;0")</f>
        <v>0</v>
      </c>
      <c r="D12" s="46" t="n">
        <f aca="false">C12*Inputs!B53</f>
        <v>0</v>
      </c>
      <c r="E12" s="53" t="n">
        <f aca="false">0</f>
        <v>0</v>
      </c>
      <c r="F12" s="46" t="n">
        <f aca="false">B12+D12+E12</f>
        <v>0</v>
      </c>
    </row>
    <row r="13" customFormat="false" ht="15" hidden="false" customHeight="true" outlineLevel="0" collapsed="false">
      <c r="A13" s="19" t="s">
        <v>130</v>
      </c>
      <c r="B13" s="47" t="n">
        <f aca="false">SUM(B5:B12)</f>
        <v>1232470</v>
      </c>
      <c r="C13" s="54" t="n">
        <f aca="false">SUM(C5:C12)</f>
        <v>6</v>
      </c>
      <c r="D13" s="47" t="n">
        <f aca="false">SUM(D5:D12)</f>
        <v>0</v>
      </c>
      <c r="E13" s="47" t="n">
        <f aca="false">SUM(E5:E12)</f>
        <v>0</v>
      </c>
      <c r="F13" s="47" t="n">
        <f aca="false">SUM(F5:F12)</f>
        <v>1232470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10" min="2" style="1" width="12"/>
  </cols>
  <sheetData>
    <row r="1" customFormat="false" ht="17.25" hidden="false" customHeight="true" outlineLevel="0" collapsed="false">
      <c r="A1" s="2" t="s">
        <v>131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true" outlineLevel="0" collapsed="false">
      <c r="A2" s="28" t="s">
        <v>132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</row>
    <row r="3" customFormat="false" ht="15" hidden="false" customHeight="true" outlineLevel="0" collapsed="false">
      <c r="A3" s="36" t="s">
        <v>133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</row>
    <row r="5" customFormat="false" ht="15" hidden="false" customHeight="true" outlineLevel="0" collapsed="false">
      <c r="A5" s="30" t="s">
        <v>100</v>
      </c>
      <c r="B5" s="30" t="s">
        <v>4</v>
      </c>
      <c r="C5" s="30" t="s">
        <v>5</v>
      </c>
      <c r="D5" s="30" t="s">
        <v>6</v>
      </c>
      <c r="E5" s="30" t="s">
        <v>7</v>
      </c>
      <c r="F5" s="30" t="s">
        <v>8</v>
      </c>
      <c r="G5" s="30" t="s">
        <v>9</v>
      </c>
      <c r="H5" s="30" t="s">
        <v>10</v>
      </c>
      <c r="I5" s="30" t="s">
        <v>11</v>
      </c>
      <c r="J5" s="30" t="s">
        <v>12</v>
      </c>
    </row>
    <row r="6" customFormat="false" ht="15" hidden="false" customHeight="true" outlineLevel="0" collapsed="false">
      <c r="A6" s="6" t="s">
        <v>134</v>
      </c>
      <c r="B6" s="45" t="n">
        <f aca="false">Compras_y_Lotes!H13</f>
        <v>1232470</v>
      </c>
      <c r="C6" s="55" t="n">
        <v>0</v>
      </c>
      <c r="D6" s="55" t="n">
        <v>0</v>
      </c>
      <c r="E6" s="55" t="n">
        <v>0</v>
      </c>
      <c r="F6" s="55" t="n">
        <v>0</v>
      </c>
      <c r="G6" s="55" t="n">
        <v>0</v>
      </c>
      <c r="H6" s="55" t="n">
        <v>0</v>
      </c>
      <c r="I6" s="55" t="n">
        <v>0</v>
      </c>
      <c r="J6" s="46" t="n">
        <f aca="false">SUM(B6:I6)</f>
        <v>1232470</v>
      </c>
    </row>
    <row r="7" customFormat="false" ht="15" hidden="false" customHeight="true" outlineLevel="0" collapsed="false">
      <c r="A7" s="10" t="s">
        <v>19</v>
      </c>
      <c r="B7" s="53" t="n">
        <v>0</v>
      </c>
      <c r="C7" s="53" t="n">
        <v>0</v>
      </c>
      <c r="D7" s="53" t="n">
        <v>0</v>
      </c>
      <c r="E7" s="53" t="n">
        <v>0</v>
      </c>
      <c r="F7" s="53" t="n">
        <v>0</v>
      </c>
      <c r="G7" s="53" t="n">
        <v>0</v>
      </c>
      <c r="H7" s="53" t="n">
        <v>0</v>
      </c>
      <c r="I7" s="53" t="n">
        <v>0</v>
      </c>
      <c r="J7" s="46" t="n">
        <f aca="false">SUM(B7:I7)</f>
        <v>0</v>
      </c>
    </row>
    <row r="8" customFormat="false" ht="15" hidden="false" customHeight="true" outlineLevel="0" collapsed="false">
      <c r="A8" s="10" t="s">
        <v>22</v>
      </c>
      <c r="B8" s="53" t="n">
        <v>0</v>
      </c>
      <c r="C8" s="53" t="n">
        <v>0</v>
      </c>
      <c r="D8" s="53" t="n">
        <v>0</v>
      </c>
      <c r="E8" s="53" t="n">
        <v>0</v>
      </c>
      <c r="F8" s="53" t="n">
        <v>0</v>
      </c>
      <c r="G8" s="53" t="n">
        <v>0</v>
      </c>
      <c r="H8" s="53" t="n">
        <v>0</v>
      </c>
      <c r="I8" s="53" t="n">
        <v>0</v>
      </c>
      <c r="J8" s="46" t="n">
        <f aca="false">SUM(B8:I8)</f>
        <v>0</v>
      </c>
    </row>
    <row r="9" customFormat="false" ht="15" hidden="false" customHeight="true" outlineLevel="0" collapsed="false">
      <c r="A9" s="6" t="s">
        <v>135</v>
      </c>
      <c r="B9" s="47" t="n">
        <f aca="false">SUM(B6:B8)</f>
        <v>1232470</v>
      </c>
      <c r="C9" s="47" t="n">
        <f aca="false">SUM(C6:C8)</f>
        <v>0</v>
      </c>
      <c r="D9" s="47" t="n">
        <f aca="false">SUM(D6:D8)</f>
        <v>0</v>
      </c>
      <c r="E9" s="47" t="n">
        <f aca="false">SUM(E6:E8)</f>
        <v>0</v>
      </c>
      <c r="F9" s="47" t="n">
        <f aca="false">SUM(F6:F8)</f>
        <v>0</v>
      </c>
      <c r="G9" s="47" t="n">
        <f aca="false">SUM(G6:G8)</f>
        <v>0</v>
      </c>
      <c r="H9" s="47" t="n">
        <f aca="false">SUM(H6:H8)</f>
        <v>0</v>
      </c>
      <c r="I9" s="47" t="n">
        <f aca="false">SUM(I6:I8)</f>
        <v>0</v>
      </c>
      <c r="J9" s="47" t="n">
        <f aca="false">SUM(B9:I9)</f>
        <v>1232470</v>
      </c>
    </row>
  </sheetData>
  <mergeCells count="3">
    <mergeCell ref="A1:L1"/>
    <mergeCell ref="A2:L2"/>
    <mergeCell ref="A3:L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5" min="2" style="1" width="18"/>
  </cols>
  <sheetData>
    <row r="1" customFormat="false" ht="17.25" hidden="false" customHeight="true" outlineLevel="0" collapsed="false">
      <c r="A1" s="2" t="s">
        <v>136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28" t="s">
        <v>137</v>
      </c>
      <c r="B2" s="28"/>
      <c r="C2" s="28"/>
      <c r="D2" s="28"/>
      <c r="E2" s="28"/>
      <c r="F2" s="28"/>
    </row>
    <row r="4" customFormat="false" ht="15" hidden="false" customHeight="true" outlineLevel="0" collapsed="false">
      <c r="A4" s="19" t="s">
        <v>138</v>
      </c>
      <c r="B4" s="56" t="s">
        <v>139</v>
      </c>
    </row>
    <row r="6" customFormat="false" ht="15" hidden="false" customHeight="true" outlineLevel="0" collapsed="false">
      <c r="A6" s="23" t="s">
        <v>140</v>
      </c>
      <c r="B6" s="23" t="s">
        <v>141</v>
      </c>
      <c r="C6" s="23" t="s">
        <v>139</v>
      </c>
      <c r="D6" s="23" t="s">
        <v>142</v>
      </c>
      <c r="E6" s="23" t="s">
        <v>143</v>
      </c>
    </row>
    <row r="7" customFormat="false" ht="15" hidden="false" customHeight="true" outlineLevel="0" collapsed="false">
      <c r="A7" s="6" t="s">
        <v>83</v>
      </c>
      <c r="B7" s="10" t="s">
        <v>144</v>
      </c>
      <c r="C7" s="10" t="s">
        <v>145</v>
      </c>
      <c r="D7" s="10" t="s">
        <v>146</v>
      </c>
      <c r="E7" s="10" t="s">
        <v>147</v>
      </c>
    </row>
    <row r="8" customFormat="false" ht="15" hidden="false" customHeight="true" outlineLevel="0" collapsed="false">
      <c r="A8" s="6" t="s">
        <v>148</v>
      </c>
      <c r="B8" s="10" t="s">
        <v>149</v>
      </c>
      <c r="C8" s="10" t="s">
        <v>69</v>
      </c>
      <c r="D8" s="10" t="s">
        <v>150</v>
      </c>
      <c r="E8" s="10" t="s">
        <v>151</v>
      </c>
    </row>
    <row r="9" customFormat="false" ht="15" hidden="false" customHeight="true" outlineLevel="0" collapsed="false">
      <c r="A9" s="6" t="s">
        <v>152</v>
      </c>
      <c r="B9" s="10" t="s">
        <v>149</v>
      </c>
      <c r="C9" s="10" t="s">
        <v>69</v>
      </c>
      <c r="D9" s="10" t="s">
        <v>150</v>
      </c>
      <c r="E9" s="10" t="s">
        <v>151</v>
      </c>
    </row>
    <row r="10" customFormat="false" ht="15" hidden="false" customHeight="true" outlineLevel="0" collapsed="false">
      <c r="A10" s="6" t="s">
        <v>153</v>
      </c>
      <c r="B10" s="10" t="s">
        <v>154</v>
      </c>
      <c r="C10" s="10" t="s">
        <v>155</v>
      </c>
      <c r="D10" s="10" t="s">
        <v>156</v>
      </c>
      <c r="E10" s="10" t="s">
        <v>157</v>
      </c>
    </row>
    <row r="11" customFormat="false" ht="15" hidden="false" customHeight="true" outlineLevel="0" collapsed="false">
      <c r="A11" s="57"/>
      <c r="B11" s="10"/>
      <c r="C11" s="10"/>
      <c r="D11" s="10"/>
      <c r="E11" s="10"/>
    </row>
    <row r="12" customFormat="false" ht="15" hidden="false" customHeight="true" outlineLevel="0" collapsed="false">
      <c r="A12" s="6" t="s">
        <v>158</v>
      </c>
      <c r="B12" s="10"/>
      <c r="C12" s="10"/>
      <c r="D12" s="10"/>
      <c r="E12" s="10"/>
    </row>
    <row r="13" customFormat="false" ht="15" hidden="false" customHeight="true" outlineLevel="0" collapsed="false">
      <c r="A13" s="6" t="s">
        <v>116</v>
      </c>
      <c r="B13" s="10" t="s">
        <v>159</v>
      </c>
      <c r="C13" s="10" t="s">
        <v>160</v>
      </c>
      <c r="D13" s="10" t="s">
        <v>161</v>
      </c>
      <c r="E13" s="10" t="s">
        <v>162</v>
      </c>
    </row>
    <row r="14" customFormat="false" ht="15" hidden="false" customHeight="true" outlineLevel="0" collapsed="false">
      <c r="A14" s="6" t="s">
        <v>163</v>
      </c>
      <c r="B14" s="10" t="s">
        <v>164</v>
      </c>
      <c r="C14" s="10" t="s">
        <v>161</v>
      </c>
      <c r="D14" s="10" t="s">
        <v>160</v>
      </c>
      <c r="E14" s="10" t="s">
        <v>165</v>
      </c>
    </row>
    <row r="15" customFormat="false" ht="15" hidden="false" customHeight="true" outlineLevel="0" collapsed="false">
      <c r="A15" s="6" t="s">
        <v>166</v>
      </c>
      <c r="B15" s="10" t="s">
        <v>159</v>
      </c>
      <c r="C15" s="10" t="s">
        <v>160</v>
      </c>
      <c r="D15" s="10" t="s">
        <v>161</v>
      </c>
      <c r="E15" s="10" t="s">
        <v>167</v>
      </c>
    </row>
    <row r="16" customFormat="false" ht="15" hidden="false" customHeight="true" outlineLevel="0" collapsed="false">
      <c r="A16" s="6" t="s">
        <v>168</v>
      </c>
      <c r="B16" s="10" t="s">
        <v>169</v>
      </c>
      <c r="C16" s="10" t="s">
        <v>160</v>
      </c>
      <c r="D16" s="10" t="s">
        <v>170</v>
      </c>
      <c r="E16" s="10" t="s">
        <v>171</v>
      </c>
    </row>
    <row r="20" customFormat="false" ht="15" hidden="false" customHeight="true" outlineLevel="0" collapsed="false">
      <c r="A20" s="4" t="s">
        <v>172</v>
      </c>
      <c r="B20" s="4"/>
      <c r="C20" s="4"/>
      <c r="D20" s="4"/>
      <c r="E20" s="4"/>
      <c r="F20" s="4"/>
    </row>
    <row r="21" customFormat="false" ht="15" hidden="false" customHeight="true" outlineLevel="0" collapsed="false">
      <c r="A21" s="9" t="s">
        <v>173</v>
      </c>
      <c r="B21" s="9" t="s">
        <v>141</v>
      </c>
      <c r="C21" s="9" t="s">
        <v>139</v>
      </c>
      <c r="D21" s="9" t="s">
        <v>142</v>
      </c>
      <c r="E21" s="9" t="s">
        <v>174</v>
      </c>
      <c r="F21" s="9" t="s">
        <v>175</v>
      </c>
    </row>
    <row r="22" customFormat="false" ht="15" hidden="false" customHeight="true" outlineLevel="0" collapsed="false">
      <c r="A22" s="6" t="s">
        <v>176</v>
      </c>
      <c r="B22" s="46" t="n">
        <f aca="false">Costos!F13</f>
        <v>1232470</v>
      </c>
      <c r="C22" s="46" t="n">
        <f aca="false">Costos!F13</f>
        <v>1232470</v>
      </c>
      <c r="D22" s="46" t="n">
        <f aca="false">Costos!F13*0.9</f>
        <v>1109223</v>
      </c>
      <c r="E22" s="58" t="n">
        <f aca="false">MIN(B22:D22)</f>
        <v>1109223</v>
      </c>
      <c r="F22" s="46" t="n">
        <f aca="false">MAX(B22:D22)-MIN(B22:D22)</f>
        <v>123247</v>
      </c>
    </row>
    <row r="23" customFormat="false" ht="15" hidden="false" customHeight="true" outlineLevel="0" collapsed="false">
      <c r="A23" s="6" t="s">
        <v>177</v>
      </c>
      <c r="B23" s="46" t="n">
        <f aca="false">Cashflow_Integrado!J33</f>
        <v>0</v>
      </c>
      <c r="C23" s="46" t="n">
        <f aca="false">Cashflow_Integrado!J33</f>
        <v>0</v>
      </c>
      <c r="D23" s="46" t="n">
        <f aca="false">Cashflow_Integrado!J33*0.92</f>
        <v>0</v>
      </c>
      <c r="E23" s="58" t="n">
        <f aca="false">MIN(B23:D23)</f>
        <v>0</v>
      </c>
      <c r="F23" s="46" t="n">
        <f aca="false">MAX(B23:D23)-MIN(B23:D23)</f>
        <v>0</v>
      </c>
    </row>
    <row r="24" customFormat="false" ht="15" hidden="false" customHeight="true" outlineLevel="0" collapsed="false">
      <c r="A24" s="6" t="s">
        <v>178</v>
      </c>
      <c r="B24" s="46" t="n">
        <f aca="false">Cashflow_Integrado!B37</f>
        <v>0</v>
      </c>
      <c r="C24" s="46" t="n">
        <f aca="false">Cashflow_Integrado!B37</f>
        <v>0</v>
      </c>
      <c r="D24" s="46" t="n">
        <f aca="false">Cashflow_Integrado!B37*1.15</f>
        <v>0</v>
      </c>
      <c r="E24" s="58" t="n">
        <f aca="false">MIN(B24:D24)</f>
        <v>0</v>
      </c>
      <c r="F24" s="46" t="n">
        <f aca="false">MAX(B24:D24)-MIN(B24:D24)</f>
        <v>0</v>
      </c>
    </row>
    <row r="25" customFormat="false" ht="15" hidden="false" customHeight="true" outlineLevel="0" collapsed="false">
      <c r="A25" s="6" t="s">
        <v>179</v>
      </c>
      <c r="B25" s="10" t="n">
        <v>0</v>
      </c>
      <c r="C25" s="10" t="n">
        <v>1</v>
      </c>
      <c r="D25" s="10" t="n">
        <v>3</v>
      </c>
      <c r="E25" s="59" t="n">
        <f aca="false">MIN(B25:D25)</f>
        <v>0</v>
      </c>
      <c r="F25" s="27" t="n">
        <f aca="false">MAX(B25:D25)-MIN(B25:D25)</f>
        <v>3</v>
      </c>
    </row>
    <row r="26" customFormat="false" ht="15" hidden="false" customHeight="true" outlineLevel="0" collapsed="false">
      <c r="A26" s="6" t="s">
        <v>180</v>
      </c>
      <c r="B26" s="46" t="n">
        <f aca="false">Riesgo_Proveedor_B!I14</f>
        <v>0</v>
      </c>
      <c r="C26" s="46" t="n">
        <f aca="false">Riesgo_Proveedor_B!I14</f>
        <v>0</v>
      </c>
      <c r="D26" s="46" t="n">
        <f aca="false">Riesgo_Proveedor_B!I14*2.5</f>
        <v>0</v>
      </c>
      <c r="E26" s="58" t="n">
        <f aca="false">MIN(B26:D26)</f>
        <v>0</v>
      </c>
      <c r="F26" s="46" t="n">
        <f aca="false">MAX(B26:D26)-MIN(B26:D26)</f>
        <v>0</v>
      </c>
    </row>
    <row r="27" customFormat="false" ht="15" hidden="false" customHeight="true" outlineLevel="0" collapsed="false">
      <c r="A27" s="6" t="s">
        <v>181</v>
      </c>
      <c r="B27" s="10" t="n">
        <v>1.5</v>
      </c>
      <c r="C27" s="10" t="n">
        <v>1</v>
      </c>
      <c r="D27" s="10" t="n">
        <v>0.5</v>
      </c>
      <c r="E27" s="59" t="n">
        <f aca="false">MAX(B27:D27)</f>
        <v>1.5</v>
      </c>
      <c r="F27" s="27" t="n">
        <f aca="false">MAX(B27:D27)-MIN(B27:D27)</f>
        <v>1</v>
      </c>
    </row>
  </sheetData>
  <mergeCells count="3">
    <mergeCell ref="A1:F1"/>
    <mergeCell ref="A2:F2"/>
    <mergeCell ref="A20:F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1" width="13"/>
  </cols>
  <sheetData>
    <row r="1" customFormat="false" ht="17.25" hidden="false" customHeight="true" outlineLevel="0" collapsed="false">
      <c r="A1" s="2" t="s">
        <v>182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28" t="s">
        <v>183</v>
      </c>
      <c r="B2" s="28"/>
      <c r="C2" s="28"/>
      <c r="D2" s="28"/>
      <c r="E2" s="28"/>
      <c r="F2" s="28"/>
      <c r="G2" s="28"/>
      <c r="H2" s="28"/>
      <c r="I2" s="28"/>
      <c r="J2" s="28"/>
    </row>
    <row r="4" customFormat="false" ht="15" hidden="false" customHeight="true" outlineLevel="0" collapsed="false">
      <c r="A4" s="4" t="s">
        <v>184</v>
      </c>
      <c r="B4" s="4"/>
      <c r="C4" s="4"/>
      <c r="D4" s="4"/>
      <c r="E4" s="4"/>
      <c r="F4" s="4"/>
      <c r="G4" s="4"/>
      <c r="H4" s="4"/>
      <c r="I4" s="4"/>
      <c r="J4" s="4"/>
    </row>
    <row r="5" customFormat="false" ht="15" hidden="false" customHeight="true" outlineLevel="0" collapsed="false">
      <c r="A5" s="1" t="s">
        <v>185</v>
      </c>
      <c r="B5" s="60" t="n">
        <v>550</v>
      </c>
    </row>
    <row r="7" customFormat="false" ht="15" hidden="false" customHeight="true" outlineLevel="0" collapsed="false">
      <c r="A7" s="41" t="s">
        <v>186</v>
      </c>
      <c r="B7" s="41" t="s">
        <v>64</v>
      </c>
      <c r="C7" s="41" t="s">
        <v>66</v>
      </c>
      <c r="D7" s="41" t="s">
        <v>67</v>
      </c>
      <c r="E7" s="41" t="s">
        <v>187</v>
      </c>
      <c r="F7" s="41" t="s">
        <v>127</v>
      </c>
      <c r="G7" s="41" t="s">
        <v>65</v>
      </c>
      <c r="H7" s="41" t="s">
        <v>188</v>
      </c>
      <c r="I7" s="41" t="s">
        <v>189</v>
      </c>
      <c r="J7" s="41" t="s">
        <v>190</v>
      </c>
    </row>
    <row r="8" customFormat="false" ht="15" hidden="false" customHeight="true" outlineLevel="0" collapsed="false">
      <c r="A8" s="10" t="s">
        <v>69</v>
      </c>
      <c r="B8" s="55" t="n">
        <v>125</v>
      </c>
      <c r="C8" s="61" t="n">
        <v>0</v>
      </c>
      <c r="D8" s="10" t="n">
        <v>0</v>
      </c>
      <c r="E8" s="46" t="n">
        <f aca="false">B8</f>
        <v>125</v>
      </c>
      <c r="F8" s="46" t="n">
        <f aca="false">B5*E8</f>
        <v>68750</v>
      </c>
      <c r="G8" s="10" t="s">
        <v>191</v>
      </c>
      <c r="H8" s="10" t="s">
        <v>192</v>
      </c>
      <c r="I8" s="46" t="n">
        <f aca="false">F8</f>
        <v>68750</v>
      </c>
      <c r="J8" s="10" t="n">
        <v>0</v>
      </c>
    </row>
    <row r="9" customFormat="false" ht="15" hidden="false" customHeight="true" outlineLevel="0" collapsed="false">
      <c r="A9" s="10" t="s">
        <v>73</v>
      </c>
      <c r="B9" s="55" t="n">
        <v>125</v>
      </c>
      <c r="C9" s="61" t="n">
        <v>0.16</v>
      </c>
      <c r="D9" s="10" t="n">
        <v>150</v>
      </c>
      <c r="E9" s="46" t="n">
        <f aca="false">IF(B5&gt;=D9,B9*(1-C9),B9)</f>
        <v>105</v>
      </c>
      <c r="F9" s="46" t="n">
        <f aca="false">B5*E9</f>
        <v>57750</v>
      </c>
      <c r="G9" s="10" t="s">
        <v>193</v>
      </c>
      <c r="H9" s="10" t="s">
        <v>144</v>
      </c>
      <c r="I9" s="46" t="n">
        <f aca="false">F9*1.05</f>
        <v>60637.5</v>
      </c>
      <c r="J9" s="10" t="n">
        <v>0</v>
      </c>
    </row>
    <row r="10" customFormat="false" ht="15" hidden="false" customHeight="true" outlineLevel="0" collapsed="false">
      <c r="A10" s="10" t="s">
        <v>77</v>
      </c>
      <c r="B10" s="55" t="n">
        <v>140</v>
      </c>
      <c r="C10" s="61" t="n">
        <v>0</v>
      </c>
      <c r="D10" s="10" t="n">
        <v>0</v>
      </c>
      <c r="E10" s="46" t="n">
        <f aca="false">B10</f>
        <v>140</v>
      </c>
      <c r="F10" s="46" t="n">
        <f aca="false">B5*E10</f>
        <v>77000</v>
      </c>
      <c r="G10" s="10" t="s">
        <v>194</v>
      </c>
      <c r="H10" s="10" t="s">
        <v>192</v>
      </c>
      <c r="I10" s="46" t="n">
        <f aca="false">F10*0.97</f>
        <v>74690</v>
      </c>
      <c r="J10" s="10" t="n">
        <v>0</v>
      </c>
    </row>
    <row r="11" customFormat="false" ht="15" hidden="false" customHeight="true" outlineLevel="0" collapsed="false">
      <c r="A11" s="19" t="s">
        <v>195</v>
      </c>
      <c r="B11" s="62" t="str">
        <f aca="false">INDEX(A8:A10,MATCH(MIN(I8:I10),I8:I10,0))</f>
        <v>B</v>
      </c>
    </row>
    <row r="14" customFormat="false" ht="15" hidden="false" customHeight="true" outlineLevel="0" collapsed="false">
      <c r="A14" s="4" t="s">
        <v>196</v>
      </c>
      <c r="B14" s="4"/>
      <c r="C14" s="4"/>
      <c r="D14" s="4"/>
      <c r="E14" s="4"/>
      <c r="F14" s="4"/>
      <c r="G14" s="4"/>
      <c r="H14" s="4"/>
      <c r="I14" s="4"/>
      <c r="J14" s="4"/>
    </row>
    <row r="15" customFormat="false" ht="15" hidden="false" customHeight="true" outlineLevel="0" collapsed="false">
      <c r="A15" s="1" t="s">
        <v>185</v>
      </c>
      <c r="B15" s="60" t="n">
        <v>190</v>
      </c>
    </row>
    <row r="17" customFormat="false" ht="15" hidden="false" customHeight="true" outlineLevel="0" collapsed="false">
      <c r="A17" s="9" t="s">
        <v>186</v>
      </c>
      <c r="B17" s="9" t="n">
        <v>330</v>
      </c>
      <c r="C17" s="9" t="s">
        <v>66</v>
      </c>
      <c r="D17" s="9" t="s">
        <v>67</v>
      </c>
      <c r="E17" s="9" t="s">
        <v>187</v>
      </c>
      <c r="F17" s="9" t="s">
        <v>127</v>
      </c>
      <c r="G17" s="9" t="s">
        <v>65</v>
      </c>
      <c r="H17" s="9" t="s">
        <v>188</v>
      </c>
      <c r="I17" s="9" t="s">
        <v>189</v>
      </c>
      <c r="J17" s="9" t="s">
        <v>190</v>
      </c>
    </row>
    <row r="18" customFormat="false" ht="15" hidden="false" customHeight="true" outlineLevel="0" collapsed="false">
      <c r="A18" s="10" t="s">
        <v>69</v>
      </c>
      <c r="B18" s="55" t="n">
        <v>264</v>
      </c>
      <c r="C18" s="61" t="n">
        <v>0</v>
      </c>
      <c r="D18" s="10" t="n">
        <v>0</v>
      </c>
      <c r="E18" s="46" t="n">
        <f aca="false">B18</f>
        <v>264</v>
      </c>
      <c r="F18" s="46" t="n">
        <f aca="false">B15*E18</f>
        <v>50160</v>
      </c>
      <c r="G18" s="10" t="s">
        <v>191</v>
      </c>
      <c r="H18" s="10" t="s">
        <v>192</v>
      </c>
      <c r="I18" s="46" t="str">
        <f aca="false">F17</f>
        <v>Costo Compra</v>
      </c>
      <c r="J18" s="10" t="n">
        <v>0</v>
      </c>
    </row>
    <row r="19" customFormat="false" ht="15" hidden="false" customHeight="true" outlineLevel="0" collapsed="false">
      <c r="A19" s="10" t="s">
        <v>73</v>
      </c>
      <c r="B19" s="55" t="n">
        <v>370</v>
      </c>
      <c r="C19" s="61" t="n">
        <v>0.2</v>
      </c>
      <c r="D19" s="10" t="n">
        <v>80</v>
      </c>
      <c r="E19" s="46" t="n">
        <f aca="false">IF(B15&gt;=D19,B19*(1-C19),B19)</f>
        <v>296</v>
      </c>
      <c r="F19" s="46" t="n">
        <f aca="false">B15*E19</f>
        <v>56240</v>
      </c>
      <c r="G19" s="10" t="s">
        <v>193</v>
      </c>
      <c r="H19" s="10" t="s">
        <v>144</v>
      </c>
      <c r="I19" s="46" t="n">
        <f aca="false">F19*1.05</f>
        <v>59052</v>
      </c>
      <c r="J19" s="10" t="n">
        <v>0</v>
      </c>
    </row>
    <row r="20" customFormat="false" ht="15" hidden="false" customHeight="true" outlineLevel="0" collapsed="false">
      <c r="A20" s="10" t="s">
        <v>77</v>
      </c>
      <c r="B20" s="55" t="n">
        <v>370</v>
      </c>
      <c r="C20" s="61" t="n">
        <v>0</v>
      </c>
      <c r="D20" s="10" t="n">
        <v>0</v>
      </c>
      <c r="E20" s="46" t="n">
        <f aca="false">B20</f>
        <v>370</v>
      </c>
      <c r="F20" s="46" t="n">
        <f aca="false">B15*E20</f>
        <v>70300</v>
      </c>
      <c r="G20" s="10" t="s">
        <v>194</v>
      </c>
      <c r="H20" s="10" t="s">
        <v>192</v>
      </c>
      <c r="I20" s="46" t="n">
        <f aca="false">F20*0.97</f>
        <v>68191</v>
      </c>
      <c r="J20" s="10" t="n">
        <v>0</v>
      </c>
    </row>
    <row r="21" customFormat="false" ht="15" hidden="false" customHeight="true" outlineLevel="0" collapsed="false">
      <c r="A21" s="19" t="s">
        <v>195</v>
      </c>
      <c r="B21" s="63" t="str">
        <f aca="false">INDEX(A18:A20,MATCH(MIN(I18:I20),I18:I20,0))</f>
        <v>B</v>
      </c>
    </row>
  </sheetData>
  <mergeCells count="4">
    <mergeCell ref="A1:J1"/>
    <mergeCell ref="A2:J2"/>
    <mergeCell ref="A4:J4"/>
    <mergeCell ref="A14:J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5"/>
    <col collapsed="false" customWidth="true" hidden="false" outlineLevel="0" max="2" min="2" style="1" width="18"/>
  </cols>
  <sheetData>
    <row r="1" customFormat="false" ht="24.75" hidden="false" customHeight="true" outlineLevel="0" collapsed="false">
      <c r="A1" s="64" t="s">
        <v>197</v>
      </c>
      <c r="B1" s="64"/>
      <c r="C1" s="64"/>
      <c r="D1" s="64"/>
      <c r="E1" s="64"/>
      <c r="F1" s="64"/>
      <c r="G1" s="64"/>
      <c r="H1" s="64"/>
    </row>
    <row r="3" customFormat="false" ht="15" hidden="false" customHeight="true" outlineLevel="0" collapsed="false">
      <c r="A3" s="4" t="s">
        <v>198</v>
      </c>
      <c r="B3" s="4"/>
      <c r="C3" s="4"/>
      <c r="D3" s="4"/>
      <c r="E3" s="4"/>
      <c r="F3" s="4"/>
      <c r="G3" s="4"/>
      <c r="H3" s="4"/>
    </row>
    <row r="5" customFormat="false" ht="15" hidden="false" customHeight="true" outlineLevel="0" collapsed="false">
      <c r="A5" s="65" t="s">
        <v>199</v>
      </c>
      <c r="B5" s="66" t="n">
        <f aca="false">Costos!F13</f>
        <v>1232470</v>
      </c>
    </row>
    <row r="6" customFormat="false" ht="15" hidden="false" customHeight="true" outlineLevel="0" collapsed="false">
      <c r="A6" s="65" t="s">
        <v>200</v>
      </c>
      <c r="B6" s="66" t="n">
        <f aca="false">Cashflow_Compras!J9</f>
        <v>1232470</v>
      </c>
    </row>
    <row r="7" customFormat="false" ht="15" hidden="false" customHeight="true" outlineLevel="0" collapsed="false">
      <c r="A7" s="65" t="s">
        <v>201</v>
      </c>
      <c r="B7" s="8" t="n">
        <f aca="false">SUM(Costos!C5:C12)</f>
        <v>6</v>
      </c>
      <c r="C7" s="67" t="s">
        <v>202</v>
      </c>
    </row>
    <row r="8" customFormat="false" ht="15" hidden="false" customHeight="true" outlineLevel="0" collapsed="false">
      <c r="A8" s="65" t="s">
        <v>203</v>
      </c>
      <c r="B8" s="66" t="n">
        <f aca="false">MAX(Cashflow_Compras!B9:I9)</f>
        <v>1232470</v>
      </c>
    </row>
    <row r="9" customFormat="false" ht="15" hidden="false" customHeight="true" outlineLevel="0" collapsed="false">
      <c r="A9" s="65"/>
    </row>
    <row r="10" customFormat="false" ht="15" hidden="false" customHeight="true" outlineLevel="0" collapsed="false">
      <c r="A10" s="65" t="s">
        <v>204</v>
      </c>
      <c r="B10" s="68" t="s">
        <v>205</v>
      </c>
      <c r="C10" s="67" t="s">
        <v>206</v>
      </c>
    </row>
    <row r="11" customFormat="false" ht="15" hidden="false" customHeight="true" outlineLevel="0" collapsed="false">
      <c r="A11" s="65" t="s">
        <v>207</v>
      </c>
      <c r="B11" s="68" t="s">
        <v>205</v>
      </c>
      <c r="C11" s="67" t="s">
        <v>206</v>
      </c>
    </row>
    <row r="14" customFormat="false" ht="15" hidden="false" customHeight="true" outlineLevel="0" collapsed="false">
      <c r="A14" s="4" t="s">
        <v>208</v>
      </c>
      <c r="B14" s="4"/>
      <c r="C14" s="4"/>
      <c r="D14" s="4"/>
      <c r="E14" s="4"/>
      <c r="F14" s="4"/>
      <c r="G14" s="4"/>
      <c r="H14" s="4"/>
    </row>
    <row r="16" customFormat="false" ht="15" hidden="false" customHeight="true" outlineLevel="0" collapsed="false">
      <c r="A16" s="65" t="s">
        <v>209</v>
      </c>
      <c r="B16" s="69" t="str">
        <f aca="false">Inputs!B58</f>
        <v>Ordering Cost</v>
      </c>
    </row>
    <row r="17" customFormat="false" ht="15" hidden="false" customHeight="true" outlineLevel="0" collapsed="false">
      <c r="A17" s="65" t="s">
        <v>210</v>
      </c>
      <c r="B17" s="69" t="str">
        <f aca="false">Inputs!B69</f>
        <v>A</v>
      </c>
    </row>
    <row r="18" customFormat="false" ht="15" hidden="false" customHeight="true" outlineLevel="0" collapsed="false">
      <c r="A18" s="65" t="s">
        <v>211</v>
      </c>
      <c r="B18" s="69" t="str">
        <f aca="false">Escenarios!B4</f>
        <v>Base</v>
      </c>
    </row>
    <row r="25" customFormat="false" ht="15" hidden="false" customHeight="true" outlineLevel="0" collapsed="false">
      <c r="A25" s="70" t="s">
        <v>212</v>
      </c>
      <c r="B25" s="70"/>
      <c r="C25" s="70"/>
      <c r="D25" s="70"/>
      <c r="E25" s="70"/>
      <c r="F25" s="70"/>
    </row>
    <row r="27" customFormat="false" ht="15" hidden="false" customHeight="true" outlineLevel="0" collapsed="false">
      <c r="A27" s="65" t="s">
        <v>213</v>
      </c>
      <c r="B27" s="71" t="n">
        <f aca="false">COUNTIF(Inventario_Dinamico!J52:J59,"&lt;0")</f>
        <v>1</v>
      </c>
      <c r="C27" s="67" t="s">
        <v>206</v>
      </c>
    </row>
    <row r="28" customFormat="false" ht="15" hidden="false" customHeight="true" outlineLevel="0" collapsed="false">
      <c r="A28" s="65" t="s">
        <v>214</v>
      </c>
      <c r="B28" s="71" t="str">
        <f aca="false">IF(OR(Inputs!B58="B",Inputs!B69="B"),"SÍ - REVISAR","NO")</f>
        <v>NO</v>
      </c>
    </row>
    <row r="29" customFormat="false" ht="15" hidden="false" customHeight="true" outlineLevel="0" collapsed="false">
      <c r="A29" s="65" t="s">
        <v>215</v>
      </c>
      <c r="B29" s="71" t="str">
        <f aca="false">IF(Cashflow_Integrado!B37&gt;100000,"SÍ - ALERTA","NO")</f>
        <v>NO</v>
      </c>
    </row>
  </sheetData>
  <mergeCells count="4">
    <mergeCell ref="A1:H1"/>
    <mergeCell ref="A3:H3"/>
    <mergeCell ref="A14:H14"/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7" min="2" style="1" width="13"/>
    <col collapsed="false" customWidth="true" hidden="false" outlineLevel="0" max="8" min="8" style="1" width="18"/>
    <col collapsed="false" customWidth="true" hidden="false" outlineLevel="0" max="9" min="9" style="1" width="13"/>
  </cols>
  <sheetData>
    <row r="1" customFormat="false" ht="17.25" hidden="false" customHeight="true" outlineLevel="0" collapsed="false">
      <c r="A1" s="72" t="s">
        <v>216</v>
      </c>
      <c r="B1" s="72"/>
      <c r="C1" s="72"/>
      <c r="D1" s="72"/>
      <c r="E1" s="72"/>
      <c r="F1" s="72"/>
      <c r="G1" s="72"/>
      <c r="H1" s="72"/>
      <c r="I1" s="72"/>
      <c r="J1" s="72"/>
    </row>
    <row r="2" customFormat="false" ht="15" hidden="false" customHeight="true" outlineLevel="0" collapsed="false">
      <c r="A2" s="73" t="s">
        <v>217</v>
      </c>
      <c r="B2" s="73"/>
      <c r="C2" s="73"/>
      <c r="D2" s="73"/>
      <c r="E2" s="73"/>
      <c r="F2" s="73"/>
      <c r="G2" s="73"/>
      <c r="H2" s="73"/>
      <c r="I2" s="73"/>
      <c r="J2" s="73"/>
    </row>
    <row r="4" customFormat="false" ht="15" hidden="false" customHeight="true" outlineLevel="0" collapsed="false">
      <c r="A4" s="4" t="s">
        <v>218</v>
      </c>
      <c r="B4" s="4"/>
      <c r="C4" s="4"/>
      <c r="D4" s="4"/>
    </row>
    <row r="6" customFormat="false" ht="15" hidden="false" customHeight="true" outlineLevel="0" collapsed="false">
      <c r="A6" s="9" t="s">
        <v>140</v>
      </c>
      <c r="B6" s="9" t="s">
        <v>219</v>
      </c>
      <c r="C6" s="9" t="s">
        <v>18</v>
      </c>
    </row>
    <row r="7" customFormat="false" ht="15" hidden="false" customHeight="true" outlineLevel="0" collapsed="false">
      <c r="A7" s="10" t="s">
        <v>220</v>
      </c>
      <c r="B7" s="74" t="n">
        <v>0.2</v>
      </c>
      <c r="C7" s="10" t="s">
        <v>221</v>
      </c>
    </row>
    <row r="8" customFormat="false" ht="15" hidden="false" customHeight="true" outlineLevel="0" collapsed="false">
      <c r="A8" s="10" t="s">
        <v>222</v>
      </c>
      <c r="B8" s="44" t="n">
        <v>150</v>
      </c>
      <c r="C8" s="10" t="s">
        <v>223</v>
      </c>
    </row>
    <row r="9" customFormat="false" ht="15" hidden="false" customHeight="true" outlineLevel="0" collapsed="false">
      <c r="A9" s="10" t="s">
        <v>224</v>
      </c>
      <c r="B9" s="44" t="n">
        <v>1</v>
      </c>
      <c r="C9" s="10" t="s">
        <v>225</v>
      </c>
    </row>
    <row r="12" customFormat="false" ht="15" hidden="false" customHeight="true" outlineLevel="0" collapsed="false">
      <c r="A12" s="4" t="s">
        <v>226</v>
      </c>
      <c r="B12" s="4"/>
      <c r="C12" s="4"/>
      <c r="D12" s="4"/>
      <c r="E12" s="4"/>
      <c r="F12" s="4"/>
      <c r="G12" s="4"/>
      <c r="H12" s="4"/>
      <c r="I12" s="4"/>
      <c r="J12" s="4"/>
    </row>
    <row r="13" customFormat="false" ht="23.25" hidden="false" customHeight="true" outlineLevel="0" collapsed="false">
      <c r="A13" s="41" t="s">
        <v>15</v>
      </c>
      <c r="B13" s="41" t="s">
        <v>227</v>
      </c>
      <c r="C13" s="41" t="s">
        <v>228</v>
      </c>
      <c r="D13" s="41" t="s">
        <v>229</v>
      </c>
      <c r="E13" s="41" t="s">
        <v>230</v>
      </c>
      <c r="F13" s="41" t="s">
        <v>231</v>
      </c>
      <c r="G13" s="41" t="s">
        <v>232</v>
      </c>
      <c r="H13" s="41" t="s">
        <v>233</v>
      </c>
      <c r="I13" s="41" t="s">
        <v>180</v>
      </c>
    </row>
    <row r="14" customFormat="false" ht="15" hidden="false" customHeight="true" outlineLevel="0" collapsed="false">
      <c r="A14" s="10" t="s">
        <v>19</v>
      </c>
      <c r="B14" s="75" t="str">
        <f aca="false">Inputs!B58</f>
        <v>Ordering Cost</v>
      </c>
      <c r="C14" s="42" t="n">
        <f aca="false">SUM(Compras_y_Lotes!F18:F25)</f>
        <v>0</v>
      </c>
      <c r="D14" s="76" t="n">
        <f aca="false">IF(B14="B",$B$7,0)</f>
        <v>0</v>
      </c>
      <c r="E14" s="77" t="n">
        <f aca="false">C14*D14</f>
        <v>0</v>
      </c>
      <c r="F14" s="43" t="n">
        <f aca="false">E14*Inputs!B35</f>
        <v>0</v>
      </c>
      <c r="G14" s="78" t="n">
        <f aca="false">F14/Inputs!B24</f>
        <v>0</v>
      </c>
      <c r="H14" s="46" t="n">
        <f aca="false">G14*$B$8</f>
        <v>0</v>
      </c>
      <c r="I14" s="79" t="n">
        <f aca="false">H14</f>
        <v>0</v>
      </c>
    </row>
    <row r="15" customFormat="false" ht="15" hidden="false" customHeight="true" outlineLevel="0" collapsed="false">
      <c r="A15" s="10" t="s">
        <v>22</v>
      </c>
      <c r="B15" s="75" t="str">
        <f aca="false">Inputs!B69</f>
        <v>A</v>
      </c>
      <c r="C15" s="42" t="n">
        <f aca="false">SUM(Compras_y_Lotes!F26:F33)</f>
        <v>0</v>
      </c>
      <c r="D15" s="76" t="n">
        <f aca="false">IF(B15="B",$B$7,0)</f>
        <v>0</v>
      </c>
      <c r="E15" s="77" t="n">
        <f aca="false">C15*D15</f>
        <v>0</v>
      </c>
      <c r="F15" s="43" t="n">
        <f aca="false">E15*Inputs!B36</f>
        <v>0</v>
      </c>
      <c r="G15" s="78" t="n">
        <f aca="false">F15/Inputs!B25</f>
        <v>0</v>
      </c>
      <c r="H15" s="46" t="n">
        <f aca="false">G15*$B$8</f>
        <v>0</v>
      </c>
      <c r="I15" s="79" t="n">
        <f aca="false">H15</f>
        <v>0</v>
      </c>
    </row>
    <row r="18" customFormat="false" ht="15" hidden="false" customHeight="true" outlineLevel="0" collapsed="false">
      <c r="A18" s="4" t="s">
        <v>234</v>
      </c>
      <c r="B18" s="4"/>
      <c r="C18" s="4"/>
      <c r="D18" s="4"/>
      <c r="E18" s="4"/>
      <c r="F18" s="4"/>
      <c r="G18" s="4"/>
      <c r="H18" s="4"/>
    </row>
    <row r="19" customFormat="false" ht="15" hidden="false" customHeight="true" outlineLevel="0" collapsed="false">
      <c r="A19" s="9" t="s">
        <v>15</v>
      </c>
      <c r="B19" s="9" t="s">
        <v>186</v>
      </c>
      <c r="C19" s="9" t="s">
        <v>127</v>
      </c>
      <c r="D19" s="9" t="s">
        <v>66</v>
      </c>
      <c r="E19" s="9" t="s">
        <v>235</v>
      </c>
      <c r="F19" s="9" t="s">
        <v>180</v>
      </c>
      <c r="G19" s="9" t="s">
        <v>236</v>
      </c>
      <c r="H19" s="9" t="s">
        <v>237</v>
      </c>
    </row>
    <row r="20" customFormat="false" ht="15" hidden="false" customHeight="true" outlineLevel="0" collapsed="false">
      <c r="A20" s="10" t="s">
        <v>19</v>
      </c>
      <c r="B20" s="11" t="s">
        <v>69</v>
      </c>
      <c r="C20" s="46" t="n">
        <f aca="false">SUM(Compras_y_Lotes!I18:I25)</f>
        <v>0</v>
      </c>
      <c r="D20" s="61" t="n">
        <v>0</v>
      </c>
      <c r="E20" s="55" t="n">
        <v>0</v>
      </c>
      <c r="F20" s="55" t="n">
        <v>0</v>
      </c>
      <c r="G20" s="46" t="n">
        <f aca="false">C20+F20</f>
        <v>0</v>
      </c>
      <c r="H20" s="80"/>
    </row>
    <row r="21" customFormat="false" ht="15" hidden="false" customHeight="true" outlineLevel="0" collapsed="false">
      <c r="A21" s="10"/>
      <c r="B21" s="11" t="s">
        <v>73</v>
      </c>
      <c r="C21" s="46" t="n">
        <f aca="false">IF(SUM(Compras_y_Lotes!F18:F25)&gt;=150,C20*(1-0.16),C20)</f>
        <v>0</v>
      </c>
      <c r="D21" s="61" t="n">
        <v>0.16</v>
      </c>
      <c r="E21" s="81" t="n">
        <f aca="false">C20-C21</f>
        <v>0</v>
      </c>
      <c r="F21" s="82" t="n">
        <f aca="false">I14</f>
        <v>0</v>
      </c>
      <c r="G21" s="46" t="n">
        <f aca="false">C21+F21</f>
        <v>0</v>
      </c>
      <c r="H21" s="80"/>
    </row>
    <row r="22" customFormat="false" ht="15" hidden="false" customHeight="true" outlineLevel="0" collapsed="false">
      <c r="A22" s="10" t="s">
        <v>22</v>
      </c>
      <c r="B22" s="11" t="s">
        <v>69</v>
      </c>
      <c r="C22" s="46" t="n">
        <f aca="false">SUM(Compras_y_Lotes!I26:I33)</f>
        <v>0</v>
      </c>
      <c r="D22" s="61" t="n">
        <v>0</v>
      </c>
      <c r="E22" s="55" t="n">
        <v>0</v>
      </c>
      <c r="F22" s="55" t="n">
        <v>0</v>
      </c>
      <c r="G22" s="46" t="n">
        <f aca="false">C22+F22</f>
        <v>0</v>
      </c>
      <c r="H22" s="80"/>
    </row>
    <row r="23" customFormat="false" ht="15" hidden="false" customHeight="true" outlineLevel="0" collapsed="false">
      <c r="A23" s="10"/>
      <c r="B23" s="11" t="s">
        <v>73</v>
      </c>
      <c r="C23" s="46" t="n">
        <f aca="false">IF(SUM(Compras_y_Lotes!F26:F33)&gt;=80,C22*(1-0.2),C22)</f>
        <v>0</v>
      </c>
      <c r="D23" s="61" t="n">
        <v>0.2</v>
      </c>
      <c r="E23" s="81" t="n">
        <f aca="false">C22-C23</f>
        <v>0</v>
      </c>
      <c r="F23" s="82" t="n">
        <f aca="false">I15</f>
        <v>0</v>
      </c>
      <c r="G23" s="46" t="n">
        <f aca="false">C23+F23</f>
        <v>0</v>
      </c>
      <c r="H23" s="80"/>
    </row>
  </sheetData>
  <mergeCells count="7">
    <mergeCell ref="A1:J1"/>
    <mergeCell ref="A2:J2"/>
    <mergeCell ref="A4:D4"/>
    <mergeCell ref="A12:J12"/>
    <mergeCell ref="A18:H18"/>
    <mergeCell ref="H20:H21"/>
    <mergeCell ref="H22:H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10" min="2" style="1" width="13"/>
  </cols>
  <sheetData>
    <row r="1" customFormat="false" ht="17.25" hidden="false" customHeight="true" outlineLevel="0" collapsed="false">
      <c r="A1" s="2" t="s">
        <v>238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true" outlineLevel="0" collapsed="false">
      <c r="A2" s="3" t="s">
        <v>239</v>
      </c>
      <c r="B2" s="3"/>
      <c r="C2" s="3"/>
      <c r="D2" s="3"/>
      <c r="E2" s="3"/>
      <c r="F2" s="3"/>
      <c r="G2" s="3"/>
      <c r="H2" s="3"/>
      <c r="I2" s="3"/>
      <c r="J2" s="3"/>
      <c r="K2" s="3"/>
    </row>
    <row r="4" customFormat="false" ht="15" hidden="false" customHeight="true" outlineLevel="0" collapsed="false">
      <c r="A4" s="4" t="s">
        <v>240</v>
      </c>
      <c r="B4" s="4"/>
      <c r="C4" s="4"/>
      <c r="D4" s="4"/>
      <c r="E4" s="4"/>
      <c r="F4" s="4"/>
      <c r="G4" s="4"/>
      <c r="H4" s="4"/>
      <c r="I4" s="4"/>
      <c r="J4" s="4"/>
    </row>
    <row r="5" customFormat="false" ht="15" hidden="false" customHeight="true" outlineLevel="0" collapsed="false">
      <c r="A5" s="30" t="s">
        <v>100</v>
      </c>
      <c r="B5" s="30" t="s">
        <v>4</v>
      </c>
      <c r="C5" s="30" t="s">
        <v>5</v>
      </c>
      <c r="D5" s="30" t="s">
        <v>6</v>
      </c>
      <c r="E5" s="30" t="s">
        <v>7</v>
      </c>
      <c r="F5" s="30" t="s">
        <v>8</v>
      </c>
      <c r="G5" s="30" t="s">
        <v>9</v>
      </c>
      <c r="H5" s="30" t="s">
        <v>10</v>
      </c>
      <c r="I5" s="30" t="s">
        <v>11</v>
      </c>
      <c r="J5" s="30" t="s">
        <v>12</v>
      </c>
    </row>
    <row r="6" customFormat="false" ht="15" hidden="false" customHeight="true" outlineLevel="0" collapsed="false">
      <c r="A6" s="6" t="s">
        <v>134</v>
      </c>
      <c r="B6" s="45" t="n">
        <f aca="false">Compras_y_Lotes!H13</f>
        <v>1232470</v>
      </c>
      <c r="C6" s="55" t="n">
        <v>0</v>
      </c>
      <c r="D6" s="55" t="n">
        <v>0</v>
      </c>
      <c r="E6" s="55" t="n">
        <v>0</v>
      </c>
      <c r="F6" s="55" t="n">
        <v>0</v>
      </c>
      <c r="G6" s="55" t="n">
        <v>0</v>
      </c>
      <c r="H6" s="55" t="n">
        <v>0</v>
      </c>
      <c r="I6" s="55" t="n">
        <v>0</v>
      </c>
      <c r="J6" s="46" t="n">
        <f aca="false">B6</f>
        <v>1232470</v>
      </c>
    </row>
    <row r="7" customFormat="false" ht="15" hidden="false" customHeight="true" outlineLevel="0" collapsed="false">
      <c r="A7" s="10" t="s">
        <v>241</v>
      </c>
      <c r="B7" s="45" t="n">
        <f aca="false">Compras_y_Lotes!I18</f>
        <v>0</v>
      </c>
      <c r="C7" s="45" t="n">
        <f aca="false">Compras_y_Lotes!I19</f>
        <v>0</v>
      </c>
      <c r="D7" s="45" t="n">
        <f aca="false">Compras_y_Lotes!I20</f>
        <v>0</v>
      </c>
      <c r="E7" s="45" t="n">
        <f aca="false">Compras_y_Lotes!I21</f>
        <v>0</v>
      </c>
      <c r="F7" s="45" t="n">
        <f aca="false">Compras_y_Lotes!I22</f>
        <v>0</v>
      </c>
      <c r="G7" s="45" t="n">
        <f aca="false">Compras_y_Lotes!I23</f>
        <v>0</v>
      </c>
      <c r="H7" s="45" t="n">
        <f aca="false">Compras_y_Lotes!I24</f>
        <v>0</v>
      </c>
      <c r="I7" s="45" t="n">
        <f aca="false">Compras_y_Lotes!I25</f>
        <v>0</v>
      </c>
      <c r="J7" s="46" t="n">
        <f aca="false">SUM(B7:I7)</f>
        <v>0</v>
      </c>
    </row>
    <row r="8" customFormat="false" ht="15" hidden="false" customHeight="true" outlineLevel="0" collapsed="false">
      <c r="A8" s="10" t="s">
        <v>242</v>
      </c>
      <c r="B8" s="45" t="n">
        <f aca="false">Compras_y_Lotes!I26</f>
        <v>0</v>
      </c>
      <c r="C8" s="45" t="n">
        <f aca="false">Compras_y_Lotes!I27</f>
        <v>0</v>
      </c>
      <c r="D8" s="45" t="n">
        <f aca="false">Compras_y_Lotes!I28</f>
        <v>0</v>
      </c>
      <c r="E8" s="45" t="n">
        <f aca="false">Compras_y_Lotes!I29</f>
        <v>0</v>
      </c>
      <c r="F8" s="45" t="n">
        <f aca="false">Compras_y_Lotes!I30</f>
        <v>0</v>
      </c>
      <c r="G8" s="45" t="n">
        <f aca="false">Compras_y_Lotes!I31</f>
        <v>0</v>
      </c>
      <c r="H8" s="45" t="n">
        <f aca="false">Compras_y_Lotes!I32</f>
        <v>0</v>
      </c>
      <c r="I8" s="45" t="n">
        <f aca="false">Compras_y_Lotes!I33</f>
        <v>0</v>
      </c>
      <c r="J8" s="46" t="n">
        <f aca="false">SUM(B8:I8)</f>
        <v>0</v>
      </c>
    </row>
    <row r="9" customFormat="false" ht="15" hidden="false" customHeight="true" outlineLevel="0" collapsed="false">
      <c r="A9" s="6" t="s">
        <v>243</v>
      </c>
      <c r="B9" s="83" t="n">
        <f aca="false">SUM(B6:B8)</f>
        <v>1232470</v>
      </c>
      <c r="C9" s="83" t="n">
        <f aca="false">SUM(C6:C8)</f>
        <v>0</v>
      </c>
      <c r="D9" s="83" t="n">
        <f aca="false">SUM(D6:D8)</f>
        <v>0</v>
      </c>
      <c r="E9" s="83" t="n">
        <f aca="false">SUM(E6:E8)</f>
        <v>0</v>
      </c>
      <c r="F9" s="83" t="n">
        <f aca="false">SUM(F6:F8)</f>
        <v>0</v>
      </c>
      <c r="G9" s="83" t="n">
        <f aca="false">SUM(G6:G8)</f>
        <v>0</v>
      </c>
      <c r="H9" s="83" t="n">
        <f aca="false">SUM(H6:H8)</f>
        <v>0</v>
      </c>
      <c r="I9" s="83" t="n">
        <f aca="false">SUM(I6:I8)</f>
        <v>0</v>
      </c>
      <c r="J9" s="83" t="n">
        <f aca="false">SUM(J6:J8)</f>
        <v>1232470</v>
      </c>
    </row>
    <row r="12" customFormat="false" ht="15" hidden="false" customHeight="true" outlineLevel="0" collapsed="false">
      <c r="A12" s="4" t="s">
        <v>244</v>
      </c>
      <c r="B12" s="4"/>
      <c r="C12" s="4"/>
      <c r="D12" s="4"/>
      <c r="E12" s="4"/>
      <c r="F12" s="4"/>
      <c r="G12" s="4"/>
      <c r="H12" s="4"/>
      <c r="I12" s="4"/>
      <c r="J12" s="4"/>
    </row>
    <row r="13" customFormat="false" ht="15" hidden="false" customHeight="true" outlineLevel="0" collapsed="false">
      <c r="A13" s="9" t="s">
        <v>100</v>
      </c>
      <c r="B13" s="9" t="s">
        <v>4</v>
      </c>
      <c r="C13" s="9" t="s">
        <v>5</v>
      </c>
      <c r="D13" s="9" t="s">
        <v>6</v>
      </c>
      <c r="E13" s="9" t="s">
        <v>7</v>
      </c>
      <c r="F13" s="9" t="s">
        <v>8</v>
      </c>
      <c r="G13" s="9" t="s">
        <v>9</v>
      </c>
      <c r="H13" s="9" t="s">
        <v>10</v>
      </c>
      <c r="I13" s="9" t="s">
        <v>11</v>
      </c>
      <c r="J13" s="9" t="s">
        <v>12</v>
      </c>
    </row>
    <row r="14" customFormat="false" ht="15" hidden="false" customHeight="true" outlineLevel="0" collapsed="false">
      <c r="A14" s="10" t="s">
        <v>19</v>
      </c>
      <c r="B14" s="46" t="n">
        <f aca="false">IF(Compras_y_Lotes!F18&gt;0,Inputs!B52,0)</f>
        <v>0</v>
      </c>
      <c r="C14" s="46" t="n">
        <f aca="false">IF(Compras_y_Lotes!F19&gt;0,Inputs!B52,0)</f>
        <v>0</v>
      </c>
      <c r="D14" s="46" t="n">
        <f aca="false">IF(Compras_y_Lotes!F20&gt;0,Inputs!B52,0)</f>
        <v>0</v>
      </c>
      <c r="E14" s="46" t="n">
        <f aca="false">IF(Compras_y_Lotes!F21&gt;0,Inputs!B52,0)</f>
        <v>0</v>
      </c>
      <c r="F14" s="46" t="n">
        <f aca="false">IF(Compras_y_Lotes!F22&gt;0,Inputs!B52,0)</f>
        <v>0</v>
      </c>
      <c r="G14" s="46" t="n">
        <f aca="false">IF(Compras_y_Lotes!F23&gt;0,Inputs!B52,0)</f>
        <v>0</v>
      </c>
      <c r="H14" s="46" t="n">
        <f aca="false">IF(Compras_y_Lotes!F24&gt;0,Inputs!B52,0)</f>
        <v>0</v>
      </c>
      <c r="I14" s="46" t="n">
        <f aca="false">IF(Compras_y_Lotes!F25&gt;0,Inputs!B52,0)</f>
        <v>0</v>
      </c>
      <c r="J14" s="46" t="n">
        <f aca="false">SUM(B14:I14)</f>
        <v>0</v>
      </c>
    </row>
    <row r="15" customFormat="false" ht="15" hidden="false" customHeight="true" outlineLevel="0" collapsed="false">
      <c r="A15" s="10" t="s">
        <v>22</v>
      </c>
      <c r="B15" s="46" t="n">
        <f aca="false">IF(Compras_y_Lotes!F26&gt;0,Inputs!B53,0)</f>
        <v>0</v>
      </c>
      <c r="C15" s="46" t="n">
        <f aca="false">IF(Compras_y_Lotes!F27&gt;0,Inputs!B53,0)</f>
        <v>0</v>
      </c>
      <c r="D15" s="46" t="n">
        <f aca="false">IF(Compras_y_Lotes!F28&gt;0,Inputs!B53,0)</f>
        <v>0</v>
      </c>
      <c r="E15" s="46" t="n">
        <f aca="false">IF(Compras_y_Lotes!F29&gt;0,Inputs!B53,0)</f>
        <v>0</v>
      </c>
      <c r="F15" s="46" t="n">
        <f aca="false">IF(Compras_y_Lotes!F30&gt;0,Inputs!B53,0)</f>
        <v>0</v>
      </c>
      <c r="G15" s="46" t="n">
        <f aca="false">IF(Compras_y_Lotes!F31&gt;0,Inputs!B53,0)</f>
        <v>0</v>
      </c>
      <c r="H15" s="46" t="n">
        <f aca="false">IF(Compras_y_Lotes!F32&gt;0,Inputs!B53,0)</f>
        <v>0</v>
      </c>
      <c r="I15" s="46" t="n">
        <f aca="false">IF(Compras_y_Lotes!F33&gt;0,Inputs!B53,0)</f>
        <v>0</v>
      </c>
      <c r="J15" s="46" t="n">
        <f aca="false">SUM(B15:I15)</f>
        <v>0</v>
      </c>
    </row>
    <row r="16" customFormat="false" ht="15" hidden="false" customHeight="true" outlineLevel="0" collapsed="false">
      <c r="A16" s="6" t="s">
        <v>245</v>
      </c>
      <c r="B16" s="83" t="n">
        <f aca="false">SUM(B14:B15)</f>
        <v>0</v>
      </c>
      <c r="C16" s="83" t="n">
        <f aca="false">SUM(C14:C15)</f>
        <v>0</v>
      </c>
      <c r="D16" s="83" t="n">
        <f aca="false">SUM(D14:D15)</f>
        <v>0</v>
      </c>
      <c r="E16" s="83" t="n">
        <f aca="false">SUM(E14:E15)</f>
        <v>0</v>
      </c>
      <c r="F16" s="83" t="n">
        <f aca="false">SUM(F14:F15)</f>
        <v>0</v>
      </c>
      <c r="G16" s="83" t="n">
        <f aca="false">SUM(G14:G15)</f>
        <v>0</v>
      </c>
      <c r="H16" s="83" t="n">
        <f aca="false">SUM(H14:H15)</f>
        <v>0</v>
      </c>
      <c r="I16" s="83" t="n">
        <f aca="false">SUM(I14:I15)</f>
        <v>0</v>
      </c>
      <c r="J16" s="83" t="n">
        <f aca="false">SUM(J14:J15)</f>
        <v>0</v>
      </c>
    </row>
    <row r="19" customFormat="false" ht="15" hidden="false" customHeight="true" outlineLevel="0" collapsed="false">
      <c r="A19" s="4" t="s">
        <v>246</v>
      </c>
      <c r="B19" s="4"/>
      <c r="C19" s="4"/>
      <c r="D19" s="4"/>
      <c r="E19" s="4"/>
      <c r="F19" s="4"/>
      <c r="G19" s="4"/>
      <c r="H19" s="4"/>
      <c r="I19" s="4"/>
      <c r="J19" s="4"/>
    </row>
    <row r="20" customFormat="false" ht="15" hidden="false" customHeight="true" outlineLevel="0" collapsed="false">
      <c r="A20" s="9" t="s">
        <v>100</v>
      </c>
      <c r="B20" s="9" t="s">
        <v>4</v>
      </c>
      <c r="C20" s="9" t="s">
        <v>5</v>
      </c>
      <c r="D20" s="9" t="s">
        <v>6</v>
      </c>
      <c r="E20" s="9" t="s">
        <v>7</v>
      </c>
      <c r="F20" s="9" t="s">
        <v>8</v>
      </c>
      <c r="G20" s="9" t="s">
        <v>9</v>
      </c>
      <c r="H20" s="9" t="s">
        <v>10</v>
      </c>
      <c r="I20" s="9" t="s">
        <v>11</v>
      </c>
      <c r="J20" s="9" t="s">
        <v>12</v>
      </c>
    </row>
    <row r="21" customFormat="false" ht="15" hidden="false" customHeight="true" outlineLevel="0" collapsed="false">
      <c r="A21" s="10" t="s">
        <v>19</v>
      </c>
      <c r="B21" s="46" t="n">
        <f aca="false">(Inventario_Dinamico!B7+Inventario_Dinamico!B10)/2*Inputs!C52</f>
        <v>-22</v>
      </c>
      <c r="C21" s="46" t="n">
        <f aca="false">(Inventario_Dinamico!C7+Inventario_Dinamico!C10)/2*Inputs!C52</f>
        <v>-170</v>
      </c>
      <c r="D21" s="46" t="n">
        <f aca="false">(Inventario_Dinamico!D7+Inventario_Dinamico!D10)/2*Inputs!C52</f>
        <v>-318</v>
      </c>
      <c r="E21" s="46" t="n">
        <f aca="false">(Inventario_Dinamico!E7+Inventario_Dinamico!E10)/2*Inputs!C52</f>
        <v>-466</v>
      </c>
      <c r="F21" s="46" t="n">
        <f aca="false">(Inventario_Dinamico!F7+Inventario_Dinamico!F10)/2*Inputs!C52</f>
        <v>-614</v>
      </c>
      <c r="G21" s="46" t="n">
        <f aca="false">(Inventario_Dinamico!G7+Inventario_Dinamico!G10)/2*Inputs!C52</f>
        <v>-762</v>
      </c>
      <c r="H21" s="46" t="n">
        <f aca="false">(Inventario_Dinamico!H7+Inventario_Dinamico!H10)/2*Inputs!C52</f>
        <v>-910</v>
      </c>
      <c r="I21" s="46" t="n">
        <f aca="false">(Inventario_Dinamico!I7+Inventario_Dinamico!I10)/2*Inputs!C52</f>
        <v>-1058</v>
      </c>
      <c r="J21" s="46" t="n">
        <f aca="false">SUM(B21:I21)</f>
        <v>-4320</v>
      </c>
    </row>
    <row r="22" customFormat="false" ht="15" hidden="false" customHeight="true" outlineLevel="0" collapsed="false">
      <c r="A22" s="10" t="s">
        <v>22</v>
      </c>
      <c r="B22" s="46" t="n">
        <f aca="false">(Inventario_Dinamico!B13+Inventario_Dinamico!B16)/2*Inputs!C53</f>
        <v>1577.625</v>
      </c>
      <c r="C22" s="46" t="n">
        <f aca="false">(Inventario_Dinamico!C13+Inventario_Dinamico!C16)/2*Inputs!C53</f>
        <v>1572.075</v>
      </c>
      <c r="D22" s="46" t="n">
        <f aca="false">(Inventario_Dinamico!D13+Inventario_Dinamico!D16)/2*Inputs!C53</f>
        <v>1566.525</v>
      </c>
      <c r="E22" s="46" t="n">
        <f aca="false">(Inventario_Dinamico!E13+Inventario_Dinamico!E16)/2*Inputs!C53</f>
        <v>1560.975</v>
      </c>
      <c r="F22" s="46" t="n">
        <f aca="false">(Inventario_Dinamico!F13+Inventario_Dinamico!F16)/2*Inputs!C53</f>
        <v>1555.425</v>
      </c>
      <c r="G22" s="46" t="n">
        <f aca="false">(Inventario_Dinamico!G13+Inventario_Dinamico!G16)/2*Inputs!C53</f>
        <v>1549.875</v>
      </c>
      <c r="H22" s="46" t="n">
        <f aca="false">(Inventario_Dinamico!H13+Inventario_Dinamico!H16)/2*Inputs!C53</f>
        <v>1544.325</v>
      </c>
      <c r="I22" s="46" t="n">
        <f aca="false">(Inventario_Dinamico!I13+Inventario_Dinamico!I16)/2*Inputs!C53</f>
        <v>1538.775</v>
      </c>
      <c r="J22" s="46" t="n">
        <f aca="false">SUM(B22:I22)</f>
        <v>12465.6</v>
      </c>
    </row>
    <row r="23" customFormat="false" ht="15" hidden="false" customHeight="true" outlineLevel="0" collapsed="false">
      <c r="A23" s="6" t="s">
        <v>247</v>
      </c>
      <c r="B23" s="83" t="n">
        <f aca="false">SUM(B21:B22)</f>
        <v>1555.625</v>
      </c>
      <c r="C23" s="83" t="n">
        <f aca="false">SUM(C21:C22)</f>
        <v>1402.075</v>
      </c>
      <c r="D23" s="83" t="n">
        <f aca="false">SUM(D21:D22)</f>
        <v>1248.525</v>
      </c>
      <c r="E23" s="83" t="n">
        <f aca="false">SUM(E21:E22)</f>
        <v>1094.975</v>
      </c>
      <c r="F23" s="83" t="n">
        <f aca="false">SUM(F21:F22)</f>
        <v>941.425</v>
      </c>
      <c r="G23" s="83" t="n">
        <f aca="false">SUM(G21:G22)</f>
        <v>787.875</v>
      </c>
      <c r="H23" s="83" t="n">
        <f aca="false">SUM(H21:H22)</f>
        <v>634.325</v>
      </c>
      <c r="I23" s="83" t="n">
        <f aca="false">SUM(I21:I22)</f>
        <v>480.775</v>
      </c>
      <c r="J23" s="83" t="n">
        <f aca="false">SUM(J21:J22)</f>
        <v>8145.6</v>
      </c>
    </row>
    <row r="26" customFormat="false" ht="15" hidden="false" customHeight="true" outlineLevel="0" collapsed="false">
      <c r="A26" s="84" t="s">
        <v>248</v>
      </c>
      <c r="B26" s="85" t="n">
        <f aca="false">B9+B16+B23</f>
        <v>1234025.625</v>
      </c>
      <c r="C26" s="85" t="n">
        <f aca="false">C9+C16+C23</f>
        <v>1402.075</v>
      </c>
      <c r="D26" s="85" t="n">
        <f aca="false">D9+D16+D23</f>
        <v>1248.525</v>
      </c>
      <c r="E26" s="85" t="n">
        <f aca="false">E9+E16+E23</f>
        <v>1094.975</v>
      </c>
      <c r="F26" s="85" t="n">
        <f aca="false">F9+F16+F23</f>
        <v>941.425</v>
      </c>
      <c r="G26" s="85" t="n">
        <f aca="false">G9+G16+G23</f>
        <v>787.875</v>
      </c>
      <c r="H26" s="85" t="n">
        <f aca="false">H9+H16+H23</f>
        <v>634.325</v>
      </c>
      <c r="I26" s="85" t="n">
        <f aca="false">I9+I16+I23</f>
        <v>480.775</v>
      </c>
      <c r="J26" s="85" t="n">
        <f aca="false">J9+J16+J23</f>
        <v>1240615.6</v>
      </c>
    </row>
    <row r="27" customFormat="false" ht="15" hidden="false" customHeight="true" outlineLevel="0" collapsed="false">
      <c r="A27" s="84"/>
    </row>
    <row r="28" customFormat="false" ht="15" hidden="false" customHeight="true" outlineLevel="0" collapsed="false">
      <c r="A28" s="4" t="s">
        <v>249</v>
      </c>
      <c r="B28" s="4"/>
      <c r="C28" s="4"/>
      <c r="D28" s="4"/>
    </row>
    <row r="30" customFormat="false" ht="15" hidden="false" customHeight="true" outlineLevel="0" collapsed="false">
      <c r="A30" s="65" t="s">
        <v>250</v>
      </c>
      <c r="B30" s="86" t="n">
        <f aca="false">MAX(B26:I26)</f>
        <v>1234025.625</v>
      </c>
      <c r="C30" s="67" t="s">
        <v>251</v>
      </c>
    </row>
    <row r="31" customFormat="false" ht="15" hidden="false" customHeight="true" outlineLevel="0" collapsed="false">
      <c r="A31" s="65" t="s">
        <v>252</v>
      </c>
      <c r="B31" s="86" t="n">
        <f aca="false">MIN(B26:I26)</f>
        <v>480.775</v>
      </c>
      <c r="C31" s="67" t="s">
        <v>253</v>
      </c>
    </row>
    <row r="32" customFormat="false" ht="15" hidden="false" customHeight="true" outlineLevel="0" collapsed="false">
      <c r="A32" s="65" t="s">
        <v>254</v>
      </c>
      <c r="B32" s="86" t="n">
        <f aca="false">AVERAGE(B26:I26)</f>
        <v>155076.95</v>
      </c>
      <c r="C32" s="67" t="s">
        <v>255</v>
      </c>
    </row>
    <row r="33" customFormat="false" ht="15" hidden="false" customHeight="true" outlineLevel="0" collapsed="false">
      <c r="A33" s="65" t="s">
        <v>256</v>
      </c>
      <c r="B33" s="86" t="n">
        <f aca="false">STDEV(B26:I26)</f>
        <v>435961.207960771</v>
      </c>
      <c r="C33" s="67" t="s">
        <v>257</v>
      </c>
    </row>
  </sheetData>
  <mergeCells count="7">
    <mergeCell ref="A1:K1"/>
    <mergeCell ref="A2:K2"/>
    <mergeCell ref="A4:J4"/>
    <mergeCell ref="A12:J12"/>
    <mergeCell ref="A19:J19"/>
    <mergeCell ref="A26:A27"/>
    <mergeCell ref="A28:D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3" min="2" style="1" width="10"/>
    <col collapsed="false" customWidth="true" hidden="false" outlineLevel="0" max="4" min="4" style="1" width="12"/>
    <col collapsed="false" customWidth="true" hidden="false" outlineLevel="0" max="5" min="5" style="1" width="15"/>
  </cols>
  <sheetData>
    <row r="1" customFormat="false" ht="17.25" hidden="false" customHeight="true" outlineLevel="0" collapsed="false">
      <c r="A1" s="87" t="s">
        <v>258</v>
      </c>
      <c r="B1" s="87"/>
      <c r="C1" s="87"/>
      <c r="D1" s="87"/>
      <c r="E1" s="87"/>
    </row>
    <row r="2" customFormat="false" ht="15" hidden="false" customHeight="true" outlineLevel="0" collapsed="false">
      <c r="A2" s="29" t="s">
        <v>259</v>
      </c>
      <c r="B2" s="29"/>
      <c r="C2" s="29"/>
      <c r="D2" s="29"/>
      <c r="E2" s="29"/>
    </row>
    <row r="4" customFormat="false" ht="15" hidden="false" customHeight="true" outlineLevel="0" collapsed="false">
      <c r="A4" s="4" t="s">
        <v>260</v>
      </c>
      <c r="B4" s="4"/>
      <c r="C4" s="4"/>
      <c r="D4" s="4"/>
      <c r="E4" s="4"/>
    </row>
    <row r="5" customFormat="false" ht="15" hidden="false" customHeight="true" outlineLevel="0" collapsed="false">
      <c r="A5" s="9" t="s">
        <v>15</v>
      </c>
      <c r="B5" s="9" t="s">
        <v>261</v>
      </c>
      <c r="C5" s="9" t="s">
        <v>262</v>
      </c>
      <c r="D5" s="9" t="s">
        <v>263</v>
      </c>
      <c r="E5" s="9" t="s">
        <v>264</v>
      </c>
    </row>
    <row r="6" customFormat="false" ht="15" hidden="false" customHeight="true" outlineLevel="0" collapsed="false">
      <c r="A6" s="10" t="s">
        <v>23</v>
      </c>
      <c r="B6" s="88" t="n">
        <v>0</v>
      </c>
      <c r="C6" s="42" t="n">
        <f aca="false">Compras_y_Lotes!E7</f>
        <v>3947</v>
      </c>
      <c r="D6" s="11" t="s">
        <v>265</v>
      </c>
      <c r="E6" s="27" t="str">
        <f aca="false">IF(C6&gt;0,"Comprar","NO COMPRAR")</f>
        <v>Comprar</v>
      </c>
    </row>
    <row r="7" customFormat="false" ht="15" hidden="false" customHeight="true" outlineLevel="0" collapsed="false">
      <c r="A7" s="10" t="s">
        <v>24</v>
      </c>
      <c r="B7" s="88" t="n">
        <v>0</v>
      </c>
      <c r="C7" s="42" t="n">
        <f aca="false">Compras_y_Lotes!E8</f>
        <v>370</v>
      </c>
      <c r="D7" s="11" t="s">
        <v>265</v>
      </c>
      <c r="E7" s="27" t="str">
        <f aca="false">IF(C7&gt;0,"Comprar","NO COMPRAR")</f>
        <v>Comprar</v>
      </c>
    </row>
    <row r="8" customFormat="false" ht="15" hidden="false" customHeight="true" outlineLevel="0" collapsed="false">
      <c r="A8" s="10" t="s">
        <v>25</v>
      </c>
      <c r="B8" s="88" t="n">
        <v>0</v>
      </c>
      <c r="C8" s="42" t="n">
        <f aca="false">Compras_y_Lotes!E9</f>
        <v>8880</v>
      </c>
      <c r="D8" s="11" t="s">
        <v>265</v>
      </c>
      <c r="E8" s="27" t="str">
        <f aca="false">IF(C8&gt;0,"Comprar","NO COMPRAR")</f>
        <v>Comprar</v>
      </c>
    </row>
    <row r="9" customFormat="false" ht="15" hidden="false" customHeight="true" outlineLevel="0" collapsed="false">
      <c r="A9" s="10" t="s">
        <v>26</v>
      </c>
      <c r="B9" s="88" t="n">
        <v>0</v>
      </c>
      <c r="C9" s="42" t="n">
        <f aca="false">Compras_y_Lotes!E10</f>
        <v>296</v>
      </c>
      <c r="D9" s="11" t="s">
        <v>265</v>
      </c>
      <c r="E9" s="27" t="str">
        <f aca="false">IF(C9&gt;0,"Comprar","NO COMPRAR")</f>
        <v>Comprar</v>
      </c>
    </row>
    <row r="10" customFormat="false" ht="15" hidden="false" customHeight="true" outlineLevel="0" collapsed="false">
      <c r="A10" s="10" t="s">
        <v>27</v>
      </c>
      <c r="B10" s="88" t="n">
        <v>0</v>
      </c>
      <c r="C10" s="42" t="n">
        <f aca="false">Compras_y_Lotes!E11</f>
        <v>370</v>
      </c>
      <c r="D10" s="11" t="s">
        <v>265</v>
      </c>
      <c r="E10" s="27" t="str">
        <f aca="false">IF(C10&gt;0,"Comprar","NO COMPRAR")</f>
        <v>Comprar</v>
      </c>
    </row>
    <row r="11" customFormat="false" ht="15" hidden="false" customHeight="true" outlineLevel="0" collapsed="false">
      <c r="A11" s="10" t="s">
        <v>28</v>
      </c>
      <c r="B11" s="88" t="n">
        <v>0</v>
      </c>
      <c r="C11" s="42" t="n">
        <f aca="false">Compras_y_Lotes!E12</f>
        <v>0</v>
      </c>
      <c r="D11" s="11" t="s">
        <v>265</v>
      </c>
      <c r="E11" s="27" t="str">
        <f aca="false">IF(C11&gt;0,"Comprar","NO COMPRAR")</f>
        <v>NO COMPRAR</v>
      </c>
    </row>
    <row r="13" customFormat="false" ht="15" hidden="false" customHeight="true" outlineLevel="0" collapsed="false">
      <c r="A13" s="4" t="s">
        <v>266</v>
      </c>
      <c r="B13" s="4"/>
      <c r="C13" s="4"/>
      <c r="D13" s="4"/>
      <c r="E13" s="4"/>
    </row>
    <row r="14" customFormat="false" ht="15" hidden="false" customHeight="true" outlineLevel="0" collapsed="false">
      <c r="A14" s="9" t="s">
        <v>15</v>
      </c>
      <c r="B14" s="9" t="s">
        <v>261</v>
      </c>
      <c r="C14" s="9" t="s">
        <v>262</v>
      </c>
      <c r="D14" s="9" t="s">
        <v>263</v>
      </c>
      <c r="E14" s="9" t="s">
        <v>264</v>
      </c>
    </row>
    <row r="15" customFormat="false" ht="15" hidden="false" customHeight="true" outlineLevel="0" collapsed="false">
      <c r="A15" s="10" t="s">
        <v>19</v>
      </c>
      <c r="B15" s="88" t="n">
        <v>1</v>
      </c>
      <c r="C15" s="42" t="n">
        <f aca="false">Compras_y_Lotes!F18</f>
        <v>0</v>
      </c>
      <c r="D15" s="75" t="str">
        <f aca="false">Inputs!B58</f>
        <v>Ordering Cost</v>
      </c>
      <c r="E15" s="27" t="str">
        <f aca="false">IF(C15&gt;0,"Comprar","-")</f>
        <v>-</v>
      </c>
    </row>
    <row r="16" customFormat="false" ht="15" hidden="false" customHeight="true" outlineLevel="0" collapsed="false">
      <c r="A16" s="10" t="s">
        <v>19</v>
      </c>
      <c r="B16" s="88" t="n">
        <v>2</v>
      </c>
      <c r="C16" s="42" t="n">
        <f aca="false">Compras_y_Lotes!F19</f>
        <v>0</v>
      </c>
      <c r="D16" s="75" t="str">
        <f aca="false">Inputs!B58</f>
        <v>Ordering Cost</v>
      </c>
      <c r="E16" s="27" t="str">
        <f aca="false">IF(C16&gt;0,"Comprar","-")</f>
        <v>-</v>
      </c>
    </row>
    <row r="17" customFormat="false" ht="15" hidden="false" customHeight="true" outlineLevel="0" collapsed="false">
      <c r="A17" s="10" t="s">
        <v>19</v>
      </c>
      <c r="B17" s="88" t="n">
        <v>3</v>
      </c>
      <c r="C17" s="42" t="n">
        <f aca="false">Compras_y_Lotes!F20</f>
        <v>0</v>
      </c>
      <c r="D17" s="75" t="str">
        <f aca="false">Inputs!B58</f>
        <v>Ordering Cost</v>
      </c>
      <c r="E17" s="27" t="str">
        <f aca="false">IF(C17&gt;0,"Comprar","-")</f>
        <v>-</v>
      </c>
    </row>
    <row r="18" customFormat="false" ht="15" hidden="false" customHeight="true" outlineLevel="0" collapsed="false">
      <c r="A18" s="10" t="s">
        <v>19</v>
      </c>
      <c r="B18" s="88" t="n">
        <v>4</v>
      </c>
      <c r="C18" s="42" t="n">
        <f aca="false">Compras_y_Lotes!F21</f>
        <v>0</v>
      </c>
      <c r="D18" s="75" t="str">
        <f aca="false">Inputs!B58</f>
        <v>Ordering Cost</v>
      </c>
      <c r="E18" s="27" t="str">
        <f aca="false">IF(C18&gt;0,"Comprar","-")</f>
        <v>-</v>
      </c>
    </row>
    <row r="19" customFormat="false" ht="15" hidden="false" customHeight="true" outlineLevel="0" collapsed="false">
      <c r="A19" s="10" t="s">
        <v>19</v>
      </c>
      <c r="B19" s="88" t="n">
        <v>5</v>
      </c>
      <c r="C19" s="42" t="n">
        <f aca="false">Compras_y_Lotes!F22</f>
        <v>0</v>
      </c>
      <c r="D19" s="75" t="str">
        <f aca="false">Inputs!B58</f>
        <v>Ordering Cost</v>
      </c>
      <c r="E19" s="27" t="str">
        <f aca="false">IF(C19&gt;0,"Comprar","-")</f>
        <v>-</v>
      </c>
    </row>
    <row r="20" customFormat="false" ht="15" hidden="false" customHeight="true" outlineLevel="0" collapsed="false">
      <c r="A20" s="10" t="s">
        <v>19</v>
      </c>
      <c r="B20" s="88" t="n">
        <v>6</v>
      </c>
      <c r="C20" s="42" t="n">
        <f aca="false">Compras_y_Lotes!F23</f>
        <v>0</v>
      </c>
      <c r="D20" s="75" t="str">
        <f aca="false">Inputs!B58</f>
        <v>Ordering Cost</v>
      </c>
      <c r="E20" s="27" t="str">
        <f aca="false">IF(C20&gt;0,"Comprar","-")</f>
        <v>-</v>
      </c>
    </row>
    <row r="21" customFormat="false" ht="15" hidden="false" customHeight="true" outlineLevel="0" collapsed="false">
      <c r="A21" s="10" t="s">
        <v>19</v>
      </c>
      <c r="B21" s="88" t="n">
        <v>7</v>
      </c>
      <c r="C21" s="42" t="n">
        <f aca="false">Compras_y_Lotes!F24</f>
        <v>0</v>
      </c>
      <c r="D21" s="75" t="str">
        <f aca="false">Inputs!B58</f>
        <v>Ordering Cost</v>
      </c>
      <c r="E21" s="27" t="str">
        <f aca="false">IF(C21&gt;0,"Comprar","-")</f>
        <v>-</v>
      </c>
    </row>
    <row r="22" customFormat="false" ht="15" hidden="false" customHeight="true" outlineLevel="0" collapsed="false">
      <c r="A22" s="10" t="s">
        <v>19</v>
      </c>
      <c r="B22" s="88" t="n">
        <v>8</v>
      </c>
      <c r="C22" s="42" t="n">
        <f aca="false">Compras_y_Lotes!F25</f>
        <v>0</v>
      </c>
      <c r="D22" s="75" t="str">
        <f aca="false">Inputs!B58</f>
        <v>Ordering Cost</v>
      </c>
      <c r="E22" s="27" t="str">
        <f aca="false">IF(C22&gt;0,"Comprar","-")</f>
        <v>-</v>
      </c>
    </row>
    <row r="24" customFormat="false" ht="15" hidden="false" customHeight="true" outlineLevel="0" collapsed="false">
      <c r="A24" s="4" t="s">
        <v>267</v>
      </c>
      <c r="B24" s="4"/>
      <c r="C24" s="4"/>
      <c r="D24" s="4"/>
      <c r="E24" s="4"/>
    </row>
    <row r="25" customFormat="false" ht="15" hidden="false" customHeight="true" outlineLevel="0" collapsed="false">
      <c r="A25" s="9" t="s">
        <v>15</v>
      </c>
      <c r="B25" s="9" t="s">
        <v>261</v>
      </c>
      <c r="C25" s="9" t="s">
        <v>262</v>
      </c>
      <c r="D25" s="9" t="s">
        <v>263</v>
      </c>
      <c r="E25" s="9" t="s">
        <v>264</v>
      </c>
    </row>
    <row r="26" customFormat="false" ht="15" hidden="false" customHeight="true" outlineLevel="0" collapsed="false">
      <c r="A26" s="10" t="s">
        <v>22</v>
      </c>
      <c r="B26" s="88" t="n">
        <v>1</v>
      </c>
      <c r="C26" s="42" t="n">
        <f aca="false">Compras_y_Lotes!F26</f>
        <v>0</v>
      </c>
      <c r="D26" s="75" t="str">
        <f aca="false">Inputs!B69</f>
        <v>A</v>
      </c>
      <c r="E26" s="27" t="str">
        <f aca="false">IF(C26&gt;0,"Comprar","-")</f>
        <v>-</v>
      </c>
    </row>
    <row r="27" customFormat="false" ht="15" hidden="false" customHeight="true" outlineLevel="0" collapsed="false">
      <c r="A27" s="10" t="s">
        <v>22</v>
      </c>
      <c r="B27" s="88" t="n">
        <v>2</v>
      </c>
      <c r="C27" s="42" t="n">
        <f aca="false">Compras_y_Lotes!F27</f>
        <v>0</v>
      </c>
      <c r="D27" s="75" t="str">
        <f aca="false">Inputs!B69</f>
        <v>A</v>
      </c>
      <c r="E27" s="27" t="str">
        <f aca="false">IF(C27&gt;0,"Comprar","-")</f>
        <v>-</v>
      </c>
    </row>
    <row r="28" customFormat="false" ht="15" hidden="false" customHeight="true" outlineLevel="0" collapsed="false">
      <c r="A28" s="10" t="s">
        <v>22</v>
      </c>
      <c r="B28" s="88" t="n">
        <v>3</v>
      </c>
      <c r="C28" s="42" t="n">
        <f aca="false">Compras_y_Lotes!F28</f>
        <v>0</v>
      </c>
      <c r="D28" s="75" t="str">
        <f aca="false">Inputs!B69</f>
        <v>A</v>
      </c>
      <c r="E28" s="27" t="str">
        <f aca="false">IF(C28&gt;0,"Comprar","-")</f>
        <v>-</v>
      </c>
    </row>
    <row r="29" customFormat="false" ht="15" hidden="false" customHeight="true" outlineLevel="0" collapsed="false">
      <c r="A29" s="10" t="s">
        <v>22</v>
      </c>
      <c r="B29" s="88" t="n">
        <v>4</v>
      </c>
      <c r="C29" s="42" t="n">
        <f aca="false">Compras_y_Lotes!F29</f>
        <v>0</v>
      </c>
      <c r="D29" s="75" t="str">
        <f aca="false">Inputs!B69</f>
        <v>A</v>
      </c>
      <c r="E29" s="27" t="str">
        <f aca="false">IF(C29&gt;0,"Comprar","-")</f>
        <v>-</v>
      </c>
    </row>
    <row r="30" customFormat="false" ht="15" hidden="false" customHeight="true" outlineLevel="0" collapsed="false">
      <c r="A30" s="10" t="s">
        <v>22</v>
      </c>
      <c r="B30" s="88" t="n">
        <v>5</v>
      </c>
      <c r="C30" s="42" t="n">
        <f aca="false">Compras_y_Lotes!F30</f>
        <v>0</v>
      </c>
      <c r="D30" s="75" t="str">
        <f aca="false">Inputs!B69</f>
        <v>A</v>
      </c>
      <c r="E30" s="27" t="str">
        <f aca="false">IF(C30&gt;0,"Comprar","-")</f>
        <v>-</v>
      </c>
    </row>
    <row r="31" customFormat="false" ht="15" hidden="false" customHeight="true" outlineLevel="0" collapsed="false">
      <c r="A31" s="10" t="s">
        <v>22</v>
      </c>
      <c r="B31" s="88" t="n">
        <v>6</v>
      </c>
      <c r="C31" s="42" t="n">
        <f aca="false">Compras_y_Lotes!F31</f>
        <v>0</v>
      </c>
      <c r="D31" s="75" t="str">
        <f aca="false">Inputs!B69</f>
        <v>A</v>
      </c>
      <c r="E31" s="27" t="str">
        <f aca="false">IF(C31&gt;0,"Comprar","-")</f>
        <v>-</v>
      </c>
    </row>
    <row r="32" customFormat="false" ht="15" hidden="false" customHeight="true" outlineLevel="0" collapsed="false">
      <c r="A32" s="10" t="s">
        <v>22</v>
      </c>
      <c r="B32" s="88" t="n">
        <v>7</v>
      </c>
      <c r="C32" s="42" t="n">
        <f aca="false">Compras_y_Lotes!F32</f>
        <v>0</v>
      </c>
      <c r="D32" s="75" t="str">
        <f aca="false">Inputs!B69</f>
        <v>A</v>
      </c>
      <c r="E32" s="27" t="str">
        <f aca="false">IF(C32&gt;0,"Comprar","-")</f>
        <v>-</v>
      </c>
    </row>
    <row r="33" customFormat="false" ht="15" hidden="false" customHeight="true" outlineLevel="0" collapsed="false">
      <c r="A33" s="10" t="s">
        <v>22</v>
      </c>
      <c r="B33" s="88" t="n">
        <v>8</v>
      </c>
      <c r="C33" s="42" t="n">
        <f aca="false">Compras_y_Lotes!F33</f>
        <v>0</v>
      </c>
      <c r="D33" s="75" t="str">
        <f aca="false">Inputs!B69</f>
        <v>A</v>
      </c>
      <c r="E33" s="27" t="str">
        <f aca="false">IF(C33&gt;0,"Comprar","-")</f>
        <v>-</v>
      </c>
    </row>
  </sheetData>
  <mergeCells count="5">
    <mergeCell ref="A1:E1"/>
    <mergeCell ref="A2:E2"/>
    <mergeCell ref="A4:E4"/>
    <mergeCell ref="A13:E13"/>
    <mergeCell ref="A24:E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</cols>
  <sheetData>
    <row r="1" customFormat="false" ht="17.25" hidden="false" customHeight="true" outlineLevel="0" collapsed="false">
      <c r="A1" s="2" t="s">
        <v>268</v>
      </c>
      <c r="B1" s="2"/>
      <c r="C1" s="2"/>
      <c r="D1" s="2"/>
      <c r="E1" s="2"/>
    </row>
    <row r="2" customFormat="false" ht="15" hidden="false" customHeight="true" outlineLevel="0" collapsed="false">
      <c r="A2" s="28" t="s">
        <v>269</v>
      </c>
      <c r="B2" s="28"/>
      <c r="C2" s="28"/>
      <c r="D2" s="28"/>
      <c r="E2" s="28"/>
    </row>
    <row r="4" customFormat="false" ht="15" hidden="false" customHeight="true" outlineLevel="0" collapsed="false">
      <c r="A4" s="4" t="s">
        <v>270</v>
      </c>
      <c r="B4" s="4"/>
      <c r="C4" s="4"/>
      <c r="D4" s="4"/>
      <c r="E4" s="4"/>
    </row>
    <row r="5" customFormat="false" ht="15" hidden="false" customHeight="true" outlineLevel="0" collapsed="false">
      <c r="A5" s="9" t="s">
        <v>15</v>
      </c>
      <c r="B5" s="9" t="s">
        <v>271</v>
      </c>
      <c r="C5" s="9" t="s">
        <v>272</v>
      </c>
      <c r="D5" s="9" t="s">
        <v>12</v>
      </c>
      <c r="E5" s="9" t="s">
        <v>273</v>
      </c>
    </row>
    <row r="6" customFormat="false" ht="15" hidden="false" customHeight="true" outlineLevel="0" collapsed="false">
      <c r="A6" s="10" t="s">
        <v>19</v>
      </c>
      <c r="B6" s="44" t="n">
        <v>3496</v>
      </c>
      <c r="C6" s="44" t="n">
        <v>1016</v>
      </c>
      <c r="D6" s="8" t="n">
        <v>4512</v>
      </c>
      <c r="E6" s="76" t="n">
        <f aca="false">B6/D6</f>
        <v>0.774822695035461</v>
      </c>
    </row>
    <row r="7" customFormat="false" ht="15" hidden="false" customHeight="true" outlineLevel="0" collapsed="false">
      <c r="A7" s="10" t="s">
        <v>22</v>
      </c>
      <c r="B7" s="44" t="n">
        <v>765</v>
      </c>
      <c r="C7" s="44" t="n">
        <v>293</v>
      </c>
      <c r="D7" s="8" t="n">
        <v>1058</v>
      </c>
      <c r="E7" s="76" t="n">
        <f aca="false">B7/D7</f>
        <v>0.723062381852552</v>
      </c>
    </row>
    <row r="8" customFormat="false" ht="15" hidden="false" customHeight="true" outlineLevel="0" collapsed="false">
      <c r="A8" s="10" t="s">
        <v>23</v>
      </c>
      <c r="B8" s="44" t="n">
        <v>94</v>
      </c>
      <c r="C8" s="44" t="n">
        <v>36</v>
      </c>
      <c r="D8" s="8" t="n">
        <v>130</v>
      </c>
      <c r="E8" s="76" t="n">
        <f aca="false">B8/D8</f>
        <v>0.723076923076923</v>
      </c>
    </row>
    <row r="9" customFormat="false" ht="15" hidden="false" customHeight="true" outlineLevel="0" collapsed="false">
      <c r="A9" s="10" t="s">
        <v>24</v>
      </c>
      <c r="B9" s="44" t="n">
        <v>3844</v>
      </c>
      <c r="C9" s="44" t="n">
        <v>1424</v>
      </c>
      <c r="D9" s="8" t="n">
        <v>5268</v>
      </c>
      <c r="E9" s="76" t="n">
        <f aca="false">B9/D9</f>
        <v>0.729688686408504</v>
      </c>
    </row>
    <row r="10" customFormat="false" ht="15" hidden="false" customHeight="true" outlineLevel="0" collapsed="false">
      <c r="A10" s="10" t="s">
        <v>25</v>
      </c>
      <c r="B10" s="44" t="n">
        <v>3125</v>
      </c>
      <c r="C10" s="44" t="n">
        <v>1208</v>
      </c>
      <c r="D10" s="8" t="n">
        <v>4333</v>
      </c>
      <c r="E10" s="76" t="n">
        <f aca="false">B10/D10</f>
        <v>0.721209323794138</v>
      </c>
    </row>
    <row r="11" customFormat="false" ht="15" hidden="false" customHeight="true" outlineLevel="0" collapsed="false">
      <c r="A11" s="10" t="s">
        <v>26</v>
      </c>
      <c r="B11" s="44" t="n">
        <v>6131</v>
      </c>
      <c r="C11" s="44" t="n">
        <v>2356</v>
      </c>
      <c r="D11" s="8" t="n">
        <v>8487</v>
      </c>
      <c r="E11" s="76" t="n">
        <f aca="false">B11/D11</f>
        <v>0.722398963120066</v>
      </c>
    </row>
    <row r="12" customFormat="false" ht="15" hidden="false" customHeight="true" outlineLevel="0" collapsed="false">
      <c r="A12" s="10" t="s">
        <v>27</v>
      </c>
      <c r="B12" s="44" t="n">
        <v>16736</v>
      </c>
      <c r="C12" s="44" t="n">
        <v>6456</v>
      </c>
      <c r="D12" s="8" t="n">
        <v>23192</v>
      </c>
      <c r="E12" s="76" t="n">
        <f aca="false">B12/D12</f>
        <v>0.721628147637116</v>
      </c>
    </row>
    <row r="13" customFormat="false" ht="15" hidden="false" customHeight="true" outlineLevel="0" collapsed="false">
      <c r="A13" s="10" t="s">
        <v>28</v>
      </c>
      <c r="B13" s="44" t="n">
        <v>4439</v>
      </c>
      <c r="C13" s="44" t="n">
        <v>1596</v>
      </c>
      <c r="D13" s="8" t="n">
        <v>6035</v>
      </c>
      <c r="E13" s="76" t="n">
        <f aca="false">B13/D13</f>
        <v>0.735542667771334</v>
      </c>
    </row>
  </sheetData>
  <mergeCells count="3">
    <mergeCell ref="A1:E1"/>
    <mergeCell ref="A2:E2"/>
    <mergeCell ref="A4:E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</cols>
  <sheetData>
    <row r="1" customFormat="false" ht="17.25" hidden="false" customHeight="true" outlineLevel="0" collapsed="false">
      <c r="A1" s="2" t="s">
        <v>274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28" t="s">
        <v>275</v>
      </c>
      <c r="B2" s="28"/>
      <c r="C2" s="28"/>
      <c r="D2" s="28"/>
      <c r="E2" s="28"/>
      <c r="F2" s="28"/>
    </row>
    <row r="4" customFormat="false" ht="15" hidden="false" customHeight="true" outlineLevel="0" collapsed="false">
      <c r="A4" s="4" t="s">
        <v>276</v>
      </c>
      <c r="B4" s="4"/>
      <c r="C4" s="4"/>
      <c r="D4" s="4"/>
      <c r="E4" s="4"/>
      <c r="F4" s="4"/>
    </row>
    <row r="5" customFormat="false" ht="15" hidden="false" customHeight="true" outlineLevel="0" collapsed="false">
      <c r="A5" s="9" t="s">
        <v>277</v>
      </c>
      <c r="B5" s="9" t="s">
        <v>278</v>
      </c>
      <c r="C5" s="9" t="s">
        <v>279</v>
      </c>
      <c r="D5" s="9" t="s">
        <v>280</v>
      </c>
      <c r="E5" s="9" t="s">
        <v>281</v>
      </c>
    </row>
    <row r="6" customFormat="false" ht="15" hidden="false" customHeight="true" outlineLevel="0" collapsed="false">
      <c r="A6" s="10" t="s">
        <v>282</v>
      </c>
      <c r="B6" s="10" t="s">
        <v>19</v>
      </c>
      <c r="C6" s="10" t="s">
        <v>283</v>
      </c>
      <c r="D6" s="10" t="s">
        <v>284</v>
      </c>
      <c r="E6" s="10" t="s">
        <v>285</v>
      </c>
    </row>
    <row r="7" customFormat="false" ht="15" hidden="false" customHeight="true" outlineLevel="0" collapsed="false">
      <c r="A7" s="10" t="s">
        <v>286</v>
      </c>
      <c r="B7" s="10" t="s">
        <v>22</v>
      </c>
      <c r="C7" s="10" t="s">
        <v>283</v>
      </c>
      <c r="D7" s="10" t="s">
        <v>287</v>
      </c>
      <c r="E7" s="10" t="s">
        <v>285</v>
      </c>
    </row>
    <row r="8" customFormat="false" ht="15" hidden="false" customHeight="true" outlineLevel="0" collapsed="false">
      <c r="A8" s="10" t="s">
        <v>288</v>
      </c>
      <c r="B8" s="10" t="s">
        <v>44</v>
      </c>
      <c r="C8" s="10" t="s">
        <v>25</v>
      </c>
      <c r="D8" s="10" t="s">
        <v>289</v>
      </c>
      <c r="E8" s="10" t="s">
        <v>285</v>
      </c>
    </row>
    <row r="9" customFormat="false" ht="15" hidden="false" customHeight="true" outlineLevel="0" collapsed="false">
      <c r="A9" s="10" t="s">
        <v>290</v>
      </c>
      <c r="B9" s="10" t="s">
        <v>44</v>
      </c>
      <c r="C9" s="10" t="s">
        <v>28</v>
      </c>
      <c r="D9" s="10" t="s">
        <v>291</v>
      </c>
      <c r="E9" s="10" t="s">
        <v>285</v>
      </c>
    </row>
    <row r="10" customFormat="false" ht="15" hidden="false" customHeight="true" outlineLevel="0" collapsed="false">
      <c r="A10" s="10" t="s">
        <v>292</v>
      </c>
      <c r="B10" s="10" t="s">
        <v>293</v>
      </c>
      <c r="C10" s="10" t="s">
        <v>294</v>
      </c>
      <c r="D10" s="10" t="s">
        <v>295</v>
      </c>
      <c r="E10" s="10" t="s">
        <v>285</v>
      </c>
    </row>
  </sheetData>
  <mergeCells count="3">
    <mergeCell ref="A1:F1"/>
    <mergeCell ref="A2:F2"/>
    <mergeCell ref="A4:F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</cols>
  <sheetData>
    <row r="1" customFormat="false" ht="17.25" hidden="false" customHeight="true" outlineLevel="0" collapsed="false">
      <c r="A1" s="89" t="s">
        <v>296</v>
      </c>
      <c r="B1" s="89"/>
      <c r="C1" s="89"/>
      <c r="D1" s="89"/>
      <c r="E1" s="89"/>
      <c r="F1" s="89"/>
      <c r="G1" s="89"/>
      <c r="H1" s="89"/>
    </row>
    <row r="2" customFormat="false" ht="15" hidden="false" customHeight="true" outlineLevel="0" collapsed="false">
      <c r="A2" s="28" t="s">
        <v>297</v>
      </c>
      <c r="B2" s="28"/>
      <c r="C2" s="28"/>
      <c r="D2" s="28"/>
      <c r="E2" s="28"/>
      <c r="F2" s="28"/>
      <c r="G2" s="28"/>
      <c r="H2" s="28"/>
    </row>
    <row r="4" customFormat="false" ht="15" hidden="false" customHeight="true" outlineLevel="0" collapsed="false">
      <c r="A4" s="4" t="s">
        <v>298</v>
      </c>
      <c r="B4" s="4"/>
      <c r="C4" s="4"/>
      <c r="D4" s="4"/>
      <c r="E4" s="4"/>
      <c r="F4" s="4"/>
      <c r="G4" s="4"/>
      <c r="H4" s="4"/>
    </row>
    <row r="5" customFormat="false" ht="15" hidden="false" customHeight="true" outlineLevel="0" collapsed="false">
      <c r="A5" s="9" t="s">
        <v>15</v>
      </c>
      <c r="B5" s="9" t="s">
        <v>299</v>
      </c>
      <c r="C5" s="9" t="s">
        <v>300</v>
      </c>
      <c r="D5" s="9" t="s">
        <v>301</v>
      </c>
      <c r="E5" s="9" t="s">
        <v>117</v>
      </c>
    </row>
    <row r="6" customFormat="false" ht="15" hidden="false" customHeight="true" outlineLevel="0" collapsed="false">
      <c r="A6" s="10" t="s">
        <v>19</v>
      </c>
      <c r="B6" s="44" t="n">
        <v>0</v>
      </c>
      <c r="C6" s="90" t="n">
        <f aca="false">Inventario_Dinamico!B10</f>
        <v>-240</v>
      </c>
      <c r="D6" s="91" t="n">
        <f aca="false">IFERROR(B6-C6,0)</f>
        <v>240</v>
      </c>
      <c r="E6" s="10" t="str">
        <f aca="false">IF(ABS(D6)&gt;100,"REVISAR","OK")</f>
        <v>REVISAR</v>
      </c>
    </row>
    <row r="7" customFormat="false" ht="15" hidden="false" customHeight="true" outlineLevel="0" collapsed="false">
      <c r="A7" s="10" t="s">
        <v>22</v>
      </c>
      <c r="B7" s="44" t="n">
        <v>0</v>
      </c>
      <c r="C7" s="90" t="n">
        <f aca="false">Inventario_Dinamico!B15</f>
        <v>18.5</v>
      </c>
      <c r="D7" s="91" t="n">
        <f aca="false">IFERROR(B7-C7,0)</f>
        <v>-18.5</v>
      </c>
      <c r="E7" s="10" t="str">
        <f aca="false">IF(ABS(D7)&gt;100,"REVISAR","OK")</f>
        <v>OK</v>
      </c>
    </row>
    <row r="8" customFormat="false" ht="15" hidden="false" customHeight="true" outlineLevel="0" collapsed="false">
      <c r="A8" s="10" t="s">
        <v>23</v>
      </c>
      <c r="B8" s="44" t="n">
        <v>0</v>
      </c>
      <c r="C8" s="90" t="n">
        <f aca="false">Inventario_Dinamico!B20</f>
        <v>0</v>
      </c>
      <c r="D8" s="91" t="n">
        <f aca="false">IFERROR(B8-C8,0)</f>
        <v>0</v>
      </c>
      <c r="E8" s="10" t="str">
        <f aca="false">IF(ABS(D8)&gt;100,"REVISAR","OK")</f>
        <v>OK</v>
      </c>
    </row>
    <row r="9" customFormat="false" ht="15" hidden="false" customHeight="true" outlineLevel="0" collapsed="false">
      <c r="A9" s="10" t="s">
        <v>24</v>
      </c>
      <c r="B9" s="44" t="n">
        <v>0</v>
      </c>
      <c r="C9" s="90" t="n">
        <f aca="false">Inventario_Dinamico!B25</f>
        <v>8487</v>
      </c>
      <c r="D9" s="91" t="n">
        <f aca="false">IFERROR(B9-C9,0)</f>
        <v>-8487</v>
      </c>
      <c r="E9" s="10" t="str">
        <f aca="false">IF(ABS(D9)&gt;100,"REVISAR","OK")</f>
        <v>REVISAR</v>
      </c>
    </row>
    <row r="10" customFormat="false" ht="15" hidden="false" customHeight="true" outlineLevel="0" collapsed="false">
      <c r="A10" s="10" t="s">
        <v>25</v>
      </c>
      <c r="B10" s="44" t="n">
        <v>0</v>
      </c>
      <c r="C10" s="90" t="str">
        <f aca="false">Inventario_Dinamico!B30</f>
        <v>Q1</v>
      </c>
      <c r="D10" s="91" t="n">
        <f aca="false">IFERROR(B10-C10,0)</f>
        <v>0</v>
      </c>
      <c r="E10" s="10" t="str">
        <f aca="false">IF(ABS(D10)&gt;100,"REVISAR","OK")</f>
        <v>OK</v>
      </c>
    </row>
    <row r="11" customFormat="false" ht="15" hidden="false" customHeight="true" outlineLevel="0" collapsed="false">
      <c r="A11" s="10" t="s">
        <v>26</v>
      </c>
      <c r="B11" s="44" t="n">
        <v>0</v>
      </c>
      <c r="C11" s="90" t="n">
        <f aca="false">Inventario_Dinamico!B35</f>
        <v>0</v>
      </c>
      <c r="D11" s="91" t="n">
        <f aca="false">IFERROR(B11-C11,0)</f>
        <v>0</v>
      </c>
      <c r="E11" s="10" t="str">
        <f aca="false">IF(ABS(D11)&gt;100,"REVISAR","OK")</f>
        <v>OK</v>
      </c>
    </row>
    <row r="12" customFormat="false" ht="15" hidden="false" customHeight="true" outlineLevel="0" collapsed="false">
      <c r="A12" s="10" t="s">
        <v>27</v>
      </c>
      <c r="B12" s="44" t="n">
        <v>0</v>
      </c>
      <c r="C12" s="90" t="n">
        <f aca="false">Inventario_Dinamico!B40</f>
        <v>2335</v>
      </c>
      <c r="D12" s="91" t="n">
        <f aca="false">IFERROR(B12-C12,0)</f>
        <v>-2335</v>
      </c>
      <c r="E12" s="10" t="str">
        <f aca="false">IF(ABS(D12)&gt;100,"REVISAR","OK")</f>
        <v>REVISAR</v>
      </c>
    </row>
    <row r="13" customFormat="false" ht="15" hidden="false" customHeight="true" outlineLevel="0" collapsed="false">
      <c r="A13" s="10" t="s">
        <v>28</v>
      </c>
      <c r="B13" s="44" t="n">
        <v>0</v>
      </c>
      <c r="C13" s="90" t="n">
        <f aca="false">Inventario_Dinamico!B45</f>
        <v>1387.5</v>
      </c>
      <c r="D13" s="91" t="n">
        <f aca="false">IFERROR(B13-C13,0)</f>
        <v>-1387.5</v>
      </c>
      <c r="E13" s="10" t="str">
        <f aca="false">IF(ABS(D13)&gt;100,"REVISAR","OK")</f>
        <v>REVISAR</v>
      </c>
    </row>
  </sheetData>
  <mergeCells count="3">
    <mergeCell ref="A1:H1"/>
    <mergeCell ref="A2:H2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</cols>
  <sheetData>
    <row r="1" customFormat="false" ht="17.25" hidden="false" customHeight="true" outlineLevel="0" collapsed="false">
      <c r="A1" s="92" t="s">
        <v>302</v>
      </c>
      <c r="B1" s="92"/>
      <c r="C1" s="92"/>
      <c r="D1" s="92"/>
      <c r="E1" s="92"/>
      <c r="F1" s="92"/>
      <c r="G1" s="92"/>
    </row>
    <row r="2" customFormat="false" ht="15" hidden="false" customHeight="true" outlineLevel="0" collapsed="false">
      <c r="A2" s="28" t="s">
        <v>303</v>
      </c>
      <c r="B2" s="28"/>
      <c r="C2" s="28"/>
      <c r="D2" s="28"/>
      <c r="E2" s="28"/>
      <c r="F2" s="28"/>
      <c r="G2" s="28"/>
    </row>
    <row r="4" customFormat="false" ht="15" hidden="false" customHeight="true" outlineLevel="0" collapsed="false">
      <c r="A4" s="4" t="s">
        <v>304</v>
      </c>
      <c r="B4" s="4"/>
      <c r="C4" s="4"/>
      <c r="D4" s="4"/>
      <c r="E4" s="4"/>
      <c r="F4" s="4"/>
      <c r="G4" s="4"/>
    </row>
    <row r="5" customFormat="false" ht="15" hidden="false" customHeight="true" outlineLevel="0" collapsed="false">
      <c r="A5" s="9" t="s">
        <v>15</v>
      </c>
      <c r="B5" s="9" t="s">
        <v>305</v>
      </c>
      <c r="C5" s="9" t="s">
        <v>306</v>
      </c>
      <c r="D5" s="9" t="s">
        <v>307</v>
      </c>
      <c r="E5" s="9" t="s">
        <v>308</v>
      </c>
      <c r="F5" s="9" t="s">
        <v>122</v>
      </c>
      <c r="G5" s="9" t="s">
        <v>309</v>
      </c>
    </row>
    <row r="6" customFormat="false" ht="15" hidden="false" customHeight="true" outlineLevel="0" collapsed="false">
      <c r="A6" s="10" t="s">
        <v>19</v>
      </c>
      <c r="B6" s="93" t="n">
        <v>2.5</v>
      </c>
      <c r="C6" s="93" t="n">
        <v>3</v>
      </c>
      <c r="D6" s="93" t="n">
        <v>2</v>
      </c>
      <c r="E6" s="94" t="str">
        <f aca="false">Inputs!B58</f>
        <v>Ordering Cost</v>
      </c>
      <c r="F6" s="90" t="n">
        <f aca="false">SUM(Compras_y_Lotes!G18:G25)</f>
        <v>0</v>
      </c>
      <c r="G6" s="91" t="n">
        <f aca="false">IFERROR(F6*CHOOSE(MATCH(E6,{"A","B","C"},0),B6,C6,D6),0)</f>
        <v>0</v>
      </c>
    </row>
    <row r="7" customFormat="false" ht="15" hidden="false" customHeight="true" outlineLevel="0" collapsed="false">
      <c r="A7" s="10" t="s">
        <v>22</v>
      </c>
      <c r="B7" s="93" t="n">
        <v>5</v>
      </c>
      <c r="C7" s="93" t="n">
        <v>6</v>
      </c>
      <c r="D7" s="93" t="n">
        <v>4.5</v>
      </c>
      <c r="E7" s="94" t="str">
        <f aca="false">Inputs!B69</f>
        <v>A</v>
      </c>
      <c r="F7" s="90" t="n">
        <f aca="false">SUM(Compras_y_Lotes!G26:G33)</f>
        <v>0</v>
      </c>
      <c r="G7" s="91" t="n">
        <f aca="false">IFERROR(F7*CHOOSE(MATCH(E7,{"A","B","C"},0),B7,C7,D7),0)</f>
        <v>0</v>
      </c>
    </row>
  </sheetData>
  <mergeCells count="3">
    <mergeCell ref="A1:G1"/>
    <mergeCell ref="A2:G2"/>
    <mergeCell ref="A4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2026-01-12T17:03:36Z</dcterms:created>
  <dc:creator>openpyxl</dc:creator>
  <dc:description/>
  <dc:language>en-US</dc:language>
  <cp:lastModifiedBy/>
  <dcterms:modified xsi:type="dcterms:W3CDTF">2026-01-12T18:20:52Z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