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Default ContentType="image/png" Extension="png"/>
  <Default ContentType="image/jpeg" Extension="jpeg"/>
  <Override ContentType="application/vnd.openxmlformats-package.relationships+xml" PartName="/xl/_rels/workbook.xml.rels"/>
  <Override ContentType="application/vnd.openxmlformats-officedocument.spreadsheetml.sheet.main+xml" PartName="/xl/workbook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worksheet+xml" PartName="/xl/worksheets/sheet11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10.xml"/>
  <Override ContentType="application/vnd.openxmlformats-officedocument.spreadsheetml.worksheet+xml" PartName="/xl/worksheets/sheet5.xml"/>
  <Override ContentType="application/vnd.openxmlformats-officedocument.spreadsheetml.worksheet+xml" PartName="/xl/worksheets/sheet1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12.xml"/>
  <Override ContentType="application/vnd.openxmlformats-officedocument.spreadsheetml.worksheet+xml" PartName="/xl/worksheets/sheet7.xml"/>
  <Override ContentType="application/vnd.openxmlformats-officedocument.spreadsheetml.worksheet+xml" PartName="/xl/worksheets/sheet13.xml"/>
  <Override ContentType="application/vnd.openxmlformats-officedocument.spreadsheetml.worksheet+xml" PartName="/xl/worksheets/sheet8.xml"/>
  <Override ContentType="application/vnd.openxmlformats-officedocument.spreadsheetml.worksheet+xml" PartName="/xl/worksheets/sheet14.xml"/>
  <Override ContentType="application/vnd.openxmlformats-officedocument.spreadsheetml.worksheet+xml" PartName="/xl/worksheets/sheet9.xml"/>
  <Override ContentType="application/vnd.openxmlformats-officedocument.spreadsheetml.sharedStrings+xml" PartName="/xl/sharedStrings.xml"/>
  <Override ContentType="application/vnd.openxmlformats-package.relationships+xml" PartName="/_rels/.rels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r:id="rId3"/>
    <sheet name="BOM_Consumo" sheetId="2" r:id="rId4"/>
    <sheet name="Inventario_Dinamico" sheetId="3" r:id="rId5"/>
    <sheet name="Compras_y_Lotes" sheetId="4" r:id="rId6"/>
    <sheet name="Costos" sheetId="5" r:id="rId7"/>
    <sheet name="Cashflow_Compras" sheetId="6" r:id="rId8"/>
    <sheet name="Escenarios" sheetId="7" r:id="rId9"/>
    <sheet name="Analisis_Proveedores" sheetId="8" r:id="rId10"/>
    <sheet name="Dashboard" sheetId="9" r:id="rId11"/>
    <sheet name="Riesgo_Proveedor_B" sheetId="10" r:id="rId12"/>
    <sheet name="Cashflow_Integrado" sheetId="11" r:id="rId13"/>
    <sheet name="EXSIM_Upload" sheetId="12" r:id="rId14"/>
    <sheet name="Multi_Planta" sheetId="13" r:id="rId15"/>
    <sheet name="MRP_LeadTimes" sheetId="14" r:id="rId16"/>
    <sheet name="Reconciliacion" sheetId="15" r:id="rId17"/>
    <sheet name="ESG_CO2" sheetId="16" r:id="rId18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<sst xmlns="http://schemas.openxmlformats.org/spreadsheetml/2006/main" count="310" uniqueCount="310">
  <si>
    <t>CASHFLOW INTEGRADO - PURCHASING</t>
  </si>
  <si>
    <t>Pagos REALES por quincena: Compras + Ordering + Holding (para coordinar con Finanzas)</t>
  </si>
  <si>
    <t>1. PAGOS DE COMPRAS (según términos de proveedor)</t>
  </si>
  <si>
    <t>Concepto</t>
  </si>
  <si>
    <t>Q1</t>
  </si>
  <si>
    <t>Q2</t>
  </si>
  <si>
    <t>Q3</t>
  </si>
  <si>
    <t>Q4</t>
  </si>
  <si>
    <t>Q5</t>
  </si>
  <si>
    <t>Q6</t>
  </si>
  <si>
    <t>Q7</t>
  </si>
  <si>
    <t>Q8</t>
  </si>
  <si>
    <t>TOTAL</t>
  </si>
  <si>
    <t>Piezas 1-6 (t=0)</t>
  </si>
  <si>
    <t>Parte A (según proveedor)</t>
  </si>
  <si>
    <t>Parte B (según proveedor)</t>
  </si>
  <si>
    <t>SUBTOTAL COMPRAS</t>
  </si>
  <si>
    <t>2. ORDERING COSTS (por pedido realizado)</t>
  </si>
  <si>
    <t>Parte A</t>
  </si>
  <si>
    <t>Parte B</t>
  </si>
  <si>
    <t>SUBTOTAL ORDERING</t>
  </si>
  <si>
    <t>3. HOLDING COSTS (por inventario promedio en quincena)</t>
  </si>
  <si>
    <t>SUBTOTAL HOLDING</t>
  </si>
  <si>
    <t>TOTAL OUTFLOW PURCHASING</t>
  </si>
  <si>
    <t>ANÁLISIS</t>
  </si>
  <si>
    <t>Pago Máximo (Peak):</t>
  </si>
  <si>
    <t>Quincena más costosa</t>
  </si>
  <si>
    <t>Pago Mínimo:</t>
  </si>
  <si>
    <t>Quincena más barata</t>
  </si>
  <si>
    <t>Pago Promedio:</t>
  </si>
  <si>
    <t>Promedio por quincena</t>
  </si>
  <si>
    <t>Desviación Est.:</t>
  </si>
  <si>
    <t>Volatilidad del flujo</t>
  </si>
  <si>
    <t>CASHFLOW - Pagos por Quincena</t>
  </si>
  <si>
    <t>Proyección de pagos según términos de cada proveedor</t>
  </si>
  <si>
    <t>IMPORTANTE: Coordinar con Finanzas para asegurar liquidez</t>
  </si>
  <si>
    <t>TOTAL PAGOS</t>
  </si>
  <si>
    <t>ESG - EMISIONES CO2</t>
  </si>
  <si>
    <t>kg CO2 por proveedor (Tabla VII caso EXSIM)</t>
  </si>
  <si>
    <t>EMISIONES POR PROVEEDOR</t>
  </si>
  <si>
    <t>Material</t>
  </si>
  <si>
    <t>Prov A (kg)</t>
  </si>
  <si>
    <t>Prov B (kg)</t>
  </si>
  <si>
    <t>Prov C (kg)</t>
  </si>
  <si>
    <t>Elegido</t>
  </si>
  <si>
    <t>Unidades</t>
  </si>
  <si>
    <t>Total CO2</t>
  </si>
  <si>
    <t>ANÁLISIS DE RIESGO - PROVEEDOR B</t>
  </si>
  <si>
    <t>CRÍTICO: Proveedor B tiene 20% probabilidad de NO ENTREGAR (sin pago, pero SIN producción)</t>
  </si>
  <si>
    <t>PARÁMETROS DE RIESGO</t>
  </si>
  <si>
    <t>Parámetro</t>
  </si>
  <si>
    <t>Valor</t>
  </si>
  <si>
    <t>Fuente</t>
  </si>
  <si>
    <t>Prob. Incumplimiento Prov. B</t>
  </si>
  <si>
    <t>EXSIM Rules</t>
  </si>
  <si>
    <t>Costo Oportunidad ($/EC perdido)</t>
  </si>
  <si>
    <t>Margin estimado</t>
  </si>
  <si>
    <t>Lead time recuperación (Q)</t>
  </si>
  <si>
    <t>Assumption</t>
  </si>
  <si>
    <t>ANÁLISIS DE IMPACTO POR MATERIAL (si usas Proveedor B)</t>
  </si>
  <si>
    <t>Proveedor Elegido</t>
  </si>
  <si>
    <t>Total Lotes P7</t>
  </si>
  <si>
    <t>Prob. Falla</t>
  </si>
  <si>
    <t>Lotes Perdidos (Esperado)</t>
  </si>
  <si>
    <t>Unidades Perdidas</t>
  </si>
  <si>
    <t>EC Sin Producir</t>
  </si>
  <si>
    <t>Costo Oportunidad</t>
  </si>
  <si>
    <t>Valor Esperado Pérdida</t>
  </si>
  <si>
    <t>DECISIÓN: PROVEEDOR A vs B (Análisis Ajustado por Riesgo)</t>
  </si>
  <si>
    <t>Proveedor</t>
  </si>
  <si>
    <t>Costo Compra</t>
  </si>
  <si>
    <t>Descuento</t>
  </si>
  <si>
    <t>Ahorro</t>
  </si>
  <si>
    <t>Costo Neto Ajustado</t>
  </si>
  <si>
    <t>Decisión Recomendada</t>
  </si>
  <si>
    <t>A</t>
  </si>
  <si>
    <t>B</t>
  </si>
  <si>
    <t>COSTOS - Análisis Completo</t>
  </si>
  <si>
    <t>Costo Total = Costo de Compra + Ordering Cost + Holding Cost</t>
  </si>
  <si>
    <t># Pedidos</t>
  </si>
  <si>
    <t>Ordering Cost</t>
  </si>
  <si>
    <t>Holding Cost</t>
  </si>
  <si>
    <t>Costo Total</t>
  </si>
  <si>
    <t>Pieza 1</t>
  </si>
  <si>
    <t>Pieza 2</t>
  </si>
  <si>
    <t>Pieza 3</t>
  </si>
  <si>
    <t>Pieza 4</t>
  </si>
  <si>
    <t>Pieza 5</t>
  </si>
  <si>
    <t>Pieza 6</t>
  </si>
  <si>
    <t>COSTO TOTAL</t>
  </si>
  <si>
    <t>RECONCILIACIÓN CON REPORTES EXSIM</t>
  </si>
  <si>
    <t>Pega reportes del simulador aquí para comparar</t>
  </si>
  <si>
    <t>RAW MATERIALS INVENTORY</t>
  </si>
  <si>
    <t>EXSIM Q1</t>
  </si>
  <si>
    <t>Modelo Q1</t>
  </si>
  <si>
    <t>Diff</t>
  </si>
  <si>
    <t>Status</t>
  </si>
  <si>
    <t>COMPRAS Y LOTES - Decisiones de Compra</t>
  </si>
  <si>
    <t>Convierte consumo en decisiones reales de compra (lotes)</t>
  </si>
  <si>
    <t>AMARILLO = TUS DECISIONES de cuántos lotes comprar</t>
  </si>
  <si>
    <t>PIEZAS 1-6: COMPRA ÚNICA EN t=0</t>
  </si>
  <si>
    <t>Demanda Total</t>
  </si>
  <si>
    <t>Batch Size</t>
  </si>
  <si>
    <t>Lotes Teóricos</t>
  </si>
  <si>
    <t>COMPRAR (Lotes)</t>
  </si>
  <si>
    <t>Total Unidades</t>
  </si>
  <si>
    <t>Precio/Batch</t>
  </si>
  <si>
    <t>TOTAL PIEZAS</t>
  </si>
  <si>
    <t>PARTES A y B: COMPRA POR QUINCENA</t>
  </si>
  <si>
    <t>Quincena</t>
  </si>
  <si>
    <t>Demanda</t>
  </si>
  <si>
    <t>Costo</t>
  </si>
  <si>
    <t>Términos Pago</t>
  </si>
  <si>
    <t>Pago en Q</t>
  </si>
  <si>
    <t>INPUTS - PURCHASING MANAGER</t>
  </si>
  <si>
    <t>Solo inputs manuales. AZUL = modificar según tu estrategia. Sin fórmulas en esta hoja.</t>
  </si>
  <si>
    <t>1. PRODUCCIÓN PLANEADA POR QUINCENA (Electroclean)</t>
  </si>
  <si>
    <t>Quincena →</t>
  </si>
  <si>
    <t>Producción EC</t>
  </si>
  <si>
    <t>2. INVENTARIO INICIAL (Fin Periodo Anterior)</t>
  </si>
  <si>
    <t>Inventario Inicial</t>
  </si>
  <si>
    <t>Unidad</t>
  </si>
  <si>
    <t>unidades</t>
  </si>
  <si>
    <t>Fin Periodo 6</t>
  </si>
  <si>
    <t>3. BILL OF MATERIALS (BOM) - Consumo por Electroclean</t>
  </si>
  <si>
    <t>Consumo por EC</t>
  </si>
  <si>
    <t>Observaciones</t>
  </si>
  <si>
    <t>unidades/EC</t>
  </si>
  <si>
    <t>1:1</t>
  </si>
  <si>
    <t>1:5</t>
  </si>
  <si>
    <t>1:100</t>
  </si>
  <si>
    <t>8:1</t>
  </si>
  <si>
    <t>30%</t>
  </si>
  <si>
    <t>60%</t>
  </si>
  <si>
    <t>2:1</t>
  </si>
  <si>
    <t>75%</t>
  </si>
  <si>
    <t>4. BATCH SIZES (Tamaño de Lote)</t>
  </si>
  <si>
    <t>MOQ (Min Order)</t>
  </si>
  <si>
    <t>-</t>
  </si>
  <si>
    <t>Lote fijo</t>
  </si>
  <si>
    <t>Individual</t>
  </si>
  <si>
    <t>Caja 100</t>
  </si>
  <si>
    <t>Lote 30</t>
  </si>
  <si>
    <t>Lote 60</t>
  </si>
  <si>
    <t>Lote 100</t>
  </si>
  <si>
    <t>Pallet 150</t>
  </si>
  <si>
    <t>5. PRECIOS POR BATCH</t>
  </si>
  <si>
    <t>Moneda</t>
  </si>
  <si>
    <t>$</t>
  </si>
  <si>
    <t>6. ORDERING COST &amp; HOLDING COST</t>
  </si>
  <si>
    <t>Holding Cost/U/Q</t>
  </si>
  <si>
    <t>Notas</t>
  </si>
  <si>
    <t>Por pedido / Por unidad-quincena</t>
  </si>
  <si>
    <t>Piezas 1-6</t>
  </si>
  <si>
    <t>Solo compra en t=0, sin costos adicionales</t>
  </si>
  <si>
    <t>7. PROVEEDORES - PARTE A</t>
  </si>
  <si>
    <t>ID</t>
  </si>
  <si>
    <t>Precio Base</t>
  </si>
  <si>
    <t>MOQ Desc.</t>
  </si>
  <si>
    <t>Confiabilidad</t>
  </si>
  <si>
    <t>Inmediato (0Q)</t>
  </si>
  <si>
    <t>No</t>
  </si>
  <si>
    <t>100%</t>
  </si>
  <si>
    <t>+2 Quincenas</t>
  </si>
  <si>
    <t>16% si Q≥150</t>
  </si>
  <si>
    <t>80%</t>
  </si>
  <si>
    <t>C</t>
  </si>
  <si>
    <t>+8 Quincenas</t>
  </si>
  <si>
    <t>PROVEEDOR ELEGIDO →</t>
  </si>
  <si>
    <t>8. PROVEEDORES - PARTE B</t>
  </si>
  <si>
    <t>16% si Q≥80</t>
  </si>
  <si>
    <t>9. SAFETY STOCK (Stock de Seguridad)</t>
  </si>
  <si>
    <t>Safety Stock</t>
  </si>
  <si>
    <t>% Consumo Prom</t>
  </si>
  <si>
    <t>Días Cobertura</t>
  </si>
  <si>
    <t>10. BUFFER MÍNIMO (Cobertura Operativa)</t>
  </si>
  <si>
    <t>Buffer = Quincenas de cobertura mínima antes de alerta</t>
  </si>
  <si>
    <t>Buffer (Quincenas)</t>
  </si>
  <si>
    <t>Consumo Prom/Q</t>
  </si>
  <si>
    <t>Inv. Mínimo Calc</t>
  </si>
  <si>
    <t>Crítico?</t>
  </si>
  <si>
    <t>BOM_CONSUMO - Cálculo de Consumo por Quincena</t>
  </si>
  <si>
    <t>Fórmula: Consumo_Q = Producción_EC_Q × Consumo_por_EC</t>
  </si>
  <si>
    <t>VERDE = datos de Inputs | NEGRO = fórmulas calculadas</t>
  </si>
  <si>
    <t>Consumo/EC</t>
  </si>
  <si>
    <t>PRODUCCIÓN TOTAL EC</t>
  </si>
  <si>
    <t>INVENTARIO DINÁMICO - Control por Quincena</t>
  </si>
  <si>
    <t>Fórmula: Inv_Final_Q = Inv_Inicial_Q + Recepciones_Q - Consumo_Q</t>
  </si>
  <si>
    <t>AMARILLO = ingresar recepciones manualmente | ROJO = inventario negativo (ALERTA)</t>
  </si>
  <si>
    <t>Inv_Inicial</t>
  </si>
  <si>
    <t>Recepciones</t>
  </si>
  <si>
    <t>Consumo</t>
  </si>
  <si>
    <t>Inv_Final</t>
  </si>
  <si>
    <t>VALIDACIONES Y ALERTAS</t>
  </si>
  <si>
    <t>Min Global</t>
  </si>
  <si>
    <t>EXSIM UPLOAD - COPIAR DIRECTO A PLATAFORMA</t>
  </si>
  <si>
    <t>Formato exacto para subir decisiones a EXSIM. Copiar columnas B-E directamente.</t>
  </si>
  <si>
    <t>PIEZAS 1-6 (Compra única en t=0)</t>
  </si>
  <si>
    <t>Fortnight</t>
  </si>
  <si>
    <t>Lots</t>
  </si>
  <si>
    <t>Supplier</t>
  </si>
  <si>
    <t>Notes</t>
  </si>
  <si>
    <t>Único</t>
  </si>
  <si>
    <t>PARTE A (Por Quincena)</t>
  </si>
  <si>
    <t>PARTE B (Por Quincena)</t>
  </si>
  <si>
    <t>ESCENARIOS - Análisis Comparativo</t>
  </si>
  <si>
    <t>Compara 3 estrategias: Conservador / Base / Agresivo</t>
  </si>
  <si>
    <t>SELECCIONAR ESCENARIO:</t>
  </si>
  <si>
    <t>Base</t>
  </si>
  <si>
    <t>Conservador</t>
  </si>
  <si>
    <t>Agresivo</t>
  </si>
  <si>
    <t>Descripción</t>
  </si>
  <si>
    <t>20%</t>
  </si>
  <si>
    <t>10%</t>
  </si>
  <si>
    <t>5%</t>
  </si>
  <si>
    <t>% sobre consumo promedio</t>
  </si>
  <si>
    <t>Proveedor Parte A</t>
  </si>
  <si>
    <t>A (seguro)</t>
  </si>
  <si>
    <t>B (descuento)</t>
  </si>
  <si>
    <t>Estrategia de proveedor</t>
  </si>
  <si>
    <t>Proveedor Parte B</t>
  </si>
  <si>
    <t>Frecuencia Pedidos</t>
  </si>
  <si>
    <t>Cada 4Q</t>
  </si>
  <si>
    <t>Cada 2Q</t>
  </si>
  <si>
    <t>Cada Q</t>
  </si>
  <si>
    <t>Frecuencia de compra</t>
  </si>
  <si>
    <t>RESULTADOS ESTIMADOS</t>
  </si>
  <si>
    <t>Alto</t>
  </si>
  <si>
    <t>Medio</t>
  </si>
  <si>
    <t>Bajo</t>
  </si>
  <si>
    <t>Costo de compras + inventario</t>
  </si>
  <si>
    <t>Riesgo Stockout</t>
  </si>
  <si>
    <t>Muy Bajo</t>
  </si>
  <si>
    <t>Probabilidad de quedarse sin stock</t>
  </si>
  <si>
    <t>Capital Inmovilizado</t>
  </si>
  <si>
    <t>Inventario promedio</t>
  </si>
  <si>
    <t>Cashflow Peak</t>
  </si>
  <si>
    <t>Distribuido</t>
  </si>
  <si>
    <t>Concentrado</t>
  </si>
  <si>
    <t>Pago máximo en una Q</t>
  </si>
  <si>
    <t>COMPARACIÓN LADO A LADO - KPIs POR ESCENARIO</t>
  </si>
  <si>
    <t>KPI</t>
  </si>
  <si>
    <t>Mejor</t>
  </si>
  <si>
    <t>Diferencia</t>
  </si>
  <si>
    <t>Costo Total Compras</t>
  </si>
  <si>
    <t>Total Pagos</t>
  </si>
  <si>
    <t>Pago Peak</t>
  </si>
  <si>
    <t># Stockouts Esperados</t>
  </si>
  <si>
    <t>Buffer Promedio (Q)</t>
  </si>
  <si>
    <t>MULTI-PLANTA: CENTRO Y OESTE</t>
  </si>
  <si>
    <t>Inventarios y producción por región (EXSIM requiere separación)</t>
  </si>
  <si>
    <t>INVENTARIO POR PLANTA</t>
  </si>
  <si>
    <t>Centro</t>
  </si>
  <si>
    <t>Oeste</t>
  </si>
  <si>
    <t>% Centro</t>
  </si>
  <si>
    <t>ANÁLISIS DE PROVEEDORES - Herramienta de Decisión</t>
  </si>
  <si>
    <t>Compara costo total por proveedor según volumen y términos</t>
  </si>
  <si>
    <t>PARTE A - Análisis Comparativo</t>
  </si>
  <si>
    <t>Volumen a Comprar (batches):</t>
  </si>
  <si>
    <t>Precio Final</t>
  </si>
  <si>
    <t>Riesgo</t>
  </si>
  <si>
    <t>Costo Ajustado</t>
  </si>
  <si>
    <t>Ranking</t>
  </si>
  <si>
    <t>Inmediato</t>
  </si>
  <si>
    <t>0%</t>
  </si>
  <si>
    <t>+2Q</t>
  </si>
  <si>
    <t>+8Q</t>
  </si>
  <si>
    <t>RECOMENDACIÓN:</t>
  </si>
  <si>
    <t>PARTE B - Análisis Comparativo</t>
  </si>
  <si>
    <t>MRP - PRODUCCIÓN POR SECCIÓN</t>
  </si>
  <si>
    <t>5 secciones (S1-S5), cada una tarda 1 quincena. WIP entre secciones.</t>
  </si>
  <si>
    <t>FLUJO DE PRODUCCIÓN</t>
  </si>
  <si>
    <t>Sección</t>
  </si>
  <si>
    <t>Input</t>
  </si>
  <si>
    <t>Process</t>
  </si>
  <si>
    <t>Output</t>
  </si>
  <si>
    <t>Lead Time</t>
  </si>
  <si>
    <t>S1</t>
  </si>
  <si>
    <t>Ensambla Piezas</t>
  </si>
  <si>
    <t>Semi A</t>
  </si>
  <si>
    <t>1Q</t>
  </si>
  <si>
    <t>S2</t>
  </si>
  <si>
    <t>Semi B</t>
  </si>
  <si>
    <t>S3</t>
  </si>
  <si>
    <t>Semi C</t>
  </si>
  <si>
    <t>S4</t>
  </si>
  <si>
    <t>Semi D</t>
  </si>
  <si>
    <t>S5</t>
  </si>
  <si>
    <t>Semis</t>
  </si>
  <si>
    <t>Ensambla final</t>
  </si>
  <si>
    <t>Electroclean</t>
  </si>
  <si>
    <t>DASHBOARD - Purchasing Manager</t>
  </si>
  <si>
    <t>INDICADORES CLAVE (KPIs)</t>
  </si>
  <si>
    <t>Costo Total de Compras:</t>
  </si>
  <si>
    <t>Total Pagos Periodo:</t>
  </si>
  <si>
    <t># Pedidos Totales:</t>
  </si>
  <si>
    <t>pedidos</t>
  </si>
  <si>
    <t>Pago Pico (Max en una Q):</t>
  </si>
  <si>
    <t>Inventario Negativo:</t>
  </si>
  <si>
    <t>TBD</t>
  </si>
  <si>
    <t>materiales</t>
  </si>
  <si>
    <t>Stock &lt; Safety:</t>
  </si>
  <si>
    <t>ESTRATEGIA ACTUAL</t>
  </si>
  <si>
    <t>Proveedor Parte A:</t>
  </si>
  <si>
    <t>Proveedor Parte B:</t>
  </si>
  <si>
    <t>Escenario:</t>
  </si>
  <si>
    <t>⚠️ ALERTAS CRÍTICAS</t>
  </si>
  <si>
    <t>Materiales con Inv &lt; Buffer:</t>
  </si>
  <si>
    <t>Riesgo por Proveedor B:</t>
  </si>
  <si>
    <t>Cashflow Peak &gt; $100k:</t>
  </si>
</sst>
</file>

<file path=xl/styles.xml><?xml version="1.0" encoding="utf-8"?>
<styleSheet xmlns="http://schemas.openxmlformats.org/spreadsheetml/2006/main">
  <numFmts count="27">
    <numFmt numFmtId="0" formatCode="General"/>
    <numFmt numFmtId="0" formatCode="General"/>
    <numFmt numFmtId="0" formatCode="General"/>
    <numFmt numFmtId="0" formatCode="General"/>
    <numFmt numFmtId="0" formatCode="General"/>
    <numFmt numFmtId="0" formatCode="General"/>
    <numFmt numFmtId="0" formatCode="General"/>
    <numFmt numFmtId="0" formatCode="General"/>
    <numFmt numFmtId="0" formatCode="General"/>
    <numFmt numFmtId="0" formatCode="General"/>
    <numFmt numFmtId="0" formatCode="General"/>
    <numFmt numFmtId="0" formatCode="General"/>
    <numFmt numFmtId="0" formatCode="General"/>
    <numFmt numFmtId="0" formatCode="General"/>
    <numFmt numFmtId="0" formatCode="General"/>
    <numFmt numFmtId="164" formatCode="General"/>
    <numFmt numFmtId="165" formatCode="#,##0"/>
    <numFmt numFmtId="166" formatCode="0.00"/>
    <numFmt numFmtId="167" formatCode="\$#,##0"/>
    <numFmt numFmtId="168" formatCode="\$#,##0.00"/>
    <numFmt numFmtId="169" formatCode="\$0.00"/>
    <numFmt numFmtId="170" formatCode="0%"/>
    <numFmt numFmtId="171" formatCode="0"/>
    <numFmt numFmtId="172" formatCode="0.0"/>
    <numFmt numFmtId="173" formatCode="#,##0.00"/>
    <numFmt numFmtId="174" formatCode="General"/>
    <numFmt numFmtId="175" formatCode="#,##0.0"/>
  </numFmts>
  <fonts count="22">
    <font>
      <sz val="11"/>
      <color theme="1"/>
      <name val="Calibri"/>
      <family val="2"/>
    </font>
    <font>
      <sz val="10"/>
      <name val="Arial"/>
      <family val="0"/>
    </font>
    <font>
      <b/>
      <sz val="14"/>
      <name val="Cambria"/>
      <family val="0"/>
    </font>
    <font>
      <i/>
      <sz val="9"/>
      <color rgb="FF0000FF"/>
      <name val="Cambria"/>
      <family val="0"/>
    </font>
    <font>
      <b/>
      <sz val="11"/>
      <color rgb="FFFFFFFF"/>
      <name val="Cambria"/>
      <family val="0"/>
    </font>
    <font>
      <b/>
      <sz val="10"/>
      <name val="Cambria"/>
      <family val="0"/>
    </font>
    <font>
      <sz val="10"/>
      <color rgb="FF0000FF"/>
      <name val="Cambria"/>
      <family val="0"/>
    </font>
    <font>
      <sz val="10"/>
      <color rgb="FF000000"/>
      <name val="Cambria"/>
      <family val="0"/>
    </font>
    <font>
      <i/>
      <sz val="9"/>
      <name val="Cambria"/>
      <family val="0"/>
    </font>
    <font>
      <i/>
      <sz val="9"/>
      <color rgb="FFFF0000"/>
      <name val="Cambria"/>
      <family val="0"/>
    </font>
    <font>
      <i/>
      <sz val="9"/>
      <color rgb="FF008000"/>
      <name val="Cambria"/>
      <family val="0"/>
    </font>
    <font>
      <sz val="10"/>
      <color rgb="FF008000"/>
      <name val="Cambria"/>
      <family val="0"/>
    </font>
    <font>
      <i/>
      <sz val="9"/>
      <color rgb="FFFF6B00"/>
      <name val="Cambria"/>
      <family val="0"/>
    </font>
    <font>
      <sz val="10"/>
      <name val="Cambria"/>
      <family val="0"/>
    </font>
    <font>
      <b/>
      <sz val="11"/>
      <color rgb="FF008000"/>
      <name val="Cambria"/>
      <family val="0"/>
    </font>
    <font>
      <b/>
      <sz val="16"/>
      <color rgb="FFFFFFFF"/>
      <name val="Cambria"/>
      <family val="0"/>
    </font>
    <font>
      <b/>
      <sz val="12"/>
      <color rgb="FFFF0000"/>
      <name val="Cambria"/>
      <family val="0"/>
    </font>
    <font>
      <b/>
      <sz val="14"/>
      <color rgb="FFFF0000"/>
      <name val="Cambria"/>
      <family val="0"/>
    </font>
    <font>
      <b/>
      <i/>
      <sz val="10"/>
      <color rgb="FFFF0000"/>
      <name val="Cambria"/>
      <family val="0"/>
    </font>
    <font>
      <b/>
      <sz val="12"/>
      <color rgb="FFFFFFFF"/>
      <name val="Cambria"/>
      <family val="0"/>
    </font>
    <font>
      <b/>
      <sz val="14"/>
      <color rgb="FFFFFFFF"/>
      <name val="Cambria"/>
      <family val="0"/>
    </font>
    <font>
      <sz val="11"/>
      <color rgb="FF008000"/>
      <name val="Cambria"/>
      <family val="0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203764"/>
      </patternFill>
    </fill>
    <fill>
      <patternFill patternType="solid">
        <fgColor rgb="FFE7E6E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CCFFFF"/>
      </patternFill>
    </fill>
    <fill>
      <patternFill patternType="solid">
        <fgColor rgb="FF203764"/>
        <bgColor rgb="FF1F4E78"/>
      </patternFill>
    </fill>
    <fill>
      <patternFill patternType="solid">
        <fgColor rgb="FFFFC7CE"/>
        <bgColor rgb="FFE7E6E6"/>
      </patternFill>
    </fill>
    <fill>
      <patternFill patternType="solid">
        <fgColor rgb="FFFFA500"/>
        <bgColor rgb="FFFFCC00"/>
      </patternFill>
    </fill>
    <fill>
      <patternFill patternType="solid">
        <fgColor rgb="FFFF0000"/>
        <bgColor rgb="FF993300"/>
      </patternFill>
    </fill>
    <fill>
      <patternFill patternType="solid">
        <fgColor rgb="FF008000"/>
        <bgColor rgb="FF228B22"/>
      </patternFill>
    </fill>
    <fill>
      <patternFill patternType="solid">
        <fgColor rgb="FF0066CC"/>
        <bgColor rgb="FF008080"/>
      </patternFill>
    </fill>
    <fill>
      <patternFill patternType="solid">
        <fgColor rgb="FF228B22"/>
        <bgColor rgb="FF008000"/>
      </patternFill>
    </fill>
  </fills>
  <borders count="3">
    <border diagonalUp="1" diagonalDown="1">
      <left/>
      <right/>
      <top/>
      <bottom/>
      <diagonal/>
    </border>
    <border diagonalUp="1" diagonalDown="1">
      <left style="thin"/>
      <right style="thin"/>
      <top style="thin"/>
      <bottom style="thin"/>
      <diagonal/>
    </border>
    <border diagonalUp="1" diagonalDown="1">
      <left/>
      <right style="thin"/>
      <top/>
      <bottom style="thin"/>
      <diagonal/>
    </border>
  </borders>
  <cellStyleXfs count="6">
    <xf numFmtId="164" fontId="0" fillId="0" borderId="0"/>
    <xf numFmtId="43" fontId="1" fillId="0" borderId="0"/>
    <xf numFmtId="41" fontId="1" fillId="0" borderId="0"/>
    <xf numFmtId="44" fontId="1" fillId="0" borderId="0"/>
    <xf numFmtId="42" fontId="1" fillId="0" borderId="0"/>
    <xf numFmtId="9" fontId="1" fillId="0" borderId="0"/>
  </cellStyleXfs>
  <cellXfs count="100">
    <xf numFmtId="164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41" applyNumberFormat="1" fontId="1" applyFont="1" fillId="0" applyFill="1" borderId="0" applyBorder="1" xfId="2" applyProtection="1"/>
    <xf numFmtId="44" applyNumberFormat="1" fontId="1" applyFont="1" fillId="0" applyFill="1" borderId="0" applyBorder="1" xfId="3" applyProtection="1"/>
    <xf numFmtId="42" applyNumberFormat="1" fontId="1" applyFont="1" fillId="0" applyFill="1" borderId="0" applyBorder="1" xfId="4" applyProtection="1"/>
    <xf numFmtId="9" applyNumberFormat="1" fontId="1" applyFont="1" fillId="0" applyFill="1" borderId="0" applyBorder="1" xfId="5" applyProtection="1"/>
    <xf numFmtId="164" applyNumberFormat="1" fontId="0" applyFont="1" fillId="0" applyFill="1" borderId="0" applyBorder="1" xfId="0" applyProtection="1"/>
    <xf numFmtId="164" applyNumberFormat="1" fontId="2" applyFont="1" fillId="0" applyFill="1" borderId="0" applyBorder="1" xfId="0" applyProtection="1"/>
    <xf numFmtId="164" applyNumberFormat="1" fontId="3" applyFont="1" fillId="0" applyFill="1" borderId="0" applyBorder="1" xfId="0" applyProtection="1"/>
    <xf numFmtId="164" applyNumberFormat="1" fontId="4" applyFont="1" fillId="2" applyFill="1" borderId="0" applyBorder="1" xfId="0" applyProtection="1"/>
    <xf numFmtId="164" applyNumberFormat="1" fontId="5" applyFont="1" fillId="3" applyFill="1" borderId="1" applyBorder="1" xfId="0" applyProtection="1" applyAlignment="1">
      <alignment horizontal="center"/>
    </xf>
    <xf numFmtId="164" applyNumberFormat="1" fontId="5" applyFont="1" fillId="0" applyFill="1" borderId="1" applyBorder="1" xfId="0" applyProtection="1"/>
    <xf numFmtId="165" applyNumberFormat="1" fontId="6" applyFont="1" fillId="4" applyFill="1" borderId="1" applyBorder="1" xfId="0" applyProtection="1" applyAlignment="1">
      <alignment horizontal="right"/>
    </xf>
    <xf numFmtId="165" applyNumberFormat="1" fontId="7" applyFont="1" fillId="3" applyFill="1" borderId="1" applyBorder="1" xfId="0" applyProtection="1"/>
    <xf numFmtId="164" applyNumberFormat="1" fontId="5" applyFont="1" fillId="3" applyFill="1" borderId="1" applyBorder="1" xfId="0" applyProtection="1"/>
    <xf numFmtId="164" applyNumberFormat="1" fontId="0" applyFont="1" fillId="0" applyFill="1" borderId="1" applyBorder="1" xfId="0" applyProtection="1"/>
    <xf numFmtId="164" applyNumberFormat="1" fontId="0" applyFont="1" fillId="0" applyFill="1" borderId="1" applyBorder="1" xfId="0" applyProtection="1" applyAlignment="1">
      <alignment horizontal="center"/>
    </xf>
    <xf numFmtId="164" applyNumberFormat="1" fontId="8" applyFont="1" fillId="0" applyFill="1" borderId="1" applyBorder="1" xfId="0" applyProtection="1"/>
    <xf numFmtId="166" applyNumberFormat="1" fontId="6" applyFont="1" fillId="4" applyFill="1" borderId="1" applyBorder="1" xfId="0" applyProtection="1" applyAlignment="1">
      <alignment horizontal="right"/>
    </xf>
    <xf numFmtId="167" applyNumberFormat="1" fontId="6" applyFont="1" fillId="4" applyFill="1" borderId="1" applyBorder="1" xfId="0" applyProtection="1" applyAlignment="1">
      <alignment horizontal="right"/>
    </xf>
    <xf numFmtId="168" applyNumberFormat="1" fontId="7" applyFont="1" fillId="0" applyFill="1" borderId="1" applyBorder="1" xfId="0" applyProtection="1" applyAlignment="1">
      <alignment horizontal="right"/>
    </xf>
    <xf numFmtId="169" applyNumberFormat="1" fontId="6" applyFont="1" fillId="4" applyFill="1" borderId="1" applyBorder="1" xfId="0" applyProtection="1" applyAlignment="1">
      <alignment horizontal="right"/>
    </xf>
    <xf numFmtId="167" applyNumberFormat="1" fontId="0" applyFont="1" fillId="0" applyFill="1" borderId="1" applyBorder="1" xfId="0" applyProtection="1" applyAlignment="1">
      <alignment horizontal="left"/>
    </xf>
    <xf numFmtId="164" applyNumberFormat="1" fontId="0" applyFont="1" fillId="0" applyFill="1" borderId="1" applyBorder="1" xfId="0" applyProtection="1" applyAlignment="1">
      <alignment horizontal="left"/>
    </xf>
    <xf numFmtId="164" applyNumberFormat="1" fontId="5" applyFont="1" fillId="0" applyFill="1" borderId="0" applyBorder="1" xfId="0" applyProtection="1"/>
    <xf numFmtId="164" applyNumberFormat="1" fontId="6" applyFont="1" fillId="4" applyFill="1" borderId="1" applyBorder="1" xfId="0" applyProtection="1" applyAlignment="1">
      <alignment horizontal="center"/>
    </xf>
    <xf numFmtId="170" applyNumberFormat="1" fontId="6" applyFont="1" fillId="0" applyFill="1" borderId="1" applyBorder="1" xfId="0" applyProtection="1" applyAlignment="1">
      <alignment horizontal="right"/>
    </xf>
    <xf numFmtId="171" applyNumberFormat="1" fontId="6" applyFont="1" fillId="0" applyFill="1" borderId="1" applyBorder="1" xfId="0" applyProtection="1" applyAlignment="1">
      <alignment horizontal="right"/>
    </xf>
    <xf numFmtId="164" applyNumberFormat="1" fontId="4" applyFont="1" fillId="2" applyFill="1" borderId="1" applyBorder="1" xfId="0" applyProtection="1"/>
    <xf numFmtId="164" applyNumberFormat="1" fontId="9" applyFont="1" fillId="0" applyFill="1" borderId="1" applyBorder="1" xfId="0" applyProtection="1"/>
    <xf numFmtId="172" applyNumberFormat="1" fontId="6" applyFont="1" fillId="4" applyFill="1" borderId="1" applyBorder="1" xfId="0" applyProtection="1" applyAlignment="1">
      <alignment horizontal="right"/>
    </xf>
    <xf numFmtId="165" applyNumberFormat="1" fontId="7" applyFont="1" fillId="0" applyFill="1" borderId="1" applyBorder="1" xfId="0" applyProtection="1" applyAlignment="1">
      <alignment horizontal="right"/>
    </xf>
    <xf numFmtId="164" applyNumberFormat="1" fontId="7" applyFont="1" fillId="0" applyFill="1" borderId="1" applyBorder="1" xfId="0" applyProtection="1"/>
    <xf numFmtId="164" applyNumberFormat="1" fontId="8" applyFont="1" fillId="0" applyFill="1" borderId="0" applyBorder="1" xfId="0" applyProtection="1"/>
    <xf numFmtId="164" applyNumberFormat="1" fontId="10" applyFont="1" fillId="0" applyFill="1" borderId="0" applyBorder="1" xfId="0" applyProtection="1"/>
    <xf numFmtId="164" applyNumberFormat="1" fontId="4" applyFont="1" fillId="2" applyFill="1" borderId="1" applyBorder="1" xfId="0" applyProtection="1" applyAlignment="1">
      <alignment horizontal="center"/>
    </xf>
    <xf numFmtId="166" applyNumberFormat="1" fontId="11" applyFont="1" fillId="0" applyFill="1" borderId="1" applyBorder="1" xfId="0" applyProtection="1" applyAlignment="1">
      <alignment horizontal="right"/>
    </xf>
    <xf numFmtId="173" applyNumberFormat="1" fontId="7" applyFont="1" fillId="0" applyFill="1" borderId="1" applyBorder="1" xfId="0" applyProtection="1" applyAlignment="1">
      <alignment horizontal="right"/>
    </xf>
    <xf numFmtId="165" applyNumberFormat="1" fontId="7" applyFont="1" fillId="3" applyFill="1" borderId="1" applyBorder="1" xfId="0" applyProtection="1" applyAlignment="1">
      <alignment horizontal="right"/>
    </xf>
    <xf numFmtId="164" applyNumberFormat="1" fontId="5" applyFont="1" fillId="0" applyFill="1" borderId="0" applyBorder="1" xfId="0" applyProtection="1"/>
    <xf numFmtId="165" applyNumberFormat="1" fontId="11" applyFont="1" fillId="3" applyFill="1" borderId="1" applyBorder="1" xfId="0" applyProtection="1" applyAlignment="1">
      <alignment horizontal="right"/>
    </xf>
    <xf numFmtId="164" applyNumberFormat="1" fontId="9" applyFont="1" fillId="0" applyFill="1" borderId="0" applyBorder="1" xfId="0" applyProtection="1"/>
    <xf numFmtId="165" applyNumberFormat="1" fontId="11" applyFont="1" fillId="0" applyFill="1" borderId="1" applyBorder="1" xfId="0" applyProtection="1" applyAlignment="1">
      <alignment horizontal="right"/>
    </xf>
    <xf numFmtId="165" applyNumberFormat="1" fontId="5" applyFont="1" fillId="3" applyFill="1" borderId="1" applyBorder="1" xfId="0" applyProtection="1" applyAlignment="1">
      <alignment horizontal="right"/>
    </xf>
    <xf numFmtId="165" applyNumberFormat="1" fontId="7" applyFont="1" fillId="4" applyFill="1" borderId="1" applyBorder="1" xfId="0" applyProtection="1"/>
    <xf numFmtId="164" applyNumberFormat="1" fontId="12" applyFont="1" fillId="0" applyFill="1" borderId="0" applyBorder="1" xfId="0" applyProtection="1"/>
    <xf numFmtId="164" applyNumberFormat="1" fontId="5" applyFont="1" fillId="3" applyFill="1" borderId="1" applyBorder="1" xfId="0" applyProtection="1" applyAlignment="1">
      <alignment horizontal="center" wrapText="1"/>
    </xf>
    <xf numFmtId="165" applyNumberFormat="1" fontId="11" applyFont="1" fillId="0" applyFill="1" borderId="1" applyBorder="1" xfId="0" applyProtection="1"/>
    <xf numFmtId="165" applyNumberFormat="1" fontId="7" applyFont="1" fillId="0" applyFill="1" borderId="1" applyBorder="1" xfId="0" applyProtection="1"/>
    <xf numFmtId="165" applyNumberFormat="1" fontId="6" applyFont="1" fillId="4" applyFill="1" borderId="1" applyBorder="1" xfId="0" applyProtection="1"/>
    <xf numFmtId="167" applyNumberFormat="1" fontId="11" applyFont="1" fillId="0" applyFill="1" borderId="1" applyBorder="1" xfId="0" applyProtection="1"/>
    <xf numFmtId="167" applyNumberFormat="1" fontId="7" applyFont="1" fillId="0" applyFill="1" borderId="1" applyBorder="1" xfId="0" applyProtection="1"/>
    <xf numFmtId="167" applyNumberFormat="1" fontId="4" applyFont="1" fillId="2" applyFill="1" borderId="1" applyBorder="1" xfId="0" applyProtection="1"/>
    <xf numFmtId="164" applyNumberFormat="1" fontId="0" applyFont="1" fillId="0" applyFill="1" borderId="0" applyBorder="1" xfId="0" applyProtection="1" applyAlignment="1">
      <alignment horizontal="center" vertical="center"/>
    </xf>
    <xf numFmtId="164" applyNumberFormat="1" fontId="11" applyFont="1" fillId="0" applyFill="1" borderId="1" applyBorder="1" xfId="0" applyProtection="1"/>
    <xf numFmtId="164" applyNumberFormat="1" fontId="4" applyFont="1" fillId="2" applyFill="1" borderId="1" applyBorder="1" xfId="0" applyProtection="1" applyAlignment="1">
      <alignment horizontal="center" wrapText="1"/>
    </xf>
    <xf numFmtId="171" applyNumberFormat="1" fontId="7" applyFont="1" fillId="0" applyFill="1" borderId="1" applyBorder="1" xfId="0" applyProtection="1" applyAlignment="1">
      <alignment horizontal="center"/>
    </xf>
    <xf numFmtId="171" applyNumberFormat="1" fontId="7" applyFont="1" fillId="0" applyFill="1" borderId="1" applyBorder="1" xfId="0" applyProtection="1"/>
    <xf numFmtId="167" applyNumberFormat="1" fontId="6" applyFont="1" fillId="4" applyFill="1" borderId="1" applyBorder="1" xfId="0" applyProtection="1"/>
    <xf numFmtId="171" applyNumberFormat="1" fontId="4" applyFont="1" fillId="2" applyFill="1" borderId="1" applyBorder="1" xfId="0" applyProtection="1"/>
    <xf numFmtId="167" applyNumberFormat="1" fontId="0" applyFont="1" fillId="0" applyFill="1" borderId="1" applyBorder="1" xfId="0" applyProtection="1"/>
    <xf numFmtId="164" applyNumberFormat="1" fontId="6" applyFont="1" fillId="4" applyFill="1" borderId="1" applyBorder="1" xfId="0" applyProtection="1"/>
    <xf numFmtId="164" applyNumberFormat="1" fontId="13" applyFont="1" fillId="0" applyFill="1" borderId="1" applyBorder="1" xfId="0" applyProtection="1"/>
    <xf numFmtId="167" applyNumberFormat="1" fontId="14" applyFont="1" fillId="5" applyFill="1" borderId="1" applyBorder="1" xfId="0" applyProtection="1"/>
    <xf numFmtId="174" applyNumberFormat="1" fontId="14" applyFont="1" fillId="5" applyFill="1" borderId="1" applyBorder="1" xfId="0" applyProtection="1"/>
    <xf numFmtId="165" applyNumberFormat="1" fontId="6" applyFont="1" fillId="4" applyFill="1" borderId="0" applyBorder="1" xfId="0" applyProtection="1"/>
    <xf numFmtId="170" applyNumberFormat="1" fontId="0" applyFont="1" fillId="0" applyFill="1" borderId="1" applyBorder="1" xfId="0" applyProtection="1"/>
    <xf numFmtId="164" applyNumberFormat="1" fontId="14" applyFont="1" fillId="4" applyFill="1" borderId="0" applyBorder="1" xfId="0" applyProtection="1"/>
    <xf numFmtId="167" applyNumberFormat="1" fontId="14" applyFont="1" fillId="4" applyFill="1" borderId="0" applyBorder="1" xfId="0" applyProtection="1"/>
    <xf numFmtId="164" applyNumberFormat="1" fontId="15" applyFont="1" fillId="6" applyFill="1" borderId="0" applyBorder="1" xfId="0" applyProtection="1"/>
    <xf numFmtId="164" applyNumberFormat="1" fontId="5" applyFont="1" fillId="0" applyFill="1" borderId="0" applyBorder="1" xfId="0" applyProtection="1" applyAlignment="1">
      <alignment horizontal="right"/>
    </xf>
    <xf numFmtId="167" applyNumberFormat="1" fontId="7" applyFont="1" fillId="3" applyFill="1" borderId="1" applyBorder="1" xfId="0" applyProtection="1"/>
    <xf numFmtId="164" applyNumberFormat="1" fontId="8" applyFont="1" fillId="0" applyFill="1" borderId="0" applyBorder="1" xfId="0" applyProtection="1"/>
    <xf numFmtId="164" applyNumberFormat="1" fontId="0" applyFont="1" fillId="3" applyFill="1" borderId="1" applyBorder="1" xfId="0" applyProtection="1"/>
    <xf numFmtId="164" applyNumberFormat="1" fontId="7" applyFont="1" fillId="3" applyFill="1" borderId="1" applyBorder="1" xfId="0" applyProtection="1"/>
    <xf numFmtId="164" applyNumberFormat="1" fontId="16" applyFont="1" fillId="7" applyFill="1" borderId="0" applyBorder="1" xfId="0" applyProtection="1"/>
    <xf numFmtId="174" applyNumberFormat="1" fontId="7" applyFont="1" fillId="4" applyFill="1" borderId="1" applyBorder="1" xfId="0" applyProtection="1"/>
    <xf numFmtId="164" applyNumberFormat="1" fontId="17" applyFont="1" fillId="0" applyFill="1" borderId="0" applyBorder="1" xfId="0" applyProtection="1"/>
    <xf numFmtId="164" applyNumberFormat="1" fontId="18" applyFont="1" fillId="0" applyFill="1" borderId="0" applyBorder="1" xfId="0" applyProtection="1"/>
    <xf numFmtId="170" applyNumberFormat="1" fontId="6" applyFont="1" fillId="4" applyFill="1" borderId="1" applyBorder="1" xfId="0" applyProtection="1"/>
    <xf numFmtId="164" applyNumberFormat="1" fontId="11" applyFont="1" fillId="0" applyFill="1" borderId="1" applyBorder="1" xfId="0" applyProtection="1" applyAlignment="1">
      <alignment horizontal="center"/>
    </xf>
    <xf numFmtId="170" applyNumberFormat="1" fontId="7" applyFont="1" fillId="0" applyFill="1" borderId="1" applyBorder="1" xfId="0" applyProtection="1"/>
    <xf numFmtId="175" applyNumberFormat="1" fontId="7" applyFont="1" fillId="8" applyFill="1" borderId="1" applyBorder="1" xfId="0" applyProtection="1"/>
    <xf numFmtId="165" applyNumberFormat="1" fontId="7" applyFont="1" fillId="7" applyFill="1" borderId="1" applyBorder="1" xfId="0" applyProtection="1"/>
    <xf numFmtId="167" applyNumberFormat="1" fontId="7" applyFont="1" fillId="7" applyFill="1" borderId="1" applyBorder="1" xfId="0" applyProtection="1"/>
    <xf numFmtId="164" applyNumberFormat="1" fontId="0" applyFont="1" fillId="0" applyFill="1" borderId="2" applyBorder="1" xfId="0" applyProtection="1" applyAlignment="1">
      <alignment horizontal="center" vertical="center"/>
    </xf>
    <xf numFmtId="167" applyNumberFormat="1" fontId="7" applyFont="1" fillId="5" applyFill="1" borderId="1" applyBorder="1" xfId="0" applyProtection="1"/>
    <xf numFmtId="167" applyNumberFormat="1" fontId="11" applyFont="1" fillId="7" applyFill="1" borderId="1" applyBorder="1" xfId="0" applyProtection="1"/>
    <xf numFmtId="167" applyNumberFormat="1" fontId="5" applyFont="1" fillId="3" applyFill="1" borderId="1" applyBorder="1" xfId="0" applyProtection="1"/>
    <xf numFmtId="164" applyNumberFormat="1" fontId="19" applyFont="1" fillId="9" applyFill="1" borderId="0" applyBorder="1" xfId="0" applyProtection="1" applyAlignment="1">
      <alignment horizontal="center" vertical="center"/>
    </xf>
    <xf numFmtId="167" applyNumberFormat="1" fontId="4" applyFont="1" fillId="9" applyFill="1" borderId="1" applyBorder="1" xfId="0" applyProtection="1"/>
    <xf numFmtId="167" applyNumberFormat="1" fontId="7" applyFont="1" fillId="4" applyFill="1" borderId="1" applyBorder="1" xfId="0" applyProtection="1"/>
    <xf numFmtId="164" applyNumberFormat="1" fontId="20" applyFont="1" fillId="10" applyFill="1" borderId="0" applyBorder="1" xfId="0" applyProtection="1"/>
    <xf numFmtId="171" applyNumberFormat="1" fontId="0" applyFont="1" fillId="0" applyFill="1" borderId="1" applyBorder="1" xfId="0" applyProtection="1" applyAlignment="1">
      <alignment horizontal="center"/>
    </xf>
    <xf numFmtId="164" applyNumberFormat="1" fontId="20" applyFont="1" fillId="11" applyFill="1" borderId="0" applyBorder="1" xfId="0" applyProtection="1"/>
    <xf numFmtId="165" applyNumberFormat="1" fontId="21" applyFont="1" fillId="0" applyFill="1" borderId="1" applyBorder="1" xfId="0" applyProtection="1"/>
    <xf numFmtId="165" applyNumberFormat="1" fontId="0" applyFont="1" fillId="0" applyFill="1" borderId="1" applyBorder="1" xfId="0" applyProtection="1"/>
    <xf numFmtId="164" applyNumberFormat="1" fontId="20" applyFont="1" fillId="12" applyFill="1" borderId="0" applyBorder="1" xfId="0" applyProtection="1"/>
    <xf numFmtId="172" applyNumberFormat="1" fontId="6" applyFont="1" fillId="0" applyFill="1" borderId="1" applyBorder="1" xfId="0" applyProtection="1"/>
    <xf numFmtId="164" applyNumberFormat="1" fontId="21" applyFont="1" fillId="0" applyFill="1" borderId="1" applyBorder="1" xfId="0" applyProtection="1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min="1" max="1" width="25" customWidth="1" style="6"/>
    <col min="2" max="7" width="15" customWidth="1" style="6"/>
  </cols>
  <sheetData>
    <row r="1" ht="17.25">
      <c r="A1" s="7" t="s">
        <v>114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ht="15">
      <c r="A2" s="8" t="s">
        <v>115</v>
      </c>
      <c r="B2" s="8"/>
      <c r="C2" s="8"/>
      <c r="D2" s="8"/>
      <c r="E2" s="8"/>
      <c r="F2" s="8"/>
      <c r="G2" s="8"/>
      <c r="H2" s="8"/>
      <c r="I2" s="8"/>
      <c r="J2" s="8"/>
      <c r="K2" s="8"/>
    </row>
    <row r="4" ht="15">
      <c r="A4" s="9" t="s">
        <v>116</v>
      </c>
      <c r="B4" s="9"/>
      <c r="C4" s="9"/>
      <c r="D4" s="9"/>
      <c r="E4" s="9"/>
      <c r="F4" s="9"/>
      <c r="G4" s="9"/>
      <c r="H4" s="9"/>
      <c r="I4" s="9"/>
      <c r="J4" s="9"/>
      <c r="K4" s="9"/>
    </row>
    <row r="5" ht="15">
      <c r="A5" s="10" t="s">
        <v>117</v>
      </c>
      <c r="B5" s="10" t="s">
        <v>4</v>
      </c>
      <c r="C5" s="10" t="s">
        <v>5</v>
      </c>
      <c r="D5" s="10" t="s">
        <v>6</v>
      </c>
      <c r="E5" s="10" t="s">
        <v>7</v>
      </c>
      <c r="F5" s="10" t="s">
        <v>8</v>
      </c>
      <c r="G5" s="10" t="s">
        <v>9</v>
      </c>
      <c r="H5" s="10" t="s">
        <v>10</v>
      </c>
      <c r="I5" s="10" t="s">
        <v>11</v>
      </c>
      <c r="J5" s="10" t="s">
        <v>12</v>
      </c>
    </row>
    <row r="6" ht="15">
      <c r="A6" s="11" t="s">
        <v>118</v>
      </c>
      <c r="B6" s="12">
        <v>1850</v>
      </c>
      <c r="C6" s="12">
        <v>1850</v>
      </c>
      <c r="D6" s="12">
        <v>1850</v>
      </c>
      <c r="E6" s="12">
        <v>1850</v>
      </c>
      <c r="F6" s="12">
        <v>1850</v>
      </c>
      <c r="G6" s="12">
        <v>1850</v>
      </c>
      <c r="H6" s="12">
        <v>1850</v>
      </c>
      <c r="I6" s="12">
        <v>1850</v>
      </c>
      <c r="J6" s="13">
        <f>SUM(B6:I6)</f>
        <v>14800</v>
      </c>
    </row>
    <row r="9" ht="15">
      <c r="A9" s="9" t="s">
        <v>119</v>
      </c>
      <c r="B9" s="9"/>
      <c r="C9" s="9"/>
      <c r="D9" s="9"/>
    </row>
    <row r="10" ht="15">
      <c r="A10" s="14" t="s">
        <v>40</v>
      </c>
      <c r="B10" s="14" t="s">
        <v>120</v>
      </c>
      <c r="C10" s="14" t="s">
        <v>121</v>
      </c>
      <c r="D10" s="14" t="s">
        <v>52</v>
      </c>
    </row>
    <row r="11" ht="15">
      <c r="A11" s="15" t="s">
        <v>18</v>
      </c>
      <c r="B11" s="12">
        <v>4512</v>
      </c>
      <c r="C11" s="16" t="s">
        <v>122</v>
      </c>
      <c r="D11" s="17" t="s">
        <v>123</v>
      </c>
    </row>
    <row r="12" ht="15">
      <c r="A12" s="15" t="s">
        <v>19</v>
      </c>
      <c r="B12" s="12">
        <v>1058</v>
      </c>
      <c r="C12" s="16" t="s">
        <v>122</v>
      </c>
      <c r="D12" s="17" t="s">
        <v>123</v>
      </c>
    </row>
    <row r="13" ht="15">
      <c r="A13" s="15" t="s">
        <v>83</v>
      </c>
      <c r="B13" s="12">
        <v>130</v>
      </c>
      <c r="C13" s="16" t="s">
        <v>122</v>
      </c>
      <c r="D13" s="17" t="s">
        <v>123</v>
      </c>
    </row>
    <row r="14" ht="15">
      <c r="A14" s="15" t="s">
        <v>84</v>
      </c>
      <c r="B14" s="12">
        <v>5268</v>
      </c>
      <c r="C14" s="16" t="s">
        <v>122</v>
      </c>
      <c r="D14" s="17" t="s">
        <v>123</v>
      </c>
    </row>
    <row r="15" ht="15">
      <c r="A15" s="15" t="s">
        <v>85</v>
      </c>
      <c r="B15" s="12">
        <v>4333</v>
      </c>
      <c r="C15" s="16" t="s">
        <v>122</v>
      </c>
      <c r="D15" s="17" t="s">
        <v>123</v>
      </c>
    </row>
    <row r="16" ht="15">
      <c r="A16" s="15" t="s">
        <v>86</v>
      </c>
      <c r="B16" s="12">
        <v>8487</v>
      </c>
      <c r="C16" s="16" t="s">
        <v>122</v>
      </c>
      <c r="D16" s="17" t="s">
        <v>123</v>
      </c>
    </row>
    <row r="17" ht="15">
      <c r="A17" s="15" t="s">
        <v>87</v>
      </c>
      <c r="B17" s="12">
        <v>23192</v>
      </c>
      <c r="C17" s="16" t="s">
        <v>122</v>
      </c>
      <c r="D17" s="17" t="s">
        <v>123</v>
      </c>
    </row>
    <row r="18" ht="15">
      <c r="A18" s="15" t="s">
        <v>88</v>
      </c>
      <c r="B18" s="12">
        <v>6035</v>
      </c>
      <c r="C18" s="16" t="s">
        <v>122</v>
      </c>
      <c r="D18" s="17" t="s">
        <v>123</v>
      </c>
    </row>
    <row r="21" ht="15">
      <c r="A21" s="9" t="s">
        <v>124</v>
      </c>
      <c r="B21" s="9"/>
      <c r="C21" s="9"/>
      <c r="D21" s="9"/>
    </row>
    <row r="22" ht="15">
      <c r="A22" s="14" t="s">
        <v>40</v>
      </c>
      <c r="B22" s="14" t="s">
        <v>125</v>
      </c>
      <c r="C22" s="14" t="s">
        <v>121</v>
      </c>
      <c r="D22" s="14" t="s">
        <v>126</v>
      </c>
    </row>
    <row r="23" ht="15">
      <c r="A23" s="15" t="s">
        <v>18</v>
      </c>
      <c r="B23" s="18">
        <v>1</v>
      </c>
      <c r="C23" s="15" t="s">
        <v>127</v>
      </c>
      <c r="D23" s="17" t="s">
        <v>128</v>
      </c>
    </row>
    <row r="24" ht="15">
      <c r="A24" s="15" t="s">
        <v>19</v>
      </c>
      <c r="B24" s="18">
        <v>0.2</v>
      </c>
      <c r="C24" s="15" t="s">
        <v>127</v>
      </c>
      <c r="D24" s="17" t="s">
        <v>129</v>
      </c>
    </row>
    <row r="25" ht="15">
      <c r="A25" s="15" t="s">
        <v>83</v>
      </c>
      <c r="B25" s="18">
        <v>0.01</v>
      </c>
      <c r="C25" s="15" t="s">
        <v>127</v>
      </c>
      <c r="D25" s="17" t="s">
        <v>130</v>
      </c>
    </row>
    <row r="26" ht="15">
      <c r="A26" s="15" t="s">
        <v>84</v>
      </c>
      <c r="B26" s="18">
        <v>8</v>
      </c>
      <c r="C26" s="15" t="s">
        <v>127</v>
      </c>
      <c r="D26" s="17" t="s">
        <v>131</v>
      </c>
    </row>
    <row r="27" ht="15">
      <c r="A27" s="15" t="s">
        <v>85</v>
      </c>
      <c r="B27" s="18">
        <v>0.3</v>
      </c>
      <c r="C27" s="15" t="s">
        <v>127</v>
      </c>
      <c r="D27" s="17" t="s">
        <v>132</v>
      </c>
    </row>
    <row r="28" ht="15">
      <c r="A28" s="15" t="s">
        <v>86</v>
      </c>
      <c r="B28" s="18">
        <v>0.6</v>
      </c>
      <c r="C28" s="15" t="s">
        <v>127</v>
      </c>
      <c r="D28" s="17" t="s">
        <v>133</v>
      </c>
    </row>
    <row r="29" ht="15">
      <c r="A29" s="15" t="s">
        <v>87</v>
      </c>
      <c r="B29" s="18">
        <v>2</v>
      </c>
      <c r="C29" s="15" t="s">
        <v>127</v>
      </c>
      <c r="D29" s="17" t="s">
        <v>134</v>
      </c>
    </row>
    <row r="30" ht="15">
      <c r="A30" s="15" t="s">
        <v>88</v>
      </c>
      <c r="B30" s="18">
        <v>0.75</v>
      </c>
      <c r="C30" s="15" t="s">
        <v>127</v>
      </c>
      <c r="D30" s="17" t="s">
        <v>135</v>
      </c>
    </row>
    <row r="33" ht="15">
      <c r="A33" s="9" t="s">
        <v>136</v>
      </c>
      <c r="B33" s="9"/>
      <c r="C33" s="9"/>
      <c r="D33" s="9"/>
    </row>
    <row r="34" ht="15">
      <c r="A34" s="14" t="s">
        <v>40</v>
      </c>
      <c r="B34" s="14" t="s">
        <v>102</v>
      </c>
      <c r="C34" s="14" t="s">
        <v>137</v>
      </c>
      <c r="D34" s="14" t="s">
        <v>126</v>
      </c>
    </row>
    <row r="35" ht="15">
      <c r="A35" s="15" t="s">
        <v>18</v>
      </c>
      <c r="B35" s="12">
        <v>30</v>
      </c>
      <c r="C35" s="16" t="s">
        <v>138</v>
      </c>
      <c r="D35" s="17" t="s">
        <v>139</v>
      </c>
    </row>
    <row r="36" ht="15">
      <c r="A36" s="15" t="s">
        <v>19</v>
      </c>
      <c r="B36" s="12">
        <v>12</v>
      </c>
      <c r="C36" s="16" t="s">
        <v>138</v>
      </c>
      <c r="D36" s="17" t="s">
        <v>139</v>
      </c>
    </row>
    <row r="37" ht="15">
      <c r="A37" s="15" t="s">
        <v>83</v>
      </c>
      <c r="B37" s="12">
        <v>1</v>
      </c>
      <c r="C37" s="16" t="s">
        <v>138</v>
      </c>
      <c r="D37" s="17" t="s">
        <v>140</v>
      </c>
    </row>
    <row r="38" ht="15">
      <c r="A38" s="15" t="s">
        <v>84</v>
      </c>
      <c r="B38" s="12">
        <v>100</v>
      </c>
      <c r="C38" s="16" t="s">
        <v>138</v>
      </c>
      <c r="D38" s="17" t="s">
        <v>141</v>
      </c>
    </row>
    <row r="39" ht="15">
      <c r="A39" s="15" t="s">
        <v>85</v>
      </c>
      <c r="B39" s="12">
        <v>30</v>
      </c>
      <c r="C39" s="16" t="s">
        <v>138</v>
      </c>
      <c r="D39" s="17" t="s">
        <v>142</v>
      </c>
    </row>
    <row r="40" ht="15">
      <c r="A40" s="15" t="s">
        <v>86</v>
      </c>
      <c r="B40" s="12">
        <v>60</v>
      </c>
      <c r="C40" s="16" t="s">
        <v>138</v>
      </c>
      <c r="D40" s="17" t="s">
        <v>143</v>
      </c>
    </row>
    <row r="41" ht="15">
      <c r="A41" s="15" t="s">
        <v>87</v>
      </c>
      <c r="B41" s="12">
        <v>100</v>
      </c>
      <c r="C41" s="16" t="s">
        <v>138</v>
      </c>
      <c r="D41" s="17" t="s">
        <v>144</v>
      </c>
    </row>
    <row r="42" ht="15">
      <c r="A42" s="15" t="s">
        <v>88</v>
      </c>
      <c r="B42" s="12">
        <v>150</v>
      </c>
      <c r="C42" s="16" t="s">
        <v>138</v>
      </c>
      <c r="D42" s="17" t="s">
        <v>145</v>
      </c>
    </row>
    <row r="43" ht="15">
      <c r="B43" s="6">
        <v>125</v>
      </c>
      <c r="C43" s="6">
        <f>B43/B35</f>
        <v>4.16666666666667</v>
      </c>
    </row>
    <row r="44" ht="15">
      <c r="B44" s="6">
        <v>330</v>
      </c>
      <c r="C44" s="6">
        <f>B44/B36</f>
        <v>27.5</v>
      </c>
    </row>
    <row r="45" ht="15">
      <c r="A45" s="9" t="s">
        <v>146</v>
      </c>
      <c r="B45" s="9"/>
      <c r="C45" s="9"/>
      <c r="D45" s="9"/>
    </row>
    <row r="46" ht="15">
      <c r="A46" s="14" t="s">
        <v>40</v>
      </c>
      <c r="B46" s="14">
        <v>7</v>
      </c>
      <c r="C46" s="14">
        <f>B46/B38</f>
        <v>0.07</v>
      </c>
      <c r="D46" s="14" t="s">
        <v>147</v>
      </c>
    </row>
    <row r="47" ht="15">
      <c r="A47" s="15" t="s">
        <v>18</v>
      </c>
      <c r="B47" s="19">
        <v>125</v>
      </c>
      <c r="C47" s="20">
        <f>B47/B35</f>
        <v>4.16666666666667</v>
      </c>
      <c r="D47" s="16" t="s">
        <v>148</v>
      </c>
    </row>
    <row r="48" ht="15">
      <c r="A48" s="15" t="s">
        <v>19</v>
      </c>
      <c r="B48" s="19">
        <v>330</v>
      </c>
      <c r="C48" s="20">
        <f>B48/B36</f>
        <v>27.5</v>
      </c>
      <c r="D48" s="16" t="s">
        <v>148</v>
      </c>
    </row>
    <row r="49" ht="15">
      <c r="A49" s="15" t="s">
        <v>83</v>
      </c>
      <c r="B49" s="19">
        <v>60</v>
      </c>
      <c r="C49" s="20">
        <f>B49/B37</f>
        <v>60</v>
      </c>
      <c r="D49" s="16" t="s">
        <v>148</v>
      </c>
    </row>
    <row r="50" ht="15">
      <c r="A50" s="15" t="s">
        <v>84</v>
      </c>
      <c r="B50" s="19">
        <v>7</v>
      </c>
      <c r="C50" s="20">
        <f>B50/B38</f>
        <v>0.07</v>
      </c>
      <c r="D50" s="16" t="s">
        <v>148</v>
      </c>
    </row>
    <row r="51" ht="15">
      <c r="A51" s="15" t="s">
        <v>85</v>
      </c>
      <c r="B51" s="19">
        <v>36</v>
      </c>
      <c r="C51" s="20">
        <f>B51/B39</f>
        <v>1.2</v>
      </c>
      <c r="D51" s="16" t="s">
        <v>148</v>
      </c>
    </row>
    <row r="52" ht="15">
      <c r="A52" s="15" t="s">
        <v>86</v>
      </c>
      <c r="B52" s="19">
        <v>24</v>
      </c>
      <c r="C52" s="20">
        <f>B52/B40</f>
        <v>0.4</v>
      </c>
      <c r="D52" s="16" t="s">
        <v>148</v>
      </c>
    </row>
    <row r="53" ht="15">
      <c r="A53" s="15" t="s">
        <v>87</v>
      </c>
      <c r="B53" s="19">
        <v>30</v>
      </c>
      <c r="C53" s="20">
        <f>B53/B41</f>
        <v>0.3</v>
      </c>
      <c r="D53" s="16" t="s">
        <v>148</v>
      </c>
    </row>
    <row r="54" ht="15">
      <c r="A54" s="15" t="s">
        <v>88</v>
      </c>
      <c r="B54" s="19">
        <v>28</v>
      </c>
      <c r="C54" s="20">
        <f>B54/B42</f>
        <v>0.186666666666667</v>
      </c>
      <c r="D54" s="16" t="s">
        <v>148</v>
      </c>
    </row>
    <row r="57" ht="15">
      <c r="A57" s="9" t="s">
        <v>149</v>
      </c>
      <c r="B57" s="9"/>
      <c r="C57" s="9"/>
      <c r="D57" s="9"/>
      <c r="E57" s="9"/>
    </row>
    <row r="58" ht="15">
      <c r="A58" s="14" t="s">
        <v>40</v>
      </c>
      <c r="B58" s="14" t="s">
        <v>80</v>
      </c>
      <c r="C58" s="14" t="s">
        <v>150</v>
      </c>
      <c r="D58" s="14" t="s">
        <v>151</v>
      </c>
    </row>
    <row r="59" ht="15">
      <c r="A59" s="15" t="s">
        <v>18</v>
      </c>
      <c r="B59" s="19">
        <v>2300</v>
      </c>
      <c r="C59" s="21">
        <v>0.3</v>
      </c>
      <c r="D59" s="17" t="s">
        <v>152</v>
      </c>
    </row>
    <row r="60" ht="15">
      <c r="A60" s="15" t="s">
        <v>19</v>
      </c>
      <c r="B60" s="19">
        <v>6000</v>
      </c>
      <c r="C60" s="21">
        <v>4.5</v>
      </c>
      <c r="D60" s="17" t="s">
        <v>152</v>
      </c>
    </row>
    <row r="61" ht="15">
      <c r="A61" s="15" t="s">
        <v>153</v>
      </c>
      <c r="B61" s="19">
        <v>0</v>
      </c>
      <c r="C61" s="21">
        <v>0</v>
      </c>
      <c r="D61" s="17" t="s">
        <v>154</v>
      </c>
    </row>
    <row r="64" ht="15">
      <c r="A64" s="9" t="s">
        <v>155</v>
      </c>
      <c r="B64" s="9"/>
      <c r="C64" s="9"/>
      <c r="D64" s="9"/>
      <c r="E64" s="9"/>
      <c r="F64" s="9"/>
      <c r="G64" s="9"/>
    </row>
    <row r="65" ht="15">
      <c r="A65" s="14" t="s">
        <v>156</v>
      </c>
      <c r="B65" s="14" t="s">
        <v>157</v>
      </c>
      <c r="C65" s="14" t="s">
        <v>112</v>
      </c>
      <c r="D65" s="14" t="s">
        <v>71</v>
      </c>
      <c r="E65" s="14" t="s">
        <v>158</v>
      </c>
      <c r="F65" s="14" t="s">
        <v>159</v>
      </c>
    </row>
    <row r="66" ht="15">
      <c r="A66" s="16" t="s">
        <v>75</v>
      </c>
      <c r="B66" s="22">
        <v>125</v>
      </c>
      <c r="C66" s="23" t="s">
        <v>160</v>
      </c>
      <c r="D66" s="23" t="s">
        <v>161</v>
      </c>
      <c r="E66" s="23" t="s">
        <v>138</v>
      </c>
      <c r="F66" s="16" t="s">
        <v>162</v>
      </c>
    </row>
    <row r="67" ht="15">
      <c r="A67" s="16" t="s">
        <v>76</v>
      </c>
      <c r="B67" s="22">
        <v>100</v>
      </c>
      <c r="C67" s="23" t="s">
        <v>163</v>
      </c>
      <c r="D67" s="23" t="s">
        <v>164</v>
      </c>
      <c r="E67" s="23">
        <v>150</v>
      </c>
      <c r="F67" s="16" t="s">
        <v>165</v>
      </c>
    </row>
    <row r="68" ht="15">
      <c r="A68" s="16" t="s">
        <v>166</v>
      </c>
      <c r="B68" s="22">
        <v>140</v>
      </c>
      <c r="C68" s="23" t="s">
        <v>167</v>
      </c>
      <c r="D68" s="23" t="s">
        <v>161</v>
      </c>
      <c r="E68" s="23" t="s">
        <v>138</v>
      </c>
      <c r="F68" s="16" t="s">
        <v>162</v>
      </c>
    </row>
    <row r="69" ht="15">
      <c r="A69" s="24" t="s">
        <v>168</v>
      </c>
      <c r="B69" s="25" t="s">
        <v>75</v>
      </c>
    </row>
    <row r="72" ht="15">
      <c r="A72" s="9" t="s">
        <v>169</v>
      </c>
      <c r="B72" s="9"/>
      <c r="C72" s="9"/>
      <c r="D72" s="9"/>
      <c r="E72" s="9"/>
      <c r="F72" s="9"/>
      <c r="G72" s="9"/>
    </row>
    <row r="73" ht="15">
      <c r="A73" s="14" t="s">
        <v>156</v>
      </c>
      <c r="B73" s="14" t="s">
        <v>157</v>
      </c>
      <c r="C73" s="14" t="s">
        <v>112</v>
      </c>
      <c r="D73" s="14" t="s">
        <v>71</v>
      </c>
      <c r="E73" s="14" t="s">
        <v>158</v>
      </c>
      <c r="F73" s="14" t="s">
        <v>159</v>
      </c>
    </row>
    <row r="74" ht="15">
      <c r="A74" s="16" t="s">
        <v>75</v>
      </c>
      <c r="B74" s="22">
        <v>330</v>
      </c>
      <c r="C74" s="23" t="s">
        <v>160</v>
      </c>
      <c r="D74" s="23" t="s">
        <v>161</v>
      </c>
      <c r="E74" s="23" t="s">
        <v>138</v>
      </c>
      <c r="F74" s="16" t="s">
        <v>162</v>
      </c>
    </row>
    <row r="75" ht="15">
      <c r="A75" s="16" t="s">
        <v>76</v>
      </c>
      <c r="B75" s="22">
        <v>264</v>
      </c>
      <c r="C75" s="23" t="s">
        <v>163</v>
      </c>
      <c r="D75" s="23" t="s">
        <v>170</v>
      </c>
      <c r="E75" s="23">
        <v>80</v>
      </c>
      <c r="F75" s="16" t="s">
        <v>165</v>
      </c>
    </row>
    <row r="76" ht="15">
      <c r="A76" s="16" t="s">
        <v>166</v>
      </c>
      <c r="B76" s="22">
        <v>370</v>
      </c>
      <c r="C76" s="23" t="s">
        <v>167</v>
      </c>
      <c r="D76" s="23" t="s">
        <v>161</v>
      </c>
      <c r="E76" s="23" t="s">
        <v>138</v>
      </c>
      <c r="F76" s="16" t="s">
        <v>162</v>
      </c>
    </row>
    <row r="77" ht="15">
      <c r="A77" s="24" t="s">
        <v>168</v>
      </c>
      <c r="B77" s="25" t="s">
        <v>75</v>
      </c>
    </row>
    <row r="80" ht="15">
      <c r="A80" s="9" t="s">
        <v>171</v>
      </c>
      <c r="B80" s="9"/>
      <c r="C80" s="9"/>
      <c r="D80" s="9"/>
    </row>
    <row r="81" ht="15">
      <c r="A81" s="14" t="s">
        <v>40</v>
      </c>
      <c r="B81" s="14" t="s">
        <v>172</v>
      </c>
      <c r="C81" s="14" t="s">
        <v>173</v>
      </c>
      <c r="D81" s="14" t="s">
        <v>174</v>
      </c>
    </row>
    <row r="82" ht="15">
      <c r="A82" s="15" t="s">
        <v>18</v>
      </c>
      <c r="B82" s="12">
        <v>2000</v>
      </c>
      <c r="C82" s="26">
        <v>10</v>
      </c>
      <c r="D82" s="27">
        <v>1</v>
      </c>
    </row>
    <row r="83" ht="15">
      <c r="A83" s="15" t="s">
        <v>19</v>
      </c>
      <c r="B83" s="12">
        <v>500</v>
      </c>
      <c r="C83" s="26">
        <v>10</v>
      </c>
      <c r="D83" s="27">
        <v>1</v>
      </c>
    </row>
    <row r="84" ht="15">
      <c r="A84" s="15" t="s">
        <v>83</v>
      </c>
      <c r="B84" s="12">
        <v>50</v>
      </c>
      <c r="C84" s="26">
        <v>20</v>
      </c>
      <c r="D84" s="27">
        <v>2</v>
      </c>
    </row>
    <row r="85" ht="15">
      <c r="A85" s="15" t="s">
        <v>84</v>
      </c>
      <c r="B85" s="12">
        <v>10000</v>
      </c>
      <c r="C85" s="26">
        <v>10</v>
      </c>
      <c r="D85" s="27">
        <v>1</v>
      </c>
    </row>
    <row r="86" ht="15">
      <c r="A86" s="15" t="s">
        <v>85</v>
      </c>
      <c r="B86" s="12">
        <v>1000</v>
      </c>
      <c r="C86" s="26">
        <v>15</v>
      </c>
      <c r="D86" s="27">
        <v>1</v>
      </c>
    </row>
    <row r="87" ht="15">
      <c r="A87" s="15" t="s">
        <v>86</v>
      </c>
      <c r="B87" s="12">
        <v>2000</v>
      </c>
      <c r="C87" s="26">
        <v>15</v>
      </c>
      <c r="D87" s="27">
        <v>1</v>
      </c>
    </row>
    <row r="88" ht="15">
      <c r="A88" s="28" t="s">
        <v>175</v>
      </c>
      <c r="B88" s="28"/>
      <c r="C88" s="28"/>
      <c r="D88" s="28"/>
      <c r="E88" s="28"/>
    </row>
    <row r="89" ht="15">
      <c r="A89" s="29" t="s">
        <v>176</v>
      </c>
      <c r="B89" s="29"/>
      <c r="C89" s="29"/>
      <c r="D89" s="29"/>
      <c r="E89" s="29"/>
    </row>
    <row r="90" ht="15">
      <c r="A90" s="14" t="s">
        <v>40</v>
      </c>
      <c r="B90" s="14" t="s">
        <v>177</v>
      </c>
      <c r="C90" s="14" t="s">
        <v>178</v>
      </c>
      <c r="D90" s="14" t="s">
        <v>179</v>
      </c>
      <c r="E90" s="14" t="s">
        <v>180</v>
      </c>
    </row>
    <row r="91" ht="15">
      <c r="A91" s="15" t="s">
        <v>18</v>
      </c>
      <c r="B91" s="30">
        <v>1</v>
      </c>
      <c r="C91" s="31">
        <f>BOM_Consumo!K6/8</f>
        <v>370</v>
      </c>
      <c r="D91" s="31">
        <f>B91*C91</f>
        <v>370</v>
      </c>
      <c r="E91" s="32" t="str">
        <f>IF(B91&gt;=1.5,"NO","SÍ - RIESGO ALTO")</f>
        <v>SÍ - RIESGO ALTO</v>
      </c>
    </row>
    <row r="92" ht="15">
      <c r="A92" s="15" t="s">
        <v>19</v>
      </c>
      <c r="B92" s="30">
        <v>1</v>
      </c>
      <c r="C92" s="31">
        <f>BOM_Consumo!K7/8</f>
        <v>18.5</v>
      </c>
      <c r="D92" s="31">
        <f>B92*C92</f>
        <v>18.5</v>
      </c>
      <c r="E92" s="32" t="str">
        <f>IF(B92&gt;=1.5,"NO","SÍ - RIESGO ALTO")</f>
        <v>SÍ - RIESGO ALTO</v>
      </c>
    </row>
    <row r="93" ht="15">
      <c r="A93" s="15" t="s">
        <v>83</v>
      </c>
      <c r="B93" s="30">
        <v>2</v>
      </c>
      <c r="C93" s="31">
        <f>BOM_Consumo!K8/8</f>
        <v>14800</v>
      </c>
      <c r="D93" s="31">
        <f>B93*C93</f>
        <v>29600</v>
      </c>
      <c r="E93" s="32" t="str">
        <f>IF(B93&gt;=1.5,"NO","SÍ - RIESGO ALTO")</f>
        <v>NO</v>
      </c>
    </row>
    <row r="94" ht="15">
      <c r="A94" s="15" t="s">
        <v>84</v>
      </c>
      <c r="B94" s="30">
        <v>1</v>
      </c>
      <c r="C94" s="31">
        <f>BOM_Consumo!K9/8</f>
        <v>555</v>
      </c>
      <c r="D94" s="31">
        <f>B94*C94</f>
        <v>555</v>
      </c>
      <c r="E94" s="32" t="str">
        <f>IF(B94&gt;=1.5,"NO","SÍ - RIESGO ALTO")</f>
        <v>SÍ - RIESGO ALTO</v>
      </c>
    </row>
    <row r="95" ht="15">
      <c r="A95" s="15" t="s">
        <v>85</v>
      </c>
      <c r="B95" s="30">
        <v>1</v>
      </c>
      <c r="C95" s="31">
        <f>BOM_Consumo!K10/8</f>
        <v>1110</v>
      </c>
      <c r="D95" s="31">
        <f>B95*C95</f>
        <v>1110</v>
      </c>
      <c r="E95" s="32" t="str">
        <f>IF(B95&gt;=1.5,"NO","SÍ - RIESGO ALTO")</f>
        <v>SÍ - RIESGO ALTO</v>
      </c>
    </row>
    <row r="96" ht="15">
      <c r="A96" s="15" t="s">
        <v>86</v>
      </c>
      <c r="B96" s="30">
        <v>1</v>
      </c>
      <c r="C96" s="31">
        <f>BOM_Consumo!K11/8</f>
        <v>3700</v>
      </c>
      <c r="D96" s="31">
        <f>B96*C96</f>
        <v>3700</v>
      </c>
      <c r="E96" s="32" t="str">
        <f>IF(B96&gt;=1.5,"NO","SÍ - RIESGO ALTO")</f>
        <v>SÍ - RIESGO ALTO</v>
      </c>
    </row>
    <row r="97" ht="15">
      <c r="A97" s="15" t="s">
        <v>87</v>
      </c>
      <c r="B97" s="30">
        <v>1</v>
      </c>
      <c r="C97" s="31">
        <f>BOM_Consumo!K12/8</f>
        <v>1387.5</v>
      </c>
      <c r="D97" s="31">
        <f>B97*C97</f>
        <v>1387.5</v>
      </c>
      <c r="E97" s="32" t="str">
        <f>IF(B97&gt;=1.5,"NO","SÍ - RIESGO ALTO")</f>
        <v>SÍ - RIESGO ALTO</v>
      </c>
    </row>
    <row r="98" ht="15">
      <c r="A98" s="15" t="s">
        <v>88</v>
      </c>
      <c r="B98" s="30">
        <v>1</v>
      </c>
      <c r="C98" s="31">
        <f>BOM_Consumo!K13/8</f>
        <v>0</v>
      </c>
      <c r="D98" s="31">
        <f>B98*C98</f>
        <v>0</v>
      </c>
      <c r="E98" s="32" t="str">
        <f>IF(B98&gt;=1.5,"NO","SÍ - RIESGO ALTO")</f>
        <v>SÍ - RIESGO ALTO</v>
      </c>
    </row>
  </sheetData>
  <mergeCells>
    <mergeCell ref="A1:K1"/>
    <mergeCell ref="A2:K2"/>
    <mergeCell ref="A4:K4"/>
    <mergeCell ref="A9:D9"/>
    <mergeCell ref="A21:D21"/>
    <mergeCell ref="A33:D33"/>
    <mergeCell ref="A45:D45"/>
    <mergeCell ref="A57:E57"/>
    <mergeCell ref="A64:G64"/>
    <mergeCell ref="A72:G72"/>
    <mergeCell ref="A80:D80"/>
    <mergeCell ref="A88:E88"/>
    <mergeCell ref="A89:E8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min="1" max="1" width="15" customWidth="1" style="6"/>
    <col min="2" max="11" width="12" customWidth="1" style="6"/>
  </cols>
  <sheetData>
    <row r="1" ht="17.25">
      <c r="A1" s="7" t="s">
        <v>181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ht="15">
      <c r="A2" s="33" t="s">
        <v>182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ht="15">
      <c r="A3" s="34" t="s">
        <v>183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</row>
    <row r="5" ht="15">
      <c r="A5" s="35" t="s">
        <v>40</v>
      </c>
      <c r="B5" s="35" t="s">
        <v>184</v>
      </c>
      <c r="C5" s="35" t="s">
        <v>4</v>
      </c>
      <c r="D5" s="35" t="s">
        <v>5</v>
      </c>
      <c r="E5" s="35" t="s">
        <v>6</v>
      </c>
      <c r="F5" s="35" t="s">
        <v>7</v>
      </c>
      <c r="G5" s="35" t="s">
        <v>8</v>
      </c>
      <c r="H5" s="35" t="s">
        <v>9</v>
      </c>
      <c r="I5" s="35" t="s">
        <v>10</v>
      </c>
      <c r="J5" s="35" t="s">
        <v>11</v>
      </c>
      <c r="K5" s="35" t="s">
        <v>12</v>
      </c>
    </row>
    <row r="6" ht="15">
      <c r="A6" s="15" t="s">
        <v>18</v>
      </c>
      <c r="B6" s="36">
        <f>Inputs!B24</f>
        <v>0.2</v>
      </c>
      <c r="C6" s="37">
        <f>Inputs!B$6*B6</f>
        <v>370</v>
      </c>
      <c r="D6" s="37">
        <f>Inputs!C$6*B6</f>
        <v>370</v>
      </c>
      <c r="E6" s="37">
        <f>Inputs!D$6*B6</f>
        <v>370</v>
      </c>
      <c r="F6" s="37">
        <f>Inputs!E$6*B6</f>
        <v>370</v>
      </c>
      <c r="G6" s="37">
        <f>Inputs!F$6*B6</f>
        <v>370</v>
      </c>
      <c r="H6" s="37">
        <f>Inputs!G$6*B6</f>
        <v>370</v>
      </c>
      <c r="I6" s="37">
        <f>Inputs!H$6*B6</f>
        <v>370</v>
      </c>
      <c r="J6" s="37">
        <f>Inputs!I$6*B6</f>
        <v>370</v>
      </c>
      <c r="K6" s="38">
        <f>SUM(C6:J6)</f>
        <v>2960</v>
      </c>
    </row>
    <row r="7" ht="15">
      <c r="A7" s="15" t="s">
        <v>19</v>
      </c>
      <c r="B7" s="36">
        <f>Inputs!B25</f>
        <v>0.01</v>
      </c>
      <c r="C7" s="37">
        <f>Inputs!B$6*B7</f>
        <v>18.5</v>
      </c>
      <c r="D7" s="37">
        <f>Inputs!C$6*B7</f>
        <v>18.5</v>
      </c>
      <c r="E7" s="37">
        <f>Inputs!D$6*B7</f>
        <v>18.5</v>
      </c>
      <c r="F7" s="37">
        <f>Inputs!E$6*B7</f>
        <v>18.5</v>
      </c>
      <c r="G7" s="37">
        <f>Inputs!F$6*B7</f>
        <v>18.5</v>
      </c>
      <c r="H7" s="37">
        <f>Inputs!G$6*B7</f>
        <v>18.5</v>
      </c>
      <c r="I7" s="37">
        <f>Inputs!H$6*B7</f>
        <v>18.5</v>
      </c>
      <c r="J7" s="37">
        <f>Inputs!I$6*B7</f>
        <v>18.5</v>
      </c>
      <c r="K7" s="38">
        <f>SUM(C7:J7)</f>
        <v>148</v>
      </c>
    </row>
    <row r="8" ht="15">
      <c r="A8" s="15" t="s">
        <v>83</v>
      </c>
      <c r="B8" s="36">
        <f>Inputs!B26</f>
        <v>8</v>
      </c>
      <c r="C8" s="37">
        <f>Inputs!B$6*B8</f>
        <v>14800</v>
      </c>
      <c r="D8" s="37">
        <f>Inputs!C$6*B8</f>
        <v>14800</v>
      </c>
      <c r="E8" s="37">
        <f>Inputs!D$6*B8</f>
        <v>14800</v>
      </c>
      <c r="F8" s="37">
        <f>Inputs!E$6*B8</f>
        <v>14800</v>
      </c>
      <c r="G8" s="37">
        <f>Inputs!F$6*B8</f>
        <v>14800</v>
      </c>
      <c r="H8" s="37">
        <f>Inputs!G$6*B8</f>
        <v>14800</v>
      </c>
      <c r="I8" s="37">
        <f>Inputs!H$6*B8</f>
        <v>14800</v>
      </c>
      <c r="J8" s="37">
        <f>Inputs!I$6*B8</f>
        <v>14800</v>
      </c>
      <c r="K8" s="38">
        <f>SUM(C8:J8)</f>
        <v>118400</v>
      </c>
    </row>
    <row r="9" ht="15">
      <c r="A9" s="15" t="s">
        <v>84</v>
      </c>
      <c r="B9" s="36">
        <f>Inputs!B27</f>
        <v>0.3</v>
      </c>
      <c r="C9" s="37">
        <f>Inputs!B$6*B9</f>
        <v>555</v>
      </c>
      <c r="D9" s="37">
        <f>Inputs!C$6*B9</f>
        <v>555</v>
      </c>
      <c r="E9" s="37">
        <f>Inputs!D$6*B9</f>
        <v>555</v>
      </c>
      <c r="F9" s="37">
        <f>Inputs!E$6*B9</f>
        <v>555</v>
      </c>
      <c r="G9" s="37">
        <f>Inputs!F$6*B9</f>
        <v>555</v>
      </c>
      <c r="H9" s="37">
        <f>Inputs!G$6*B9</f>
        <v>555</v>
      </c>
      <c r="I9" s="37">
        <f>Inputs!H$6*B9</f>
        <v>555</v>
      </c>
      <c r="J9" s="37">
        <f>Inputs!I$6*B9</f>
        <v>555</v>
      </c>
      <c r="K9" s="38">
        <f>SUM(C9:J9)</f>
        <v>4440</v>
      </c>
    </row>
    <row r="10" ht="15">
      <c r="A10" s="15" t="s">
        <v>85</v>
      </c>
      <c r="B10" s="36">
        <f>Inputs!B28</f>
        <v>0.6</v>
      </c>
      <c r="C10" s="37">
        <f>Inputs!B$6*B10</f>
        <v>1110</v>
      </c>
      <c r="D10" s="37">
        <f>Inputs!C$6*B10</f>
        <v>1110</v>
      </c>
      <c r="E10" s="37">
        <f>Inputs!D$6*B10</f>
        <v>1110</v>
      </c>
      <c r="F10" s="37">
        <f>Inputs!E$6*B10</f>
        <v>1110</v>
      </c>
      <c r="G10" s="37">
        <f>Inputs!F$6*B10</f>
        <v>1110</v>
      </c>
      <c r="H10" s="37">
        <f>Inputs!G$6*B10</f>
        <v>1110</v>
      </c>
      <c r="I10" s="37">
        <f>Inputs!H$6*B10</f>
        <v>1110</v>
      </c>
      <c r="J10" s="37">
        <f>Inputs!I$6*B10</f>
        <v>1110</v>
      </c>
      <c r="K10" s="38">
        <f>SUM(C10:J10)</f>
        <v>8880</v>
      </c>
    </row>
    <row r="11" ht="15">
      <c r="A11" s="15" t="s">
        <v>86</v>
      </c>
      <c r="B11" s="36">
        <f>Inputs!B29</f>
        <v>2</v>
      </c>
      <c r="C11" s="37">
        <f>Inputs!B$6*B11</f>
        <v>3700</v>
      </c>
      <c r="D11" s="37">
        <f>Inputs!C$6*B11</f>
        <v>3700</v>
      </c>
      <c r="E11" s="37">
        <f>Inputs!D$6*B11</f>
        <v>3700</v>
      </c>
      <c r="F11" s="37">
        <f>Inputs!E$6*B11</f>
        <v>3700</v>
      </c>
      <c r="G11" s="37">
        <f>Inputs!F$6*B11</f>
        <v>3700</v>
      </c>
      <c r="H11" s="37">
        <f>Inputs!G$6*B11</f>
        <v>3700</v>
      </c>
      <c r="I11" s="37">
        <f>Inputs!H$6*B11</f>
        <v>3700</v>
      </c>
      <c r="J11" s="37">
        <f>Inputs!I$6*B11</f>
        <v>3700</v>
      </c>
      <c r="K11" s="38">
        <f>SUM(C11:J11)</f>
        <v>29600</v>
      </c>
    </row>
    <row r="12" ht="15">
      <c r="A12" s="15" t="s">
        <v>87</v>
      </c>
      <c r="B12" s="36">
        <f>Inputs!B30</f>
        <v>0.75</v>
      </c>
      <c r="C12" s="37">
        <f>Inputs!B$6*B12</f>
        <v>1387.5</v>
      </c>
      <c r="D12" s="37">
        <f>Inputs!C$6*B12</f>
        <v>1387.5</v>
      </c>
      <c r="E12" s="37">
        <f>Inputs!D$6*B12</f>
        <v>1387.5</v>
      </c>
      <c r="F12" s="37">
        <f>Inputs!E$6*B12</f>
        <v>1387.5</v>
      </c>
      <c r="G12" s="37">
        <f>Inputs!F$6*B12</f>
        <v>1387.5</v>
      </c>
      <c r="H12" s="37">
        <f>Inputs!G$6*B12</f>
        <v>1387.5</v>
      </c>
      <c r="I12" s="37">
        <f>Inputs!H$6*B12</f>
        <v>1387.5</v>
      </c>
      <c r="J12" s="37">
        <f>Inputs!I$6*B12</f>
        <v>1387.5</v>
      </c>
      <c r="K12" s="38">
        <f>SUM(C12:J12)</f>
        <v>11100</v>
      </c>
    </row>
    <row r="13" ht="15">
      <c r="A13" s="15" t="s">
        <v>88</v>
      </c>
      <c r="B13" s="36">
        <f>Inputs!B31</f>
        <v>0</v>
      </c>
      <c r="C13" s="37">
        <f>Inputs!B$6*B13</f>
        <v>0</v>
      </c>
      <c r="D13" s="37">
        <f>Inputs!C$6*B13</f>
        <v>0</v>
      </c>
      <c r="E13" s="37">
        <f>Inputs!D$6*B13</f>
        <v>0</v>
      </c>
      <c r="F13" s="37">
        <f>Inputs!E$6*B13</f>
        <v>0</v>
      </c>
      <c r="G13" s="37">
        <f>Inputs!F$6*B13</f>
        <v>0</v>
      </c>
      <c r="H13" s="37">
        <f>Inputs!G$6*B13</f>
        <v>0</v>
      </c>
      <c r="I13" s="37">
        <f>Inputs!H$6*B13</f>
        <v>0</v>
      </c>
      <c r="J13" s="37">
        <f>Inputs!I$6*B13</f>
        <v>0</v>
      </c>
      <c r="K13" s="38">
        <f>SUM(C13:J13)</f>
        <v>0</v>
      </c>
    </row>
    <row r="15" ht="15">
      <c r="A15" s="39" t="s">
        <v>185</v>
      </c>
      <c r="B15" s="39"/>
      <c r="C15" s="40">
        <f>Inputs!B6</f>
        <v>1850</v>
      </c>
      <c r="D15" s="40">
        <f>Inputs!C6</f>
        <v>1850</v>
      </c>
      <c r="E15" s="40">
        <f>Inputs!D6</f>
        <v>1850</v>
      </c>
      <c r="F15" s="40">
        <f>Inputs!E6</f>
        <v>1850</v>
      </c>
      <c r="G15" s="40">
        <f>Inputs!F6</f>
        <v>1850</v>
      </c>
      <c r="H15" s="40">
        <f>Inputs!G6</f>
        <v>1850</v>
      </c>
      <c r="I15" s="40">
        <f>Inputs!H6</f>
        <v>1850</v>
      </c>
      <c r="J15" s="40">
        <f>Inputs!I6</f>
        <v>1850</v>
      </c>
      <c r="K15" s="38">
        <f>SUM(C15:J15)</f>
        <v>14800</v>
      </c>
    </row>
  </sheetData>
  <mergeCells>
    <mergeCell ref="A1:L1"/>
    <mergeCell ref="A2:L2"/>
    <mergeCell ref="A3:L3"/>
    <mergeCell ref="A15:B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min="1" max="1" width="15" customWidth="1" style="6"/>
    <col min="2" max="9" width="12" customWidth="1" style="6"/>
  </cols>
  <sheetData>
    <row r="1" ht="17.25">
      <c r="A1" s="7" t="s">
        <v>186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ht="15">
      <c r="A2" s="33" t="s">
        <v>187</v>
      </c>
      <c r="B2" s="33"/>
      <c r="C2" s="33"/>
      <c r="D2" s="33"/>
      <c r="E2" s="33"/>
      <c r="F2" s="33"/>
      <c r="G2" s="33"/>
      <c r="H2" s="33"/>
      <c r="I2" s="33"/>
      <c r="J2" s="33"/>
      <c r="K2" s="33"/>
    </row>
    <row r="3" ht="15">
      <c r="A3" s="41" t="s">
        <v>188</v>
      </c>
      <c r="B3" s="41"/>
      <c r="C3" s="41"/>
      <c r="D3" s="41"/>
      <c r="E3" s="41"/>
      <c r="F3" s="41"/>
      <c r="G3" s="41"/>
      <c r="H3" s="41"/>
      <c r="I3" s="41"/>
      <c r="J3" s="41"/>
      <c r="K3" s="41"/>
    </row>
    <row r="5" ht="15">
      <c r="A5" s="9" t="s">
        <v>18</v>
      </c>
      <c r="B5" s="9"/>
      <c r="C5" s="9"/>
      <c r="D5" s="9"/>
      <c r="E5" s="9"/>
      <c r="F5" s="9"/>
      <c r="G5" s="9"/>
      <c r="H5" s="9"/>
      <c r="I5" s="9"/>
      <c r="J5" s="9"/>
      <c r="K5" s="9"/>
    </row>
    <row r="6" ht="15">
      <c r="A6" s="10" t="s">
        <v>3</v>
      </c>
      <c r="B6" s="10" t="s">
        <v>4</v>
      </c>
      <c r="C6" s="10" t="s">
        <v>5</v>
      </c>
      <c r="D6" s="10" t="s">
        <v>6</v>
      </c>
      <c r="E6" s="10" t="s">
        <v>7</v>
      </c>
      <c r="F6" s="10" t="s">
        <v>8</v>
      </c>
      <c r="G6" s="10" t="s">
        <v>9</v>
      </c>
      <c r="H6" s="10" t="s">
        <v>10</v>
      </c>
      <c r="I6" s="10" t="s">
        <v>11</v>
      </c>
    </row>
    <row r="7" ht="15">
      <c r="A7" s="15" t="s">
        <v>189</v>
      </c>
      <c r="B7" s="42">
        <f>Inputs!B13</f>
        <v>130</v>
      </c>
      <c r="C7" s="31">
        <f>B10</f>
        <v>-240</v>
      </c>
      <c r="D7" s="31">
        <f>C10</f>
        <v>-610</v>
      </c>
      <c r="E7" s="31">
        <f>D10</f>
        <v>-980</v>
      </c>
      <c r="F7" s="31">
        <f>E10</f>
        <v>-1350</v>
      </c>
      <c r="G7" s="31">
        <f>F10</f>
        <v>-1720</v>
      </c>
      <c r="H7" s="31">
        <f>G10</f>
        <v>-2090</v>
      </c>
      <c r="I7" s="31">
        <f>H10</f>
        <v>-2460</v>
      </c>
    </row>
    <row r="8" ht="15">
      <c r="A8" s="15" t="s">
        <v>190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</row>
    <row r="9" ht="15">
      <c r="A9" s="15" t="s">
        <v>191</v>
      </c>
      <c r="B9" s="42">
        <f>BOM_Consumo!C6</f>
        <v>370</v>
      </c>
      <c r="C9" s="42">
        <f>BOM_Consumo!D6</f>
        <v>370</v>
      </c>
      <c r="D9" s="42">
        <f>BOM_Consumo!E6</f>
        <v>370</v>
      </c>
      <c r="E9" s="42">
        <f>BOM_Consumo!F6</f>
        <v>370</v>
      </c>
      <c r="F9" s="42">
        <f>BOM_Consumo!G6</f>
        <v>370</v>
      </c>
      <c r="G9" s="42">
        <f>BOM_Consumo!H6</f>
        <v>370</v>
      </c>
      <c r="H9" s="42">
        <f>BOM_Consumo!I6</f>
        <v>370</v>
      </c>
      <c r="I9" s="42">
        <f>BOM_Consumo!J6</f>
        <v>370</v>
      </c>
    </row>
    <row r="10" ht="15">
      <c r="A10" s="11" t="s">
        <v>192</v>
      </c>
      <c r="B10" s="38">
        <f>B7+B8-B9</f>
        <v>-240</v>
      </c>
      <c r="C10" s="38">
        <f>C7+C8-C9</f>
        <v>-610</v>
      </c>
      <c r="D10" s="38">
        <f>D7+D8-D9</f>
        <v>-980</v>
      </c>
      <c r="E10" s="38">
        <f>E7+E8-E9</f>
        <v>-1350</v>
      </c>
      <c r="F10" s="38">
        <f>F7+F8-F9</f>
        <v>-1720</v>
      </c>
      <c r="G10" s="38">
        <f>G7+G8-G9</f>
        <v>-2090</v>
      </c>
      <c r="H10" s="38">
        <f>H7+H8-H9</f>
        <v>-2460</v>
      </c>
      <c r="I10" s="38">
        <f>I7+I8-I9</f>
        <v>-2830</v>
      </c>
    </row>
    <row r="11" ht="15">
      <c r="A11" s="9" t="s">
        <v>19</v>
      </c>
      <c r="B11" s="9"/>
      <c r="C11" s="9"/>
      <c r="D11" s="9"/>
      <c r="E11" s="9"/>
      <c r="F11" s="9"/>
      <c r="G11" s="9"/>
      <c r="H11" s="9"/>
      <c r="I11" s="9"/>
      <c r="J11" s="9"/>
      <c r="K11" s="9"/>
    </row>
    <row r="12" ht="15">
      <c r="A12" s="10" t="s">
        <v>3</v>
      </c>
      <c r="B12" s="10" t="s">
        <v>4</v>
      </c>
      <c r="C12" s="10" t="s">
        <v>5</v>
      </c>
      <c r="D12" s="10" t="s">
        <v>6</v>
      </c>
      <c r="E12" s="10" t="s">
        <v>7</v>
      </c>
      <c r="F12" s="10" t="s">
        <v>8</v>
      </c>
      <c r="G12" s="10" t="s">
        <v>9</v>
      </c>
      <c r="H12" s="10" t="s">
        <v>10</v>
      </c>
      <c r="I12" s="10" t="s">
        <v>11</v>
      </c>
    </row>
    <row r="13" ht="15">
      <c r="A13" s="15" t="s">
        <v>189</v>
      </c>
      <c r="B13" s="42">
        <f>Inputs!B14</f>
        <v>5268</v>
      </c>
      <c r="C13" s="31">
        <f>B16</f>
        <v>5249.5</v>
      </c>
      <c r="D13" s="31">
        <f>C16</f>
        <v>5231</v>
      </c>
      <c r="E13" s="31">
        <f>D16</f>
        <v>5212.5</v>
      </c>
      <c r="F13" s="31">
        <f>E16</f>
        <v>5194</v>
      </c>
      <c r="G13" s="31">
        <f>F16</f>
        <v>5175.5</v>
      </c>
      <c r="H13" s="31">
        <f>G16</f>
        <v>5157</v>
      </c>
      <c r="I13" s="31">
        <f>H16</f>
        <v>5138.5</v>
      </c>
    </row>
    <row r="14" ht="15">
      <c r="A14" s="15" t="s">
        <v>190</v>
      </c>
      <c r="B14" s="12">
        <v>0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</row>
    <row r="15" ht="15">
      <c r="A15" s="15" t="s">
        <v>191</v>
      </c>
      <c r="B15" s="42">
        <f>BOM_Consumo!C7</f>
        <v>18.5</v>
      </c>
      <c r="C15" s="42">
        <f>BOM_Consumo!D7</f>
        <v>18.5</v>
      </c>
      <c r="D15" s="42">
        <f>BOM_Consumo!E7</f>
        <v>18.5</v>
      </c>
      <c r="E15" s="42">
        <f>BOM_Consumo!F7</f>
        <v>18.5</v>
      </c>
      <c r="F15" s="42">
        <f>BOM_Consumo!G7</f>
        <v>18.5</v>
      </c>
      <c r="G15" s="42">
        <f>BOM_Consumo!H7</f>
        <v>18.5</v>
      </c>
      <c r="H15" s="42">
        <f>BOM_Consumo!I7</f>
        <v>18.5</v>
      </c>
      <c r="I15" s="42">
        <f>BOM_Consumo!J7</f>
        <v>18.5</v>
      </c>
    </row>
    <row r="16" ht="15">
      <c r="A16" s="11" t="s">
        <v>192</v>
      </c>
      <c r="B16" s="38">
        <f>B13+B14-B15</f>
        <v>5249.5</v>
      </c>
      <c r="C16" s="38">
        <f>C13+C14-C15</f>
        <v>5231</v>
      </c>
      <c r="D16" s="38">
        <f>D13+D14-D15</f>
        <v>5212.5</v>
      </c>
      <c r="E16" s="38">
        <f>E13+E14-E15</f>
        <v>5194</v>
      </c>
      <c r="F16" s="38">
        <f>F13+F14-F15</f>
        <v>5175.5</v>
      </c>
      <c r="G16" s="38">
        <f>G13+G14-G15</f>
        <v>5157</v>
      </c>
      <c r="H16" s="38">
        <f>H13+H14-H15</f>
        <v>5138.5</v>
      </c>
      <c r="I16" s="38">
        <f>I13+I14-I15</f>
        <v>5120</v>
      </c>
    </row>
    <row r="17" ht="15">
      <c r="A17" s="9" t="s">
        <v>83</v>
      </c>
      <c r="B17" s="9"/>
      <c r="C17" s="9"/>
      <c r="D17" s="9"/>
      <c r="E17" s="9"/>
      <c r="F17" s="9"/>
      <c r="G17" s="9"/>
      <c r="H17" s="9"/>
      <c r="I17" s="9"/>
      <c r="J17" s="9"/>
      <c r="K17" s="9"/>
    </row>
    <row r="18" ht="15">
      <c r="A18" s="10" t="s">
        <v>3</v>
      </c>
      <c r="B18" s="10" t="s">
        <v>4</v>
      </c>
      <c r="C18" s="10" t="s">
        <v>5</v>
      </c>
      <c r="D18" s="10" t="s">
        <v>6</v>
      </c>
      <c r="E18" s="10" t="s">
        <v>7</v>
      </c>
      <c r="F18" s="10" t="s">
        <v>8</v>
      </c>
      <c r="G18" s="10" t="s">
        <v>9</v>
      </c>
      <c r="H18" s="10" t="s">
        <v>10</v>
      </c>
      <c r="I18" s="10" t="s">
        <v>11</v>
      </c>
    </row>
    <row r="19" ht="15">
      <c r="A19" s="15" t="s">
        <v>189</v>
      </c>
      <c r="B19" s="42">
        <f>Inputs!B15</f>
        <v>4333</v>
      </c>
      <c r="C19" s="31">
        <f>B22</f>
        <v>-10467</v>
      </c>
      <c r="D19" s="31">
        <f>C22</f>
        <v>-25267</v>
      </c>
      <c r="E19" s="31">
        <f>D22</f>
        <v>-40067</v>
      </c>
      <c r="F19" s="31">
        <f>E22</f>
        <v>-54867</v>
      </c>
      <c r="G19" s="31">
        <f>F22</f>
        <v>-69667</v>
      </c>
      <c r="H19" s="31">
        <f>G22</f>
        <v>-84467</v>
      </c>
      <c r="I19" s="31">
        <f>H22</f>
        <v>-99267</v>
      </c>
    </row>
    <row r="20" ht="15">
      <c r="A20" s="15" t="s">
        <v>190</v>
      </c>
      <c r="B20" s="12">
        <v>0</v>
      </c>
      <c r="C20" s="12">
        <v>0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</row>
    <row r="21" ht="15">
      <c r="A21" s="15" t="s">
        <v>191</v>
      </c>
      <c r="B21" s="42">
        <f>BOM_Consumo!C8</f>
        <v>14800</v>
      </c>
      <c r="C21" s="42">
        <f>BOM_Consumo!D8</f>
        <v>14800</v>
      </c>
      <c r="D21" s="42">
        <f>BOM_Consumo!E8</f>
        <v>14800</v>
      </c>
      <c r="E21" s="42">
        <f>BOM_Consumo!F8</f>
        <v>14800</v>
      </c>
      <c r="F21" s="42">
        <f>BOM_Consumo!G8</f>
        <v>14800</v>
      </c>
      <c r="G21" s="42">
        <f>BOM_Consumo!H8</f>
        <v>14800</v>
      </c>
      <c r="H21" s="42">
        <f>BOM_Consumo!I8</f>
        <v>14800</v>
      </c>
      <c r="I21" s="42">
        <f>BOM_Consumo!J8</f>
        <v>14800</v>
      </c>
    </row>
    <row r="22" ht="15">
      <c r="A22" s="11" t="s">
        <v>192</v>
      </c>
      <c r="B22" s="38">
        <f>B19+B20-B21</f>
        <v>-10467</v>
      </c>
      <c r="C22" s="38">
        <f>C19+C20-C21</f>
        <v>-25267</v>
      </c>
      <c r="D22" s="38">
        <f>D19+D20-D21</f>
        <v>-40067</v>
      </c>
      <c r="E22" s="38">
        <f>E19+E20-E21</f>
        <v>-54867</v>
      </c>
      <c r="F22" s="38">
        <f>F19+F20-F21</f>
        <v>-69667</v>
      </c>
      <c r="G22" s="38">
        <f>G19+G20-G21</f>
        <v>-84467</v>
      </c>
      <c r="H22" s="38">
        <f>H19+H20-H21</f>
        <v>-99267</v>
      </c>
      <c r="I22" s="38">
        <f>I19+I20-I21</f>
        <v>-114067</v>
      </c>
    </row>
    <row r="23" ht="15">
      <c r="A23" s="9" t="s">
        <v>84</v>
      </c>
      <c r="B23" s="9"/>
      <c r="C23" s="9"/>
      <c r="D23" s="9"/>
      <c r="E23" s="9"/>
      <c r="F23" s="9"/>
      <c r="G23" s="9"/>
      <c r="H23" s="9"/>
      <c r="I23" s="9"/>
      <c r="J23" s="9"/>
      <c r="K23" s="9"/>
    </row>
    <row r="24" ht="15">
      <c r="A24" s="10" t="s">
        <v>3</v>
      </c>
      <c r="B24" s="10" t="s">
        <v>4</v>
      </c>
      <c r="C24" s="10" t="s">
        <v>5</v>
      </c>
      <c r="D24" s="10" t="s">
        <v>6</v>
      </c>
      <c r="E24" s="10" t="s">
        <v>7</v>
      </c>
      <c r="F24" s="10" t="s">
        <v>8</v>
      </c>
      <c r="G24" s="10" t="s">
        <v>9</v>
      </c>
      <c r="H24" s="10" t="s">
        <v>10</v>
      </c>
      <c r="I24" s="10" t="s">
        <v>11</v>
      </c>
    </row>
    <row r="25" ht="15">
      <c r="A25" s="15" t="s">
        <v>189</v>
      </c>
      <c r="B25" s="42">
        <f>Inputs!B16</f>
        <v>8487</v>
      </c>
      <c r="C25" s="31">
        <f>B28</f>
        <v>7932</v>
      </c>
      <c r="D25" s="31">
        <f>C28</f>
        <v>7377</v>
      </c>
      <c r="E25" s="31">
        <f>D28</f>
        <v>6822</v>
      </c>
      <c r="F25" s="31">
        <f>E28</f>
        <v>6267</v>
      </c>
      <c r="G25" s="31">
        <f>F28</f>
        <v>5712</v>
      </c>
      <c r="H25" s="31">
        <f>G28</f>
        <v>5157</v>
      </c>
      <c r="I25" s="31">
        <f>H28</f>
        <v>4602</v>
      </c>
    </row>
    <row r="26" ht="15">
      <c r="A26" s="15" t="s">
        <v>190</v>
      </c>
      <c r="B26" s="12">
        <v>0</v>
      </c>
      <c r="C26" s="12">
        <v>0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</row>
    <row r="27" ht="15">
      <c r="A27" s="15" t="s">
        <v>191</v>
      </c>
      <c r="B27" s="42">
        <f>BOM_Consumo!C9</f>
        <v>555</v>
      </c>
      <c r="C27" s="42">
        <f>BOM_Consumo!D9</f>
        <v>555</v>
      </c>
      <c r="D27" s="42">
        <f>BOM_Consumo!E9</f>
        <v>555</v>
      </c>
      <c r="E27" s="42">
        <f>BOM_Consumo!F9</f>
        <v>555</v>
      </c>
      <c r="F27" s="42">
        <f>BOM_Consumo!G9</f>
        <v>555</v>
      </c>
      <c r="G27" s="42">
        <f>BOM_Consumo!H9</f>
        <v>555</v>
      </c>
      <c r="H27" s="42">
        <f>BOM_Consumo!I9</f>
        <v>555</v>
      </c>
      <c r="I27" s="42">
        <f>BOM_Consumo!J9</f>
        <v>555</v>
      </c>
    </row>
    <row r="28" ht="15">
      <c r="A28" s="11" t="s">
        <v>192</v>
      </c>
      <c r="B28" s="38">
        <f>B25+B26-B27</f>
        <v>7932</v>
      </c>
      <c r="C28" s="38">
        <f>C25+C26-C27</f>
        <v>7377</v>
      </c>
      <c r="D28" s="38">
        <f>D25+D26-D27</f>
        <v>6822</v>
      </c>
      <c r="E28" s="38">
        <f>E25+E26-E27</f>
        <v>6267</v>
      </c>
      <c r="F28" s="38">
        <f>F25+F26-F27</f>
        <v>5712</v>
      </c>
      <c r="G28" s="38">
        <f>G25+G26-G27</f>
        <v>5157</v>
      </c>
      <c r="H28" s="38">
        <f>H25+H26-H27</f>
        <v>4602</v>
      </c>
      <c r="I28" s="38">
        <f>I25+I26-I27</f>
        <v>4047</v>
      </c>
    </row>
    <row r="29" ht="15">
      <c r="A29" s="9" t="s">
        <v>85</v>
      </c>
      <c r="B29" s="9"/>
      <c r="C29" s="9"/>
      <c r="D29" s="9"/>
      <c r="E29" s="9"/>
      <c r="F29" s="9"/>
      <c r="G29" s="9"/>
      <c r="H29" s="9"/>
      <c r="I29" s="9"/>
      <c r="J29" s="9"/>
      <c r="K29" s="9"/>
    </row>
    <row r="30" ht="15">
      <c r="A30" s="10" t="s">
        <v>3</v>
      </c>
      <c r="B30" s="10" t="s">
        <v>4</v>
      </c>
      <c r="C30" s="10" t="s">
        <v>5</v>
      </c>
      <c r="D30" s="10" t="s">
        <v>6</v>
      </c>
      <c r="E30" s="10" t="s">
        <v>7</v>
      </c>
      <c r="F30" s="10" t="s">
        <v>8</v>
      </c>
      <c r="G30" s="10" t="s">
        <v>9</v>
      </c>
      <c r="H30" s="10" t="s">
        <v>10</v>
      </c>
      <c r="I30" s="10" t="s">
        <v>11</v>
      </c>
    </row>
    <row r="31" ht="15">
      <c r="A31" s="15" t="s">
        <v>189</v>
      </c>
      <c r="B31" s="42">
        <f>Inputs!B17</f>
        <v>23192</v>
      </c>
      <c r="C31" s="31">
        <f>B34</f>
        <v>22082</v>
      </c>
      <c r="D31" s="31">
        <f>C34</f>
        <v>20972</v>
      </c>
      <c r="E31" s="31">
        <f>D34</f>
        <v>19862</v>
      </c>
      <c r="F31" s="31">
        <f>E34</f>
        <v>18752</v>
      </c>
      <c r="G31" s="31">
        <f>F34</f>
        <v>17642</v>
      </c>
      <c r="H31" s="31">
        <f>G34</f>
        <v>16532</v>
      </c>
      <c r="I31" s="31">
        <f>H34</f>
        <v>15422</v>
      </c>
    </row>
    <row r="32" ht="15">
      <c r="A32" s="15" t="s">
        <v>190</v>
      </c>
      <c r="B32" s="12">
        <v>0</v>
      </c>
      <c r="C32" s="12">
        <v>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</row>
    <row r="33" ht="15">
      <c r="A33" s="15" t="s">
        <v>191</v>
      </c>
      <c r="B33" s="42">
        <f>BOM_Consumo!C10</f>
        <v>1110</v>
      </c>
      <c r="C33" s="42">
        <f>BOM_Consumo!D10</f>
        <v>1110</v>
      </c>
      <c r="D33" s="42">
        <f>BOM_Consumo!E10</f>
        <v>1110</v>
      </c>
      <c r="E33" s="42">
        <f>BOM_Consumo!F10</f>
        <v>1110</v>
      </c>
      <c r="F33" s="42">
        <f>BOM_Consumo!G10</f>
        <v>1110</v>
      </c>
      <c r="G33" s="42">
        <f>BOM_Consumo!H10</f>
        <v>1110</v>
      </c>
      <c r="H33" s="42">
        <f>BOM_Consumo!I10</f>
        <v>1110</v>
      </c>
      <c r="I33" s="42">
        <f>BOM_Consumo!J10</f>
        <v>1110</v>
      </c>
    </row>
    <row r="34" ht="15">
      <c r="A34" s="11" t="s">
        <v>192</v>
      </c>
      <c r="B34" s="38">
        <f>B31+B32-B33</f>
        <v>22082</v>
      </c>
      <c r="C34" s="38">
        <f>C31+C32-C33</f>
        <v>20972</v>
      </c>
      <c r="D34" s="38">
        <f>D31+D32-D33</f>
        <v>19862</v>
      </c>
      <c r="E34" s="38">
        <f>E31+E32-E33</f>
        <v>18752</v>
      </c>
      <c r="F34" s="38">
        <f>F31+F32-F33</f>
        <v>17642</v>
      </c>
      <c r="G34" s="38">
        <f>G31+G32-G33</f>
        <v>16532</v>
      </c>
      <c r="H34" s="38">
        <f>H31+H32-H33</f>
        <v>15422</v>
      </c>
      <c r="I34" s="38">
        <f>I31+I32-I33</f>
        <v>14312</v>
      </c>
    </row>
    <row r="35" ht="15">
      <c r="A35" s="9" t="s">
        <v>86</v>
      </c>
      <c r="B35" s="9"/>
      <c r="C35" s="9"/>
      <c r="D35" s="9"/>
      <c r="E35" s="9"/>
      <c r="F35" s="9"/>
      <c r="G35" s="9"/>
      <c r="H35" s="9"/>
      <c r="I35" s="9"/>
      <c r="J35" s="9"/>
      <c r="K35" s="9"/>
    </row>
    <row r="36" ht="15">
      <c r="A36" s="10" t="s">
        <v>3</v>
      </c>
      <c r="B36" s="10" t="s">
        <v>4</v>
      </c>
      <c r="C36" s="10" t="s">
        <v>5</v>
      </c>
      <c r="D36" s="10" t="s">
        <v>6</v>
      </c>
      <c r="E36" s="10" t="s">
        <v>7</v>
      </c>
      <c r="F36" s="10" t="s">
        <v>8</v>
      </c>
      <c r="G36" s="10" t="s">
        <v>9</v>
      </c>
      <c r="H36" s="10" t="s">
        <v>10</v>
      </c>
      <c r="I36" s="10" t="s">
        <v>11</v>
      </c>
    </row>
    <row r="37" ht="15">
      <c r="A37" s="15" t="s">
        <v>189</v>
      </c>
      <c r="B37" s="42">
        <f>Inputs!B18</f>
        <v>6035</v>
      </c>
      <c r="C37" s="31">
        <f>B40</f>
        <v>2335</v>
      </c>
      <c r="D37" s="31">
        <f>C40</f>
        <v>-1365</v>
      </c>
      <c r="E37" s="31">
        <f>D40</f>
        <v>-5065</v>
      </c>
      <c r="F37" s="31">
        <f>E40</f>
        <v>-8765</v>
      </c>
      <c r="G37" s="31">
        <f>F40</f>
        <v>-12465</v>
      </c>
      <c r="H37" s="31">
        <f>G40</f>
        <v>-16165</v>
      </c>
      <c r="I37" s="31">
        <f>H40</f>
        <v>-19865</v>
      </c>
    </row>
    <row r="38" ht="15">
      <c r="A38" s="15" t="s">
        <v>190</v>
      </c>
      <c r="B38" s="12">
        <v>0</v>
      </c>
      <c r="C38" s="12">
        <v>0</v>
      </c>
      <c r="D38" s="12">
        <v>0</v>
      </c>
      <c r="E38" s="12">
        <v>0</v>
      </c>
      <c r="F38" s="12">
        <v>0</v>
      </c>
      <c r="G38" s="12">
        <v>0</v>
      </c>
      <c r="H38" s="12">
        <v>0</v>
      </c>
      <c r="I38" s="12">
        <v>0</v>
      </c>
    </row>
    <row r="39" ht="15">
      <c r="A39" s="15" t="s">
        <v>191</v>
      </c>
      <c r="B39" s="42">
        <f>BOM_Consumo!C11</f>
        <v>3700</v>
      </c>
      <c r="C39" s="42">
        <f>BOM_Consumo!D11</f>
        <v>3700</v>
      </c>
      <c r="D39" s="42">
        <f>BOM_Consumo!E11</f>
        <v>3700</v>
      </c>
      <c r="E39" s="42">
        <f>BOM_Consumo!F11</f>
        <v>3700</v>
      </c>
      <c r="F39" s="42">
        <f>BOM_Consumo!G11</f>
        <v>3700</v>
      </c>
      <c r="G39" s="42">
        <f>BOM_Consumo!H11</f>
        <v>3700</v>
      </c>
      <c r="H39" s="42">
        <f>BOM_Consumo!I11</f>
        <v>3700</v>
      </c>
      <c r="I39" s="42">
        <f>BOM_Consumo!J11</f>
        <v>3700</v>
      </c>
    </row>
    <row r="40" ht="15">
      <c r="A40" s="11" t="s">
        <v>192</v>
      </c>
      <c r="B40" s="38">
        <f>B37+B38-B39</f>
        <v>2335</v>
      </c>
      <c r="C40" s="38">
        <f>C37+C38-C39</f>
        <v>-1365</v>
      </c>
      <c r="D40" s="38">
        <f>D37+D38-D39</f>
        <v>-5065</v>
      </c>
      <c r="E40" s="38">
        <f>E37+E38-E39</f>
        <v>-8765</v>
      </c>
      <c r="F40" s="38">
        <f>F37+F38-F39</f>
        <v>-12465</v>
      </c>
      <c r="G40" s="38">
        <f>G37+G38-G39</f>
        <v>-16165</v>
      </c>
      <c r="H40" s="38">
        <f>H37+H38-H39</f>
        <v>-19865</v>
      </c>
      <c r="I40" s="38">
        <f>I37+I38-I39</f>
        <v>-23565</v>
      </c>
    </row>
    <row r="41" ht="15">
      <c r="A41" s="9" t="s">
        <v>87</v>
      </c>
      <c r="B41" s="9"/>
      <c r="C41" s="9"/>
      <c r="D41" s="9"/>
      <c r="E41" s="9"/>
      <c r="F41" s="9"/>
      <c r="G41" s="9"/>
      <c r="H41" s="9"/>
      <c r="I41" s="9"/>
      <c r="J41" s="9"/>
      <c r="K41" s="9"/>
    </row>
    <row r="42" ht="15">
      <c r="A42" s="10" t="s">
        <v>3</v>
      </c>
      <c r="B42" s="10" t="s">
        <v>4</v>
      </c>
      <c r="C42" s="10" t="s">
        <v>5</v>
      </c>
      <c r="D42" s="10" t="s">
        <v>6</v>
      </c>
      <c r="E42" s="10" t="s">
        <v>7</v>
      </c>
      <c r="F42" s="10" t="s">
        <v>8</v>
      </c>
      <c r="G42" s="10" t="s">
        <v>9</v>
      </c>
      <c r="H42" s="10" t="s">
        <v>10</v>
      </c>
      <c r="I42" s="10" t="s">
        <v>11</v>
      </c>
    </row>
    <row r="43" ht="15">
      <c r="A43" s="15" t="s">
        <v>189</v>
      </c>
      <c r="B43" s="42">
        <f>Inputs!B19</f>
        <v>0</v>
      </c>
      <c r="C43" s="31">
        <f>B46</f>
        <v>-1387.5</v>
      </c>
      <c r="D43" s="31">
        <f>C46</f>
        <v>-2775</v>
      </c>
      <c r="E43" s="31">
        <f>D46</f>
        <v>-4162.5</v>
      </c>
      <c r="F43" s="31">
        <f>E46</f>
        <v>-5550</v>
      </c>
      <c r="G43" s="31">
        <f>F46</f>
        <v>-6937.5</v>
      </c>
      <c r="H43" s="31">
        <f>G46</f>
        <v>-8325</v>
      </c>
      <c r="I43" s="31">
        <f>H46</f>
        <v>-9712.5</v>
      </c>
    </row>
    <row r="44" ht="15">
      <c r="A44" s="15" t="s">
        <v>190</v>
      </c>
      <c r="B44" s="12">
        <v>0</v>
      </c>
      <c r="C44" s="12">
        <v>0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</row>
    <row r="45" ht="15">
      <c r="A45" s="15" t="s">
        <v>191</v>
      </c>
      <c r="B45" s="42">
        <f>BOM_Consumo!C12</f>
        <v>1387.5</v>
      </c>
      <c r="C45" s="42">
        <f>BOM_Consumo!D12</f>
        <v>1387.5</v>
      </c>
      <c r="D45" s="42">
        <f>BOM_Consumo!E12</f>
        <v>1387.5</v>
      </c>
      <c r="E45" s="42">
        <f>BOM_Consumo!F12</f>
        <v>1387.5</v>
      </c>
      <c r="F45" s="42">
        <f>BOM_Consumo!G12</f>
        <v>1387.5</v>
      </c>
      <c r="G45" s="42">
        <f>BOM_Consumo!H12</f>
        <v>1387.5</v>
      </c>
      <c r="H45" s="42">
        <f>BOM_Consumo!I12</f>
        <v>1387.5</v>
      </c>
      <c r="I45" s="42">
        <f>BOM_Consumo!J12</f>
        <v>1387.5</v>
      </c>
    </row>
    <row r="46" ht="15">
      <c r="A46" s="11" t="s">
        <v>192</v>
      </c>
      <c r="B46" s="38">
        <f>B43+B44-B45</f>
        <v>-1387.5</v>
      </c>
      <c r="C46" s="38">
        <f>C43+C44-C45</f>
        <v>-2775</v>
      </c>
      <c r="D46" s="38">
        <f>D43+D44-D45</f>
        <v>-4162.5</v>
      </c>
      <c r="E46" s="38">
        <f>E43+E44-E45</f>
        <v>-5550</v>
      </c>
      <c r="F46" s="38">
        <f>F43+F44-F45</f>
        <v>-6937.5</v>
      </c>
      <c r="G46" s="38">
        <f>G43+G44-G45</f>
        <v>-8325</v>
      </c>
      <c r="H46" s="38">
        <f>H43+H44-H45</f>
        <v>-9712.5</v>
      </c>
      <c r="I46" s="38">
        <f>I43+I44-I45</f>
        <v>-11100</v>
      </c>
    </row>
    <row r="47" ht="15">
      <c r="A47" s="9" t="s">
        <v>88</v>
      </c>
      <c r="B47" s="9"/>
      <c r="C47" s="9"/>
      <c r="D47" s="9"/>
      <c r="E47" s="9"/>
      <c r="F47" s="9"/>
      <c r="G47" s="9"/>
      <c r="H47" s="9"/>
      <c r="I47" s="9"/>
      <c r="J47" s="9"/>
      <c r="K47" s="9"/>
    </row>
    <row r="48" ht="15">
      <c r="A48" s="10" t="s">
        <v>3</v>
      </c>
      <c r="B48" s="10" t="s">
        <v>4</v>
      </c>
      <c r="C48" s="10" t="s">
        <v>5</v>
      </c>
      <c r="D48" s="10" t="s">
        <v>6</v>
      </c>
      <c r="E48" s="10" t="s">
        <v>7</v>
      </c>
      <c r="F48" s="10" t="s">
        <v>8</v>
      </c>
      <c r="G48" s="10" t="s">
        <v>9</v>
      </c>
      <c r="H48" s="10" t="s">
        <v>10</v>
      </c>
      <c r="I48" s="10" t="s">
        <v>11</v>
      </c>
    </row>
    <row r="49" ht="15">
      <c r="A49" s="15" t="s">
        <v>189</v>
      </c>
      <c r="B49" s="42">
        <f>Inputs!B20</f>
        <v>0</v>
      </c>
      <c r="C49" s="31" t="str">
        <f>B52</f>
        <v>OK</v>
      </c>
      <c r="D49" s="31" t="str">
        <f>C52</f>
        <v>OK</v>
      </c>
      <c r="E49" s="31" t="str">
        <f>D52</f>
        <v>OK</v>
      </c>
      <c r="F49" s="31" t="str">
        <f>E52</f>
        <v>OK</v>
      </c>
      <c r="G49" s="31" t="str">
        <f>F52</f>
        <v>OK</v>
      </c>
      <c r="H49" s="31" t="str">
        <f>G52</f>
        <v>OK</v>
      </c>
      <c r="I49" s="31" t="str">
        <f>H52</f>
        <v>OK</v>
      </c>
    </row>
    <row r="50" ht="15">
      <c r="A50" s="28" t="s">
        <v>193</v>
      </c>
      <c r="B50" s="28"/>
      <c r="C50" s="28"/>
      <c r="D50" s="28"/>
      <c r="E50" s="28"/>
      <c r="F50" s="28"/>
      <c r="G50" s="28"/>
      <c r="H50" s="28"/>
      <c r="I50" s="28"/>
      <c r="J50" s="28"/>
    </row>
    <row r="51" ht="15">
      <c r="A51" s="14" t="s">
        <v>40</v>
      </c>
      <c r="B51" s="43" t="s">
        <v>4</v>
      </c>
      <c r="C51" s="43" t="s">
        <v>5</v>
      </c>
      <c r="D51" s="43" t="s">
        <v>6</v>
      </c>
      <c r="E51" s="43" t="s">
        <v>7</v>
      </c>
      <c r="F51" s="43" t="s">
        <v>8</v>
      </c>
      <c r="G51" s="43" t="s">
        <v>9</v>
      </c>
      <c r="H51" s="43" t="s">
        <v>10</v>
      </c>
      <c r="I51" s="43" t="s">
        <v>11</v>
      </c>
      <c r="J51" s="14" t="s">
        <v>194</v>
      </c>
    </row>
    <row r="52" ht="15">
      <c r="A52" s="11" t="s">
        <v>18</v>
      </c>
      <c r="B52" s="38" t="str">
        <f>IF(B9&lt;Inputs!D92,"⚠ RIESGO","OK")</f>
        <v>OK</v>
      </c>
      <c r="C52" s="38" t="str">
        <f>IF(C9&lt;Inputs!D92,"⚠ RIESGO","OK")</f>
        <v>OK</v>
      </c>
      <c r="D52" s="38" t="str">
        <f>IF(D9&lt;Inputs!D92,"⚠ RIESGO","OK")</f>
        <v>OK</v>
      </c>
      <c r="E52" s="38" t="str">
        <f>IF(E9&lt;Inputs!D92,"⚠ RIESGO","OK")</f>
        <v>OK</v>
      </c>
      <c r="F52" s="38" t="str">
        <f>IF(F9&lt;Inputs!D92,"⚠ RIESGO","OK")</f>
        <v>OK</v>
      </c>
      <c r="G52" s="38" t="str">
        <f>IF(G9&lt;Inputs!D92,"⚠ RIESGO","OK")</f>
        <v>OK</v>
      </c>
      <c r="H52" s="38" t="str">
        <f>IF(H9&lt;Inputs!D92,"⚠ RIESGO","OK")</f>
        <v>OK</v>
      </c>
      <c r="I52" s="38" t="str">
        <f>IF(I9&lt;Inputs!D92,"⚠ RIESGO","OK")</f>
        <v>OK</v>
      </c>
      <c r="J52" s="44">
        <f>MIN(B9:I9)</f>
        <v>370</v>
      </c>
    </row>
    <row r="53" ht="15">
      <c r="A53" s="15" t="s">
        <v>19</v>
      </c>
      <c r="B53" s="32" t="str">
        <f>IF(B14&lt;Inputs!D93,"⚠ RIESGO","OK")</f>
        <v>⚠ RIESGO</v>
      </c>
      <c r="C53" s="32" t="str">
        <f>IF(C14&lt;Inputs!D93,"⚠ RIESGO","OK")</f>
        <v>⚠ RIESGO</v>
      </c>
      <c r="D53" s="32" t="str">
        <f>IF(D14&lt;Inputs!D93,"⚠ RIESGO","OK")</f>
        <v>⚠ RIESGO</v>
      </c>
      <c r="E53" s="32" t="str">
        <f>IF(E14&lt;Inputs!D93,"⚠ RIESGO","OK")</f>
        <v>⚠ RIESGO</v>
      </c>
      <c r="F53" s="32" t="str">
        <f>IF(F14&lt;Inputs!D93,"⚠ RIESGO","OK")</f>
        <v>⚠ RIESGO</v>
      </c>
      <c r="G53" s="32" t="str">
        <f>IF(G14&lt;Inputs!D93,"⚠ RIESGO","OK")</f>
        <v>⚠ RIESGO</v>
      </c>
      <c r="H53" s="32" t="str">
        <f>IF(H14&lt;Inputs!D93,"⚠ RIESGO","OK")</f>
        <v>⚠ RIESGO</v>
      </c>
      <c r="I53" s="32" t="str">
        <f>IF(I14&lt;Inputs!D93,"⚠ RIESGO","OK")</f>
        <v>⚠ RIESGO</v>
      </c>
      <c r="J53" s="44">
        <f>MIN(B14:I14)</f>
        <v>0</v>
      </c>
    </row>
    <row r="54" ht="15">
      <c r="A54" s="15" t="s">
        <v>83</v>
      </c>
      <c r="B54" s="32" t="str">
        <f>IF(B19&lt;Inputs!D94,"⚠ RIESGO","OK")</f>
        <v>OK</v>
      </c>
      <c r="C54" s="32" t="str">
        <f>IF(C19&lt;Inputs!D94,"⚠ RIESGO","OK")</f>
        <v>⚠ RIESGO</v>
      </c>
      <c r="D54" s="32" t="str">
        <f>IF(D19&lt;Inputs!D94,"⚠ RIESGO","OK")</f>
        <v>⚠ RIESGO</v>
      </c>
      <c r="E54" s="32" t="str">
        <f>IF(E19&lt;Inputs!D94,"⚠ RIESGO","OK")</f>
        <v>⚠ RIESGO</v>
      </c>
      <c r="F54" s="32" t="str">
        <f>IF(F19&lt;Inputs!D94,"⚠ RIESGO","OK")</f>
        <v>⚠ RIESGO</v>
      </c>
      <c r="G54" s="32" t="str">
        <f>IF(G19&lt;Inputs!D94,"⚠ RIESGO","OK")</f>
        <v>⚠ RIESGO</v>
      </c>
      <c r="H54" s="32" t="str">
        <f>IF(H19&lt;Inputs!D94,"⚠ RIESGO","OK")</f>
        <v>⚠ RIESGO</v>
      </c>
      <c r="I54" s="32" t="str">
        <f>IF(I19&lt;Inputs!D94,"⚠ RIESGO","OK")</f>
        <v>⚠ RIESGO</v>
      </c>
      <c r="J54" s="44">
        <f>MIN(B19:I19)</f>
        <v>-99267</v>
      </c>
    </row>
    <row r="55" ht="15">
      <c r="A55" s="15" t="s">
        <v>84</v>
      </c>
      <c r="B55" s="32" t="str">
        <f>IF(B24&lt;Inputs!D95,"⚠ RIESGO","OK")</f>
        <v>OK</v>
      </c>
      <c r="C55" s="32" t="str">
        <f>IF(C24&lt;Inputs!D95,"⚠ RIESGO","OK")</f>
        <v>OK</v>
      </c>
      <c r="D55" s="32" t="str">
        <f>IF(D24&lt;Inputs!D95,"⚠ RIESGO","OK")</f>
        <v>OK</v>
      </c>
      <c r="E55" s="32" t="str">
        <f>IF(E24&lt;Inputs!D95,"⚠ RIESGO","OK")</f>
        <v>OK</v>
      </c>
      <c r="F55" s="32" t="str">
        <f>IF(F24&lt;Inputs!D95,"⚠ RIESGO","OK")</f>
        <v>OK</v>
      </c>
      <c r="G55" s="32" t="str">
        <f>IF(G24&lt;Inputs!D95,"⚠ RIESGO","OK")</f>
        <v>OK</v>
      </c>
      <c r="H55" s="32" t="str">
        <f>IF(H24&lt;Inputs!D95,"⚠ RIESGO","OK")</f>
        <v>OK</v>
      </c>
      <c r="I55" s="32" t="str">
        <f>IF(I24&lt;Inputs!D95,"⚠ RIESGO","OK")</f>
        <v>OK</v>
      </c>
      <c r="J55" s="44">
        <f>MIN(B24:I24)</f>
        <v>0</v>
      </c>
    </row>
    <row r="56" ht="15">
      <c r="A56" s="15" t="s">
        <v>85</v>
      </c>
      <c r="B56" s="32" t="str">
        <f>IF(B29&lt;Inputs!D96,"⚠ RIESGO","OK")</f>
        <v>⚠ RIESGO</v>
      </c>
      <c r="C56" s="32" t="str">
        <f>IF(C29&lt;Inputs!D96,"⚠ RIESGO","OK")</f>
        <v>⚠ RIESGO</v>
      </c>
      <c r="D56" s="32" t="str">
        <f>IF(D29&lt;Inputs!D96,"⚠ RIESGO","OK")</f>
        <v>⚠ RIESGO</v>
      </c>
      <c r="E56" s="32" t="str">
        <f>IF(E29&lt;Inputs!D96,"⚠ RIESGO","OK")</f>
        <v>⚠ RIESGO</v>
      </c>
      <c r="F56" s="32" t="str">
        <f>IF(F29&lt;Inputs!D96,"⚠ RIESGO","OK")</f>
        <v>⚠ RIESGO</v>
      </c>
      <c r="G56" s="32" t="str">
        <f>IF(G29&lt;Inputs!D96,"⚠ RIESGO","OK")</f>
        <v>⚠ RIESGO</v>
      </c>
      <c r="H56" s="32" t="str">
        <f>IF(H29&lt;Inputs!D96,"⚠ RIESGO","OK")</f>
        <v>⚠ RIESGO</v>
      </c>
      <c r="I56" s="32" t="str">
        <f>IF(I29&lt;Inputs!D96,"⚠ RIESGO","OK")</f>
        <v>⚠ RIESGO</v>
      </c>
      <c r="J56" s="44">
        <f>MIN(B29:I29)</f>
        <v>0</v>
      </c>
    </row>
    <row r="57" ht="15">
      <c r="A57" s="15" t="s">
        <v>86</v>
      </c>
      <c r="B57" s="32" t="str">
        <f>IF(B34&lt;Inputs!D97,"⚠ RIESGO","OK")</f>
        <v>OK</v>
      </c>
      <c r="C57" s="32" t="str">
        <f>IF(C34&lt;Inputs!D97,"⚠ RIESGO","OK")</f>
        <v>OK</v>
      </c>
      <c r="D57" s="32" t="str">
        <f>IF(D34&lt;Inputs!D97,"⚠ RIESGO","OK")</f>
        <v>OK</v>
      </c>
      <c r="E57" s="32" t="str">
        <f>IF(E34&lt;Inputs!D97,"⚠ RIESGO","OK")</f>
        <v>OK</v>
      </c>
      <c r="F57" s="32" t="str">
        <f>IF(F34&lt;Inputs!D97,"⚠ RIESGO","OK")</f>
        <v>OK</v>
      </c>
      <c r="G57" s="32" t="str">
        <f>IF(G34&lt;Inputs!D97,"⚠ RIESGO","OK")</f>
        <v>OK</v>
      </c>
      <c r="H57" s="32" t="str">
        <f>IF(H34&lt;Inputs!D97,"⚠ RIESGO","OK")</f>
        <v>OK</v>
      </c>
      <c r="I57" s="32" t="str">
        <f>IF(I34&lt;Inputs!D97,"⚠ RIESGO","OK")</f>
        <v>OK</v>
      </c>
      <c r="J57" s="44">
        <f>MIN(B34:I34)</f>
        <v>14312</v>
      </c>
    </row>
    <row r="58" ht="15">
      <c r="A58" s="15" t="s">
        <v>87</v>
      </c>
      <c r="B58" s="32" t="str">
        <f>IF(B39&lt;Inputs!D98,"⚠ RIESGO","OK")</f>
        <v>OK</v>
      </c>
      <c r="C58" s="32" t="str">
        <f>IF(C39&lt;Inputs!D98,"⚠ RIESGO","OK")</f>
        <v>OK</v>
      </c>
      <c r="D58" s="32" t="str">
        <f>IF(D39&lt;Inputs!D98,"⚠ RIESGO","OK")</f>
        <v>OK</v>
      </c>
      <c r="E58" s="32" t="str">
        <f>IF(E39&lt;Inputs!D98,"⚠ RIESGO","OK")</f>
        <v>OK</v>
      </c>
      <c r="F58" s="32" t="str">
        <f>IF(F39&lt;Inputs!D98,"⚠ RIESGO","OK")</f>
        <v>OK</v>
      </c>
      <c r="G58" s="32" t="str">
        <f>IF(G39&lt;Inputs!D98,"⚠ RIESGO","OK")</f>
        <v>OK</v>
      </c>
      <c r="H58" s="32" t="str">
        <f>IF(H39&lt;Inputs!D98,"⚠ RIESGO","OK")</f>
        <v>OK</v>
      </c>
      <c r="I58" s="32" t="str">
        <f>IF(I39&lt;Inputs!D98,"⚠ RIESGO","OK")</f>
        <v>OK</v>
      </c>
      <c r="J58" s="44">
        <f>MIN(B39:I39)</f>
        <v>3700</v>
      </c>
    </row>
    <row r="59" ht="15">
      <c r="A59" s="15" t="s">
        <v>88</v>
      </c>
      <c r="B59" s="32" t="str">
        <f>IF(B44&lt;Inputs!D99,"⚠ RIESGO","OK")</f>
        <v>OK</v>
      </c>
      <c r="C59" s="32" t="str">
        <f>IF(C44&lt;Inputs!D99,"⚠ RIESGO","OK")</f>
        <v>OK</v>
      </c>
      <c r="D59" s="32" t="str">
        <f>IF(D44&lt;Inputs!D99,"⚠ RIESGO","OK")</f>
        <v>OK</v>
      </c>
      <c r="E59" s="32" t="str">
        <f>IF(E44&lt;Inputs!D99,"⚠ RIESGO","OK")</f>
        <v>OK</v>
      </c>
      <c r="F59" s="32" t="str">
        <f>IF(F44&lt;Inputs!D99,"⚠ RIESGO","OK")</f>
        <v>OK</v>
      </c>
      <c r="G59" s="32" t="str">
        <f>IF(G44&lt;Inputs!D99,"⚠ RIESGO","OK")</f>
        <v>OK</v>
      </c>
      <c r="H59" s="32" t="str">
        <f>IF(H44&lt;Inputs!D99,"⚠ RIESGO","OK")</f>
        <v>OK</v>
      </c>
      <c r="I59" s="32" t="str">
        <f>IF(I44&lt;Inputs!D99,"⚠ RIESGO","OK")</f>
        <v>OK</v>
      </c>
      <c r="J59" s="44">
        <f>MIN(B44:I44)</f>
        <v>0</v>
      </c>
    </row>
  </sheetData>
  <mergeCells>
    <mergeCell ref="A1:K1"/>
    <mergeCell ref="A2:K2"/>
    <mergeCell ref="A3:K3"/>
    <mergeCell ref="A5:K5"/>
    <mergeCell ref="A11:K11"/>
    <mergeCell ref="A17:K17"/>
    <mergeCell ref="A23:K23"/>
    <mergeCell ref="A29:K29"/>
    <mergeCell ref="A35:K35"/>
    <mergeCell ref="A41:K41"/>
    <mergeCell ref="A47:K47"/>
    <mergeCell ref="A50:J50"/>
  </mergeCells>
  <conditionalFormatting sqref="B10">
    <cfRule type="cellIs" priority="2" operator="lessThan" aboveAverage="0" equalAverage="0" bottom="0" percent="0" rank="0" text="" dxfId="0">
      <formula>0</formula>
    </cfRule>
  </conditionalFormatting>
  <conditionalFormatting sqref="C10">
    <cfRule type="cellIs" priority="3" operator="lessThan" aboveAverage="0" equalAverage="0" bottom="0" percent="0" rank="0" text="" dxfId="0">
      <formula>0</formula>
    </cfRule>
  </conditionalFormatting>
  <conditionalFormatting sqref="D10">
    <cfRule type="cellIs" priority="4" operator="lessThan" aboveAverage="0" equalAverage="0" bottom="0" percent="0" rank="0" text="" dxfId="0">
      <formula>0</formula>
    </cfRule>
  </conditionalFormatting>
  <conditionalFormatting sqref="E10">
    <cfRule type="cellIs" priority="5" operator="lessThan" aboveAverage="0" equalAverage="0" bottom="0" percent="0" rank="0" text="" dxfId="0">
      <formula>0</formula>
    </cfRule>
  </conditionalFormatting>
  <conditionalFormatting sqref="F10">
    <cfRule type="cellIs" priority="6" operator="lessThan" aboveAverage="0" equalAverage="0" bottom="0" percent="0" rank="0" text="" dxfId="0">
      <formula>0</formula>
    </cfRule>
  </conditionalFormatting>
  <conditionalFormatting sqref="G10">
    <cfRule type="cellIs" priority="7" operator="lessThan" aboveAverage="0" equalAverage="0" bottom="0" percent="0" rank="0" text="" dxfId="0">
      <formula>0</formula>
    </cfRule>
  </conditionalFormatting>
  <conditionalFormatting sqref="H10">
    <cfRule type="cellIs" priority="8" operator="lessThan" aboveAverage="0" equalAverage="0" bottom="0" percent="0" rank="0" text="" dxfId="0">
      <formula>0</formula>
    </cfRule>
  </conditionalFormatting>
  <conditionalFormatting sqref="I10">
    <cfRule type="cellIs" priority="9" operator="lessThan" aboveAverage="0" equalAverage="0" bottom="0" percent="0" rank="0" text="" dxfId="0">
      <formula>0</formula>
    </cfRule>
  </conditionalFormatting>
  <conditionalFormatting sqref="B16">
    <cfRule type="cellIs" priority="10" operator="lessThan" aboveAverage="0" equalAverage="0" bottom="0" percent="0" rank="0" text="" dxfId="0">
      <formula>0</formula>
    </cfRule>
  </conditionalFormatting>
  <conditionalFormatting sqref="C16">
    <cfRule type="cellIs" priority="11" operator="lessThan" aboveAverage="0" equalAverage="0" bottom="0" percent="0" rank="0" text="" dxfId="0">
      <formula>0</formula>
    </cfRule>
  </conditionalFormatting>
  <conditionalFormatting sqref="D16">
    <cfRule type="cellIs" priority="12" operator="lessThan" aboveAverage="0" equalAverage="0" bottom="0" percent="0" rank="0" text="" dxfId="0">
      <formula>0</formula>
    </cfRule>
  </conditionalFormatting>
  <conditionalFormatting sqref="E16">
    <cfRule type="cellIs" priority="13" operator="lessThan" aboveAverage="0" equalAverage="0" bottom="0" percent="0" rank="0" text="" dxfId="0">
      <formula>0</formula>
    </cfRule>
  </conditionalFormatting>
  <conditionalFormatting sqref="F16">
    <cfRule type="cellIs" priority="14" operator="lessThan" aboveAverage="0" equalAverage="0" bottom="0" percent="0" rank="0" text="" dxfId="0">
      <formula>0</formula>
    </cfRule>
  </conditionalFormatting>
  <conditionalFormatting sqref="G16">
    <cfRule type="cellIs" priority="15" operator="lessThan" aboveAverage="0" equalAverage="0" bottom="0" percent="0" rank="0" text="" dxfId="0">
      <formula>0</formula>
    </cfRule>
  </conditionalFormatting>
  <conditionalFormatting sqref="H16">
    <cfRule type="cellIs" priority="16" operator="lessThan" aboveAverage="0" equalAverage="0" bottom="0" percent="0" rank="0" text="" dxfId="0">
      <formula>0</formula>
    </cfRule>
  </conditionalFormatting>
  <conditionalFormatting sqref="I16">
    <cfRule type="cellIs" priority="17" operator="lessThan" aboveAverage="0" equalAverage="0" bottom="0" percent="0" rank="0" text="" dxfId="0">
      <formula>0</formula>
    </cfRule>
  </conditionalFormatting>
  <conditionalFormatting sqref="B22">
    <cfRule type="cellIs" priority="18" operator="lessThan" aboveAverage="0" equalAverage="0" bottom="0" percent="0" rank="0" text="" dxfId="0">
      <formula>0</formula>
    </cfRule>
  </conditionalFormatting>
  <conditionalFormatting sqref="C22">
    <cfRule type="cellIs" priority="19" operator="lessThan" aboveAverage="0" equalAverage="0" bottom="0" percent="0" rank="0" text="" dxfId="0">
      <formula>0</formula>
    </cfRule>
  </conditionalFormatting>
  <conditionalFormatting sqref="D22">
    <cfRule type="cellIs" priority="20" operator="lessThan" aboveAverage="0" equalAverage="0" bottom="0" percent="0" rank="0" text="" dxfId="0">
      <formula>0</formula>
    </cfRule>
  </conditionalFormatting>
  <conditionalFormatting sqref="E22">
    <cfRule type="cellIs" priority="21" operator="lessThan" aboveAverage="0" equalAverage="0" bottom="0" percent="0" rank="0" text="" dxfId="0">
      <formula>0</formula>
    </cfRule>
  </conditionalFormatting>
  <conditionalFormatting sqref="F22">
    <cfRule type="cellIs" priority="22" operator="lessThan" aboveAverage="0" equalAverage="0" bottom="0" percent="0" rank="0" text="" dxfId="0">
      <formula>0</formula>
    </cfRule>
  </conditionalFormatting>
  <conditionalFormatting sqref="G22">
    <cfRule type="cellIs" priority="23" operator="lessThan" aboveAverage="0" equalAverage="0" bottom="0" percent="0" rank="0" text="" dxfId="0">
      <formula>0</formula>
    </cfRule>
  </conditionalFormatting>
  <conditionalFormatting sqref="H22">
    <cfRule type="cellIs" priority="24" operator="lessThan" aboveAverage="0" equalAverage="0" bottom="0" percent="0" rank="0" text="" dxfId="0">
      <formula>0</formula>
    </cfRule>
  </conditionalFormatting>
  <conditionalFormatting sqref="I22">
    <cfRule type="cellIs" priority="25" operator="lessThan" aboveAverage="0" equalAverage="0" bottom="0" percent="0" rank="0" text="" dxfId="0">
      <formula>0</formula>
    </cfRule>
  </conditionalFormatting>
  <conditionalFormatting sqref="B28">
    <cfRule type="cellIs" priority="26" operator="lessThan" aboveAverage="0" equalAverage="0" bottom="0" percent="0" rank="0" text="" dxfId="0">
      <formula>0</formula>
    </cfRule>
  </conditionalFormatting>
  <conditionalFormatting sqref="C28">
    <cfRule type="cellIs" priority="27" operator="lessThan" aboveAverage="0" equalAverage="0" bottom="0" percent="0" rank="0" text="" dxfId="0">
      <formula>0</formula>
    </cfRule>
  </conditionalFormatting>
  <conditionalFormatting sqref="D28">
    <cfRule type="cellIs" priority="28" operator="lessThan" aboveAverage="0" equalAverage="0" bottom="0" percent="0" rank="0" text="" dxfId="0">
      <formula>0</formula>
    </cfRule>
  </conditionalFormatting>
  <conditionalFormatting sqref="E28">
    <cfRule type="cellIs" priority="29" operator="lessThan" aboveAverage="0" equalAverage="0" bottom="0" percent="0" rank="0" text="" dxfId="0">
      <formula>0</formula>
    </cfRule>
  </conditionalFormatting>
  <conditionalFormatting sqref="F28">
    <cfRule type="cellIs" priority="30" operator="lessThan" aboveAverage="0" equalAverage="0" bottom="0" percent="0" rank="0" text="" dxfId="0">
      <formula>0</formula>
    </cfRule>
  </conditionalFormatting>
  <conditionalFormatting sqref="G28">
    <cfRule type="cellIs" priority="31" operator="lessThan" aboveAverage="0" equalAverage="0" bottom="0" percent="0" rank="0" text="" dxfId="0">
      <formula>0</formula>
    </cfRule>
  </conditionalFormatting>
  <conditionalFormatting sqref="H28">
    <cfRule type="cellIs" priority="32" operator="lessThan" aboveAverage="0" equalAverage="0" bottom="0" percent="0" rank="0" text="" dxfId="0">
      <formula>0</formula>
    </cfRule>
  </conditionalFormatting>
  <conditionalFormatting sqref="I28">
    <cfRule type="cellIs" priority="33" operator="lessThan" aboveAverage="0" equalAverage="0" bottom="0" percent="0" rank="0" text="" dxfId="0">
      <formula>0</formula>
    </cfRule>
  </conditionalFormatting>
  <conditionalFormatting sqref="B34">
    <cfRule type="cellIs" priority="34" operator="lessThan" aboveAverage="0" equalAverage="0" bottom="0" percent="0" rank="0" text="" dxfId="0">
      <formula>0</formula>
    </cfRule>
  </conditionalFormatting>
  <conditionalFormatting sqref="C34">
    <cfRule type="cellIs" priority="35" operator="lessThan" aboveAverage="0" equalAverage="0" bottom="0" percent="0" rank="0" text="" dxfId="0">
      <formula>0</formula>
    </cfRule>
  </conditionalFormatting>
  <conditionalFormatting sqref="D34">
    <cfRule type="cellIs" priority="36" operator="lessThan" aboveAverage="0" equalAverage="0" bottom="0" percent="0" rank="0" text="" dxfId="0">
      <formula>0</formula>
    </cfRule>
  </conditionalFormatting>
  <conditionalFormatting sqref="E34">
    <cfRule type="cellIs" priority="37" operator="lessThan" aboveAverage="0" equalAverage="0" bottom="0" percent="0" rank="0" text="" dxfId="0">
      <formula>0</formula>
    </cfRule>
  </conditionalFormatting>
  <conditionalFormatting sqref="F34">
    <cfRule type="cellIs" priority="38" operator="lessThan" aboveAverage="0" equalAverage="0" bottom="0" percent="0" rank="0" text="" dxfId="0">
      <formula>0</formula>
    </cfRule>
  </conditionalFormatting>
  <conditionalFormatting sqref="G34">
    <cfRule type="cellIs" priority="39" operator="lessThan" aboveAverage="0" equalAverage="0" bottom="0" percent="0" rank="0" text="" dxfId="0">
      <formula>0</formula>
    </cfRule>
  </conditionalFormatting>
  <conditionalFormatting sqref="H34">
    <cfRule type="cellIs" priority="40" operator="lessThan" aboveAverage="0" equalAverage="0" bottom="0" percent="0" rank="0" text="" dxfId="0">
      <formula>0</formula>
    </cfRule>
  </conditionalFormatting>
  <conditionalFormatting sqref="I34">
    <cfRule type="cellIs" priority="41" operator="lessThan" aboveAverage="0" equalAverage="0" bottom="0" percent="0" rank="0" text="" dxfId="0">
      <formula>0</formula>
    </cfRule>
  </conditionalFormatting>
  <conditionalFormatting sqref="B40">
    <cfRule type="cellIs" priority="42" operator="lessThan" aboveAverage="0" equalAverage="0" bottom="0" percent="0" rank="0" text="" dxfId="0">
      <formula>0</formula>
    </cfRule>
  </conditionalFormatting>
  <conditionalFormatting sqref="C40">
    <cfRule type="cellIs" priority="43" operator="lessThan" aboveAverage="0" equalAverage="0" bottom="0" percent="0" rank="0" text="" dxfId="0">
      <formula>0</formula>
    </cfRule>
  </conditionalFormatting>
  <conditionalFormatting sqref="D40">
    <cfRule type="cellIs" priority="44" operator="lessThan" aboveAverage="0" equalAverage="0" bottom="0" percent="0" rank="0" text="" dxfId="0">
      <formula>0</formula>
    </cfRule>
  </conditionalFormatting>
  <conditionalFormatting sqref="E40">
    <cfRule type="cellIs" priority="45" operator="lessThan" aboveAverage="0" equalAverage="0" bottom="0" percent="0" rank="0" text="" dxfId="0">
      <formula>0</formula>
    </cfRule>
  </conditionalFormatting>
  <conditionalFormatting sqref="F40">
    <cfRule type="cellIs" priority="46" operator="lessThan" aboveAverage="0" equalAverage="0" bottom="0" percent="0" rank="0" text="" dxfId="0">
      <formula>0</formula>
    </cfRule>
  </conditionalFormatting>
  <conditionalFormatting sqref="G40">
    <cfRule type="cellIs" priority="47" operator="lessThan" aboveAverage="0" equalAverage="0" bottom="0" percent="0" rank="0" text="" dxfId="0">
      <formula>0</formula>
    </cfRule>
  </conditionalFormatting>
  <conditionalFormatting sqref="H40">
    <cfRule type="cellIs" priority="48" operator="lessThan" aboveAverage="0" equalAverage="0" bottom="0" percent="0" rank="0" text="" dxfId="0">
      <formula>0</formula>
    </cfRule>
  </conditionalFormatting>
  <conditionalFormatting sqref="I40">
    <cfRule type="cellIs" priority="49" operator="lessThan" aboveAverage="0" equalAverage="0" bottom="0" percent="0" rank="0" text="" dxfId="0">
      <formula>0</formula>
    </cfRule>
  </conditionalFormatting>
  <conditionalFormatting sqref="B46">
    <cfRule type="cellIs" priority="50" operator="lessThan" aboveAverage="0" equalAverage="0" bottom="0" percent="0" rank="0" text="" dxfId="0">
      <formula>0</formula>
    </cfRule>
  </conditionalFormatting>
  <conditionalFormatting sqref="C46">
    <cfRule type="cellIs" priority="51" operator="lessThan" aboveAverage="0" equalAverage="0" bottom="0" percent="0" rank="0" text="" dxfId="0">
      <formula>0</formula>
    </cfRule>
  </conditionalFormatting>
  <conditionalFormatting sqref="D46">
    <cfRule type="cellIs" priority="52" operator="lessThan" aboveAverage="0" equalAverage="0" bottom="0" percent="0" rank="0" text="" dxfId="0">
      <formula>0</formula>
    </cfRule>
  </conditionalFormatting>
  <conditionalFormatting sqref="E46">
    <cfRule type="cellIs" priority="53" operator="lessThan" aboveAverage="0" equalAverage="0" bottom="0" percent="0" rank="0" text="" dxfId="0">
      <formula>0</formula>
    </cfRule>
  </conditionalFormatting>
  <conditionalFormatting sqref="F46">
    <cfRule type="cellIs" priority="54" operator="lessThan" aboveAverage="0" equalAverage="0" bottom="0" percent="0" rank="0" text="" dxfId="0">
      <formula>0</formula>
    </cfRule>
  </conditionalFormatting>
  <conditionalFormatting sqref="G46">
    <cfRule type="cellIs" priority="55" operator="lessThan" aboveAverage="0" equalAverage="0" bottom="0" percent="0" rank="0" text="" dxfId="0">
      <formula>0</formula>
    </cfRule>
  </conditionalFormatting>
  <conditionalFormatting sqref="H46">
    <cfRule type="cellIs" priority="56" operator="lessThan" aboveAverage="0" equalAverage="0" bottom="0" percent="0" rank="0" text="" dxfId="0">
      <formula>0</formula>
    </cfRule>
  </conditionalFormatting>
  <conditionalFormatting sqref="I46">
    <cfRule type="cellIs" priority="57" operator="lessThan" aboveAverage="0" equalAverage="0" bottom="0" percent="0" rank="0" text="" dxfId="0">
      <formula>0</formula>
    </cfRule>
  </conditionalFormatting>
  <conditionalFormatting sqref="B52">
    <cfRule type="cellIs" priority="58" operator="lessThan" aboveAverage="0" equalAverage="0" bottom="0" percent="0" rank="0" text="" dxfId="0">
      <formula>0</formula>
    </cfRule>
    <cfRule type="cellIs" priority="59" operator="equal" aboveAverage="0" equalAverage="0" bottom="0" percent="0" rank="0" text="" dxfId="0">
      <formula>"⚠ RIESGO"</formula>
    </cfRule>
  </conditionalFormatting>
  <conditionalFormatting sqref="C52">
    <cfRule type="cellIs" priority="60" operator="lessThan" aboveAverage="0" equalAverage="0" bottom="0" percent="0" rank="0" text="" dxfId="0">
      <formula>0</formula>
    </cfRule>
    <cfRule type="cellIs" priority="61" operator="equal" aboveAverage="0" equalAverage="0" bottom="0" percent="0" rank="0" text="" dxfId="0">
      <formula>"⚠ RIESGO"</formula>
    </cfRule>
  </conditionalFormatting>
  <conditionalFormatting sqref="D52">
    <cfRule type="cellIs" priority="62" operator="lessThan" aboveAverage="0" equalAverage="0" bottom="0" percent="0" rank="0" text="" dxfId="0">
      <formula>0</formula>
    </cfRule>
    <cfRule type="cellIs" priority="63" operator="equal" aboveAverage="0" equalAverage="0" bottom="0" percent="0" rank="0" text="" dxfId="0">
      <formula>"⚠ RIESGO"</formula>
    </cfRule>
  </conditionalFormatting>
  <conditionalFormatting sqref="E52">
    <cfRule type="cellIs" priority="64" operator="lessThan" aboveAverage="0" equalAverage="0" bottom="0" percent="0" rank="0" text="" dxfId="0">
      <formula>0</formula>
    </cfRule>
    <cfRule type="cellIs" priority="65" operator="equal" aboveAverage="0" equalAverage="0" bottom="0" percent="0" rank="0" text="" dxfId="0">
      <formula>"⚠ RIESGO"</formula>
    </cfRule>
  </conditionalFormatting>
  <conditionalFormatting sqref="F52">
    <cfRule type="cellIs" priority="66" operator="lessThan" aboveAverage="0" equalAverage="0" bottom="0" percent="0" rank="0" text="" dxfId="0">
      <formula>0</formula>
    </cfRule>
    <cfRule type="cellIs" priority="67" operator="equal" aboveAverage="0" equalAverage="0" bottom="0" percent="0" rank="0" text="" dxfId="0">
      <formula>"⚠ RIESGO"</formula>
    </cfRule>
  </conditionalFormatting>
  <conditionalFormatting sqref="G52">
    <cfRule type="cellIs" priority="68" operator="lessThan" aboveAverage="0" equalAverage="0" bottom="0" percent="0" rank="0" text="" dxfId="0">
      <formula>0</formula>
    </cfRule>
    <cfRule type="cellIs" priority="69" operator="equal" aboveAverage="0" equalAverage="0" bottom="0" percent="0" rank="0" text="" dxfId="0">
      <formula>"⚠ RIESGO"</formula>
    </cfRule>
  </conditionalFormatting>
  <conditionalFormatting sqref="H52">
    <cfRule type="cellIs" priority="70" operator="lessThan" aboveAverage="0" equalAverage="0" bottom="0" percent="0" rank="0" text="" dxfId="0">
      <formula>0</formula>
    </cfRule>
    <cfRule type="cellIs" priority="71" operator="equal" aboveAverage="0" equalAverage="0" bottom="0" percent="0" rank="0" text="" dxfId="0">
      <formula>"⚠ RIESGO"</formula>
    </cfRule>
  </conditionalFormatting>
  <conditionalFormatting sqref="I52">
    <cfRule type="cellIs" priority="72" operator="lessThan" aboveAverage="0" equalAverage="0" bottom="0" percent="0" rank="0" text="" dxfId="0">
      <formula>0</formula>
    </cfRule>
    <cfRule type="cellIs" priority="73" operator="equal" aboveAverage="0" equalAverage="0" bottom="0" percent="0" rank="0" text="" dxfId="0">
      <formula>"⚠ RIESGO"</formula>
    </cfRule>
  </conditionalFormatting>
  <conditionalFormatting sqref="B53">
    <cfRule type="cellIs" priority="74" operator="equal" aboveAverage="0" equalAverage="0" bottom="0" percent="0" rank="0" text="" dxfId="0">
      <formula>"⚠ RIESGO"</formula>
    </cfRule>
  </conditionalFormatting>
  <conditionalFormatting sqref="C53">
    <cfRule type="cellIs" priority="75" operator="equal" aboveAverage="0" equalAverage="0" bottom="0" percent="0" rank="0" text="" dxfId="0">
      <formula>"⚠ RIESGO"</formula>
    </cfRule>
  </conditionalFormatting>
  <conditionalFormatting sqref="D53">
    <cfRule type="cellIs" priority="76" operator="equal" aboveAverage="0" equalAverage="0" bottom="0" percent="0" rank="0" text="" dxfId="0">
      <formula>"⚠ RIESGO"</formula>
    </cfRule>
  </conditionalFormatting>
  <conditionalFormatting sqref="E53">
    <cfRule type="cellIs" priority="77" operator="equal" aboveAverage="0" equalAverage="0" bottom="0" percent="0" rank="0" text="" dxfId="0">
      <formula>"⚠ RIESGO"</formula>
    </cfRule>
  </conditionalFormatting>
  <conditionalFormatting sqref="F53">
    <cfRule type="cellIs" priority="78" operator="equal" aboveAverage="0" equalAverage="0" bottom="0" percent="0" rank="0" text="" dxfId="0">
      <formula>"⚠ RIESGO"</formula>
    </cfRule>
  </conditionalFormatting>
  <conditionalFormatting sqref="G53">
    <cfRule type="cellIs" priority="79" operator="equal" aboveAverage="0" equalAverage="0" bottom="0" percent="0" rank="0" text="" dxfId="0">
      <formula>"⚠ RIESGO"</formula>
    </cfRule>
  </conditionalFormatting>
  <conditionalFormatting sqref="H53">
    <cfRule type="cellIs" priority="80" operator="equal" aboveAverage="0" equalAverage="0" bottom="0" percent="0" rank="0" text="" dxfId="0">
      <formula>"⚠ RIESGO"</formula>
    </cfRule>
  </conditionalFormatting>
  <conditionalFormatting sqref="I53">
    <cfRule type="cellIs" priority="81" operator="equal" aboveAverage="0" equalAverage="0" bottom="0" percent="0" rank="0" text="" dxfId="0">
      <formula>"⚠ RIESGO"</formula>
    </cfRule>
  </conditionalFormatting>
  <conditionalFormatting sqref="B54">
    <cfRule type="cellIs" priority="82" operator="equal" aboveAverage="0" equalAverage="0" bottom="0" percent="0" rank="0" text="" dxfId="0">
      <formula>"⚠ RIESGO"</formula>
    </cfRule>
  </conditionalFormatting>
  <conditionalFormatting sqref="C54">
    <cfRule type="cellIs" priority="83" operator="equal" aboveAverage="0" equalAverage="0" bottom="0" percent="0" rank="0" text="" dxfId="0">
      <formula>"⚠ RIESGO"</formula>
    </cfRule>
  </conditionalFormatting>
  <conditionalFormatting sqref="D54">
    <cfRule type="cellIs" priority="84" operator="equal" aboveAverage="0" equalAverage="0" bottom="0" percent="0" rank="0" text="" dxfId="0">
      <formula>"⚠ RIESGO"</formula>
    </cfRule>
  </conditionalFormatting>
  <conditionalFormatting sqref="E54">
    <cfRule type="cellIs" priority="85" operator="equal" aboveAverage="0" equalAverage="0" bottom="0" percent="0" rank="0" text="" dxfId="0">
      <formula>"⚠ RIESGO"</formula>
    </cfRule>
  </conditionalFormatting>
  <conditionalFormatting sqref="F54">
    <cfRule type="cellIs" priority="86" operator="equal" aboveAverage="0" equalAverage="0" bottom="0" percent="0" rank="0" text="" dxfId="0">
      <formula>"⚠ RIESGO"</formula>
    </cfRule>
  </conditionalFormatting>
  <conditionalFormatting sqref="G54">
    <cfRule type="cellIs" priority="87" operator="equal" aboveAverage="0" equalAverage="0" bottom="0" percent="0" rank="0" text="" dxfId="0">
      <formula>"⚠ RIESGO"</formula>
    </cfRule>
  </conditionalFormatting>
  <conditionalFormatting sqref="H54">
    <cfRule type="cellIs" priority="88" operator="equal" aboveAverage="0" equalAverage="0" bottom="0" percent="0" rank="0" text="" dxfId="0">
      <formula>"⚠ RIESGO"</formula>
    </cfRule>
  </conditionalFormatting>
  <conditionalFormatting sqref="I54">
    <cfRule type="cellIs" priority="89" operator="equal" aboveAverage="0" equalAverage="0" bottom="0" percent="0" rank="0" text="" dxfId="0">
      <formula>"⚠ RIESGO"</formula>
    </cfRule>
  </conditionalFormatting>
  <conditionalFormatting sqref="B55">
    <cfRule type="cellIs" priority="90" operator="equal" aboveAverage="0" equalAverage="0" bottom="0" percent="0" rank="0" text="" dxfId="0">
      <formula>"⚠ RIESGO"</formula>
    </cfRule>
  </conditionalFormatting>
  <conditionalFormatting sqref="C55">
    <cfRule type="cellIs" priority="91" operator="equal" aboveAverage="0" equalAverage="0" bottom="0" percent="0" rank="0" text="" dxfId="0">
      <formula>"⚠ RIESGO"</formula>
    </cfRule>
  </conditionalFormatting>
  <conditionalFormatting sqref="D55">
    <cfRule type="cellIs" priority="92" operator="equal" aboveAverage="0" equalAverage="0" bottom="0" percent="0" rank="0" text="" dxfId="0">
      <formula>"⚠ RIESGO"</formula>
    </cfRule>
  </conditionalFormatting>
  <conditionalFormatting sqref="E55">
    <cfRule type="cellIs" priority="93" operator="equal" aboveAverage="0" equalAverage="0" bottom="0" percent="0" rank="0" text="" dxfId="0">
      <formula>"⚠ RIESGO"</formula>
    </cfRule>
  </conditionalFormatting>
  <conditionalFormatting sqref="F55">
    <cfRule type="cellIs" priority="94" operator="equal" aboveAverage="0" equalAverage="0" bottom="0" percent="0" rank="0" text="" dxfId="0">
      <formula>"⚠ RIESGO"</formula>
    </cfRule>
  </conditionalFormatting>
  <conditionalFormatting sqref="G55">
    <cfRule type="cellIs" priority="95" operator="equal" aboveAverage="0" equalAverage="0" bottom="0" percent="0" rank="0" text="" dxfId="0">
      <formula>"⚠ RIESGO"</formula>
    </cfRule>
  </conditionalFormatting>
  <conditionalFormatting sqref="H55">
    <cfRule type="cellIs" priority="96" operator="equal" aboveAverage="0" equalAverage="0" bottom="0" percent="0" rank="0" text="" dxfId="0">
      <formula>"⚠ RIESGO"</formula>
    </cfRule>
  </conditionalFormatting>
  <conditionalFormatting sqref="I55">
    <cfRule type="cellIs" priority="97" operator="equal" aboveAverage="0" equalAverage="0" bottom="0" percent="0" rank="0" text="" dxfId="0">
      <formula>"⚠ RIESGO"</formula>
    </cfRule>
  </conditionalFormatting>
  <conditionalFormatting sqref="B56">
    <cfRule type="cellIs" priority="98" operator="equal" aboveAverage="0" equalAverage="0" bottom="0" percent="0" rank="0" text="" dxfId="0">
      <formula>"⚠ RIESGO"</formula>
    </cfRule>
  </conditionalFormatting>
  <conditionalFormatting sqref="C56">
    <cfRule type="cellIs" priority="99" operator="equal" aboveAverage="0" equalAverage="0" bottom="0" percent="0" rank="0" text="" dxfId="0">
      <formula>"⚠ RIESGO"</formula>
    </cfRule>
  </conditionalFormatting>
  <conditionalFormatting sqref="D56">
    <cfRule type="cellIs" priority="100" operator="equal" aboveAverage="0" equalAverage="0" bottom="0" percent="0" rank="0" text="" dxfId="0">
      <formula>"⚠ RIESGO"</formula>
    </cfRule>
  </conditionalFormatting>
  <conditionalFormatting sqref="E56">
    <cfRule type="cellIs" priority="101" operator="equal" aboveAverage="0" equalAverage="0" bottom="0" percent="0" rank="0" text="" dxfId="0">
      <formula>"⚠ RIESGO"</formula>
    </cfRule>
  </conditionalFormatting>
  <conditionalFormatting sqref="F56">
    <cfRule type="cellIs" priority="102" operator="equal" aboveAverage="0" equalAverage="0" bottom="0" percent="0" rank="0" text="" dxfId="0">
      <formula>"⚠ RIESGO"</formula>
    </cfRule>
  </conditionalFormatting>
  <conditionalFormatting sqref="G56">
    <cfRule type="cellIs" priority="103" operator="equal" aboveAverage="0" equalAverage="0" bottom="0" percent="0" rank="0" text="" dxfId="0">
      <formula>"⚠ RIESGO"</formula>
    </cfRule>
  </conditionalFormatting>
  <conditionalFormatting sqref="H56">
    <cfRule type="cellIs" priority="104" operator="equal" aboveAverage="0" equalAverage="0" bottom="0" percent="0" rank="0" text="" dxfId="0">
      <formula>"⚠ RIESGO"</formula>
    </cfRule>
  </conditionalFormatting>
  <conditionalFormatting sqref="I56">
    <cfRule type="cellIs" priority="105" operator="equal" aboveAverage="0" equalAverage="0" bottom="0" percent="0" rank="0" text="" dxfId="0">
      <formula>"⚠ RIESGO"</formula>
    </cfRule>
  </conditionalFormatting>
  <conditionalFormatting sqref="B57">
    <cfRule type="cellIs" priority="106" operator="equal" aboveAverage="0" equalAverage="0" bottom="0" percent="0" rank="0" text="" dxfId="0">
      <formula>"⚠ RIESGO"</formula>
    </cfRule>
  </conditionalFormatting>
  <conditionalFormatting sqref="C57">
    <cfRule type="cellIs" priority="107" operator="equal" aboveAverage="0" equalAverage="0" bottom="0" percent="0" rank="0" text="" dxfId="0">
      <formula>"⚠ RIESGO"</formula>
    </cfRule>
  </conditionalFormatting>
  <conditionalFormatting sqref="D57">
    <cfRule type="cellIs" priority="108" operator="equal" aboveAverage="0" equalAverage="0" bottom="0" percent="0" rank="0" text="" dxfId="0">
      <formula>"⚠ RIESGO"</formula>
    </cfRule>
  </conditionalFormatting>
  <conditionalFormatting sqref="E57">
    <cfRule type="cellIs" priority="109" operator="equal" aboveAverage="0" equalAverage="0" bottom="0" percent="0" rank="0" text="" dxfId="0">
      <formula>"⚠ RIESGO"</formula>
    </cfRule>
  </conditionalFormatting>
  <conditionalFormatting sqref="F57">
    <cfRule type="cellIs" priority="110" operator="equal" aboveAverage="0" equalAverage="0" bottom="0" percent="0" rank="0" text="" dxfId="0">
      <formula>"⚠ RIESGO"</formula>
    </cfRule>
  </conditionalFormatting>
  <conditionalFormatting sqref="G57">
    <cfRule type="cellIs" priority="111" operator="equal" aboveAverage="0" equalAverage="0" bottom="0" percent="0" rank="0" text="" dxfId="0">
      <formula>"⚠ RIESGO"</formula>
    </cfRule>
  </conditionalFormatting>
  <conditionalFormatting sqref="H57">
    <cfRule type="cellIs" priority="112" operator="equal" aboveAverage="0" equalAverage="0" bottom="0" percent="0" rank="0" text="" dxfId="0">
      <formula>"⚠ RIESGO"</formula>
    </cfRule>
  </conditionalFormatting>
  <conditionalFormatting sqref="I57">
    <cfRule type="cellIs" priority="113" operator="equal" aboveAverage="0" equalAverage="0" bottom="0" percent="0" rank="0" text="" dxfId="0">
      <formula>"⚠ RIESGO"</formula>
    </cfRule>
  </conditionalFormatting>
  <conditionalFormatting sqref="B58">
    <cfRule type="cellIs" priority="114" operator="equal" aboveAverage="0" equalAverage="0" bottom="0" percent="0" rank="0" text="" dxfId="0">
      <formula>"⚠ RIESGO"</formula>
    </cfRule>
  </conditionalFormatting>
  <conditionalFormatting sqref="C58">
    <cfRule type="cellIs" priority="115" operator="equal" aboveAverage="0" equalAverage="0" bottom="0" percent="0" rank="0" text="" dxfId="0">
      <formula>"⚠ RIESGO"</formula>
    </cfRule>
  </conditionalFormatting>
  <conditionalFormatting sqref="D58">
    <cfRule type="cellIs" priority="116" operator="equal" aboveAverage="0" equalAverage="0" bottom="0" percent="0" rank="0" text="" dxfId="0">
      <formula>"⚠ RIESGO"</formula>
    </cfRule>
  </conditionalFormatting>
  <conditionalFormatting sqref="E58">
    <cfRule type="cellIs" priority="117" operator="equal" aboveAverage="0" equalAverage="0" bottom="0" percent="0" rank="0" text="" dxfId="0">
      <formula>"⚠ RIESGO"</formula>
    </cfRule>
  </conditionalFormatting>
  <conditionalFormatting sqref="F58">
    <cfRule type="cellIs" priority="118" operator="equal" aboveAverage="0" equalAverage="0" bottom="0" percent="0" rank="0" text="" dxfId="0">
      <formula>"⚠ RIESGO"</formula>
    </cfRule>
  </conditionalFormatting>
  <conditionalFormatting sqref="G58">
    <cfRule type="cellIs" priority="119" operator="equal" aboveAverage="0" equalAverage="0" bottom="0" percent="0" rank="0" text="" dxfId="0">
      <formula>"⚠ RIESGO"</formula>
    </cfRule>
  </conditionalFormatting>
  <conditionalFormatting sqref="H58">
    <cfRule type="cellIs" priority="120" operator="equal" aboveAverage="0" equalAverage="0" bottom="0" percent="0" rank="0" text="" dxfId="0">
      <formula>"⚠ RIESGO"</formula>
    </cfRule>
  </conditionalFormatting>
  <conditionalFormatting sqref="I58">
    <cfRule type="cellIs" priority="121" operator="equal" aboveAverage="0" equalAverage="0" bottom="0" percent="0" rank="0" text="" dxfId="0">
      <formula>"⚠ RIESGO"</formula>
    </cfRule>
  </conditionalFormatting>
  <conditionalFormatting sqref="B59">
    <cfRule type="cellIs" priority="122" operator="equal" aboveAverage="0" equalAverage="0" bottom="0" percent="0" rank="0" text="" dxfId="0">
      <formula>"⚠ RIESGO"</formula>
    </cfRule>
  </conditionalFormatting>
  <conditionalFormatting sqref="C59">
    <cfRule type="cellIs" priority="123" operator="equal" aboveAverage="0" equalAverage="0" bottom="0" percent="0" rank="0" text="" dxfId="0">
      <formula>"⚠ RIESGO"</formula>
    </cfRule>
  </conditionalFormatting>
  <conditionalFormatting sqref="D59">
    <cfRule type="cellIs" priority="124" operator="equal" aboveAverage="0" equalAverage="0" bottom="0" percent="0" rank="0" text="" dxfId="0">
      <formula>"⚠ RIESGO"</formula>
    </cfRule>
  </conditionalFormatting>
  <conditionalFormatting sqref="E59">
    <cfRule type="cellIs" priority="125" operator="equal" aboveAverage="0" equalAverage="0" bottom="0" percent="0" rank="0" text="" dxfId="0">
      <formula>"⚠ RIESGO"</formula>
    </cfRule>
  </conditionalFormatting>
  <conditionalFormatting sqref="F59">
    <cfRule type="cellIs" priority="126" operator="equal" aboveAverage="0" equalAverage="0" bottom="0" percent="0" rank="0" text="" dxfId="0">
      <formula>"⚠ RIESGO"</formula>
    </cfRule>
  </conditionalFormatting>
  <conditionalFormatting sqref="G59">
    <cfRule type="cellIs" priority="127" operator="equal" aboveAverage="0" equalAverage="0" bottom="0" percent="0" rank="0" text="" dxfId="0">
      <formula>"⚠ RIESGO"</formula>
    </cfRule>
  </conditionalFormatting>
  <conditionalFormatting sqref="H59">
    <cfRule type="cellIs" priority="128" operator="equal" aboveAverage="0" equalAverage="0" bottom="0" percent="0" rank="0" text="" dxfId="0">
      <formula>"⚠ RIESGO"</formula>
    </cfRule>
  </conditionalFormatting>
  <conditionalFormatting sqref="I59">
    <cfRule type="cellIs" priority="129" operator="equal" aboveAverage="0" equalAverage="0" bottom="0" percent="0" rank="0" text="" dxfId="0">
      <formula>"⚠ RIESGO"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min="1" max="1" width="15" customWidth="1" style="6"/>
    <col min="2" max="11" width="11" customWidth="1" style="6"/>
  </cols>
  <sheetData>
    <row r="1" ht="17.25">
      <c r="A1" s="7" t="s">
        <v>97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ht="15">
      <c r="A2" s="33" t="s">
        <v>98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ht="15">
      <c r="A3" s="45" t="s">
        <v>99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</row>
    <row r="5" ht="15">
      <c r="A5" s="9" t="s">
        <v>100</v>
      </c>
      <c r="B5" s="9"/>
      <c r="C5" s="9"/>
      <c r="D5" s="9"/>
      <c r="E5" s="9"/>
      <c r="F5" s="9"/>
      <c r="G5" s="9"/>
      <c r="H5" s="9"/>
      <c r="I5" s="9"/>
      <c r="J5" s="9"/>
    </row>
    <row r="6" ht="23.25">
      <c r="A6" s="46" t="s">
        <v>40</v>
      </c>
      <c r="B6" s="46" t="s">
        <v>101</v>
      </c>
      <c r="C6" s="46" t="s">
        <v>102</v>
      </c>
      <c r="D6" s="46" t="s">
        <v>103</v>
      </c>
      <c r="E6" s="46" t="s">
        <v>104</v>
      </c>
      <c r="F6" s="46" t="s">
        <v>105</v>
      </c>
      <c r="G6" s="46" t="s">
        <v>106</v>
      </c>
      <c r="H6" s="46" t="s">
        <v>82</v>
      </c>
      <c r="I6" s="46" t="s">
        <v>96</v>
      </c>
    </row>
    <row r="7" ht="15">
      <c r="A7" s="15" t="s">
        <v>83</v>
      </c>
      <c r="B7" s="47">
        <f>BOM_Consumo!K8</f>
        <v>118400</v>
      </c>
      <c r="C7" s="47">
        <f>Inputs!B35</f>
        <v>30</v>
      </c>
      <c r="D7" s="48">
        <f>ROUNDUP(B7/C7,0)</f>
        <v>3947</v>
      </c>
      <c r="E7" s="49">
        <f>D7</f>
        <v>3947</v>
      </c>
      <c r="F7" s="48">
        <f>E7*C7</f>
        <v>118410</v>
      </c>
      <c r="G7" s="50">
        <f>Inputs!B45</f>
        <v>0</v>
      </c>
      <c r="H7" s="51">
        <f>E7*G7</f>
        <v>0</v>
      </c>
      <c r="I7" s="32" t="str">
        <f>IF(F7&gt;=B7,"OK","INSUFICIENTE")</f>
        <v>OK</v>
      </c>
    </row>
    <row r="8" ht="15">
      <c r="A8" s="15" t="s">
        <v>84</v>
      </c>
      <c r="B8" s="47">
        <f>BOM_Consumo!K9</f>
        <v>4440</v>
      </c>
      <c r="C8" s="47">
        <f>Inputs!B36</f>
        <v>12</v>
      </c>
      <c r="D8" s="48">
        <f>ROUNDUP(B8/C8,0)</f>
        <v>370</v>
      </c>
      <c r="E8" s="49">
        <f>D8</f>
        <v>370</v>
      </c>
      <c r="F8" s="48">
        <f>E8*C8</f>
        <v>4440</v>
      </c>
      <c r="G8" s="50">
        <f>Inputs!B46</f>
        <v>7</v>
      </c>
      <c r="H8" s="51">
        <f>E8*G8</f>
        <v>2590</v>
      </c>
      <c r="I8" s="32" t="str">
        <f>IF(F8&gt;=B8,"OK","INSUFICIENTE")</f>
        <v>OK</v>
      </c>
    </row>
    <row r="9" ht="15">
      <c r="A9" s="15" t="s">
        <v>85</v>
      </c>
      <c r="B9" s="47">
        <f>BOM_Consumo!K10</f>
        <v>8880</v>
      </c>
      <c r="C9" s="47">
        <f>Inputs!B37</f>
        <v>1</v>
      </c>
      <c r="D9" s="48">
        <f>ROUNDUP(B9/C9,0)</f>
        <v>8880</v>
      </c>
      <c r="E9" s="49">
        <f>D9</f>
        <v>8880</v>
      </c>
      <c r="F9" s="48">
        <f>E9*C9</f>
        <v>8880</v>
      </c>
      <c r="G9" s="50">
        <f>Inputs!B47</f>
        <v>125</v>
      </c>
      <c r="H9" s="51">
        <f>E9*G9</f>
        <v>1110000</v>
      </c>
      <c r="I9" s="32" t="str">
        <f>IF(F9&gt;=B9,"OK","INSUFICIENTE")</f>
        <v>OK</v>
      </c>
    </row>
    <row r="10" ht="15">
      <c r="A10" s="15" t="s">
        <v>86</v>
      </c>
      <c r="B10" s="47">
        <f>BOM_Consumo!K11</f>
        <v>29600</v>
      </c>
      <c r="C10" s="47">
        <f>Inputs!B38</f>
        <v>100</v>
      </c>
      <c r="D10" s="48">
        <f>ROUNDUP(B10/C10,0)</f>
        <v>296</v>
      </c>
      <c r="E10" s="49">
        <f>D10</f>
        <v>296</v>
      </c>
      <c r="F10" s="48">
        <f>E10*C10</f>
        <v>29600</v>
      </c>
      <c r="G10" s="50">
        <f>Inputs!B48</f>
        <v>330</v>
      </c>
      <c r="H10" s="51">
        <f>E10*G10</f>
        <v>97680</v>
      </c>
      <c r="I10" s="32" t="str">
        <f>IF(F10&gt;=B10,"OK","INSUFICIENTE")</f>
        <v>OK</v>
      </c>
    </row>
    <row r="11" ht="15">
      <c r="A11" s="15" t="s">
        <v>87</v>
      </c>
      <c r="B11" s="47">
        <f>BOM_Consumo!K12</f>
        <v>11100</v>
      </c>
      <c r="C11" s="47">
        <f>Inputs!B39</f>
        <v>30</v>
      </c>
      <c r="D11" s="48">
        <f>ROUNDUP(B11/C11,0)</f>
        <v>370</v>
      </c>
      <c r="E11" s="49">
        <f>D11</f>
        <v>370</v>
      </c>
      <c r="F11" s="48">
        <f>E11*C11</f>
        <v>11100</v>
      </c>
      <c r="G11" s="50">
        <f>Inputs!B49</f>
        <v>60</v>
      </c>
      <c r="H11" s="51">
        <f>E11*G11</f>
        <v>22200</v>
      </c>
      <c r="I11" s="32" t="str">
        <f>IF(F11&gt;=B11,"OK","INSUFICIENTE")</f>
        <v>OK</v>
      </c>
    </row>
    <row r="12" ht="15">
      <c r="A12" s="15" t="s">
        <v>88</v>
      </c>
      <c r="B12" s="47">
        <f>BOM_Consumo!K13</f>
        <v>0</v>
      </c>
      <c r="C12" s="47">
        <f>Inputs!B40</f>
        <v>60</v>
      </c>
      <c r="D12" s="48">
        <f>ROUNDUP(B12/C12,0)</f>
        <v>0</v>
      </c>
      <c r="E12" s="49">
        <f>D12</f>
        <v>0</v>
      </c>
      <c r="F12" s="48">
        <f>E12*C12</f>
        <v>0</v>
      </c>
      <c r="G12" s="50">
        <f>Inputs!B50</f>
        <v>7</v>
      </c>
      <c r="H12" s="51">
        <f>E12*G12</f>
        <v>0</v>
      </c>
      <c r="I12" s="32" t="str">
        <f>IF(F12&gt;=B12,"OK","INSUFICIENTE")</f>
        <v>OK</v>
      </c>
    </row>
    <row r="13" ht="15">
      <c r="A13" s="39" t="s">
        <v>107</v>
      </c>
      <c r="B13" s="39"/>
      <c r="C13" s="39"/>
      <c r="D13" s="39"/>
      <c r="E13" s="39"/>
      <c r="F13" s="39"/>
      <c r="G13" s="39"/>
      <c r="H13" s="52">
        <f>SUM(H7:H12)</f>
        <v>1232470</v>
      </c>
    </row>
    <row r="16" ht="15">
      <c r="A16" s="9" t="s">
        <v>108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</row>
    <row r="17" ht="23.25">
      <c r="A17" s="46" t="s">
        <v>40</v>
      </c>
      <c r="B17" s="46" t="s">
        <v>109</v>
      </c>
      <c r="C17" s="46" t="s">
        <v>110</v>
      </c>
      <c r="D17" s="46" t="s">
        <v>102</v>
      </c>
      <c r="E17" s="46" t="s">
        <v>103</v>
      </c>
      <c r="F17" s="46" t="s">
        <v>104</v>
      </c>
      <c r="G17" s="46" t="s">
        <v>45</v>
      </c>
      <c r="H17" s="46" t="s">
        <v>106</v>
      </c>
      <c r="I17" s="46" t="s">
        <v>111</v>
      </c>
      <c r="J17" s="46" t="s">
        <v>112</v>
      </c>
      <c r="K17" s="46" t="s">
        <v>113</v>
      </c>
    </row>
    <row r="18" ht="15">
      <c r="A18" s="53" t="s">
        <v>18</v>
      </c>
      <c r="B18" s="16" t="s">
        <v>4</v>
      </c>
      <c r="C18" s="47">
        <f>BOM_Consumo!C6</f>
        <v>370</v>
      </c>
      <c r="D18" s="47">
        <f>Inputs!B35</f>
        <v>30</v>
      </c>
      <c r="E18" s="48">
        <f>IF(C18&gt;0,ROUNDUP(C18/D18,0),0)</f>
        <v>13</v>
      </c>
      <c r="F18" s="49">
        <v>0</v>
      </c>
      <c r="G18" s="48">
        <f>F18*D18</f>
        <v>0</v>
      </c>
      <c r="H18" s="50">
        <f>Inputs!B43</f>
        <v>125</v>
      </c>
      <c r="I18" s="51">
        <f>F18*H18</f>
        <v>0</v>
      </c>
      <c r="J18" s="54" t="str">
        <f>Inputs!C58</f>
        <v>Holding Cost/U/Q</v>
      </c>
      <c r="K18" s="32" t="s">
        <v>4</v>
      </c>
    </row>
    <row r="19" ht="15">
      <c r="A19" s="53"/>
      <c r="B19" s="16" t="s">
        <v>5</v>
      </c>
      <c r="C19" s="47">
        <f>BOM_Consumo!D6</f>
        <v>370</v>
      </c>
      <c r="D19" s="47">
        <f>Inputs!B35</f>
        <v>30</v>
      </c>
      <c r="E19" s="48">
        <f>IF(C19&gt;0,ROUNDUP(C19/D19,0),0)</f>
        <v>13</v>
      </c>
      <c r="F19" s="49">
        <v>0</v>
      </c>
      <c r="G19" s="48">
        <f>F19*D19</f>
        <v>0</v>
      </c>
      <c r="H19" s="50">
        <f>Inputs!B43</f>
        <v>125</v>
      </c>
      <c r="I19" s="51">
        <f>F19*H19</f>
        <v>0</v>
      </c>
      <c r="J19" s="54" t="str">
        <f>Inputs!C58</f>
        <v>Holding Cost/U/Q</v>
      </c>
      <c r="K19" s="32" t="s">
        <v>5</v>
      </c>
    </row>
    <row r="20" ht="15">
      <c r="A20" s="53"/>
      <c r="B20" s="16" t="s">
        <v>6</v>
      </c>
      <c r="C20" s="47">
        <f>BOM_Consumo!E6</f>
        <v>370</v>
      </c>
      <c r="D20" s="47">
        <f>Inputs!B35</f>
        <v>30</v>
      </c>
      <c r="E20" s="48">
        <f>IF(C20&gt;0,ROUNDUP(C20/D20,0),0)</f>
        <v>13</v>
      </c>
      <c r="F20" s="49">
        <v>0</v>
      </c>
      <c r="G20" s="48">
        <f>F20*D20</f>
        <v>0</v>
      </c>
      <c r="H20" s="50">
        <f>Inputs!B43</f>
        <v>125</v>
      </c>
      <c r="I20" s="51">
        <f>F20*H20</f>
        <v>0</v>
      </c>
      <c r="J20" s="54" t="str">
        <f>Inputs!C58</f>
        <v>Holding Cost/U/Q</v>
      </c>
      <c r="K20" s="32" t="s">
        <v>6</v>
      </c>
    </row>
    <row r="21" ht="15">
      <c r="A21" s="53"/>
      <c r="B21" s="16" t="s">
        <v>7</v>
      </c>
      <c r="C21" s="47">
        <f>BOM_Consumo!F6</f>
        <v>370</v>
      </c>
      <c r="D21" s="47">
        <f>Inputs!B35</f>
        <v>30</v>
      </c>
      <c r="E21" s="48">
        <f>IF(C21&gt;0,ROUNDUP(C21/D21,0),0)</f>
        <v>13</v>
      </c>
      <c r="F21" s="49">
        <v>0</v>
      </c>
      <c r="G21" s="48">
        <f>F21*D21</f>
        <v>0</v>
      </c>
      <c r="H21" s="50">
        <f>Inputs!B43</f>
        <v>125</v>
      </c>
      <c r="I21" s="51">
        <f>F21*H21</f>
        <v>0</v>
      </c>
      <c r="J21" s="54" t="str">
        <f>Inputs!C58</f>
        <v>Holding Cost/U/Q</v>
      </c>
      <c r="K21" s="32" t="s">
        <v>7</v>
      </c>
    </row>
    <row r="22" ht="15">
      <c r="A22" s="53"/>
      <c r="B22" s="16" t="s">
        <v>8</v>
      </c>
      <c r="C22" s="47">
        <f>BOM_Consumo!G6</f>
        <v>370</v>
      </c>
      <c r="D22" s="47">
        <f>Inputs!B35</f>
        <v>30</v>
      </c>
      <c r="E22" s="48">
        <f>IF(C22&gt;0,ROUNDUP(C22/D22,0),0)</f>
        <v>13</v>
      </c>
      <c r="F22" s="49">
        <v>0</v>
      </c>
      <c r="G22" s="48">
        <f>F22*D22</f>
        <v>0</v>
      </c>
      <c r="H22" s="50">
        <f>Inputs!B43</f>
        <v>125</v>
      </c>
      <c r="I22" s="51">
        <f>F22*H22</f>
        <v>0</v>
      </c>
      <c r="J22" s="54" t="str">
        <f>Inputs!C58</f>
        <v>Holding Cost/U/Q</v>
      </c>
      <c r="K22" s="32" t="s">
        <v>8</v>
      </c>
    </row>
    <row r="23" ht="15">
      <c r="A23" s="53"/>
      <c r="B23" s="16" t="s">
        <v>9</v>
      </c>
      <c r="C23" s="47">
        <f>BOM_Consumo!H6</f>
        <v>370</v>
      </c>
      <c r="D23" s="47">
        <f>Inputs!B35</f>
        <v>30</v>
      </c>
      <c r="E23" s="48">
        <f>IF(C23&gt;0,ROUNDUP(C23/D23,0),0)</f>
        <v>13</v>
      </c>
      <c r="F23" s="49">
        <v>0</v>
      </c>
      <c r="G23" s="48">
        <f>F23*D23</f>
        <v>0</v>
      </c>
      <c r="H23" s="50">
        <f>Inputs!B43</f>
        <v>125</v>
      </c>
      <c r="I23" s="51">
        <f>F23*H23</f>
        <v>0</v>
      </c>
      <c r="J23" s="54" t="str">
        <f>Inputs!C58</f>
        <v>Holding Cost/U/Q</v>
      </c>
      <c r="K23" s="32" t="s">
        <v>9</v>
      </c>
    </row>
    <row r="24" ht="15">
      <c r="A24" s="53"/>
      <c r="B24" s="16" t="s">
        <v>10</v>
      </c>
      <c r="C24" s="47">
        <f>BOM_Consumo!I6</f>
        <v>370</v>
      </c>
      <c r="D24" s="47">
        <f>Inputs!B35</f>
        <v>30</v>
      </c>
      <c r="E24" s="48">
        <f>IF(C24&gt;0,ROUNDUP(C24/D24,0),0)</f>
        <v>13</v>
      </c>
      <c r="F24" s="49">
        <v>0</v>
      </c>
      <c r="G24" s="48">
        <f>F24*D24</f>
        <v>0</v>
      </c>
      <c r="H24" s="50">
        <f>Inputs!B43</f>
        <v>125</v>
      </c>
      <c r="I24" s="51">
        <f>F24*H24</f>
        <v>0</v>
      </c>
      <c r="J24" s="54" t="str">
        <f>Inputs!C58</f>
        <v>Holding Cost/U/Q</v>
      </c>
      <c r="K24" s="32" t="s">
        <v>10</v>
      </c>
    </row>
    <row r="25" ht="15">
      <c r="A25" s="53"/>
      <c r="B25" s="16" t="s">
        <v>11</v>
      </c>
      <c r="C25" s="47">
        <f>BOM_Consumo!J6</f>
        <v>370</v>
      </c>
      <c r="D25" s="47">
        <f>Inputs!B35</f>
        <v>30</v>
      </c>
      <c r="E25" s="48">
        <f>IF(C25&gt;0,ROUNDUP(C25/D25,0),0)</f>
        <v>13</v>
      </c>
      <c r="F25" s="49">
        <v>0</v>
      </c>
      <c r="G25" s="48">
        <f>F25*D25</f>
        <v>0</v>
      </c>
      <c r="H25" s="50">
        <f>Inputs!B43</f>
        <v>125</v>
      </c>
      <c r="I25" s="51">
        <f>F25*H25</f>
        <v>0</v>
      </c>
      <c r="J25" s="54" t="str">
        <f>Inputs!C58</f>
        <v>Holding Cost/U/Q</v>
      </c>
      <c r="K25" s="32" t="s">
        <v>11</v>
      </c>
    </row>
    <row r="26" ht="15">
      <c r="A26" s="53" t="s">
        <v>19</v>
      </c>
      <c r="B26" s="16" t="s">
        <v>4</v>
      </c>
      <c r="C26" s="47">
        <f>BOM_Consumo!C7</f>
        <v>18.5</v>
      </c>
      <c r="D26" s="47">
        <f>Inputs!B36</f>
        <v>12</v>
      </c>
      <c r="E26" s="48">
        <f>IF(C26&gt;0,ROUNDUP(C26/D26,0),0)</f>
        <v>2</v>
      </c>
      <c r="F26" s="49">
        <v>0</v>
      </c>
      <c r="G26" s="48">
        <f>F26*D26</f>
        <v>0</v>
      </c>
      <c r="H26" s="50">
        <f>Inputs!B44</f>
        <v>330</v>
      </c>
      <c r="I26" s="51">
        <f>F26*H26</f>
        <v>0</v>
      </c>
      <c r="J26" s="54">
        <f>Inputs!C69</f>
        <v>0</v>
      </c>
      <c r="K26" s="32" t="s">
        <v>4</v>
      </c>
    </row>
    <row r="27" ht="15">
      <c r="A27" s="53"/>
      <c r="B27" s="16" t="s">
        <v>5</v>
      </c>
      <c r="C27" s="47">
        <f>BOM_Consumo!D7</f>
        <v>18.5</v>
      </c>
      <c r="D27" s="47">
        <f>Inputs!B36</f>
        <v>12</v>
      </c>
      <c r="E27" s="48">
        <f>IF(C27&gt;0,ROUNDUP(C27/D27,0),0)</f>
        <v>2</v>
      </c>
      <c r="F27" s="49">
        <v>0</v>
      </c>
      <c r="G27" s="48">
        <f>F27*D27</f>
        <v>0</v>
      </c>
      <c r="H27" s="50">
        <f>Inputs!B44</f>
        <v>330</v>
      </c>
      <c r="I27" s="51">
        <f>F27*H27</f>
        <v>0</v>
      </c>
      <c r="J27" s="54">
        <f>Inputs!C69</f>
        <v>0</v>
      </c>
      <c r="K27" s="32" t="s">
        <v>5</v>
      </c>
    </row>
    <row r="28" ht="15">
      <c r="A28" s="53"/>
      <c r="B28" s="16" t="s">
        <v>6</v>
      </c>
      <c r="C28" s="47">
        <f>BOM_Consumo!E7</f>
        <v>18.5</v>
      </c>
      <c r="D28" s="47">
        <f>Inputs!B36</f>
        <v>12</v>
      </c>
      <c r="E28" s="48">
        <f>IF(C28&gt;0,ROUNDUP(C28/D28,0),0)</f>
        <v>2</v>
      </c>
      <c r="F28" s="49">
        <v>0</v>
      </c>
      <c r="G28" s="48">
        <f>F28*D28</f>
        <v>0</v>
      </c>
      <c r="H28" s="50">
        <f>Inputs!B44</f>
        <v>330</v>
      </c>
      <c r="I28" s="51">
        <f>F28*H28</f>
        <v>0</v>
      </c>
      <c r="J28" s="54">
        <f>Inputs!C69</f>
        <v>0</v>
      </c>
      <c r="K28" s="32" t="s">
        <v>6</v>
      </c>
    </row>
    <row r="29" ht="15">
      <c r="A29" s="53"/>
      <c r="B29" s="16" t="s">
        <v>7</v>
      </c>
      <c r="C29" s="47">
        <f>BOM_Consumo!F7</f>
        <v>18.5</v>
      </c>
      <c r="D29" s="47">
        <f>Inputs!B36</f>
        <v>12</v>
      </c>
      <c r="E29" s="48">
        <f>IF(C29&gt;0,ROUNDUP(C29/D29,0),0)</f>
        <v>2</v>
      </c>
      <c r="F29" s="49">
        <v>0</v>
      </c>
      <c r="G29" s="48">
        <f>F29*D29</f>
        <v>0</v>
      </c>
      <c r="H29" s="50">
        <f>Inputs!B44</f>
        <v>330</v>
      </c>
      <c r="I29" s="51">
        <f>F29*H29</f>
        <v>0</v>
      </c>
      <c r="J29" s="54">
        <f>Inputs!C69</f>
        <v>0</v>
      </c>
      <c r="K29" s="32" t="s">
        <v>7</v>
      </c>
    </row>
    <row r="30" ht="15">
      <c r="A30" s="53"/>
      <c r="B30" s="16" t="s">
        <v>8</v>
      </c>
      <c r="C30" s="47">
        <f>BOM_Consumo!G7</f>
        <v>18.5</v>
      </c>
      <c r="D30" s="47">
        <f>Inputs!B36</f>
        <v>12</v>
      </c>
      <c r="E30" s="48">
        <f>IF(C30&gt;0,ROUNDUP(C30/D30,0),0)</f>
        <v>2</v>
      </c>
      <c r="F30" s="49">
        <v>0</v>
      </c>
      <c r="G30" s="48">
        <f>F30*D30</f>
        <v>0</v>
      </c>
      <c r="H30" s="50">
        <f>Inputs!B44</f>
        <v>330</v>
      </c>
      <c r="I30" s="51">
        <f>F30*H30</f>
        <v>0</v>
      </c>
      <c r="J30" s="54">
        <f>Inputs!C69</f>
        <v>0</v>
      </c>
      <c r="K30" s="32" t="s">
        <v>8</v>
      </c>
    </row>
    <row r="31" ht="15">
      <c r="A31" s="53"/>
      <c r="B31" s="16" t="s">
        <v>9</v>
      </c>
      <c r="C31" s="47">
        <f>BOM_Consumo!H7</f>
        <v>18.5</v>
      </c>
      <c r="D31" s="47">
        <f>Inputs!B36</f>
        <v>12</v>
      </c>
      <c r="E31" s="48">
        <f>IF(C31&gt;0,ROUNDUP(C31/D31,0),0)</f>
        <v>2</v>
      </c>
      <c r="F31" s="49">
        <v>0</v>
      </c>
      <c r="G31" s="48">
        <f>F31*D31</f>
        <v>0</v>
      </c>
      <c r="H31" s="50">
        <f>Inputs!B44</f>
        <v>330</v>
      </c>
      <c r="I31" s="51">
        <f>F31*H31</f>
        <v>0</v>
      </c>
      <c r="J31" s="54">
        <f>Inputs!C69</f>
        <v>0</v>
      </c>
      <c r="K31" s="32" t="s">
        <v>9</v>
      </c>
    </row>
    <row r="32" ht="15">
      <c r="A32" s="53"/>
      <c r="B32" s="16" t="s">
        <v>10</v>
      </c>
      <c r="C32" s="47">
        <f>BOM_Consumo!I7</f>
        <v>18.5</v>
      </c>
      <c r="D32" s="47">
        <f>Inputs!B36</f>
        <v>12</v>
      </c>
      <c r="E32" s="48">
        <f>IF(C32&gt;0,ROUNDUP(C32/D32,0),0)</f>
        <v>2</v>
      </c>
      <c r="F32" s="49">
        <v>0</v>
      </c>
      <c r="G32" s="48">
        <f>F32*D32</f>
        <v>0</v>
      </c>
      <c r="H32" s="50">
        <f>Inputs!B44</f>
        <v>330</v>
      </c>
      <c r="I32" s="51">
        <f>F32*H32</f>
        <v>0</v>
      </c>
      <c r="J32" s="54">
        <f>Inputs!C69</f>
        <v>0</v>
      </c>
      <c r="K32" s="32" t="s">
        <v>10</v>
      </c>
    </row>
    <row r="33" ht="15">
      <c r="A33" s="53"/>
      <c r="B33" s="16" t="s">
        <v>11</v>
      </c>
      <c r="C33" s="47">
        <f>BOM_Consumo!J7</f>
        <v>18.5</v>
      </c>
      <c r="D33" s="47">
        <f>Inputs!B36</f>
        <v>12</v>
      </c>
      <c r="E33" s="48">
        <f>IF(C33&gt;0,ROUNDUP(C33/D33,0),0)</f>
        <v>2</v>
      </c>
      <c r="F33" s="49">
        <v>0</v>
      </c>
      <c r="G33" s="48">
        <f>F33*D33</f>
        <v>0</v>
      </c>
      <c r="H33" s="50">
        <f>Inputs!B44</f>
        <v>330</v>
      </c>
      <c r="I33" s="51">
        <f>F33*H33</f>
        <v>0</v>
      </c>
      <c r="J33" s="54">
        <f>Inputs!C69</f>
        <v>0</v>
      </c>
      <c r="K33" s="32" t="s">
        <v>11</v>
      </c>
    </row>
  </sheetData>
  <mergeCells>
    <mergeCell ref="A1:L1"/>
    <mergeCell ref="A2:L2"/>
    <mergeCell ref="A3:L3"/>
    <mergeCell ref="A5:J5"/>
    <mergeCell ref="A13:G13"/>
    <mergeCell ref="A16:L16"/>
    <mergeCell ref="A18:A25"/>
    <mergeCell ref="A26:A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min="1" max="6" width="15" customWidth="1" style="6"/>
  </cols>
  <sheetData>
    <row r="1" ht="17.25">
      <c r="A1" s="7" t="s">
        <v>77</v>
      </c>
      <c r="B1" s="7"/>
      <c r="C1" s="7"/>
      <c r="D1" s="7"/>
      <c r="E1" s="7"/>
      <c r="F1" s="7"/>
    </row>
    <row r="2" ht="15">
      <c r="A2" s="33" t="s">
        <v>78</v>
      </c>
      <c r="B2" s="33"/>
      <c r="C2" s="33"/>
      <c r="D2" s="33"/>
      <c r="E2" s="33"/>
      <c r="F2" s="33"/>
    </row>
    <row r="4" ht="15">
      <c r="A4" s="55" t="s">
        <v>40</v>
      </c>
      <c r="B4" s="55" t="s">
        <v>70</v>
      </c>
      <c r="C4" s="55" t="s">
        <v>79</v>
      </c>
      <c r="D4" s="55" t="s">
        <v>80</v>
      </c>
      <c r="E4" s="55" t="s">
        <v>81</v>
      </c>
      <c r="F4" s="55" t="s">
        <v>82</v>
      </c>
    </row>
    <row r="5" ht="15">
      <c r="A5" s="15" t="s">
        <v>83</v>
      </c>
      <c r="B5" s="50">
        <f>Compras_y_Lotes!H7</f>
        <v>0</v>
      </c>
      <c r="C5" s="56">
        <v>1</v>
      </c>
      <c r="D5" s="51">
        <v>0</v>
      </c>
      <c r="E5" s="51">
        <v>0</v>
      </c>
      <c r="F5" s="51">
        <f>B5+D5+E5</f>
        <v>0</v>
      </c>
    </row>
    <row r="6" ht="15">
      <c r="A6" s="15" t="s">
        <v>84</v>
      </c>
      <c r="B6" s="50">
        <f>Compras_y_Lotes!H8</f>
        <v>2590</v>
      </c>
      <c r="C6" s="56">
        <v>1</v>
      </c>
      <c r="D6" s="51">
        <v>0</v>
      </c>
      <c r="E6" s="51">
        <v>0</v>
      </c>
      <c r="F6" s="51">
        <f>B6+D6+E6</f>
        <v>2590</v>
      </c>
    </row>
    <row r="7" ht="15">
      <c r="A7" s="15" t="s">
        <v>85</v>
      </c>
      <c r="B7" s="50">
        <f>Compras_y_Lotes!H9</f>
        <v>1110000</v>
      </c>
      <c r="C7" s="56">
        <v>1</v>
      </c>
      <c r="D7" s="51">
        <v>0</v>
      </c>
      <c r="E7" s="51">
        <v>0</v>
      </c>
      <c r="F7" s="51">
        <f>B7+D7+E7</f>
        <v>1110000</v>
      </c>
    </row>
    <row r="8" ht="15">
      <c r="A8" s="15" t="s">
        <v>86</v>
      </c>
      <c r="B8" s="50">
        <f>Compras_y_Lotes!H10</f>
        <v>97680</v>
      </c>
      <c r="C8" s="56">
        <v>1</v>
      </c>
      <c r="D8" s="51">
        <v>0</v>
      </c>
      <c r="E8" s="51">
        <v>0</v>
      </c>
      <c r="F8" s="51">
        <f>B8+D8+E8</f>
        <v>97680</v>
      </c>
    </row>
    <row r="9" ht="15">
      <c r="A9" s="15" t="s">
        <v>87</v>
      </c>
      <c r="B9" s="50">
        <f>Compras_y_Lotes!H11</f>
        <v>22200</v>
      </c>
      <c r="C9" s="56">
        <v>1</v>
      </c>
      <c r="D9" s="51">
        <v>0</v>
      </c>
      <c r="E9" s="51">
        <v>0</v>
      </c>
      <c r="F9" s="51">
        <f>B9+D9+E9</f>
        <v>22200</v>
      </c>
    </row>
    <row r="10" ht="15">
      <c r="A10" s="15" t="s">
        <v>88</v>
      </c>
      <c r="B10" s="50">
        <f>Compras_y_Lotes!H12</f>
        <v>0</v>
      </c>
      <c r="C10" s="56">
        <v>1</v>
      </c>
      <c r="D10" s="51">
        <v>0</v>
      </c>
      <c r="E10" s="51">
        <v>0</v>
      </c>
      <c r="F10" s="51">
        <f>B10+D10+E10</f>
        <v>0</v>
      </c>
    </row>
    <row r="11" ht="15">
      <c r="A11" s="15" t="s">
        <v>18</v>
      </c>
      <c r="B11" s="50">
        <f>SUM(Compras_y_Lotes!I18:I25)</f>
        <v>0</v>
      </c>
      <c r="C11" s="57">
        <f>COUNTIF(Compras_y_Lotes!F18:F25,"&gt;0")</f>
        <v>0</v>
      </c>
      <c r="D11" s="51">
        <f>C11*Inputs!B52</f>
        <v>0</v>
      </c>
      <c r="E11" s="58">
        <f>0</f>
        <v>0</v>
      </c>
      <c r="F11" s="51">
        <f>B11+D11+E11</f>
        <v>0</v>
      </c>
    </row>
    <row r="12" ht="15">
      <c r="A12" s="15" t="s">
        <v>19</v>
      </c>
      <c r="B12" s="50">
        <f>SUM(Compras_y_Lotes!I26:I33)</f>
        <v>0</v>
      </c>
      <c r="C12" s="57">
        <f>COUNTIF(Compras_y_Lotes!F26:F33,"&gt;0")</f>
        <v>0</v>
      </c>
      <c r="D12" s="51">
        <f>C12*Inputs!B53</f>
        <v>0</v>
      </c>
      <c r="E12" s="58">
        <f>0</f>
        <v>0</v>
      </c>
      <c r="F12" s="51">
        <f>B12+D12+E12</f>
        <v>0</v>
      </c>
    </row>
    <row r="13" ht="15">
      <c r="A13" s="24" t="s">
        <v>89</v>
      </c>
      <c r="B13" s="52">
        <f>SUM(B5:B12)</f>
        <v>1232470</v>
      </c>
      <c r="C13" s="59">
        <f>SUM(C5:C12)</f>
        <v>6</v>
      </c>
      <c r="D13" s="52">
        <f>SUM(D5:D12)</f>
        <v>0</v>
      </c>
      <c r="E13" s="52">
        <f>SUM(E5:E12)</f>
        <v>0</v>
      </c>
      <c r="F13" s="52">
        <f>SUM(F5:F12)</f>
        <v>1232470</v>
      </c>
    </row>
  </sheetData>
  <mergeCells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min="1" max="1" width="18" customWidth="1" style="6"/>
    <col min="2" max="10" width="12" customWidth="1" style="6"/>
  </cols>
  <sheetData>
    <row r="1" ht="17.25">
      <c r="A1" s="7" t="s">
        <v>33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ht="15">
      <c r="A2" s="33" t="s">
        <v>34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ht="15">
      <c r="A3" s="41" t="s">
        <v>35</v>
      </c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</row>
    <row r="5" ht="15">
      <c r="A5" s="35" t="s">
        <v>3</v>
      </c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35" t="s">
        <v>11</v>
      </c>
      <c r="J5" s="35" t="s">
        <v>12</v>
      </c>
    </row>
    <row r="6" ht="15">
      <c r="A6" s="11" t="s">
        <v>13</v>
      </c>
      <c r="B6" s="50">
        <f>Compras_y_Lotes!H13</f>
        <v>1232470</v>
      </c>
      <c r="C6" s="60">
        <v>0</v>
      </c>
      <c r="D6" s="60">
        <v>0</v>
      </c>
      <c r="E6" s="60">
        <v>0</v>
      </c>
      <c r="F6" s="60">
        <v>0</v>
      </c>
      <c r="G6" s="60">
        <v>0</v>
      </c>
      <c r="H6" s="60">
        <v>0</v>
      </c>
      <c r="I6" s="60">
        <v>0</v>
      </c>
      <c r="J6" s="51">
        <f>SUM(B6:I6)</f>
        <v>1232470</v>
      </c>
    </row>
    <row r="7" ht="15">
      <c r="A7" s="15" t="s">
        <v>18</v>
      </c>
      <c r="B7" s="58">
        <v>0</v>
      </c>
      <c r="C7" s="58">
        <v>0</v>
      </c>
      <c r="D7" s="58">
        <v>0</v>
      </c>
      <c r="E7" s="58">
        <v>0</v>
      </c>
      <c r="F7" s="58">
        <v>0</v>
      </c>
      <c r="G7" s="58">
        <v>0</v>
      </c>
      <c r="H7" s="58">
        <v>0</v>
      </c>
      <c r="I7" s="58">
        <v>0</v>
      </c>
      <c r="J7" s="51">
        <f>SUM(B7:I7)</f>
        <v>0</v>
      </c>
    </row>
    <row r="8" ht="15">
      <c r="A8" s="15" t="s">
        <v>19</v>
      </c>
      <c r="B8" s="58">
        <v>0</v>
      </c>
      <c r="C8" s="58">
        <v>0</v>
      </c>
      <c r="D8" s="58">
        <v>0</v>
      </c>
      <c r="E8" s="58">
        <v>0</v>
      </c>
      <c r="F8" s="58">
        <v>0</v>
      </c>
      <c r="G8" s="58">
        <v>0</v>
      </c>
      <c r="H8" s="58">
        <v>0</v>
      </c>
      <c r="I8" s="58">
        <v>0</v>
      </c>
      <c r="J8" s="51">
        <f>SUM(B8:I8)</f>
        <v>0</v>
      </c>
    </row>
    <row r="9" ht="15">
      <c r="A9" s="11" t="s">
        <v>36</v>
      </c>
      <c r="B9" s="52">
        <f>SUM(B6:B8)</f>
        <v>1232470</v>
      </c>
      <c r="C9" s="52">
        <f>SUM(C6:C8)</f>
        <v>0</v>
      </c>
      <c r="D9" s="52">
        <f>SUM(D6:D8)</f>
        <v>0</v>
      </c>
      <c r="E9" s="52">
        <f>SUM(E6:E8)</f>
        <v>0</v>
      </c>
      <c r="F9" s="52">
        <f>SUM(F6:F8)</f>
        <v>0</v>
      </c>
      <c r="G9" s="52">
        <f>SUM(G6:G8)</f>
        <v>0</v>
      </c>
      <c r="H9" s="52">
        <f>SUM(H6:H8)</f>
        <v>0</v>
      </c>
      <c r="I9" s="52">
        <f>SUM(I6:I8)</f>
        <v>0</v>
      </c>
      <c r="J9" s="52">
        <f>SUM(B9:I9)</f>
        <v>1232470</v>
      </c>
    </row>
  </sheetData>
  <mergeCells>
    <mergeCell ref="A1:L1"/>
    <mergeCell ref="A2:L2"/>
    <mergeCell ref="A3:L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min="1" max="1" width="22" customWidth="1" style="6"/>
    <col min="2" max="5" width="18" customWidth="1" style="6"/>
  </cols>
  <sheetData>
    <row r="1" ht="17.25">
      <c r="A1" s="7" t="s">
        <v>205</v>
      </c>
      <c r="B1" s="7"/>
      <c r="C1" s="7"/>
      <c r="D1" s="7"/>
      <c r="E1" s="7"/>
      <c r="F1" s="7"/>
    </row>
    <row r="2" ht="15">
      <c r="A2" s="33" t="s">
        <v>206</v>
      </c>
      <c r="B2" s="33"/>
      <c r="C2" s="33"/>
      <c r="D2" s="33"/>
      <c r="E2" s="33"/>
      <c r="F2" s="33"/>
    </row>
    <row r="4" ht="15">
      <c r="A4" s="24" t="s">
        <v>207</v>
      </c>
      <c r="B4" s="61" t="s">
        <v>208</v>
      </c>
    </row>
    <row r="6" ht="15">
      <c r="A6" s="28" t="s">
        <v>50</v>
      </c>
      <c r="B6" s="28" t="s">
        <v>209</v>
      </c>
      <c r="C6" s="28" t="s">
        <v>208</v>
      </c>
      <c r="D6" s="28" t="s">
        <v>210</v>
      </c>
      <c r="E6" s="28" t="s">
        <v>211</v>
      </c>
    </row>
    <row r="7" ht="15">
      <c r="A7" s="11" t="s">
        <v>172</v>
      </c>
      <c r="B7" s="15" t="s">
        <v>212</v>
      </c>
      <c r="C7" s="15" t="s">
        <v>213</v>
      </c>
      <c r="D7" s="15" t="s">
        <v>214</v>
      </c>
      <c r="E7" s="15" t="s">
        <v>215</v>
      </c>
    </row>
    <row r="8" ht="15">
      <c r="A8" s="11" t="s">
        <v>216</v>
      </c>
      <c r="B8" s="15" t="s">
        <v>217</v>
      </c>
      <c r="C8" s="15" t="s">
        <v>75</v>
      </c>
      <c r="D8" s="15" t="s">
        <v>218</v>
      </c>
      <c r="E8" s="15" t="s">
        <v>219</v>
      </c>
    </row>
    <row r="9" ht="15">
      <c r="A9" s="11" t="s">
        <v>220</v>
      </c>
      <c r="B9" s="15" t="s">
        <v>217</v>
      </c>
      <c r="C9" s="15" t="s">
        <v>75</v>
      </c>
      <c r="D9" s="15" t="s">
        <v>218</v>
      </c>
      <c r="E9" s="15" t="s">
        <v>219</v>
      </c>
    </row>
    <row r="10" ht="15">
      <c r="A10" s="11" t="s">
        <v>221</v>
      </c>
      <c r="B10" s="15" t="s">
        <v>222</v>
      </c>
      <c r="C10" s="15" t="s">
        <v>223</v>
      </c>
      <c r="D10" s="15" t="s">
        <v>224</v>
      </c>
      <c r="E10" s="15" t="s">
        <v>225</v>
      </c>
    </row>
    <row r="11" ht="15">
      <c r="A11" s="62"/>
      <c r="B11" s="15"/>
      <c r="C11" s="15"/>
      <c r="D11" s="15"/>
      <c r="E11" s="15"/>
    </row>
    <row r="12" ht="15">
      <c r="A12" s="11" t="s">
        <v>226</v>
      </c>
      <c r="B12" s="15"/>
      <c r="C12" s="15"/>
      <c r="D12" s="15"/>
      <c r="E12" s="15"/>
    </row>
    <row r="13" ht="15">
      <c r="A13" s="11" t="s">
        <v>82</v>
      </c>
      <c r="B13" s="15" t="s">
        <v>227</v>
      </c>
      <c r="C13" s="15" t="s">
        <v>228</v>
      </c>
      <c r="D13" s="15" t="s">
        <v>229</v>
      </c>
      <c r="E13" s="15" t="s">
        <v>230</v>
      </c>
    </row>
    <row r="14" ht="15">
      <c r="A14" s="11" t="s">
        <v>231</v>
      </c>
      <c r="B14" s="15" t="s">
        <v>232</v>
      </c>
      <c r="C14" s="15" t="s">
        <v>229</v>
      </c>
      <c r="D14" s="15" t="s">
        <v>228</v>
      </c>
      <c r="E14" s="15" t="s">
        <v>233</v>
      </c>
    </row>
    <row r="15" ht="15">
      <c r="A15" s="11" t="s">
        <v>234</v>
      </c>
      <c r="B15" s="15" t="s">
        <v>227</v>
      </c>
      <c r="C15" s="15" t="s">
        <v>228</v>
      </c>
      <c r="D15" s="15" t="s">
        <v>229</v>
      </c>
      <c r="E15" s="15" t="s">
        <v>235</v>
      </c>
    </row>
    <row r="16" ht="15">
      <c r="A16" s="11" t="s">
        <v>236</v>
      </c>
      <c r="B16" s="15" t="s">
        <v>237</v>
      </c>
      <c r="C16" s="15" t="s">
        <v>228</v>
      </c>
      <c r="D16" s="15" t="s">
        <v>238</v>
      </c>
      <c r="E16" s="15" t="s">
        <v>239</v>
      </c>
    </row>
    <row r="20" ht="15">
      <c r="A20" s="9" t="s">
        <v>240</v>
      </c>
      <c r="B20" s="9"/>
      <c r="C20" s="9"/>
      <c r="D20" s="9"/>
      <c r="E20" s="9"/>
      <c r="F20" s="9"/>
    </row>
    <row r="21" ht="15">
      <c r="A21" s="14" t="s">
        <v>241</v>
      </c>
      <c r="B21" s="14" t="s">
        <v>209</v>
      </c>
      <c r="C21" s="14" t="s">
        <v>208</v>
      </c>
      <c r="D21" s="14" t="s">
        <v>210</v>
      </c>
      <c r="E21" s="14" t="s">
        <v>242</v>
      </c>
      <c r="F21" s="14" t="s">
        <v>243</v>
      </c>
    </row>
    <row r="22" ht="15">
      <c r="A22" s="11" t="s">
        <v>244</v>
      </c>
      <c r="B22" s="51">
        <f>Costos!F13</f>
        <v>1232470</v>
      </c>
      <c r="C22" s="51">
        <f>Costos!F13</f>
        <v>1232470</v>
      </c>
      <c r="D22" s="51">
        <f>Costos!F13*0.9</f>
        <v>1109223</v>
      </c>
      <c r="E22" s="63">
        <f>MIN(B22:D22)</f>
        <v>1109223</v>
      </c>
      <c r="F22" s="51">
        <f>MAX(B22:D22)-MIN(B22:D22)</f>
        <v>123247</v>
      </c>
    </row>
    <row r="23" ht="15">
      <c r="A23" s="11" t="s">
        <v>245</v>
      </c>
      <c r="B23" s="51">
        <f>Cashflow_Integrado!J33</f>
        <v>0</v>
      </c>
      <c r="C23" s="51">
        <f>Cashflow_Integrado!J33</f>
        <v>0</v>
      </c>
      <c r="D23" s="51">
        <f>Cashflow_Integrado!J33*0.92</f>
        <v>0</v>
      </c>
      <c r="E23" s="63">
        <f>MIN(B23:D23)</f>
        <v>0</v>
      </c>
      <c r="F23" s="51">
        <f>MAX(B23:D23)-MIN(B23:D23)</f>
        <v>0</v>
      </c>
    </row>
    <row r="24" ht="15">
      <c r="A24" s="11" t="s">
        <v>246</v>
      </c>
      <c r="B24" s="51">
        <f>Cashflow_Integrado!B37</f>
        <v>0</v>
      </c>
      <c r="C24" s="51">
        <f>Cashflow_Integrado!B37</f>
        <v>0</v>
      </c>
      <c r="D24" s="51">
        <f>Cashflow_Integrado!B37*1.15</f>
        <v>0</v>
      </c>
      <c r="E24" s="63">
        <f>MIN(B24:D24)</f>
        <v>0</v>
      </c>
      <c r="F24" s="51">
        <f>MAX(B24:D24)-MIN(B24:D24)</f>
        <v>0</v>
      </c>
    </row>
    <row r="25" ht="15">
      <c r="A25" s="11" t="s">
        <v>247</v>
      </c>
      <c r="B25" s="15">
        <v>0</v>
      </c>
      <c r="C25" s="15">
        <v>1</v>
      </c>
      <c r="D25" s="15">
        <v>3</v>
      </c>
      <c r="E25" s="64">
        <f>MIN(B25:D25)</f>
        <v>0</v>
      </c>
      <c r="F25" s="32">
        <f>MAX(B25:D25)-MIN(B25:D25)</f>
        <v>3</v>
      </c>
    </row>
    <row r="26" ht="15">
      <c r="A26" s="11" t="s">
        <v>67</v>
      </c>
      <c r="B26" s="51">
        <f>Riesgo_Proveedor_B!I14</f>
        <v>0</v>
      </c>
      <c r="C26" s="51">
        <f>Riesgo_Proveedor_B!I14</f>
        <v>0</v>
      </c>
      <c r="D26" s="51">
        <f>Riesgo_Proveedor_B!I14*2.5</f>
        <v>0</v>
      </c>
      <c r="E26" s="63">
        <f>MIN(B26:D26)</f>
        <v>0</v>
      </c>
      <c r="F26" s="51">
        <f>MAX(B26:D26)-MIN(B26:D26)</f>
        <v>0</v>
      </c>
    </row>
    <row r="27" ht="15">
      <c r="A27" s="11" t="s">
        <v>248</v>
      </c>
      <c r="B27" s="15">
        <v>1.5</v>
      </c>
      <c r="C27" s="15">
        <v>1</v>
      </c>
      <c r="D27" s="15">
        <v>0.5</v>
      </c>
      <c r="E27" s="64">
        <f>MAX(B27:D27)</f>
        <v>1.5</v>
      </c>
      <c r="F27" s="32">
        <f>MAX(B27:D27)-MIN(B27:D27)</f>
        <v>1</v>
      </c>
    </row>
  </sheetData>
  <mergeCells>
    <mergeCell ref="A1:F1"/>
    <mergeCell ref="A2:F2"/>
    <mergeCell ref="A20:F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min="1" max="10" width="13" customWidth="1" style="6"/>
  </cols>
  <sheetData>
    <row r="1" ht="17.25">
      <c r="A1" s="7" t="s">
        <v>255</v>
      </c>
      <c r="B1" s="7"/>
      <c r="C1" s="7"/>
      <c r="D1" s="7"/>
      <c r="E1" s="7"/>
      <c r="F1" s="7"/>
      <c r="G1" s="7"/>
      <c r="H1" s="7"/>
      <c r="I1" s="7"/>
      <c r="J1" s="7"/>
    </row>
    <row r="2" ht="15">
      <c r="A2" s="33" t="s">
        <v>256</v>
      </c>
      <c r="B2" s="33"/>
      <c r="C2" s="33"/>
      <c r="D2" s="33"/>
      <c r="E2" s="33"/>
      <c r="F2" s="33"/>
      <c r="G2" s="33"/>
      <c r="H2" s="33"/>
      <c r="I2" s="33"/>
      <c r="J2" s="33"/>
    </row>
    <row r="4" ht="15">
      <c r="A4" s="9" t="s">
        <v>257</v>
      </c>
      <c r="B4" s="9"/>
      <c r="C4" s="9"/>
      <c r="D4" s="9"/>
      <c r="E4" s="9"/>
      <c r="F4" s="9"/>
      <c r="G4" s="9"/>
      <c r="H4" s="9"/>
      <c r="I4" s="9"/>
      <c r="J4" s="9"/>
    </row>
    <row r="5" ht="15">
      <c r="A5" s="6" t="s">
        <v>258</v>
      </c>
      <c r="B5" s="65">
        <v>550</v>
      </c>
    </row>
    <row r="7" ht="15">
      <c r="A7" s="46" t="s">
        <v>69</v>
      </c>
      <c r="B7" s="46" t="s">
        <v>157</v>
      </c>
      <c r="C7" s="46" t="s">
        <v>71</v>
      </c>
      <c r="D7" s="46" t="s">
        <v>158</v>
      </c>
      <c r="E7" s="46" t="s">
        <v>259</v>
      </c>
      <c r="F7" s="46" t="s">
        <v>70</v>
      </c>
      <c r="G7" s="46" t="s">
        <v>112</v>
      </c>
      <c r="H7" s="46" t="s">
        <v>260</v>
      </c>
      <c r="I7" s="46" t="s">
        <v>261</v>
      </c>
      <c r="J7" s="46" t="s">
        <v>262</v>
      </c>
    </row>
    <row r="8" ht="15">
      <c r="A8" s="15" t="s">
        <v>75</v>
      </c>
      <c r="B8" s="60">
        <v>125</v>
      </c>
      <c r="C8" s="66">
        <v>0</v>
      </c>
      <c r="D8" s="15">
        <v>0</v>
      </c>
      <c r="E8" s="51">
        <f>B8</f>
        <v>125</v>
      </c>
      <c r="F8" s="51">
        <f>B5*E8</f>
        <v>68750</v>
      </c>
      <c r="G8" s="15" t="s">
        <v>263</v>
      </c>
      <c r="H8" s="15" t="s">
        <v>264</v>
      </c>
      <c r="I8" s="51">
        <f>F8</f>
        <v>68750</v>
      </c>
      <c r="J8" s="15">
        <v>0</v>
      </c>
    </row>
    <row r="9" ht="15">
      <c r="A9" s="15" t="s">
        <v>76</v>
      </c>
      <c r="B9" s="60">
        <v>125</v>
      </c>
      <c r="C9" s="66">
        <v>0.16</v>
      </c>
      <c r="D9" s="15">
        <v>150</v>
      </c>
      <c r="E9" s="51">
        <f>IF(B5&gt;=D9,B9*(1-C9),B9)</f>
        <v>105</v>
      </c>
      <c r="F9" s="51">
        <f>B5*E9</f>
        <v>57750</v>
      </c>
      <c r="G9" s="15" t="s">
        <v>265</v>
      </c>
      <c r="H9" s="15" t="s">
        <v>212</v>
      </c>
      <c r="I9" s="51">
        <f>F9*1.05</f>
        <v>60637.5</v>
      </c>
      <c r="J9" s="15">
        <v>0</v>
      </c>
    </row>
    <row r="10" ht="15">
      <c r="A10" s="15" t="s">
        <v>166</v>
      </c>
      <c r="B10" s="60">
        <v>140</v>
      </c>
      <c r="C10" s="66">
        <v>0</v>
      </c>
      <c r="D10" s="15">
        <v>0</v>
      </c>
      <c r="E10" s="51">
        <f>B10</f>
        <v>140</v>
      </c>
      <c r="F10" s="51">
        <f>B5*E10</f>
        <v>77000</v>
      </c>
      <c r="G10" s="15" t="s">
        <v>266</v>
      </c>
      <c r="H10" s="15" t="s">
        <v>264</v>
      </c>
      <c r="I10" s="51">
        <f>F10*0.97</f>
        <v>74690</v>
      </c>
      <c r="J10" s="15">
        <v>0</v>
      </c>
    </row>
    <row r="11" ht="15">
      <c r="A11" s="24" t="s">
        <v>267</v>
      </c>
      <c r="B11" s="67" t="str">
        <f>INDEX(A8:A10,MATCH(MIN(I8:I10),I8:I10,0))</f>
        <v>B</v>
      </c>
    </row>
    <row r="14" ht="15">
      <c r="A14" s="9" t="s">
        <v>268</v>
      </c>
      <c r="B14" s="9"/>
      <c r="C14" s="9"/>
      <c r="D14" s="9"/>
      <c r="E14" s="9"/>
      <c r="F14" s="9"/>
      <c r="G14" s="9"/>
      <c r="H14" s="9"/>
      <c r="I14" s="9"/>
      <c r="J14" s="9"/>
    </row>
    <row r="15" ht="15">
      <c r="A15" s="6" t="s">
        <v>258</v>
      </c>
      <c r="B15" s="65">
        <v>190</v>
      </c>
    </row>
    <row r="17" ht="15">
      <c r="A17" s="14" t="s">
        <v>69</v>
      </c>
      <c r="B17" s="14">
        <v>330</v>
      </c>
      <c r="C17" s="14" t="s">
        <v>71</v>
      </c>
      <c r="D17" s="14" t="s">
        <v>158</v>
      </c>
      <c r="E17" s="14" t="s">
        <v>259</v>
      </c>
      <c r="F17" s="14" t="s">
        <v>70</v>
      </c>
      <c r="G17" s="14" t="s">
        <v>112</v>
      </c>
      <c r="H17" s="14" t="s">
        <v>260</v>
      </c>
      <c r="I17" s="14" t="s">
        <v>261</v>
      </c>
      <c r="J17" s="14" t="s">
        <v>262</v>
      </c>
    </row>
    <row r="18" ht="15">
      <c r="A18" s="15" t="s">
        <v>75</v>
      </c>
      <c r="B18" s="60">
        <v>264</v>
      </c>
      <c r="C18" s="66">
        <v>0</v>
      </c>
      <c r="D18" s="15">
        <v>0</v>
      </c>
      <c r="E18" s="51">
        <f>B18</f>
        <v>264</v>
      </c>
      <c r="F18" s="51">
        <f>B15*E18</f>
        <v>50160</v>
      </c>
      <c r="G18" s="15" t="s">
        <v>263</v>
      </c>
      <c r="H18" s="15" t="s">
        <v>264</v>
      </c>
      <c r="I18" s="51" t="str">
        <f>F17</f>
        <v>Costo Compra</v>
      </c>
      <c r="J18" s="15">
        <v>0</v>
      </c>
    </row>
    <row r="19" ht="15">
      <c r="A19" s="15" t="s">
        <v>76</v>
      </c>
      <c r="B19" s="60">
        <v>370</v>
      </c>
      <c r="C19" s="66">
        <v>0.2</v>
      </c>
      <c r="D19" s="15">
        <v>80</v>
      </c>
      <c r="E19" s="51">
        <f>IF(B15&gt;=D19,B19*(1-C19),B19)</f>
        <v>296</v>
      </c>
      <c r="F19" s="51">
        <f>B15*E19</f>
        <v>56240</v>
      </c>
      <c r="G19" s="15" t="s">
        <v>265</v>
      </c>
      <c r="H19" s="15" t="s">
        <v>212</v>
      </c>
      <c r="I19" s="51">
        <f>F19*1.05</f>
        <v>59052</v>
      </c>
      <c r="J19" s="15">
        <v>0</v>
      </c>
    </row>
    <row r="20" ht="15">
      <c r="A20" s="15" t="s">
        <v>166</v>
      </c>
      <c r="B20" s="60">
        <v>370</v>
      </c>
      <c r="C20" s="66">
        <v>0</v>
      </c>
      <c r="D20" s="15">
        <v>0</v>
      </c>
      <c r="E20" s="51">
        <f>B20</f>
        <v>370</v>
      </c>
      <c r="F20" s="51">
        <f>B15*E20</f>
        <v>70300</v>
      </c>
      <c r="G20" s="15" t="s">
        <v>266</v>
      </c>
      <c r="H20" s="15" t="s">
        <v>264</v>
      </c>
      <c r="I20" s="51">
        <f>F20*0.97</f>
        <v>68191</v>
      </c>
      <c r="J20" s="15">
        <v>0</v>
      </c>
    </row>
    <row r="21" ht="15">
      <c r="A21" s="24" t="s">
        <v>267</v>
      </c>
      <c r="B21" s="68" t="str">
        <f>INDEX(A18:A20,MATCH(MIN(I18:I20),I18:I20,0))</f>
        <v>B</v>
      </c>
    </row>
  </sheetData>
  <mergeCells>
    <mergeCell ref="A1:J1"/>
    <mergeCell ref="A2:J2"/>
    <mergeCell ref="A4:J4"/>
    <mergeCell ref="A14:J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min="1" max="1" width="25" customWidth="1" style="6"/>
    <col min="2" max="2" width="18" customWidth="1" style="6"/>
  </cols>
  <sheetData>
    <row r="1" ht="24.75">
      <c r="A1" s="69" t="s">
        <v>291</v>
      </c>
      <c r="B1" s="69"/>
      <c r="C1" s="69"/>
      <c r="D1" s="69"/>
      <c r="E1" s="69"/>
      <c r="F1" s="69"/>
      <c r="G1" s="69"/>
      <c r="H1" s="69"/>
    </row>
    <row r="3" ht="15">
      <c r="A3" s="9" t="s">
        <v>292</v>
      </c>
      <c r="B3" s="9"/>
      <c r="C3" s="9"/>
      <c r="D3" s="9"/>
      <c r="E3" s="9"/>
      <c r="F3" s="9"/>
      <c r="G3" s="9"/>
      <c r="H3" s="9"/>
    </row>
    <row r="5" ht="15">
      <c r="A5" s="70" t="s">
        <v>293</v>
      </c>
      <c r="B5" s="71">
        <f>Costos!F13</f>
        <v>1232470</v>
      </c>
    </row>
    <row r="6" ht="15">
      <c r="A6" s="70" t="s">
        <v>294</v>
      </c>
      <c r="B6" s="71">
        <f>Cashflow_Compras!J9</f>
        <v>1232470</v>
      </c>
    </row>
    <row r="7" ht="15">
      <c r="A7" s="70" t="s">
        <v>295</v>
      </c>
      <c r="B7" s="13">
        <f>SUM(Costos!C5:C12)</f>
        <v>6</v>
      </c>
      <c r="C7" s="72" t="s">
        <v>296</v>
      </c>
    </row>
    <row r="8" ht="15">
      <c r="A8" s="70" t="s">
        <v>297</v>
      </c>
      <c r="B8" s="71">
        <f>MAX(Cashflow_Compras!B9:I9)</f>
        <v>1232470</v>
      </c>
    </row>
    <row r="9" ht="15">
      <c r="A9" s="70"/>
    </row>
    <row r="10" ht="15">
      <c r="A10" s="70" t="s">
        <v>298</v>
      </c>
      <c r="B10" s="73" t="s">
        <v>299</v>
      </c>
      <c r="C10" s="72" t="s">
        <v>300</v>
      </c>
    </row>
    <row r="11" ht="15">
      <c r="A11" s="70" t="s">
        <v>301</v>
      </c>
      <c r="B11" s="73" t="s">
        <v>299</v>
      </c>
      <c r="C11" s="72" t="s">
        <v>300</v>
      </c>
    </row>
    <row r="14" ht="15">
      <c r="A14" s="9" t="s">
        <v>302</v>
      </c>
      <c r="B14" s="9"/>
      <c r="C14" s="9"/>
      <c r="D14" s="9"/>
      <c r="E14" s="9"/>
      <c r="F14" s="9"/>
      <c r="G14" s="9"/>
      <c r="H14" s="9"/>
    </row>
    <row r="16" ht="15">
      <c r="A16" s="70" t="s">
        <v>303</v>
      </c>
      <c r="B16" s="74" t="str">
        <f>Inputs!B58</f>
        <v>Ordering Cost</v>
      </c>
    </row>
    <row r="17" ht="15">
      <c r="A17" s="70" t="s">
        <v>304</v>
      </c>
      <c r="B17" s="74" t="str">
        <f>Inputs!B69</f>
        <v>A</v>
      </c>
    </row>
    <row r="18" ht="15">
      <c r="A18" s="70" t="s">
        <v>305</v>
      </c>
      <c r="B18" s="74" t="str">
        <f>Escenarios!B4</f>
        <v>Base</v>
      </c>
    </row>
    <row r="25" ht="15">
      <c r="A25" s="75" t="s">
        <v>306</v>
      </c>
      <c r="B25" s="75"/>
      <c r="C25" s="75"/>
      <c r="D25" s="75"/>
      <c r="E25" s="75"/>
      <c r="F25" s="75"/>
    </row>
    <row r="27" ht="15">
      <c r="A27" s="70" t="s">
        <v>307</v>
      </c>
      <c r="B27" s="76">
        <f>COUNTIF(Inventario_Dinamico!J52:J59,"&lt;0")</f>
        <v>1</v>
      </c>
      <c r="C27" s="72" t="s">
        <v>300</v>
      </c>
    </row>
    <row r="28" ht="15">
      <c r="A28" s="70" t="s">
        <v>308</v>
      </c>
      <c r="B28" s="76" t="str">
        <f>IF(OR(Inputs!B58="B",Inputs!B69="B"),"SÍ - REVISAR","NO")</f>
        <v>NO</v>
      </c>
    </row>
    <row r="29" ht="15">
      <c r="A29" s="70" t="s">
        <v>309</v>
      </c>
      <c r="B29" s="76" t="str">
        <f>IF(Cashflow_Integrado!B37&gt;100000,"SÍ - ALERTA","NO")</f>
        <v>NO</v>
      </c>
    </row>
  </sheetData>
  <mergeCells>
    <mergeCell ref="A1:H1"/>
    <mergeCell ref="A3:H3"/>
    <mergeCell ref="A14:H14"/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min="1" max="1" width="15" customWidth="1" style="6"/>
    <col min="2" max="7" width="13" customWidth="1" style="6"/>
    <col min="8" max="8" width="18" customWidth="1" style="6"/>
    <col min="9" max="9" width="13" customWidth="1" style="6"/>
  </cols>
  <sheetData>
    <row r="1" ht="17.25">
      <c r="A1" s="77" t="s">
        <v>47</v>
      </c>
      <c r="B1" s="77"/>
      <c r="C1" s="77"/>
      <c r="D1" s="77"/>
      <c r="E1" s="77"/>
      <c r="F1" s="77"/>
      <c r="G1" s="77"/>
      <c r="H1" s="77"/>
      <c r="I1" s="77"/>
      <c r="J1" s="77"/>
    </row>
    <row r="2" ht="15">
      <c r="A2" s="78" t="s">
        <v>48</v>
      </c>
      <c r="B2" s="78"/>
      <c r="C2" s="78"/>
      <c r="D2" s="78"/>
      <c r="E2" s="78"/>
      <c r="F2" s="78"/>
      <c r="G2" s="78"/>
      <c r="H2" s="78"/>
      <c r="I2" s="78"/>
      <c r="J2" s="78"/>
    </row>
    <row r="4" ht="15">
      <c r="A4" s="9" t="s">
        <v>49</v>
      </c>
      <c r="B4" s="9"/>
      <c r="C4" s="9"/>
      <c r="D4" s="9"/>
    </row>
    <row r="6" ht="15">
      <c r="A6" s="14" t="s">
        <v>50</v>
      </c>
      <c r="B6" s="14" t="s">
        <v>51</v>
      </c>
      <c r="C6" s="14" t="s">
        <v>52</v>
      </c>
    </row>
    <row r="7" ht="15">
      <c r="A7" s="15" t="s">
        <v>53</v>
      </c>
      <c r="B7" s="79">
        <v>0.2</v>
      </c>
      <c r="C7" s="15" t="s">
        <v>54</v>
      </c>
    </row>
    <row r="8" ht="15">
      <c r="A8" s="15" t="s">
        <v>55</v>
      </c>
      <c r="B8" s="49">
        <v>150</v>
      </c>
      <c r="C8" s="15" t="s">
        <v>56</v>
      </c>
    </row>
    <row r="9" ht="15">
      <c r="A9" s="15" t="s">
        <v>57</v>
      </c>
      <c r="B9" s="49">
        <v>1</v>
      </c>
      <c r="C9" s="15" t="s">
        <v>58</v>
      </c>
    </row>
    <row r="12" ht="15">
      <c r="A12" s="9" t="s">
        <v>59</v>
      </c>
      <c r="B12" s="9"/>
      <c r="C12" s="9"/>
      <c r="D12" s="9"/>
      <c r="E12" s="9"/>
      <c r="F12" s="9"/>
      <c r="G12" s="9"/>
      <c r="H12" s="9"/>
      <c r="I12" s="9"/>
      <c r="J12" s="9"/>
    </row>
    <row r="13" ht="23.25">
      <c r="A13" s="46" t="s">
        <v>40</v>
      </c>
      <c r="B13" s="46" t="s">
        <v>60</v>
      </c>
      <c r="C13" s="46" t="s">
        <v>61</v>
      </c>
      <c r="D13" s="46" t="s">
        <v>62</v>
      </c>
      <c r="E13" s="46" t="s">
        <v>63</v>
      </c>
      <c r="F13" s="46" t="s">
        <v>64</v>
      </c>
      <c r="G13" s="46" t="s">
        <v>65</v>
      </c>
      <c r="H13" s="46" t="s">
        <v>66</v>
      </c>
      <c r="I13" s="46" t="s">
        <v>67</v>
      </c>
    </row>
    <row r="14" ht="15">
      <c r="A14" s="15" t="s">
        <v>18</v>
      </c>
      <c r="B14" s="80" t="str">
        <f>Inputs!B58</f>
        <v>Ordering Cost</v>
      </c>
      <c r="C14" s="47">
        <f>SUM(Compras_y_Lotes!F18:F25)</f>
        <v>0</v>
      </c>
      <c r="D14" s="81">
        <f>IF(B14="B",$B$7,0)</f>
        <v>0</v>
      </c>
      <c r="E14" s="82">
        <f>C14*D14</f>
        <v>0</v>
      </c>
      <c r="F14" s="48">
        <f>E14*Inputs!B35</f>
        <v>0</v>
      </c>
      <c r="G14" s="83">
        <f>F14/Inputs!B24</f>
        <v>0</v>
      </c>
      <c r="H14" s="51">
        <f>G14*$B$8</f>
        <v>0</v>
      </c>
      <c r="I14" s="84">
        <f>H14</f>
        <v>0</v>
      </c>
    </row>
    <row r="15" ht="15">
      <c r="A15" s="15" t="s">
        <v>19</v>
      </c>
      <c r="B15" s="80" t="str">
        <f>Inputs!B69</f>
        <v>A</v>
      </c>
      <c r="C15" s="47">
        <f>SUM(Compras_y_Lotes!F26:F33)</f>
        <v>0</v>
      </c>
      <c r="D15" s="81">
        <f>IF(B15="B",$B$7,0)</f>
        <v>0</v>
      </c>
      <c r="E15" s="82">
        <f>C15*D15</f>
        <v>0</v>
      </c>
      <c r="F15" s="48">
        <f>E15*Inputs!B36</f>
        <v>0</v>
      </c>
      <c r="G15" s="83">
        <f>F15/Inputs!B25</f>
        <v>0</v>
      </c>
      <c r="H15" s="51">
        <f>G15*$B$8</f>
        <v>0</v>
      </c>
      <c r="I15" s="84">
        <f>H15</f>
        <v>0</v>
      </c>
    </row>
    <row r="18" ht="15">
      <c r="A18" s="9" t="s">
        <v>68</v>
      </c>
      <c r="B18" s="9"/>
      <c r="C18" s="9"/>
      <c r="D18" s="9"/>
      <c r="E18" s="9"/>
      <c r="F18" s="9"/>
      <c r="G18" s="9"/>
      <c r="H18" s="9"/>
    </row>
    <row r="19" ht="15">
      <c r="A19" s="14" t="s">
        <v>40</v>
      </c>
      <c r="B19" s="14" t="s">
        <v>69</v>
      </c>
      <c r="C19" s="14" t="s">
        <v>70</v>
      </c>
      <c r="D19" s="14" t="s">
        <v>71</v>
      </c>
      <c r="E19" s="14" t="s">
        <v>72</v>
      </c>
      <c r="F19" s="14" t="s">
        <v>67</v>
      </c>
      <c r="G19" s="14" t="s">
        <v>73</v>
      </c>
      <c r="H19" s="14" t="s">
        <v>74</v>
      </c>
    </row>
    <row r="20" ht="15">
      <c r="A20" s="15" t="s">
        <v>18</v>
      </c>
      <c r="B20" s="16" t="s">
        <v>75</v>
      </c>
      <c r="C20" s="51">
        <f>SUM(Compras_y_Lotes!I18:I25)</f>
        <v>0</v>
      </c>
      <c r="D20" s="66">
        <v>0</v>
      </c>
      <c r="E20" s="60">
        <v>0</v>
      </c>
      <c r="F20" s="60">
        <v>0</v>
      </c>
      <c r="G20" s="51">
        <f>C20+F20</f>
        <v>0</v>
      </c>
      <c r="H20" s="85"/>
    </row>
    <row r="21" ht="15">
      <c r="A21" s="15"/>
      <c r="B21" s="16" t="s">
        <v>76</v>
      </c>
      <c r="C21" s="51">
        <f>IF(SUM(Compras_y_Lotes!F18:F25)&gt;=150,C20*(1-0.16),C20)</f>
        <v>0</v>
      </c>
      <c r="D21" s="66">
        <v>0.16</v>
      </c>
      <c r="E21" s="86">
        <f>C20-C21</f>
        <v>0</v>
      </c>
      <c r="F21" s="87">
        <f>I14</f>
        <v>0</v>
      </c>
      <c r="G21" s="51">
        <f>C21+F21</f>
        <v>0</v>
      </c>
      <c r="H21" s="85"/>
    </row>
    <row r="22" ht="15">
      <c r="A22" s="15" t="s">
        <v>19</v>
      </c>
      <c r="B22" s="16" t="s">
        <v>75</v>
      </c>
      <c r="C22" s="51">
        <f>SUM(Compras_y_Lotes!I26:I33)</f>
        <v>0</v>
      </c>
      <c r="D22" s="66">
        <v>0</v>
      </c>
      <c r="E22" s="60">
        <v>0</v>
      </c>
      <c r="F22" s="60">
        <v>0</v>
      </c>
      <c r="G22" s="51">
        <f>C22+F22</f>
        <v>0</v>
      </c>
      <c r="H22" s="85"/>
    </row>
    <row r="23" ht="15">
      <c r="A23" s="15"/>
      <c r="B23" s="16" t="s">
        <v>76</v>
      </c>
      <c r="C23" s="51">
        <f>IF(SUM(Compras_y_Lotes!F26:F33)&gt;=80,C22*(1-0.2),C22)</f>
        <v>0</v>
      </c>
      <c r="D23" s="66">
        <v>0.2</v>
      </c>
      <c r="E23" s="86">
        <f>C22-C23</f>
        <v>0</v>
      </c>
      <c r="F23" s="87">
        <f>I15</f>
        <v>0</v>
      </c>
      <c r="G23" s="51">
        <f>C23+F23</f>
        <v>0</v>
      </c>
      <c r="H23" s="85"/>
    </row>
  </sheetData>
  <mergeCells>
    <mergeCell ref="A1:J1"/>
    <mergeCell ref="A2:J2"/>
    <mergeCell ref="A4:D4"/>
    <mergeCell ref="A12:J12"/>
    <mergeCell ref="A18:H18"/>
    <mergeCell ref="H20:H21"/>
    <mergeCell ref="H22:H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min="1" max="1" width="22" customWidth="1" style="6"/>
    <col min="2" max="10" width="13" customWidth="1" style="6"/>
  </cols>
  <sheetData>
    <row r="1" ht="17.25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ht="15">
      <c r="A2" s="8" t="s">
        <v>1</v>
      </c>
      <c r="B2" s="8"/>
      <c r="C2" s="8"/>
      <c r="D2" s="8"/>
      <c r="E2" s="8"/>
      <c r="F2" s="8"/>
      <c r="G2" s="8"/>
      <c r="H2" s="8"/>
      <c r="I2" s="8"/>
      <c r="J2" s="8"/>
      <c r="K2" s="8"/>
    </row>
    <row r="4" ht="15">
      <c r="A4" s="9" t="s">
        <v>2</v>
      </c>
      <c r="B4" s="9"/>
      <c r="C4" s="9"/>
      <c r="D4" s="9"/>
      <c r="E4" s="9"/>
      <c r="F4" s="9"/>
      <c r="G4" s="9"/>
      <c r="H4" s="9"/>
      <c r="I4" s="9"/>
      <c r="J4" s="9"/>
    </row>
    <row r="5" ht="15">
      <c r="A5" s="35" t="s">
        <v>3</v>
      </c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35" t="s">
        <v>11</v>
      </c>
      <c r="J5" s="35" t="s">
        <v>12</v>
      </c>
    </row>
    <row r="6" ht="15">
      <c r="A6" s="11" t="s">
        <v>13</v>
      </c>
      <c r="B6" s="50">
        <f>Compras_y_Lotes!H13</f>
        <v>1232470</v>
      </c>
      <c r="C6" s="60">
        <v>0</v>
      </c>
      <c r="D6" s="60">
        <v>0</v>
      </c>
      <c r="E6" s="60">
        <v>0</v>
      </c>
      <c r="F6" s="60">
        <v>0</v>
      </c>
      <c r="G6" s="60">
        <v>0</v>
      </c>
      <c r="H6" s="60">
        <v>0</v>
      </c>
      <c r="I6" s="60">
        <v>0</v>
      </c>
      <c r="J6" s="51">
        <f>B6</f>
        <v>1232470</v>
      </c>
    </row>
    <row r="7" ht="15">
      <c r="A7" s="15" t="s">
        <v>14</v>
      </c>
      <c r="B7" s="50">
        <f>Compras_y_Lotes!I18</f>
        <v>0</v>
      </c>
      <c r="C7" s="50">
        <f>Compras_y_Lotes!I19</f>
        <v>0</v>
      </c>
      <c r="D7" s="50">
        <f>Compras_y_Lotes!I20</f>
        <v>0</v>
      </c>
      <c r="E7" s="50">
        <f>Compras_y_Lotes!I21</f>
        <v>0</v>
      </c>
      <c r="F7" s="50">
        <f>Compras_y_Lotes!I22</f>
        <v>0</v>
      </c>
      <c r="G7" s="50">
        <f>Compras_y_Lotes!I23</f>
        <v>0</v>
      </c>
      <c r="H7" s="50">
        <f>Compras_y_Lotes!I24</f>
        <v>0</v>
      </c>
      <c r="I7" s="50">
        <f>Compras_y_Lotes!I25</f>
        <v>0</v>
      </c>
      <c r="J7" s="51">
        <f>SUM(B7:I7)</f>
        <v>0</v>
      </c>
    </row>
    <row r="8" ht="15">
      <c r="A8" s="15" t="s">
        <v>15</v>
      </c>
      <c r="B8" s="50">
        <f>Compras_y_Lotes!I26</f>
        <v>0</v>
      </c>
      <c r="C8" s="50">
        <f>Compras_y_Lotes!I27</f>
        <v>0</v>
      </c>
      <c r="D8" s="50">
        <f>Compras_y_Lotes!I28</f>
        <v>0</v>
      </c>
      <c r="E8" s="50">
        <f>Compras_y_Lotes!I29</f>
        <v>0</v>
      </c>
      <c r="F8" s="50">
        <f>Compras_y_Lotes!I30</f>
        <v>0</v>
      </c>
      <c r="G8" s="50">
        <f>Compras_y_Lotes!I31</f>
        <v>0</v>
      </c>
      <c r="H8" s="50">
        <f>Compras_y_Lotes!I32</f>
        <v>0</v>
      </c>
      <c r="I8" s="50">
        <f>Compras_y_Lotes!I33</f>
        <v>0</v>
      </c>
      <c r="J8" s="51">
        <f>SUM(B8:I8)</f>
        <v>0</v>
      </c>
    </row>
    <row r="9" ht="15">
      <c r="A9" s="11" t="s">
        <v>16</v>
      </c>
      <c r="B9" s="88">
        <f>SUM(B6:B8)</f>
        <v>1232470</v>
      </c>
      <c r="C9" s="88">
        <f>SUM(C6:C8)</f>
        <v>0</v>
      </c>
      <c r="D9" s="88">
        <f>SUM(D6:D8)</f>
        <v>0</v>
      </c>
      <c r="E9" s="88">
        <f>SUM(E6:E8)</f>
        <v>0</v>
      </c>
      <c r="F9" s="88">
        <f>SUM(F6:F8)</f>
        <v>0</v>
      </c>
      <c r="G9" s="88">
        <f>SUM(G6:G8)</f>
        <v>0</v>
      </c>
      <c r="H9" s="88">
        <f>SUM(H6:H8)</f>
        <v>0</v>
      </c>
      <c r="I9" s="88">
        <f>SUM(I6:I8)</f>
        <v>0</v>
      </c>
      <c r="J9" s="88">
        <f>SUM(J6:J8)</f>
        <v>1232470</v>
      </c>
    </row>
    <row r="12" ht="15">
      <c r="A12" s="9" t="s">
        <v>17</v>
      </c>
      <c r="B12" s="9"/>
      <c r="C12" s="9"/>
      <c r="D12" s="9"/>
      <c r="E12" s="9"/>
      <c r="F12" s="9"/>
      <c r="G12" s="9"/>
      <c r="H12" s="9"/>
      <c r="I12" s="9"/>
      <c r="J12" s="9"/>
    </row>
    <row r="13" ht="15">
      <c r="A13" s="14" t="s">
        <v>3</v>
      </c>
      <c r="B13" s="14" t="s">
        <v>4</v>
      </c>
      <c r="C13" s="14" t="s">
        <v>5</v>
      </c>
      <c r="D13" s="14" t="s">
        <v>6</v>
      </c>
      <c r="E13" s="14" t="s">
        <v>7</v>
      </c>
      <c r="F13" s="14" t="s">
        <v>8</v>
      </c>
      <c r="G13" s="14" t="s">
        <v>9</v>
      </c>
      <c r="H13" s="14" t="s">
        <v>10</v>
      </c>
      <c r="I13" s="14" t="s">
        <v>11</v>
      </c>
      <c r="J13" s="14" t="s">
        <v>12</v>
      </c>
    </row>
    <row r="14" ht="15">
      <c r="A14" s="15" t="s">
        <v>18</v>
      </c>
      <c r="B14" s="51">
        <f>IF(Compras_y_Lotes!F18&gt;0,Inputs!B52,0)</f>
        <v>0</v>
      </c>
      <c r="C14" s="51">
        <f>IF(Compras_y_Lotes!F19&gt;0,Inputs!B52,0)</f>
        <v>0</v>
      </c>
      <c r="D14" s="51">
        <f>IF(Compras_y_Lotes!F20&gt;0,Inputs!B52,0)</f>
        <v>0</v>
      </c>
      <c r="E14" s="51">
        <f>IF(Compras_y_Lotes!F21&gt;0,Inputs!B52,0)</f>
        <v>0</v>
      </c>
      <c r="F14" s="51">
        <f>IF(Compras_y_Lotes!F22&gt;0,Inputs!B52,0)</f>
        <v>0</v>
      </c>
      <c r="G14" s="51">
        <f>IF(Compras_y_Lotes!F23&gt;0,Inputs!B52,0)</f>
        <v>0</v>
      </c>
      <c r="H14" s="51">
        <f>IF(Compras_y_Lotes!F24&gt;0,Inputs!B52,0)</f>
        <v>0</v>
      </c>
      <c r="I14" s="51">
        <f>IF(Compras_y_Lotes!F25&gt;0,Inputs!B52,0)</f>
        <v>0</v>
      </c>
      <c r="J14" s="51">
        <f>SUM(B14:I14)</f>
        <v>0</v>
      </c>
    </row>
    <row r="15" ht="15">
      <c r="A15" s="15" t="s">
        <v>19</v>
      </c>
      <c r="B15" s="51">
        <f>IF(Compras_y_Lotes!F26&gt;0,Inputs!B53,0)</f>
        <v>0</v>
      </c>
      <c r="C15" s="51">
        <f>IF(Compras_y_Lotes!F27&gt;0,Inputs!B53,0)</f>
        <v>0</v>
      </c>
      <c r="D15" s="51">
        <f>IF(Compras_y_Lotes!F28&gt;0,Inputs!B53,0)</f>
        <v>0</v>
      </c>
      <c r="E15" s="51">
        <f>IF(Compras_y_Lotes!F29&gt;0,Inputs!B53,0)</f>
        <v>0</v>
      </c>
      <c r="F15" s="51">
        <f>IF(Compras_y_Lotes!F30&gt;0,Inputs!B53,0)</f>
        <v>0</v>
      </c>
      <c r="G15" s="51">
        <f>IF(Compras_y_Lotes!F31&gt;0,Inputs!B53,0)</f>
        <v>0</v>
      </c>
      <c r="H15" s="51">
        <f>IF(Compras_y_Lotes!F32&gt;0,Inputs!B53,0)</f>
        <v>0</v>
      </c>
      <c r="I15" s="51">
        <f>IF(Compras_y_Lotes!F33&gt;0,Inputs!B53,0)</f>
        <v>0</v>
      </c>
      <c r="J15" s="51">
        <f>SUM(B15:I15)</f>
        <v>0</v>
      </c>
    </row>
    <row r="16" ht="15">
      <c r="A16" s="11" t="s">
        <v>20</v>
      </c>
      <c r="B16" s="88">
        <f>SUM(B14:B15)</f>
        <v>0</v>
      </c>
      <c r="C16" s="88">
        <f>SUM(C14:C15)</f>
        <v>0</v>
      </c>
      <c r="D16" s="88">
        <f>SUM(D14:D15)</f>
        <v>0</v>
      </c>
      <c r="E16" s="88">
        <f>SUM(E14:E15)</f>
        <v>0</v>
      </c>
      <c r="F16" s="88">
        <f>SUM(F14:F15)</f>
        <v>0</v>
      </c>
      <c r="G16" s="88">
        <f>SUM(G14:G15)</f>
        <v>0</v>
      </c>
      <c r="H16" s="88">
        <f>SUM(H14:H15)</f>
        <v>0</v>
      </c>
      <c r="I16" s="88">
        <f>SUM(I14:I15)</f>
        <v>0</v>
      </c>
      <c r="J16" s="88">
        <f>SUM(J14:J15)</f>
        <v>0</v>
      </c>
    </row>
    <row r="19" ht="15">
      <c r="A19" s="9" t="s">
        <v>21</v>
      </c>
      <c r="B19" s="9"/>
      <c r="C19" s="9"/>
      <c r="D19" s="9"/>
      <c r="E19" s="9"/>
      <c r="F19" s="9"/>
      <c r="G19" s="9"/>
      <c r="H19" s="9"/>
      <c r="I19" s="9"/>
      <c r="J19" s="9"/>
    </row>
    <row r="20" ht="15">
      <c r="A20" s="14" t="s">
        <v>3</v>
      </c>
      <c r="B20" s="14" t="s">
        <v>4</v>
      </c>
      <c r="C20" s="14" t="s">
        <v>5</v>
      </c>
      <c r="D20" s="14" t="s">
        <v>6</v>
      </c>
      <c r="E20" s="14" t="s">
        <v>7</v>
      </c>
      <c r="F20" s="14" t="s">
        <v>8</v>
      </c>
      <c r="G20" s="14" t="s">
        <v>9</v>
      </c>
      <c r="H20" s="14" t="s">
        <v>10</v>
      </c>
      <c r="I20" s="14" t="s">
        <v>11</v>
      </c>
      <c r="J20" s="14" t="s">
        <v>12</v>
      </c>
    </row>
    <row r="21" ht="15">
      <c r="A21" s="15" t="s">
        <v>18</v>
      </c>
      <c r="B21" s="51">
        <f>(Inventario_Dinamico!B7+Inventario_Dinamico!B10)/2*Inputs!C52</f>
        <v>-22</v>
      </c>
      <c r="C21" s="51">
        <f>(Inventario_Dinamico!C7+Inventario_Dinamico!C10)/2*Inputs!C52</f>
        <v>-170</v>
      </c>
      <c r="D21" s="51">
        <f>(Inventario_Dinamico!D7+Inventario_Dinamico!D10)/2*Inputs!C52</f>
        <v>-318</v>
      </c>
      <c r="E21" s="51">
        <f>(Inventario_Dinamico!E7+Inventario_Dinamico!E10)/2*Inputs!C52</f>
        <v>-466</v>
      </c>
      <c r="F21" s="51">
        <f>(Inventario_Dinamico!F7+Inventario_Dinamico!F10)/2*Inputs!C52</f>
        <v>-614</v>
      </c>
      <c r="G21" s="51">
        <f>(Inventario_Dinamico!G7+Inventario_Dinamico!G10)/2*Inputs!C52</f>
        <v>-762</v>
      </c>
      <c r="H21" s="51">
        <f>(Inventario_Dinamico!H7+Inventario_Dinamico!H10)/2*Inputs!C52</f>
        <v>-910</v>
      </c>
      <c r="I21" s="51">
        <f>(Inventario_Dinamico!I7+Inventario_Dinamico!I10)/2*Inputs!C52</f>
        <v>-1058</v>
      </c>
      <c r="J21" s="51">
        <f>SUM(B21:I21)</f>
        <v>-4320</v>
      </c>
    </row>
    <row r="22" ht="15">
      <c r="A22" s="15" t="s">
        <v>19</v>
      </c>
      <c r="B22" s="51">
        <f>(Inventario_Dinamico!B13+Inventario_Dinamico!B16)/2*Inputs!C53</f>
        <v>1577.625</v>
      </c>
      <c r="C22" s="51">
        <f>(Inventario_Dinamico!C13+Inventario_Dinamico!C16)/2*Inputs!C53</f>
        <v>1572.075</v>
      </c>
      <c r="D22" s="51">
        <f>(Inventario_Dinamico!D13+Inventario_Dinamico!D16)/2*Inputs!C53</f>
        <v>1566.525</v>
      </c>
      <c r="E22" s="51">
        <f>(Inventario_Dinamico!E13+Inventario_Dinamico!E16)/2*Inputs!C53</f>
        <v>1560.975</v>
      </c>
      <c r="F22" s="51">
        <f>(Inventario_Dinamico!F13+Inventario_Dinamico!F16)/2*Inputs!C53</f>
        <v>1555.425</v>
      </c>
      <c r="G22" s="51">
        <f>(Inventario_Dinamico!G13+Inventario_Dinamico!G16)/2*Inputs!C53</f>
        <v>1549.875</v>
      </c>
      <c r="H22" s="51">
        <f>(Inventario_Dinamico!H13+Inventario_Dinamico!H16)/2*Inputs!C53</f>
        <v>1544.325</v>
      </c>
      <c r="I22" s="51">
        <f>(Inventario_Dinamico!I13+Inventario_Dinamico!I16)/2*Inputs!C53</f>
        <v>1538.775</v>
      </c>
      <c r="J22" s="51">
        <f>SUM(B22:I22)</f>
        <v>12465.6</v>
      </c>
    </row>
    <row r="23" ht="15">
      <c r="A23" s="11" t="s">
        <v>22</v>
      </c>
      <c r="B23" s="88">
        <f>SUM(B21:B22)</f>
        <v>1555.625</v>
      </c>
      <c r="C23" s="88">
        <f>SUM(C21:C22)</f>
        <v>1402.075</v>
      </c>
      <c r="D23" s="88">
        <f>SUM(D21:D22)</f>
        <v>1248.525</v>
      </c>
      <c r="E23" s="88">
        <f>SUM(E21:E22)</f>
        <v>1094.975</v>
      </c>
      <c r="F23" s="88">
        <f>SUM(F21:F22)</f>
        <v>941.425</v>
      </c>
      <c r="G23" s="88">
        <f>SUM(G21:G22)</f>
        <v>787.875</v>
      </c>
      <c r="H23" s="88">
        <f>SUM(H21:H22)</f>
        <v>634.325</v>
      </c>
      <c r="I23" s="88">
        <f>SUM(I21:I22)</f>
        <v>480.775</v>
      </c>
      <c r="J23" s="88">
        <f>SUM(J21:J22)</f>
        <v>8145.6</v>
      </c>
    </row>
    <row r="26" ht="15">
      <c r="A26" s="89" t="s">
        <v>23</v>
      </c>
      <c r="B26" s="90">
        <f>B9+B16+B23</f>
        <v>1234025.625</v>
      </c>
      <c r="C26" s="90">
        <f>C9+C16+C23</f>
        <v>1402.075</v>
      </c>
      <c r="D26" s="90">
        <f>D9+D16+D23</f>
        <v>1248.525</v>
      </c>
      <c r="E26" s="90">
        <f>E9+E16+E23</f>
        <v>1094.975</v>
      </c>
      <c r="F26" s="90">
        <f>F9+F16+F23</f>
        <v>941.425</v>
      </c>
      <c r="G26" s="90">
        <f>G9+G16+G23</f>
        <v>787.875</v>
      </c>
      <c r="H26" s="90">
        <f>H9+H16+H23</f>
        <v>634.325</v>
      </c>
      <c r="I26" s="90">
        <f>I9+I16+I23</f>
        <v>480.775</v>
      </c>
      <c r="J26" s="90">
        <f>J9+J16+J23</f>
        <v>1240615.6</v>
      </c>
    </row>
    <row r="27" ht="15">
      <c r="A27" s="89"/>
    </row>
    <row r="28" ht="15">
      <c r="A28" s="9" t="s">
        <v>24</v>
      </c>
      <c r="B28" s="9"/>
      <c r="C28" s="9"/>
      <c r="D28" s="9"/>
    </row>
    <row r="30" ht="15">
      <c r="A30" s="70" t="s">
        <v>25</v>
      </c>
      <c r="B30" s="91">
        <f>MAX(B26:I26)</f>
        <v>1234025.625</v>
      </c>
      <c r="C30" s="72" t="s">
        <v>26</v>
      </c>
    </row>
    <row r="31" ht="15">
      <c r="A31" s="70" t="s">
        <v>27</v>
      </c>
      <c r="B31" s="91">
        <f>MIN(B26:I26)</f>
        <v>480.775</v>
      </c>
      <c r="C31" s="72" t="s">
        <v>28</v>
      </c>
    </row>
    <row r="32" ht="15">
      <c r="A32" s="70" t="s">
        <v>29</v>
      </c>
      <c r="B32" s="91">
        <f>AVERAGE(B26:I26)</f>
        <v>155076.95</v>
      </c>
      <c r="C32" s="72" t="s">
        <v>30</v>
      </c>
    </row>
    <row r="33" ht="15">
      <c r="A33" s="70" t="s">
        <v>31</v>
      </c>
      <c r="B33" s="91">
        <f>STDEV(B26:I26)</f>
        <v>435961.207960771</v>
      </c>
      <c r="C33" s="72" t="s">
        <v>32</v>
      </c>
    </row>
  </sheetData>
  <mergeCells>
    <mergeCell ref="A1:K1"/>
    <mergeCell ref="A2:K2"/>
    <mergeCell ref="A4:J4"/>
    <mergeCell ref="A12:J12"/>
    <mergeCell ref="A19:J19"/>
    <mergeCell ref="A26:A27"/>
    <mergeCell ref="A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min="1" max="1" width="15" customWidth="1" style="6"/>
    <col min="2" max="3" width="10" customWidth="1" style="6"/>
    <col min="4" max="4" width="12" customWidth="1" style="6"/>
    <col min="5" max="5" width="15" customWidth="1" style="6"/>
  </cols>
  <sheetData>
    <row r="1" ht="17.25">
      <c r="A1" s="92" t="s">
        <v>195</v>
      </c>
      <c r="B1" s="92"/>
      <c r="C1" s="92"/>
      <c r="D1" s="92"/>
      <c r="E1" s="92"/>
    </row>
    <row r="2" ht="15">
      <c r="A2" s="34" t="s">
        <v>196</v>
      </c>
      <c r="B2" s="34"/>
      <c r="C2" s="34"/>
      <c r="D2" s="34"/>
      <c r="E2" s="34"/>
    </row>
    <row r="4" ht="15">
      <c r="A4" s="9" t="s">
        <v>197</v>
      </c>
      <c r="B4" s="9"/>
      <c r="C4" s="9"/>
      <c r="D4" s="9"/>
      <c r="E4" s="9"/>
    </row>
    <row r="5" ht="15">
      <c r="A5" s="14" t="s">
        <v>40</v>
      </c>
      <c r="B5" s="14" t="s">
        <v>198</v>
      </c>
      <c r="C5" s="14" t="s">
        <v>199</v>
      </c>
      <c r="D5" s="14" t="s">
        <v>200</v>
      </c>
      <c r="E5" s="14" t="s">
        <v>201</v>
      </c>
    </row>
    <row r="6" ht="15">
      <c r="A6" s="15" t="s">
        <v>83</v>
      </c>
      <c r="B6" s="93">
        <v>0</v>
      </c>
      <c r="C6" s="47">
        <f>Compras_y_Lotes!E7</f>
        <v>3947</v>
      </c>
      <c r="D6" s="16" t="s">
        <v>202</v>
      </c>
      <c r="E6" s="32" t="str">
        <f>IF(C6&gt;0,"Comprar","NO COMPRAR")</f>
        <v>Comprar</v>
      </c>
    </row>
    <row r="7" ht="15">
      <c r="A7" s="15" t="s">
        <v>84</v>
      </c>
      <c r="B7" s="93">
        <v>0</v>
      </c>
      <c r="C7" s="47">
        <f>Compras_y_Lotes!E8</f>
        <v>370</v>
      </c>
      <c r="D7" s="16" t="s">
        <v>202</v>
      </c>
      <c r="E7" s="32" t="str">
        <f>IF(C7&gt;0,"Comprar","NO COMPRAR")</f>
        <v>Comprar</v>
      </c>
    </row>
    <row r="8" ht="15">
      <c r="A8" s="15" t="s">
        <v>85</v>
      </c>
      <c r="B8" s="93">
        <v>0</v>
      </c>
      <c r="C8" s="47">
        <f>Compras_y_Lotes!E9</f>
        <v>8880</v>
      </c>
      <c r="D8" s="16" t="s">
        <v>202</v>
      </c>
      <c r="E8" s="32" t="str">
        <f>IF(C8&gt;0,"Comprar","NO COMPRAR")</f>
        <v>Comprar</v>
      </c>
    </row>
    <row r="9" ht="15">
      <c r="A9" s="15" t="s">
        <v>86</v>
      </c>
      <c r="B9" s="93">
        <v>0</v>
      </c>
      <c r="C9" s="47">
        <f>Compras_y_Lotes!E10</f>
        <v>296</v>
      </c>
      <c r="D9" s="16" t="s">
        <v>202</v>
      </c>
      <c r="E9" s="32" t="str">
        <f>IF(C9&gt;0,"Comprar","NO COMPRAR")</f>
        <v>Comprar</v>
      </c>
    </row>
    <row r="10" ht="15">
      <c r="A10" s="15" t="s">
        <v>87</v>
      </c>
      <c r="B10" s="93">
        <v>0</v>
      </c>
      <c r="C10" s="47">
        <f>Compras_y_Lotes!E11</f>
        <v>370</v>
      </c>
      <c r="D10" s="16" t="s">
        <v>202</v>
      </c>
      <c r="E10" s="32" t="str">
        <f>IF(C10&gt;0,"Comprar","NO COMPRAR")</f>
        <v>Comprar</v>
      </c>
    </row>
    <row r="11" ht="15">
      <c r="A11" s="15" t="s">
        <v>88</v>
      </c>
      <c r="B11" s="93">
        <v>0</v>
      </c>
      <c r="C11" s="47">
        <f>Compras_y_Lotes!E12</f>
        <v>0</v>
      </c>
      <c r="D11" s="16" t="s">
        <v>202</v>
      </c>
      <c r="E11" s="32" t="str">
        <f>IF(C11&gt;0,"Comprar","NO COMPRAR")</f>
        <v>NO COMPRAR</v>
      </c>
    </row>
    <row r="13" ht="15">
      <c r="A13" s="9" t="s">
        <v>203</v>
      </c>
      <c r="B13" s="9"/>
      <c r="C13" s="9"/>
      <c r="D13" s="9"/>
      <c r="E13" s="9"/>
    </row>
    <row r="14" ht="15">
      <c r="A14" s="14" t="s">
        <v>40</v>
      </c>
      <c r="B14" s="14" t="s">
        <v>198</v>
      </c>
      <c r="C14" s="14" t="s">
        <v>199</v>
      </c>
      <c r="D14" s="14" t="s">
        <v>200</v>
      </c>
      <c r="E14" s="14" t="s">
        <v>201</v>
      </c>
    </row>
    <row r="15" ht="15">
      <c r="A15" s="15" t="s">
        <v>18</v>
      </c>
      <c r="B15" s="93">
        <v>1</v>
      </c>
      <c r="C15" s="47">
        <f>Compras_y_Lotes!F18</f>
        <v>0</v>
      </c>
      <c r="D15" s="80" t="str">
        <f>Inputs!B58</f>
        <v>Ordering Cost</v>
      </c>
      <c r="E15" s="32" t="str">
        <f>IF(C15&gt;0,"Comprar","-")</f>
        <v>-</v>
      </c>
    </row>
    <row r="16" ht="15">
      <c r="A16" s="15" t="s">
        <v>18</v>
      </c>
      <c r="B16" s="93">
        <v>2</v>
      </c>
      <c r="C16" s="47">
        <f>Compras_y_Lotes!F19</f>
        <v>0</v>
      </c>
      <c r="D16" s="80" t="str">
        <f>Inputs!B58</f>
        <v>Ordering Cost</v>
      </c>
      <c r="E16" s="32" t="str">
        <f>IF(C16&gt;0,"Comprar","-")</f>
        <v>-</v>
      </c>
    </row>
    <row r="17" ht="15">
      <c r="A17" s="15" t="s">
        <v>18</v>
      </c>
      <c r="B17" s="93">
        <v>3</v>
      </c>
      <c r="C17" s="47">
        <f>Compras_y_Lotes!F20</f>
        <v>0</v>
      </c>
      <c r="D17" s="80" t="str">
        <f>Inputs!B58</f>
        <v>Ordering Cost</v>
      </c>
      <c r="E17" s="32" t="str">
        <f>IF(C17&gt;0,"Comprar","-")</f>
        <v>-</v>
      </c>
    </row>
    <row r="18" ht="15">
      <c r="A18" s="15" t="s">
        <v>18</v>
      </c>
      <c r="B18" s="93">
        <v>4</v>
      </c>
      <c r="C18" s="47">
        <f>Compras_y_Lotes!F21</f>
        <v>0</v>
      </c>
      <c r="D18" s="80" t="str">
        <f>Inputs!B58</f>
        <v>Ordering Cost</v>
      </c>
      <c r="E18" s="32" t="str">
        <f>IF(C18&gt;0,"Comprar","-")</f>
        <v>-</v>
      </c>
    </row>
    <row r="19" ht="15">
      <c r="A19" s="15" t="s">
        <v>18</v>
      </c>
      <c r="B19" s="93">
        <v>5</v>
      </c>
      <c r="C19" s="47">
        <f>Compras_y_Lotes!F22</f>
        <v>0</v>
      </c>
      <c r="D19" s="80" t="str">
        <f>Inputs!B58</f>
        <v>Ordering Cost</v>
      </c>
      <c r="E19" s="32" t="str">
        <f>IF(C19&gt;0,"Comprar","-")</f>
        <v>-</v>
      </c>
    </row>
    <row r="20" ht="15">
      <c r="A20" s="15" t="s">
        <v>18</v>
      </c>
      <c r="B20" s="93">
        <v>6</v>
      </c>
      <c r="C20" s="47">
        <f>Compras_y_Lotes!F23</f>
        <v>0</v>
      </c>
      <c r="D20" s="80" t="str">
        <f>Inputs!B58</f>
        <v>Ordering Cost</v>
      </c>
      <c r="E20" s="32" t="str">
        <f>IF(C20&gt;0,"Comprar","-")</f>
        <v>-</v>
      </c>
    </row>
    <row r="21" ht="15">
      <c r="A21" s="15" t="s">
        <v>18</v>
      </c>
      <c r="B21" s="93">
        <v>7</v>
      </c>
      <c r="C21" s="47">
        <f>Compras_y_Lotes!F24</f>
        <v>0</v>
      </c>
      <c r="D21" s="80" t="str">
        <f>Inputs!B58</f>
        <v>Ordering Cost</v>
      </c>
      <c r="E21" s="32" t="str">
        <f>IF(C21&gt;0,"Comprar","-")</f>
        <v>-</v>
      </c>
    </row>
    <row r="22" ht="15">
      <c r="A22" s="15" t="s">
        <v>18</v>
      </c>
      <c r="B22" s="93">
        <v>8</v>
      </c>
      <c r="C22" s="47">
        <f>Compras_y_Lotes!F25</f>
        <v>0</v>
      </c>
      <c r="D22" s="80" t="str">
        <f>Inputs!B58</f>
        <v>Ordering Cost</v>
      </c>
      <c r="E22" s="32" t="str">
        <f>IF(C22&gt;0,"Comprar","-")</f>
        <v>-</v>
      </c>
    </row>
    <row r="24" ht="15">
      <c r="A24" s="9" t="s">
        <v>204</v>
      </c>
      <c r="B24" s="9"/>
      <c r="C24" s="9"/>
      <c r="D24" s="9"/>
      <c r="E24" s="9"/>
    </row>
    <row r="25" ht="15">
      <c r="A25" s="14" t="s">
        <v>40</v>
      </c>
      <c r="B25" s="14" t="s">
        <v>198</v>
      </c>
      <c r="C25" s="14" t="s">
        <v>199</v>
      </c>
      <c r="D25" s="14" t="s">
        <v>200</v>
      </c>
      <c r="E25" s="14" t="s">
        <v>201</v>
      </c>
    </row>
    <row r="26" ht="15">
      <c r="A26" s="15" t="s">
        <v>19</v>
      </c>
      <c r="B26" s="93">
        <v>1</v>
      </c>
      <c r="C26" s="47">
        <f>Compras_y_Lotes!F26</f>
        <v>0</v>
      </c>
      <c r="D26" s="80" t="str">
        <f>Inputs!B69</f>
        <v>A</v>
      </c>
      <c r="E26" s="32" t="str">
        <f>IF(C26&gt;0,"Comprar","-")</f>
        <v>-</v>
      </c>
    </row>
    <row r="27" ht="15">
      <c r="A27" s="15" t="s">
        <v>19</v>
      </c>
      <c r="B27" s="93">
        <v>2</v>
      </c>
      <c r="C27" s="47">
        <f>Compras_y_Lotes!F27</f>
        <v>0</v>
      </c>
      <c r="D27" s="80" t="str">
        <f>Inputs!B69</f>
        <v>A</v>
      </c>
      <c r="E27" s="32" t="str">
        <f>IF(C27&gt;0,"Comprar","-")</f>
        <v>-</v>
      </c>
    </row>
    <row r="28" ht="15">
      <c r="A28" s="15" t="s">
        <v>19</v>
      </c>
      <c r="B28" s="93">
        <v>3</v>
      </c>
      <c r="C28" s="47">
        <f>Compras_y_Lotes!F28</f>
        <v>0</v>
      </c>
      <c r="D28" s="80" t="str">
        <f>Inputs!B69</f>
        <v>A</v>
      </c>
      <c r="E28" s="32" t="str">
        <f>IF(C28&gt;0,"Comprar","-")</f>
        <v>-</v>
      </c>
    </row>
    <row r="29" ht="15">
      <c r="A29" s="15" t="s">
        <v>19</v>
      </c>
      <c r="B29" s="93">
        <v>4</v>
      </c>
      <c r="C29" s="47">
        <f>Compras_y_Lotes!F29</f>
        <v>0</v>
      </c>
      <c r="D29" s="80" t="str">
        <f>Inputs!B69</f>
        <v>A</v>
      </c>
      <c r="E29" s="32" t="str">
        <f>IF(C29&gt;0,"Comprar","-")</f>
        <v>-</v>
      </c>
    </row>
    <row r="30" ht="15">
      <c r="A30" s="15" t="s">
        <v>19</v>
      </c>
      <c r="B30" s="93">
        <v>5</v>
      </c>
      <c r="C30" s="47">
        <f>Compras_y_Lotes!F30</f>
        <v>0</v>
      </c>
      <c r="D30" s="80" t="str">
        <f>Inputs!B69</f>
        <v>A</v>
      </c>
      <c r="E30" s="32" t="str">
        <f>IF(C30&gt;0,"Comprar","-")</f>
        <v>-</v>
      </c>
    </row>
    <row r="31" ht="15">
      <c r="A31" s="15" t="s">
        <v>19</v>
      </c>
      <c r="B31" s="93">
        <v>6</v>
      </c>
      <c r="C31" s="47">
        <f>Compras_y_Lotes!F31</f>
        <v>0</v>
      </c>
      <c r="D31" s="80" t="str">
        <f>Inputs!B69</f>
        <v>A</v>
      </c>
      <c r="E31" s="32" t="str">
        <f>IF(C31&gt;0,"Comprar","-")</f>
        <v>-</v>
      </c>
    </row>
    <row r="32" ht="15">
      <c r="A32" s="15" t="s">
        <v>19</v>
      </c>
      <c r="B32" s="93">
        <v>7</v>
      </c>
      <c r="C32" s="47">
        <f>Compras_y_Lotes!F32</f>
        <v>0</v>
      </c>
      <c r="D32" s="80" t="str">
        <f>Inputs!B69</f>
        <v>A</v>
      </c>
      <c r="E32" s="32" t="str">
        <f>IF(C32&gt;0,"Comprar","-")</f>
        <v>-</v>
      </c>
    </row>
    <row r="33" ht="15">
      <c r="A33" s="15" t="s">
        <v>19</v>
      </c>
      <c r="B33" s="93">
        <v>8</v>
      </c>
      <c r="C33" s="47">
        <f>Compras_y_Lotes!F33</f>
        <v>0</v>
      </c>
      <c r="D33" s="80" t="str">
        <f>Inputs!B69</f>
        <v>A</v>
      </c>
      <c r="E33" s="32" t="str">
        <f>IF(C33&gt;0,"Comprar","-")</f>
        <v>-</v>
      </c>
    </row>
  </sheetData>
  <mergeCells>
    <mergeCell ref="A1:E1"/>
    <mergeCell ref="A2:E2"/>
    <mergeCell ref="A4:E4"/>
    <mergeCell ref="A13:E13"/>
    <mergeCell ref="A24:E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min="1" max="1" width="15" customWidth="1" style="6"/>
  </cols>
  <sheetData>
    <row r="1" ht="17.25">
      <c r="A1" s="7" t="s">
        <v>249</v>
      </c>
      <c r="B1" s="7"/>
      <c r="C1" s="7"/>
      <c r="D1" s="7"/>
      <c r="E1" s="7"/>
    </row>
    <row r="2" ht="15">
      <c r="A2" s="33" t="s">
        <v>250</v>
      </c>
      <c r="B2" s="33"/>
      <c r="C2" s="33"/>
      <c r="D2" s="33"/>
      <c r="E2" s="33"/>
    </row>
    <row r="4" ht="15">
      <c r="A4" s="9" t="s">
        <v>251</v>
      </c>
      <c r="B4" s="9"/>
      <c r="C4" s="9"/>
      <c r="D4" s="9"/>
      <c r="E4" s="9"/>
    </row>
    <row r="5" ht="15">
      <c r="A5" s="14" t="s">
        <v>40</v>
      </c>
      <c r="B5" s="14" t="s">
        <v>252</v>
      </c>
      <c r="C5" s="14" t="s">
        <v>253</v>
      </c>
      <c r="D5" s="14" t="s">
        <v>12</v>
      </c>
      <c r="E5" s="14" t="s">
        <v>254</v>
      </c>
    </row>
    <row r="6" ht="15">
      <c r="A6" s="15" t="s">
        <v>18</v>
      </c>
      <c r="B6" s="49">
        <v>3496</v>
      </c>
      <c r="C6" s="49">
        <v>1016</v>
      </c>
      <c r="D6" s="13">
        <v>4512</v>
      </c>
      <c r="E6" s="81">
        <f>B6/D6</f>
        <v>0.774822695035461</v>
      </c>
    </row>
    <row r="7" ht="15">
      <c r="A7" s="15" t="s">
        <v>19</v>
      </c>
      <c r="B7" s="49">
        <v>765</v>
      </c>
      <c r="C7" s="49">
        <v>293</v>
      </c>
      <c r="D7" s="13">
        <v>1058</v>
      </c>
      <c r="E7" s="81">
        <f>B7/D7</f>
        <v>0.723062381852552</v>
      </c>
    </row>
    <row r="8" ht="15">
      <c r="A8" s="15" t="s">
        <v>83</v>
      </c>
      <c r="B8" s="49">
        <v>94</v>
      </c>
      <c r="C8" s="49">
        <v>36</v>
      </c>
      <c r="D8" s="13">
        <v>130</v>
      </c>
      <c r="E8" s="81">
        <f>B8/D8</f>
        <v>0.723076923076923</v>
      </c>
    </row>
    <row r="9" ht="15">
      <c r="A9" s="15" t="s">
        <v>84</v>
      </c>
      <c r="B9" s="49">
        <v>3844</v>
      </c>
      <c r="C9" s="49">
        <v>1424</v>
      </c>
      <c r="D9" s="13">
        <v>5268</v>
      </c>
      <c r="E9" s="81">
        <f>B9/D9</f>
        <v>0.729688686408504</v>
      </c>
    </row>
    <row r="10" ht="15">
      <c r="A10" s="15" t="s">
        <v>85</v>
      </c>
      <c r="B10" s="49">
        <v>3125</v>
      </c>
      <c r="C10" s="49">
        <v>1208</v>
      </c>
      <c r="D10" s="13">
        <v>4333</v>
      </c>
      <c r="E10" s="81">
        <f>B10/D10</f>
        <v>0.721209323794138</v>
      </c>
    </row>
    <row r="11" ht="15">
      <c r="A11" s="15" t="s">
        <v>86</v>
      </c>
      <c r="B11" s="49">
        <v>6131</v>
      </c>
      <c r="C11" s="49">
        <v>2356</v>
      </c>
      <c r="D11" s="13">
        <v>8487</v>
      </c>
      <c r="E11" s="81">
        <f>B11/D11</f>
        <v>0.722398963120066</v>
      </c>
    </row>
    <row r="12" ht="15">
      <c r="A12" s="15" t="s">
        <v>87</v>
      </c>
      <c r="B12" s="49">
        <v>16736</v>
      </c>
      <c r="C12" s="49">
        <v>6456</v>
      </c>
      <c r="D12" s="13">
        <v>23192</v>
      </c>
      <c r="E12" s="81">
        <f>B12/D12</f>
        <v>0.721628147637116</v>
      </c>
    </row>
    <row r="13" ht="15">
      <c r="A13" s="15" t="s">
        <v>88</v>
      </c>
      <c r="B13" s="49">
        <v>4439</v>
      </c>
      <c r="C13" s="49">
        <v>1596</v>
      </c>
      <c r="D13" s="13">
        <v>6035</v>
      </c>
      <c r="E13" s="81">
        <f>B13/D13</f>
        <v>0.735542667771334</v>
      </c>
    </row>
  </sheetData>
  <mergeCells>
    <mergeCell ref="A1:E1"/>
    <mergeCell ref="A2:E2"/>
    <mergeCell ref="A4:E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min="1" max="1" width="15" customWidth="1" style="6"/>
  </cols>
  <sheetData>
    <row r="1" ht="17.25">
      <c r="A1" s="7" t="s">
        <v>269</v>
      </c>
      <c r="B1" s="7"/>
      <c r="C1" s="7"/>
      <c r="D1" s="7"/>
      <c r="E1" s="7"/>
      <c r="F1" s="7"/>
    </row>
    <row r="2" ht="15">
      <c r="A2" s="33" t="s">
        <v>270</v>
      </c>
      <c r="B2" s="33"/>
      <c r="C2" s="33"/>
      <c r="D2" s="33"/>
      <c r="E2" s="33"/>
      <c r="F2" s="33"/>
    </row>
    <row r="4" ht="15">
      <c r="A4" s="9" t="s">
        <v>271</v>
      </c>
      <c r="B4" s="9"/>
      <c r="C4" s="9"/>
      <c r="D4" s="9"/>
      <c r="E4" s="9"/>
      <c r="F4" s="9"/>
    </row>
    <row r="5" ht="15">
      <c r="A5" s="14" t="s">
        <v>272</v>
      </c>
      <c r="B5" s="14" t="s">
        <v>273</v>
      </c>
      <c r="C5" s="14" t="s">
        <v>274</v>
      </c>
      <c r="D5" s="14" t="s">
        <v>275</v>
      </c>
      <c r="E5" s="14" t="s">
        <v>276</v>
      </c>
    </row>
    <row r="6" ht="15">
      <c r="A6" s="15" t="s">
        <v>277</v>
      </c>
      <c r="B6" s="15" t="s">
        <v>18</v>
      </c>
      <c r="C6" s="15" t="s">
        <v>278</v>
      </c>
      <c r="D6" s="15" t="s">
        <v>279</v>
      </c>
      <c r="E6" s="15" t="s">
        <v>280</v>
      </c>
    </row>
    <row r="7" ht="15">
      <c r="A7" s="15" t="s">
        <v>281</v>
      </c>
      <c r="B7" s="15" t="s">
        <v>19</v>
      </c>
      <c r="C7" s="15" t="s">
        <v>278</v>
      </c>
      <c r="D7" s="15" t="s">
        <v>282</v>
      </c>
      <c r="E7" s="15" t="s">
        <v>280</v>
      </c>
    </row>
    <row r="8" ht="15">
      <c r="A8" s="15" t="s">
        <v>283</v>
      </c>
      <c r="B8" s="15" t="s">
        <v>138</v>
      </c>
      <c r="C8" s="15" t="s">
        <v>85</v>
      </c>
      <c r="D8" s="15" t="s">
        <v>284</v>
      </c>
      <c r="E8" s="15" t="s">
        <v>280</v>
      </c>
    </row>
    <row r="9" ht="15">
      <c r="A9" s="15" t="s">
        <v>285</v>
      </c>
      <c r="B9" s="15" t="s">
        <v>138</v>
      </c>
      <c r="C9" s="15" t="s">
        <v>88</v>
      </c>
      <c r="D9" s="15" t="s">
        <v>286</v>
      </c>
      <c r="E9" s="15" t="s">
        <v>280</v>
      </c>
    </row>
    <row r="10" ht="15">
      <c r="A10" s="15" t="s">
        <v>287</v>
      </c>
      <c r="B10" s="15" t="s">
        <v>288</v>
      </c>
      <c r="C10" s="15" t="s">
        <v>289</v>
      </c>
      <c r="D10" s="15" t="s">
        <v>290</v>
      </c>
      <c r="E10" s="15" t="s">
        <v>280</v>
      </c>
    </row>
  </sheetData>
  <mergeCells>
    <mergeCell ref="A1:F1"/>
    <mergeCell ref="A2:F2"/>
    <mergeCell ref="A4:F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min="1" max="1" width="15" customWidth="1" style="6"/>
  </cols>
  <sheetData>
    <row r="1" ht="17.25">
      <c r="A1" s="94" t="s">
        <v>90</v>
      </c>
      <c r="B1" s="94"/>
      <c r="C1" s="94"/>
      <c r="D1" s="94"/>
      <c r="E1" s="94"/>
      <c r="F1" s="94"/>
      <c r="G1" s="94"/>
      <c r="H1" s="94"/>
    </row>
    <row r="2" ht="15">
      <c r="A2" s="33" t="s">
        <v>91</v>
      </c>
      <c r="B2" s="33"/>
      <c r="C2" s="33"/>
      <c r="D2" s="33"/>
      <c r="E2" s="33"/>
      <c r="F2" s="33"/>
      <c r="G2" s="33"/>
      <c r="H2" s="33"/>
    </row>
    <row r="4" ht="15">
      <c r="A4" s="9" t="s">
        <v>92</v>
      </c>
      <c r="B4" s="9"/>
      <c r="C4" s="9"/>
      <c r="D4" s="9"/>
      <c r="E4" s="9"/>
      <c r="F4" s="9"/>
      <c r="G4" s="9"/>
      <c r="H4" s="9"/>
    </row>
    <row r="5" ht="15">
      <c r="A5" s="14" t="s">
        <v>40</v>
      </c>
      <c r="B5" s="14" t="s">
        <v>93</v>
      </c>
      <c r="C5" s="14" t="s">
        <v>94</v>
      </c>
      <c r="D5" s="14" t="s">
        <v>95</v>
      </c>
      <c r="E5" s="14" t="s">
        <v>96</v>
      </c>
    </row>
    <row r="6" ht="15">
      <c r="A6" s="15" t="s">
        <v>18</v>
      </c>
      <c r="B6" s="49">
        <v>0</v>
      </c>
      <c r="C6" s="95">
        <f>Inventario_Dinamico!B10</f>
        <v>-240</v>
      </c>
      <c r="D6" s="96">
        <f>IFERROR(B6-C6,0)</f>
        <v>240</v>
      </c>
      <c r="E6" s="15" t="str">
        <f>IF(ABS(D6)&gt;100,"REVISAR","OK")</f>
        <v>REVISAR</v>
      </c>
    </row>
    <row r="7" ht="15">
      <c r="A7" s="15" t="s">
        <v>19</v>
      </c>
      <c r="B7" s="49">
        <v>0</v>
      </c>
      <c r="C7" s="95">
        <f>Inventario_Dinamico!B15</f>
        <v>18.5</v>
      </c>
      <c r="D7" s="96">
        <f>IFERROR(B7-C7,0)</f>
        <v>-18.5</v>
      </c>
      <c r="E7" s="15" t="str">
        <f>IF(ABS(D7)&gt;100,"REVISAR","OK")</f>
        <v>OK</v>
      </c>
    </row>
    <row r="8" ht="15">
      <c r="A8" s="15" t="s">
        <v>83</v>
      </c>
      <c r="B8" s="49">
        <v>0</v>
      </c>
      <c r="C8" s="95">
        <f>Inventario_Dinamico!B20</f>
        <v>0</v>
      </c>
      <c r="D8" s="96">
        <f>IFERROR(B8-C8,0)</f>
        <v>0</v>
      </c>
      <c r="E8" s="15" t="str">
        <f>IF(ABS(D8)&gt;100,"REVISAR","OK")</f>
        <v>OK</v>
      </c>
    </row>
    <row r="9" ht="15">
      <c r="A9" s="15" t="s">
        <v>84</v>
      </c>
      <c r="B9" s="49">
        <v>0</v>
      </c>
      <c r="C9" s="95">
        <f>Inventario_Dinamico!B25</f>
        <v>8487</v>
      </c>
      <c r="D9" s="96">
        <f>IFERROR(B9-C9,0)</f>
        <v>-8487</v>
      </c>
      <c r="E9" s="15" t="str">
        <f>IF(ABS(D9)&gt;100,"REVISAR","OK")</f>
        <v>REVISAR</v>
      </c>
    </row>
    <row r="10" ht="15">
      <c r="A10" s="15" t="s">
        <v>85</v>
      </c>
      <c r="B10" s="49">
        <v>0</v>
      </c>
      <c r="C10" s="95" t="str">
        <f>Inventario_Dinamico!B30</f>
        <v>Q1</v>
      </c>
      <c r="D10" s="96">
        <f>IFERROR(B10-C10,0)</f>
        <v>0</v>
      </c>
      <c r="E10" s="15" t="str">
        <f>IF(ABS(D10)&gt;100,"REVISAR","OK")</f>
        <v>OK</v>
      </c>
    </row>
    <row r="11" ht="15">
      <c r="A11" s="15" t="s">
        <v>86</v>
      </c>
      <c r="B11" s="49">
        <v>0</v>
      </c>
      <c r="C11" s="95">
        <f>Inventario_Dinamico!B35</f>
        <v>0</v>
      </c>
      <c r="D11" s="96">
        <f>IFERROR(B11-C11,0)</f>
        <v>0</v>
      </c>
      <c r="E11" s="15" t="str">
        <f>IF(ABS(D11)&gt;100,"REVISAR","OK")</f>
        <v>OK</v>
      </c>
    </row>
    <row r="12" ht="15">
      <c r="A12" s="15" t="s">
        <v>87</v>
      </c>
      <c r="B12" s="49">
        <v>0</v>
      </c>
      <c r="C12" s="95">
        <f>Inventario_Dinamico!B40</f>
        <v>2335</v>
      </c>
      <c r="D12" s="96">
        <f>IFERROR(B12-C12,0)</f>
        <v>-2335</v>
      </c>
      <c r="E12" s="15" t="str">
        <f>IF(ABS(D12)&gt;100,"REVISAR","OK")</f>
        <v>REVISAR</v>
      </c>
    </row>
    <row r="13" ht="15">
      <c r="A13" s="15" t="s">
        <v>88</v>
      </c>
      <c r="B13" s="49">
        <v>0</v>
      </c>
      <c r="C13" s="95">
        <f>Inventario_Dinamico!B45</f>
        <v>1387.5</v>
      </c>
      <c r="D13" s="96">
        <f>IFERROR(B13-C13,0)</f>
        <v>-1387.5</v>
      </c>
      <c r="E13" s="15" t="str">
        <f>IF(ABS(D13)&gt;100,"REVISAR","OK")</f>
        <v>REVISAR</v>
      </c>
    </row>
  </sheetData>
  <mergeCells>
    <mergeCell ref="A1:H1"/>
    <mergeCell ref="A2:H2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min="1" max="1" width="15" customWidth="1" style="6"/>
  </cols>
  <sheetData>
    <row r="1" ht="17.25">
      <c r="A1" s="97" t="s">
        <v>37</v>
      </c>
      <c r="B1" s="97"/>
      <c r="C1" s="97"/>
      <c r="D1" s="97"/>
      <c r="E1" s="97"/>
      <c r="F1" s="97"/>
      <c r="G1" s="97"/>
    </row>
    <row r="2" ht="15">
      <c r="A2" s="33" t="s">
        <v>38</v>
      </c>
      <c r="B2" s="33"/>
      <c r="C2" s="33"/>
      <c r="D2" s="33"/>
      <c r="E2" s="33"/>
      <c r="F2" s="33"/>
      <c r="G2" s="33"/>
    </row>
    <row r="4" ht="15">
      <c r="A4" s="9" t="s">
        <v>39</v>
      </c>
      <c r="B4" s="9"/>
      <c r="C4" s="9"/>
      <c r="D4" s="9"/>
      <c r="E4" s="9"/>
      <c r="F4" s="9"/>
      <c r="G4" s="9"/>
    </row>
    <row r="5" ht="15">
      <c r="A5" s="14" t="s">
        <v>40</v>
      </c>
      <c r="B5" s="14" t="s">
        <v>41</v>
      </c>
      <c r="C5" s="14" t="s">
        <v>42</v>
      </c>
      <c r="D5" s="14" t="s">
        <v>43</v>
      </c>
      <c r="E5" s="14" t="s">
        <v>44</v>
      </c>
      <c r="F5" s="14" t="s">
        <v>45</v>
      </c>
      <c r="G5" s="14" t="s">
        <v>46</v>
      </c>
    </row>
    <row r="6" ht="15">
      <c r="A6" s="15" t="s">
        <v>18</v>
      </c>
      <c r="B6" s="98">
        <v>2.5</v>
      </c>
      <c r="C6" s="98">
        <v>3</v>
      </c>
      <c r="D6" s="98">
        <v>2</v>
      </c>
      <c r="E6" s="99" t="str">
        <f>Inputs!B58</f>
        <v>Ordering Cost</v>
      </c>
      <c r="F6" s="95">
        <f>SUM(Compras_y_Lotes!G18:G25)</f>
        <v>0</v>
      </c>
      <c r="G6" s="96">
        <f>IFERROR(F6*CHOOSE(MATCH(E6,{"A","B","C"},0),B6,C6,D6),0)</f>
        <v>0</v>
      </c>
    </row>
    <row r="7" ht="15">
      <c r="A7" s="15" t="s">
        <v>19</v>
      </c>
      <c r="B7" s="98">
        <v>5</v>
      </c>
      <c r="C7" s="98">
        <v>6</v>
      </c>
      <c r="D7" s="98">
        <v>4.5</v>
      </c>
      <c r="E7" s="99" t="str">
        <f>Inputs!B69</f>
        <v>A</v>
      </c>
      <c r="F7" s="95">
        <f>SUM(Compras_y_Lotes!G26:G33)</f>
        <v>0</v>
      </c>
      <c r="G7" s="96">
        <f>IFERROR(F7*CHOOSE(MATCH(E7,{"A","B","C"},0),B7,C7,D7),0)</f>
        <v>0</v>
      </c>
    </row>
  </sheetData>
  <mergeCells>
    <mergeCell ref="A1:G1"/>
    <mergeCell ref="A2:G2"/>
    <mergeCell ref="A4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2026-01-12T17:03:36Z</dcterms:created>
  <dc:creator>openpyxl</dc:creator>
  <dc:description/>
  <dc:language>en-US</dc:language>
  <cp:lastModifiedBy/>
  <dcterms:modified xsi:type="dcterms:W3CDTF">2026-01-12T18:20:52Z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