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curement/"/>
    </mc:Choice>
  </mc:AlternateContent>
  <xr:revisionPtr revIDLastSave="24" documentId="11_3FC8C716D535BA48BAA387DE2A3B466DC770793C" xr6:coauthVersionLast="47" xr6:coauthVersionMax="47" xr10:uidLastSave="{438F8DE7-7549-4BFB-A5E2-0AEE87FD1F68}"/>
  <bookViews>
    <workbookView xWindow="-108" yWindow="-108" windowWidth="23256" windowHeight="12456" tabRatio="500" xr2:uid="{00000000-000D-0000-FFFF-FFFF00000000}"/>
  </bookViews>
  <sheets>
    <sheet name="Inputs" sheetId="3" r:id="rId1"/>
    <sheet name="Inventario_Dinamico" sheetId="5" r:id="rId2"/>
    <sheet name="MRP_LeadTimes" sheetId="16" r:id="rId3"/>
  </sheets>
  <definedNames>
    <definedName name="tZeroValu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I18" i="16"/>
  <c r="H18" i="16"/>
  <c r="I17" i="16"/>
  <c r="H17" i="16"/>
  <c r="G18" i="16" s="1"/>
  <c r="I16" i="16"/>
  <c r="H16" i="16"/>
  <c r="G17" i="16" s="1"/>
  <c r="F18" i="16" s="1"/>
  <c r="I15" i="16"/>
  <c r="J62" i="5"/>
  <c r="I62" i="5"/>
  <c r="H62" i="5"/>
  <c r="G62" i="5"/>
  <c r="F62" i="5"/>
  <c r="E62" i="5"/>
  <c r="D62" i="5"/>
  <c r="C62" i="5"/>
  <c r="B62" i="5"/>
  <c r="J59" i="5"/>
  <c r="J58" i="5"/>
  <c r="J56" i="5"/>
  <c r="I51" i="5"/>
  <c r="B49" i="5"/>
  <c r="B43" i="5"/>
  <c r="B37" i="5"/>
  <c r="B31" i="5"/>
  <c r="B25" i="5"/>
  <c r="B19" i="5"/>
  <c r="B13" i="5"/>
  <c r="B7" i="5"/>
  <c r="I45" i="5"/>
  <c r="I39" i="5"/>
  <c r="I21" i="5"/>
  <c r="B113" i="3"/>
  <c r="B112" i="3"/>
  <c r="B111" i="3"/>
  <c r="B106" i="3"/>
  <c r="B101" i="3"/>
  <c r="E98" i="3"/>
  <c r="E97" i="3"/>
  <c r="E96" i="3"/>
  <c r="E95" i="3"/>
  <c r="E94" i="3"/>
  <c r="E93" i="3"/>
  <c r="E92" i="3"/>
  <c r="E91" i="3"/>
  <c r="C54" i="3"/>
  <c r="C53" i="3"/>
  <c r="C52" i="3"/>
  <c r="C51" i="3"/>
  <c r="C50" i="3"/>
  <c r="C49" i="3"/>
  <c r="C48" i="3"/>
  <c r="C47" i="3"/>
  <c r="C46" i="3"/>
  <c r="C44" i="3"/>
  <c r="C43" i="3"/>
  <c r="C42" i="3"/>
  <c r="C41" i="3"/>
  <c r="C40" i="3"/>
  <c r="C39" i="3"/>
  <c r="C38" i="3"/>
  <c r="C37" i="3"/>
  <c r="C36" i="3"/>
  <c r="C35" i="3"/>
  <c r="J6" i="3"/>
  <c r="I27" i="5" l="1"/>
  <c r="I9" i="5"/>
  <c r="I33" i="5"/>
  <c r="I14" i="16"/>
  <c r="H15" i="16" s="1"/>
  <c r="H14" i="16"/>
  <c r="G14" i="16"/>
  <c r="F14" i="16"/>
  <c r="E14" i="16"/>
  <c r="D14" i="16"/>
  <c r="C14" i="16"/>
  <c r="B14" i="16"/>
  <c r="E15" i="16" l="1"/>
  <c r="G9" i="5"/>
  <c r="I15" i="5"/>
  <c r="F15" i="16"/>
  <c r="H15" i="5"/>
  <c r="G15" i="5"/>
  <c r="H9" i="5"/>
  <c r="C15" i="16"/>
  <c r="D15" i="16"/>
  <c r="G15" i="16"/>
  <c r="G16" i="16"/>
  <c r="F17" i="16" s="1"/>
  <c r="B15" i="16"/>
  <c r="D16" i="16" l="1"/>
  <c r="C17" i="16" s="1"/>
  <c r="H51" i="5"/>
  <c r="H21" i="5"/>
  <c r="F16" i="16"/>
  <c r="E17" i="16" s="1"/>
  <c r="E18" i="16"/>
  <c r="H33" i="5"/>
  <c r="C16" i="16"/>
  <c r="B17" i="16" s="1"/>
  <c r="E16" i="16"/>
  <c r="D17" i="16" s="1"/>
  <c r="H39" i="5"/>
  <c r="H27" i="5"/>
  <c r="H45" i="5"/>
  <c r="B16" i="16"/>
  <c r="F51" i="5" l="1"/>
  <c r="D27" i="5"/>
  <c r="G21" i="5"/>
  <c r="E27" i="5"/>
  <c r="D51" i="5"/>
  <c r="G27" i="5"/>
  <c r="C45" i="5"/>
  <c r="E9" i="5"/>
  <c r="G33" i="5"/>
  <c r="F33" i="5"/>
  <c r="B15" i="5"/>
  <c r="B16" i="5" s="1"/>
  <c r="G39" i="5"/>
  <c r="E51" i="5"/>
  <c r="C39" i="5"/>
  <c r="D18" i="16"/>
  <c r="E33" i="5"/>
  <c r="C18" i="16"/>
  <c r="C21" i="5"/>
  <c r="E39" i="5"/>
  <c r="F15" i="5"/>
  <c r="B18" i="16"/>
  <c r="D33" i="5"/>
  <c r="C51" i="5"/>
  <c r="B21" i="5"/>
  <c r="B22" i="5" s="1"/>
  <c r="B27" i="5"/>
  <c r="B28" i="5" s="1"/>
  <c r="F39" i="5"/>
  <c r="C33" i="5"/>
  <c r="B45" i="5"/>
  <c r="B46" i="5" s="1"/>
  <c r="F21" i="5"/>
  <c r="D39" i="5"/>
  <c r="C27" i="5"/>
  <c r="B51" i="5"/>
  <c r="B52" i="5" s="1"/>
  <c r="F45" i="5"/>
  <c r="D45" i="5"/>
  <c r="G51" i="5"/>
  <c r="E45" i="5"/>
  <c r="B39" i="5"/>
  <c r="B33" i="5"/>
  <c r="B34" i="5" s="1"/>
  <c r="F27" i="5"/>
  <c r="D21" i="5"/>
  <c r="G45" i="5"/>
  <c r="E21" i="5"/>
  <c r="J61" i="5" l="1"/>
  <c r="B40" i="5"/>
  <c r="C98" i="3"/>
  <c r="D98" i="3" s="1"/>
  <c r="D61" i="5" s="1"/>
  <c r="C94" i="3"/>
  <c r="D94" i="3" s="1"/>
  <c r="B57" i="5" s="1"/>
  <c r="E15" i="5"/>
  <c r="C96" i="3"/>
  <c r="D96" i="3" s="1"/>
  <c r="C49" i="5"/>
  <c r="C52" i="5" s="1"/>
  <c r="C25" i="5"/>
  <c r="C28" i="5" s="1"/>
  <c r="D9" i="5"/>
  <c r="C13" i="5"/>
  <c r="C43" i="5"/>
  <c r="C46" i="5" s="1"/>
  <c r="D15" i="5"/>
  <c r="C9" i="5"/>
  <c r="C93" i="3"/>
  <c r="D93" i="3" s="1"/>
  <c r="C15" i="5"/>
  <c r="C95" i="3"/>
  <c r="D95" i="3" s="1"/>
  <c r="C31" i="5"/>
  <c r="C34" i="5" s="1"/>
  <c r="C97" i="3"/>
  <c r="D97" i="3" s="1"/>
  <c r="B60" i="5" s="1"/>
  <c r="C19" i="5"/>
  <c r="B9" i="5"/>
  <c r="C91" i="3"/>
  <c r="D91" i="3" s="1"/>
  <c r="C61" i="5"/>
  <c r="C92" i="3"/>
  <c r="D92" i="3" s="1"/>
  <c r="F61" i="5" l="1"/>
  <c r="E61" i="5"/>
  <c r="G61" i="5"/>
  <c r="C56" i="5"/>
  <c r="I56" i="5"/>
  <c r="G56" i="5"/>
  <c r="E56" i="5"/>
  <c r="D56" i="5"/>
  <c r="B56" i="5"/>
  <c r="H56" i="5"/>
  <c r="F56" i="5"/>
  <c r="F55" i="5"/>
  <c r="I55" i="5"/>
  <c r="G55" i="5"/>
  <c r="H55" i="5"/>
  <c r="C16" i="5"/>
  <c r="C57" i="5"/>
  <c r="C22" i="5"/>
  <c r="D31" i="5"/>
  <c r="D34" i="5" s="1"/>
  <c r="C60" i="5"/>
  <c r="D49" i="5"/>
  <c r="D52" i="5" s="1"/>
  <c r="D43" i="5"/>
  <c r="D46" i="5" s="1"/>
  <c r="I61" i="5"/>
  <c r="H61" i="5"/>
  <c r="I58" i="5"/>
  <c r="G58" i="5"/>
  <c r="H58" i="5"/>
  <c r="F58" i="5"/>
  <c r="E58" i="5"/>
  <c r="D58" i="5"/>
  <c r="C58" i="5"/>
  <c r="B58" i="5"/>
  <c r="D55" i="5"/>
  <c r="H59" i="5"/>
  <c r="F59" i="5"/>
  <c r="B59" i="5"/>
  <c r="I59" i="5"/>
  <c r="G59" i="5"/>
  <c r="E59" i="5"/>
  <c r="D59" i="5"/>
  <c r="C59" i="5"/>
  <c r="C37" i="5"/>
  <c r="C40" i="5" s="1"/>
  <c r="J55" i="5"/>
  <c r="B55" i="5"/>
  <c r="B10" i="5"/>
  <c r="C55" i="5"/>
  <c r="E55" i="5"/>
  <c r="D25" i="5"/>
  <c r="D28" i="5" s="1"/>
  <c r="B61" i="5"/>
  <c r="D37" i="5" l="1"/>
  <c r="D40" i="5" s="1"/>
  <c r="D19" i="5"/>
  <c r="D13" i="5"/>
  <c r="E25" i="5"/>
  <c r="E28" i="5" s="1"/>
  <c r="E31" i="5"/>
  <c r="E34" i="5" s="1"/>
  <c r="D60" i="5"/>
  <c r="C7" i="5"/>
  <c r="E43" i="5"/>
  <c r="E46" i="5" s="1"/>
  <c r="E49" i="5"/>
  <c r="E52" i="5" s="1"/>
  <c r="D22" i="5" l="1"/>
  <c r="D57" i="5"/>
  <c r="D16" i="5"/>
  <c r="C10" i="5"/>
  <c r="F49" i="5"/>
  <c r="F52" i="5" s="1"/>
  <c r="E37" i="5"/>
  <c r="E40" i="5" s="1"/>
  <c r="E60" i="5"/>
  <c r="F31" i="5"/>
  <c r="F34" i="5" s="1"/>
  <c r="F43" i="5"/>
  <c r="F46" i="5" s="1"/>
  <c r="F25" i="5"/>
  <c r="F28" i="5" s="1"/>
  <c r="G49" i="5" l="1"/>
  <c r="G52" i="5" s="1"/>
  <c r="G25" i="5"/>
  <c r="G28" i="5" s="1"/>
  <c r="F37" i="5"/>
  <c r="F40" i="5" s="1"/>
  <c r="E13" i="5"/>
  <c r="G31" i="5"/>
  <c r="G34" i="5" s="1"/>
  <c r="F60" i="5"/>
  <c r="E19" i="5"/>
  <c r="G43" i="5"/>
  <c r="G46" i="5" s="1"/>
  <c r="D7" i="5"/>
  <c r="E16" i="5" l="1"/>
  <c r="D10" i="5"/>
  <c r="G60" i="5"/>
  <c r="H31" i="5"/>
  <c r="H34" i="5" s="1"/>
  <c r="G37" i="5"/>
  <c r="G40" i="5" s="1"/>
  <c r="H43" i="5"/>
  <c r="H46" i="5" s="1"/>
  <c r="H25" i="5"/>
  <c r="H28" i="5" s="1"/>
  <c r="E57" i="5"/>
  <c r="E22" i="5"/>
  <c r="H49" i="5"/>
  <c r="H52" i="5" s="1"/>
  <c r="I49" i="5" l="1"/>
  <c r="I52" i="5" s="1"/>
  <c r="I25" i="5"/>
  <c r="I28" i="5" s="1"/>
  <c r="F19" i="5"/>
  <c r="I43" i="5"/>
  <c r="I46" i="5" s="1"/>
  <c r="H37" i="5"/>
  <c r="H40" i="5" s="1"/>
  <c r="E7" i="5"/>
  <c r="F13" i="5"/>
  <c r="I31" i="5"/>
  <c r="I34" i="5" s="1"/>
  <c r="H60" i="5"/>
  <c r="E10" i="5" l="1"/>
  <c r="F16" i="5"/>
  <c r="F57" i="5"/>
  <c r="F22" i="5"/>
  <c r="I60" i="5"/>
  <c r="J60" i="5"/>
  <c r="I37" i="5"/>
  <c r="I40" i="5" s="1"/>
  <c r="G19" i="5" l="1"/>
  <c r="G13" i="5"/>
  <c r="F7" i="5"/>
  <c r="G22" i="5" l="1"/>
  <c r="G57" i="5"/>
  <c r="G16" i="5"/>
  <c r="F10" i="5"/>
  <c r="H13" i="5" l="1"/>
  <c r="H19" i="5"/>
  <c r="G7" i="5"/>
  <c r="G10" i="5" l="1"/>
  <c r="H57" i="5"/>
  <c r="H22" i="5"/>
  <c r="H16" i="5"/>
  <c r="I13" i="5" l="1"/>
  <c r="I19" i="5"/>
  <c r="H7" i="5"/>
  <c r="I57" i="5" l="1"/>
  <c r="I22" i="5"/>
  <c r="J57" i="5"/>
  <c r="H10" i="5"/>
  <c r="I16" i="5"/>
  <c r="I7" i="5" l="1"/>
  <c r="I10" i="5" l="1"/>
</calcChain>
</file>

<file path=xl/sharedStrings.xml><?xml version="1.0" encoding="utf-8"?>
<sst xmlns="http://schemas.openxmlformats.org/spreadsheetml/2006/main" count="393" uniqueCount="147">
  <si>
    <t>Material</t>
  </si>
  <si>
    <t>Notes</t>
  </si>
  <si>
    <t>Parte A</t>
  </si>
  <si>
    <t>Q1</t>
  </si>
  <si>
    <t>Q2</t>
  </si>
  <si>
    <t>Q3</t>
  </si>
  <si>
    <t>Q4</t>
  </si>
  <si>
    <t>Q5</t>
  </si>
  <si>
    <t>Q6</t>
  </si>
  <si>
    <t>Q7</t>
  </si>
  <si>
    <t>Q8</t>
  </si>
  <si>
    <t>Parte B</t>
  </si>
  <si>
    <t>Pieza 1</t>
  </si>
  <si>
    <t>Pieza 2</t>
  </si>
  <si>
    <t>Pieza 3</t>
  </si>
  <si>
    <t>Pieza 4</t>
  </si>
  <si>
    <t>Pieza 5</t>
  </si>
  <si>
    <t>Pieza 6</t>
  </si>
  <si>
    <t>Safety Stock</t>
  </si>
  <si>
    <t>INPUTS - PURCHASING MANAGER</t>
  </si>
  <si>
    <t>Solo inputs manuales. AZUL = modificar según tu estrategia. Sin fórmulas en esta hoja.</t>
  </si>
  <si>
    <t>1. PRODUCCIÓN PLANEADA POR QUINCENA (Electroclean)</t>
  </si>
  <si>
    <t>Quincena →</t>
  </si>
  <si>
    <t>TOTAL</t>
  </si>
  <si>
    <t>Producción EC</t>
  </si>
  <si>
    <t>2. INVENTARIO INICIAL (Fin Periodo Anterior)</t>
  </si>
  <si>
    <t>Inventario Inicial</t>
  </si>
  <si>
    <t>Unidad</t>
  </si>
  <si>
    <t>Fuente</t>
  </si>
  <si>
    <t>unidades</t>
  </si>
  <si>
    <t>Fin Periodo 6</t>
  </si>
  <si>
    <t>3. BILL OF MATERIALS (BOM) - Consumo por Electroclean</t>
  </si>
  <si>
    <t>Consumo por EC</t>
  </si>
  <si>
    <t>Observaciones</t>
  </si>
  <si>
    <t>unidades/EC</t>
  </si>
  <si>
    <t>1:1</t>
  </si>
  <si>
    <t>1:5</t>
  </si>
  <si>
    <t>1:100</t>
  </si>
  <si>
    <t>8:1</t>
  </si>
  <si>
    <t>30%</t>
  </si>
  <si>
    <t>60%</t>
  </si>
  <si>
    <t>2:1</t>
  </si>
  <si>
    <t>75%</t>
  </si>
  <si>
    <t>4. BATCH SIZES (Tamaño de Lote)</t>
  </si>
  <si>
    <t>Batch Size</t>
  </si>
  <si>
    <t>MOQ (Batch Size)</t>
  </si>
  <si>
    <t>Lote fijo</t>
  </si>
  <si>
    <t>Individual</t>
  </si>
  <si>
    <t>Caja 100</t>
  </si>
  <si>
    <t>Lote 30</t>
  </si>
  <si>
    <t>Lote 60</t>
  </si>
  <si>
    <t>Lote 100</t>
  </si>
  <si>
    <t>Pallet 150</t>
  </si>
  <si>
    <t>5. PRECIOS POR BATCH</t>
  </si>
  <si>
    <t>Moneda</t>
  </si>
  <si>
    <t>$</t>
  </si>
  <si>
    <t>6. ORDERING COST &amp; HOLDING COST</t>
  </si>
  <si>
    <t>Ordering Cost</t>
  </si>
  <si>
    <t>Holding Cost/U/Q</t>
  </si>
  <si>
    <t>Notas</t>
  </si>
  <si>
    <t>Por pedido / Por unidad-quincena</t>
  </si>
  <si>
    <t>Piezas 1-6</t>
  </si>
  <si>
    <t>Solo compra en t=0, sin costos adicionales</t>
  </si>
  <si>
    <t>7. PROVEEDORES - PARTE A</t>
  </si>
  <si>
    <t>ID</t>
  </si>
  <si>
    <t>Precio Base</t>
  </si>
  <si>
    <t>Términos Pago</t>
  </si>
  <si>
    <t>Descuento</t>
  </si>
  <si>
    <t>Discount Threshold (batches)</t>
  </si>
  <si>
    <t>Confiabilidad</t>
  </si>
  <si>
    <t>A</t>
  </si>
  <si>
    <t>Inmediato (0Q)</t>
  </si>
  <si>
    <t>No</t>
  </si>
  <si>
    <t>-</t>
  </si>
  <si>
    <t>100%</t>
  </si>
  <si>
    <t>B</t>
  </si>
  <si>
    <t>+2 Quincenas</t>
  </si>
  <si>
    <t>16% si Q≥150</t>
  </si>
  <si>
    <t>80%</t>
  </si>
  <si>
    <t>C</t>
  </si>
  <si>
    <t>+8 Quincenas</t>
  </si>
  <si>
    <t>PROVEEDOR ELEGIDO →</t>
  </si>
  <si>
    <t>8. PROVEEDORES - PARTE B</t>
  </si>
  <si>
    <t>16% si Q≥80</t>
  </si>
  <si>
    <t>9. SAFETY STOCK (Stock de Seguridad)</t>
  </si>
  <si>
    <t>% Consumo Prom</t>
  </si>
  <si>
    <t>Días Cobertura</t>
  </si>
  <si>
    <t>10. BUFFER MÍNIMO (Cobertura Operativa)</t>
  </si>
  <si>
    <t>Buffer = Quincenas de cobertura mínima antes de alerta</t>
  </si>
  <si>
    <t>Buffer (Quincenas)</t>
  </si>
  <si>
    <t>Consumo Prom/Q</t>
  </si>
  <si>
    <t>Inv. Mínimo Calc</t>
  </si>
  <si>
    <t>Crítico?</t>
  </si>
  <si>
    <t>11. SENSIBILIDAD DEMANDA</t>
  </si>
  <si>
    <t>Factor Demanda</t>
  </si>
  <si>
    <t>1.0 = Base</t>
  </si>
  <si>
    <t>12. PLANNING PARAMETERS</t>
  </si>
  <si>
    <t>Parameter</t>
  </si>
  <si>
    <t>Value</t>
  </si>
  <si>
    <t>Stockout penalty ($/EC)</t>
  </si>
  <si>
    <t>Financing cost per Q</t>
  </si>
  <si>
    <t>0 = ignore cash cost</t>
  </si>
  <si>
    <t>Review period R (Q)</t>
  </si>
  <si>
    <t>Order-up-to coverage (Q)</t>
  </si>
  <si>
    <t>Pieces buy at t=0 (1/0)</t>
  </si>
  <si>
    <t>Disc rate Part A (B)</t>
  </si>
  <si>
    <t>Disc rate Part B (B)</t>
  </si>
  <si>
    <t>Prob fail Supplier B</t>
  </si>
  <si>
    <t>INVENTARIO DINÁMICO - Control por Quincena</t>
  </si>
  <si>
    <t>Fórmula: Inv_Final_Q = Inv_Inicial_Q + Recepciones_Q - Consumo_Q</t>
  </si>
  <si>
    <t>AMARILLO = ingresar recepciones manualmente | ROJO = inventario negativo (ALERTA)</t>
  </si>
  <si>
    <t>Concepto</t>
  </si>
  <si>
    <t>Inv_Inicial</t>
  </si>
  <si>
    <t>Recepciones</t>
  </si>
  <si>
    <t>Consumo</t>
  </si>
  <si>
    <t>Inv_Final</t>
  </si>
  <si>
    <t>VALIDACIONES Y ALERTAS</t>
  </si>
  <si>
    <t>Min Global</t>
  </si>
  <si>
    <t>MRP - PRODUCCIÓN POR SECCIÓN</t>
  </si>
  <si>
    <t>5 secciones (S1-S5), cada una tarda 1 quincena. WIP entre secciones.</t>
  </si>
  <si>
    <t>FLUJO DE PRODUCCIÓN</t>
  </si>
  <si>
    <t>Sección</t>
  </si>
  <si>
    <t>Input</t>
  </si>
  <si>
    <t>Process</t>
  </si>
  <si>
    <t>Output</t>
  </si>
  <si>
    <t>Lead Time</t>
  </si>
  <si>
    <t>S1</t>
  </si>
  <si>
    <t>Ensambla Piezas</t>
  </si>
  <si>
    <t>Semi A</t>
  </si>
  <si>
    <t>1Q</t>
  </si>
  <si>
    <t>S2</t>
  </si>
  <si>
    <t>Semi B</t>
  </si>
  <si>
    <t>S3</t>
  </si>
  <si>
    <t>Semi C</t>
  </si>
  <si>
    <t>S4</t>
  </si>
  <si>
    <t>Semi D</t>
  </si>
  <si>
    <t>S5</t>
  </si>
  <si>
    <t>Semis</t>
  </si>
  <si>
    <t>Ensambla final</t>
  </si>
  <si>
    <t>Electroclean</t>
  </si>
  <si>
    <t>CALENDARIO POR SECCION (Lead Time 1Q)</t>
  </si>
  <si>
    <t>Seccion</t>
  </si>
  <si>
    <t>S5 - Final (EC)</t>
  </si>
  <si>
    <t>S4 - Piezas</t>
  </si>
  <si>
    <t>S3 - Semi</t>
  </si>
  <si>
    <t>S2 - Parte B</t>
  </si>
  <si>
    <t>S1 - Parte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</si>
</sst>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\$0.00"/>
    <numFmt numFmtId="167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i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sz val="10"/>
      <color rgb="FF000000"/>
      <name val="Cambria"/>
      <family val="1"/>
    </font>
    <font>
      <i/>
      <sz val="9"/>
      <name val="Cambria"/>
      <family val="1"/>
    </font>
    <font>
      <i/>
      <sz val="9"/>
      <color rgb="FFFF0000"/>
      <name val="Cambria"/>
      <family val="1"/>
    </font>
    <font>
      <sz val="10"/>
      <color rgb="FF008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03764"/>
      </patternFill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3" fontId="5" fillId="4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/>
    <xf numFmtId="0" fontId="4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164" fontId="5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5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67" fontId="5" fillId="4" borderId="1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3" fontId="6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9" fontId="0" fillId="0" borderId="0" xfId="0" applyNumberFormat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3" fillId="2" borderId="1" xfId="0" applyFont="1" applyFill="1" applyBorder="1"/>
    <xf numFmtId="0" fontId="3" fillId="2" borderId="0" xfId="0" applyFont="1" applyFill="1"/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B00"/>
      <rgbColor rgb="FF666699"/>
      <rgbColor rgb="FF969696"/>
      <rgbColor rgb="FF203764"/>
      <rgbColor rgb="FF228B2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tabSelected="1" zoomScaleNormal="100" workbookViewId="0">
      <selection activeCell="A6" sqref="A6"/>
    </sheetView>
  </sheetViews>
  <sheetFormatPr baseColWidth="10" defaultColWidth="8.6640625" defaultRowHeight="14.4" x14ac:dyDescent="0.3"/>
  <cols>
    <col min="1" max="1" width="25" customWidth="1"/>
    <col min="2" max="2" width="15" customWidth="1"/>
    <col min="3" max="3" width="26.6640625" bestFit="1" customWidth="1"/>
    <col min="4" max="4" width="30.44140625" bestFit="1" customWidth="1"/>
    <col min="5" max="7" width="15" customWidth="1"/>
  </cols>
  <sheetData>
    <row r="1" spans="1:11" ht="17.25" customHeight="1" x14ac:dyDescent="0.3">
      <c r="A1" s="34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5" customHeight="1" x14ac:dyDescent="0.3">
      <c r="A2" s="35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1" ht="15" customHeight="1" x14ac:dyDescent="0.3">
      <c r="A4" s="32" t="s">
        <v>21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15" customHeight="1" x14ac:dyDescent="0.3">
      <c r="A5" s="2" t="s">
        <v>22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23</v>
      </c>
    </row>
    <row r="6" spans="1:11" ht="15" customHeight="1" x14ac:dyDescent="0.3">
      <c r="A6" s="3" t="s">
        <v>24</v>
      </c>
      <c r="B6" s="4">
        <v>2520</v>
      </c>
      <c r="C6" s="4">
        <v>2520</v>
      </c>
      <c r="D6" s="4">
        <v>2520</v>
      </c>
      <c r="E6" s="4">
        <v>2520</v>
      </c>
      <c r="F6" s="4">
        <v>2520</v>
      </c>
      <c r="G6" s="4">
        <v>2520</v>
      </c>
      <c r="H6" s="4">
        <v>2520</v>
      </c>
      <c r="I6" s="4">
        <v>2520</v>
      </c>
      <c r="J6" s="5">
        <f>SUM(B6:I6)</f>
        <v>20160</v>
      </c>
    </row>
    <row r="9" spans="1:11" ht="15" customHeight="1" x14ac:dyDescent="0.3">
      <c r="A9" s="32" t="s">
        <v>25</v>
      </c>
      <c r="B9" s="33"/>
      <c r="C9" s="33"/>
      <c r="D9" s="33"/>
    </row>
    <row r="10" spans="1:11" ht="15" customHeight="1" x14ac:dyDescent="0.3">
      <c r="A10" s="6" t="s">
        <v>0</v>
      </c>
      <c r="B10" s="6" t="s">
        <v>26</v>
      </c>
      <c r="C10" s="6" t="s">
        <v>27</v>
      </c>
      <c r="D10" s="6" t="s">
        <v>28</v>
      </c>
    </row>
    <row r="11" spans="1:11" ht="15" customHeight="1" x14ac:dyDescent="0.3">
      <c r="A11" s="7" t="s">
        <v>2</v>
      </c>
      <c r="B11" s="4">
        <v>4512</v>
      </c>
      <c r="C11" s="8" t="s">
        <v>29</v>
      </c>
      <c r="D11" s="9" t="s">
        <v>30</v>
      </c>
    </row>
    <row r="12" spans="1:11" ht="15" customHeight="1" x14ac:dyDescent="0.3">
      <c r="A12" s="7" t="s">
        <v>11</v>
      </c>
      <c r="B12" s="4">
        <v>1058</v>
      </c>
      <c r="C12" s="8" t="s">
        <v>29</v>
      </c>
      <c r="D12" s="9" t="s">
        <v>30</v>
      </c>
    </row>
    <row r="13" spans="1:11" ht="15" customHeight="1" x14ac:dyDescent="0.3">
      <c r="A13" s="7" t="s">
        <v>12</v>
      </c>
      <c r="B13" s="4">
        <v>130</v>
      </c>
      <c r="C13" s="8" t="s">
        <v>29</v>
      </c>
      <c r="D13" s="9" t="s">
        <v>30</v>
      </c>
    </row>
    <row r="14" spans="1:11" ht="15" customHeight="1" x14ac:dyDescent="0.3">
      <c r="A14" s="7" t="s">
        <v>13</v>
      </c>
      <c r="B14" s="4">
        <v>5268</v>
      </c>
      <c r="C14" s="8" t="s">
        <v>29</v>
      </c>
      <c r="D14" s="9" t="s">
        <v>30</v>
      </c>
    </row>
    <row r="15" spans="1:11" ht="15" customHeight="1" x14ac:dyDescent="0.3">
      <c r="A15" s="7" t="s">
        <v>14</v>
      </c>
      <c r="B15" s="4">
        <v>4333</v>
      </c>
      <c r="C15" s="8" t="s">
        <v>29</v>
      </c>
      <c r="D15" s="9" t="s">
        <v>30</v>
      </c>
    </row>
    <row r="16" spans="1:11" ht="15" customHeight="1" x14ac:dyDescent="0.3">
      <c r="A16" s="7" t="s">
        <v>15</v>
      </c>
      <c r="B16" s="4">
        <v>8487</v>
      </c>
      <c r="C16" s="8" t="s">
        <v>29</v>
      </c>
      <c r="D16" s="9" t="s">
        <v>30</v>
      </c>
    </row>
    <row r="17" spans="1:4" ht="15" customHeight="1" x14ac:dyDescent="0.3">
      <c r="A17" s="7" t="s">
        <v>16</v>
      </c>
      <c r="B17" s="4">
        <v>23192</v>
      </c>
      <c r="C17" s="8" t="s">
        <v>29</v>
      </c>
      <c r="D17" s="9" t="s">
        <v>30</v>
      </c>
    </row>
    <row r="18" spans="1:4" ht="15" customHeight="1" x14ac:dyDescent="0.3">
      <c r="A18" s="7" t="s">
        <v>17</v>
      </c>
      <c r="B18" s="4">
        <v>6035</v>
      </c>
      <c r="C18" s="8" t="s">
        <v>29</v>
      </c>
      <c r="D18" s="9" t="s">
        <v>30</v>
      </c>
    </row>
    <row r="21" spans="1:4" ht="15" customHeight="1" x14ac:dyDescent="0.3">
      <c r="A21" s="32" t="s">
        <v>31</v>
      </c>
      <c r="B21" s="33"/>
      <c r="C21" s="33"/>
      <c r="D21" s="33"/>
    </row>
    <row r="22" spans="1:4" ht="15" customHeight="1" x14ac:dyDescent="0.3">
      <c r="A22" s="6" t="s">
        <v>0</v>
      </c>
      <c r="B22" s="6" t="s">
        <v>32</v>
      </c>
      <c r="C22" s="6" t="s">
        <v>27</v>
      </c>
      <c r="D22" s="6" t="s">
        <v>33</v>
      </c>
    </row>
    <row r="23" spans="1:4" ht="15" customHeight="1" x14ac:dyDescent="0.3">
      <c r="A23" s="7" t="s">
        <v>2</v>
      </c>
      <c r="B23" s="7">
        <v>1</v>
      </c>
      <c r="C23" s="7" t="s">
        <v>34</v>
      </c>
      <c r="D23" s="9" t="s">
        <v>35</v>
      </c>
    </row>
    <row r="24" spans="1:4" ht="15" customHeight="1" x14ac:dyDescent="0.3">
      <c r="A24" s="7" t="s">
        <v>11</v>
      </c>
      <c r="B24" s="7">
        <v>0.2</v>
      </c>
      <c r="C24" s="7" t="s">
        <v>34</v>
      </c>
      <c r="D24" s="9" t="s">
        <v>36</v>
      </c>
    </row>
    <row r="25" spans="1:4" ht="15" customHeight="1" x14ac:dyDescent="0.3">
      <c r="A25" s="7" t="s">
        <v>12</v>
      </c>
      <c r="B25" s="7">
        <v>0.01</v>
      </c>
      <c r="C25" s="7" t="s">
        <v>34</v>
      </c>
      <c r="D25" s="9" t="s">
        <v>37</v>
      </c>
    </row>
    <row r="26" spans="1:4" ht="15" customHeight="1" x14ac:dyDescent="0.3">
      <c r="A26" s="7" t="s">
        <v>13</v>
      </c>
      <c r="B26" s="7">
        <v>8</v>
      </c>
      <c r="C26" s="7" t="s">
        <v>34</v>
      </c>
      <c r="D26" s="9" t="s">
        <v>38</v>
      </c>
    </row>
    <row r="27" spans="1:4" ht="15" customHeight="1" x14ac:dyDescent="0.3">
      <c r="A27" s="7" t="s">
        <v>14</v>
      </c>
      <c r="B27" s="7">
        <v>0.3</v>
      </c>
      <c r="C27" s="7" t="s">
        <v>34</v>
      </c>
      <c r="D27" s="9" t="s">
        <v>39</v>
      </c>
    </row>
    <row r="28" spans="1:4" ht="15" customHeight="1" x14ac:dyDescent="0.3">
      <c r="A28" s="7" t="s">
        <v>15</v>
      </c>
      <c r="B28" s="7">
        <v>0.6</v>
      </c>
      <c r="C28" s="7" t="s">
        <v>34</v>
      </c>
      <c r="D28" s="9" t="s">
        <v>40</v>
      </c>
    </row>
    <row r="29" spans="1:4" ht="15" customHeight="1" x14ac:dyDescent="0.3">
      <c r="A29" s="7" t="s">
        <v>16</v>
      </c>
      <c r="B29" s="7">
        <v>2</v>
      </c>
      <c r="C29" s="7" t="s">
        <v>34</v>
      </c>
      <c r="D29" s="9" t="s">
        <v>41</v>
      </c>
    </row>
    <row r="30" spans="1:4" ht="15" customHeight="1" x14ac:dyDescent="0.3">
      <c r="A30" s="7" t="s">
        <v>17</v>
      </c>
      <c r="B30" s="7">
        <v>0.75</v>
      </c>
      <c r="C30" s="7" t="s">
        <v>34</v>
      </c>
      <c r="D30" s="9" t="s">
        <v>42</v>
      </c>
    </row>
    <row r="33" spans="1:4" ht="15" customHeight="1" x14ac:dyDescent="0.3">
      <c r="A33" s="32" t="s">
        <v>43</v>
      </c>
      <c r="B33" s="33"/>
      <c r="C33" s="33"/>
      <c r="D33" s="33"/>
    </row>
    <row r="34" spans="1:4" ht="15" customHeight="1" x14ac:dyDescent="0.3">
      <c r="A34" s="6" t="s">
        <v>0</v>
      </c>
      <c r="B34" s="6" t="s">
        <v>44</v>
      </c>
      <c r="C34" s="6" t="s">
        <v>45</v>
      </c>
      <c r="D34" s="6" t="s">
        <v>33</v>
      </c>
    </row>
    <row r="35" spans="1:4" ht="15" customHeight="1" x14ac:dyDescent="0.3">
      <c r="A35" s="7" t="s">
        <v>2</v>
      </c>
      <c r="B35" s="4">
        <v>30</v>
      </c>
      <c r="C35" s="26">
        <f t="shared" ref="C35:C42" si="0">B35</f>
        <v>30</v>
      </c>
      <c r="D35" s="9" t="s">
        <v>46</v>
      </c>
    </row>
    <row r="36" spans="1:4" ht="15" customHeight="1" x14ac:dyDescent="0.3">
      <c r="A36" s="7" t="s">
        <v>11</v>
      </c>
      <c r="B36" s="4">
        <v>12</v>
      </c>
      <c r="C36" s="26">
        <f t="shared" si="0"/>
        <v>12</v>
      </c>
      <c r="D36" s="9" t="s">
        <v>46</v>
      </c>
    </row>
    <row r="37" spans="1:4" ht="15" customHeight="1" x14ac:dyDescent="0.3">
      <c r="A37" s="7" t="s">
        <v>12</v>
      </c>
      <c r="B37" s="4">
        <v>1</v>
      </c>
      <c r="C37" s="26">
        <f t="shared" si="0"/>
        <v>1</v>
      </c>
      <c r="D37" s="9" t="s">
        <v>47</v>
      </c>
    </row>
    <row r="38" spans="1:4" ht="15" customHeight="1" x14ac:dyDescent="0.3">
      <c r="A38" s="7" t="s">
        <v>13</v>
      </c>
      <c r="B38" s="4">
        <v>100</v>
      </c>
      <c r="C38" s="26">
        <f t="shared" si="0"/>
        <v>100</v>
      </c>
      <c r="D38" s="9" t="s">
        <v>48</v>
      </c>
    </row>
    <row r="39" spans="1:4" ht="15" customHeight="1" x14ac:dyDescent="0.3">
      <c r="A39" s="7" t="s">
        <v>14</v>
      </c>
      <c r="B39" s="4">
        <v>30</v>
      </c>
      <c r="C39" s="26">
        <f t="shared" si="0"/>
        <v>30</v>
      </c>
      <c r="D39" s="9" t="s">
        <v>49</v>
      </c>
    </row>
    <row r="40" spans="1:4" ht="15" customHeight="1" x14ac:dyDescent="0.3">
      <c r="A40" s="7" t="s">
        <v>15</v>
      </c>
      <c r="B40" s="4">
        <v>60</v>
      </c>
      <c r="C40" s="26">
        <f t="shared" si="0"/>
        <v>60</v>
      </c>
      <c r="D40" s="9" t="s">
        <v>50</v>
      </c>
    </row>
    <row r="41" spans="1:4" ht="15" customHeight="1" x14ac:dyDescent="0.3">
      <c r="A41" s="7" t="s">
        <v>16</v>
      </c>
      <c r="B41" s="4">
        <v>100</v>
      </c>
      <c r="C41" s="26">
        <f t="shared" si="0"/>
        <v>100</v>
      </c>
      <c r="D41" s="9" t="s">
        <v>51</v>
      </c>
    </row>
    <row r="42" spans="1:4" ht="15" customHeight="1" x14ac:dyDescent="0.3">
      <c r="A42" s="7" t="s">
        <v>17</v>
      </c>
      <c r="B42" s="4">
        <v>150</v>
      </c>
      <c r="C42" s="26">
        <f t="shared" si="0"/>
        <v>150</v>
      </c>
      <c r="D42" s="9" t="s">
        <v>52</v>
      </c>
    </row>
    <row r="43" spans="1:4" ht="15" customHeight="1" x14ac:dyDescent="0.3">
      <c r="B43">
        <v>125</v>
      </c>
      <c r="C43">
        <f>B43/B35</f>
        <v>4.166666666666667</v>
      </c>
    </row>
    <row r="44" spans="1:4" ht="15" customHeight="1" x14ac:dyDescent="0.3">
      <c r="B44">
        <v>330</v>
      </c>
      <c r="C44">
        <f>B44/B36</f>
        <v>27.5</v>
      </c>
    </row>
    <row r="45" spans="1:4" ht="15" customHeight="1" x14ac:dyDescent="0.3">
      <c r="A45" s="32" t="s">
        <v>53</v>
      </c>
      <c r="B45" s="33"/>
      <c r="C45" s="33"/>
      <c r="D45" s="33"/>
    </row>
    <row r="46" spans="1:4" ht="15" customHeight="1" x14ac:dyDescent="0.3">
      <c r="A46" s="6" t="s">
        <v>0</v>
      </c>
      <c r="B46" s="6">
        <v>7</v>
      </c>
      <c r="C46" s="6">
        <f>B46/B38</f>
        <v>7.0000000000000007E-2</v>
      </c>
      <c r="D46" s="6" t="s">
        <v>54</v>
      </c>
    </row>
    <row r="47" spans="1:4" ht="15" customHeight="1" x14ac:dyDescent="0.3">
      <c r="A47" s="7" t="s">
        <v>2</v>
      </c>
      <c r="B47" s="10">
        <v>125</v>
      </c>
      <c r="C47" s="11">
        <f t="shared" ref="C47:C54" si="1">B47/B35</f>
        <v>4.166666666666667</v>
      </c>
      <c r="D47" s="8" t="s">
        <v>55</v>
      </c>
    </row>
    <row r="48" spans="1:4" ht="15" customHeight="1" x14ac:dyDescent="0.3">
      <c r="A48" s="7" t="s">
        <v>11</v>
      </c>
      <c r="B48" s="10">
        <v>330</v>
      </c>
      <c r="C48" s="11">
        <f t="shared" si="1"/>
        <v>27.5</v>
      </c>
      <c r="D48" s="8" t="s">
        <v>55</v>
      </c>
    </row>
    <row r="49" spans="1:7" ht="15" customHeight="1" x14ac:dyDescent="0.3">
      <c r="A49" s="7" t="s">
        <v>12</v>
      </c>
      <c r="B49" s="10">
        <v>60</v>
      </c>
      <c r="C49" s="11">
        <f t="shared" si="1"/>
        <v>60</v>
      </c>
      <c r="D49" s="8" t="s">
        <v>55</v>
      </c>
    </row>
    <row r="50" spans="1:7" ht="15" customHeight="1" x14ac:dyDescent="0.3">
      <c r="A50" s="7" t="s">
        <v>13</v>
      </c>
      <c r="B50" s="10">
        <v>7</v>
      </c>
      <c r="C50" s="11">
        <f t="shared" si="1"/>
        <v>7.0000000000000007E-2</v>
      </c>
      <c r="D50" s="8" t="s">
        <v>55</v>
      </c>
    </row>
    <row r="51" spans="1:7" ht="15" customHeight="1" x14ac:dyDescent="0.3">
      <c r="A51" s="7" t="s">
        <v>14</v>
      </c>
      <c r="B51" s="10">
        <v>36</v>
      </c>
      <c r="C51" s="11">
        <f t="shared" si="1"/>
        <v>1.2</v>
      </c>
      <c r="D51" s="8" t="s">
        <v>55</v>
      </c>
    </row>
    <row r="52" spans="1:7" ht="15" customHeight="1" x14ac:dyDescent="0.3">
      <c r="A52" s="7" t="s">
        <v>15</v>
      </c>
      <c r="B52" s="10">
        <v>24</v>
      </c>
      <c r="C52" s="11">
        <f t="shared" si="1"/>
        <v>0.4</v>
      </c>
      <c r="D52" s="8" t="s">
        <v>55</v>
      </c>
    </row>
    <row r="53" spans="1:7" ht="15" customHeight="1" x14ac:dyDescent="0.3">
      <c r="A53" s="7" t="s">
        <v>16</v>
      </c>
      <c r="B53" s="10">
        <v>30</v>
      </c>
      <c r="C53" s="11">
        <f t="shared" si="1"/>
        <v>0.3</v>
      </c>
      <c r="D53" s="8" t="s">
        <v>55</v>
      </c>
    </row>
    <row r="54" spans="1:7" ht="15" customHeight="1" x14ac:dyDescent="0.3">
      <c r="A54" s="7" t="s">
        <v>17</v>
      </c>
      <c r="B54" s="10">
        <v>28</v>
      </c>
      <c r="C54" s="11">
        <f t="shared" si="1"/>
        <v>0.18666666666666668</v>
      </c>
      <c r="D54" s="8" t="s">
        <v>55</v>
      </c>
    </row>
    <row r="57" spans="1:7" ht="15" customHeight="1" x14ac:dyDescent="0.3">
      <c r="A57" s="32" t="s">
        <v>56</v>
      </c>
      <c r="B57" s="33"/>
      <c r="C57" s="33"/>
      <c r="D57" s="33"/>
      <c r="E57" s="33"/>
    </row>
    <row r="58" spans="1:7" ht="15" customHeight="1" x14ac:dyDescent="0.3">
      <c r="A58" s="6" t="s">
        <v>0</v>
      </c>
      <c r="B58" s="6" t="s">
        <v>57</v>
      </c>
      <c r="C58" s="6" t="s">
        <v>58</v>
      </c>
      <c r="D58" s="6" t="s">
        <v>59</v>
      </c>
    </row>
    <row r="59" spans="1:7" ht="15" customHeight="1" x14ac:dyDescent="0.3">
      <c r="A59" s="7" t="s">
        <v>2</v>
      </c>
      <c r="B59" s="10">
        <v>2300</v>
      </c>
      <c r="C59" s="12">
        <v>0.3</v>
      </c>
      <c r="D59" s="9" t="s">
        <v>60</v>
      </c>
    </row>
    <row r="60" spans="1:7" ht="15" customHeight="1" x14ac:dyDescent="0.3">
      <c r="A60" s="7" t="s">
        <v>11</v>
      </c>
      <c r="B60" s="10">
        <v>6000</v>
      </c>
      <c r="C60" s="12">
        <v>4.5</v>
      </c>
      <c r="D60" s="9" t="s">
        <v>60</v>
      </c>
    </row>
    <row r="61" spans="1:7" ht="15" customHeight="1" x14ac:dyDescent="0.3">
      <c r="A61" s="7" t="s">
        <v>61</v>
      </c>
      <c r="B61" s="10">
        <v>0</v>
      </c>
      <c r="C61" s="12">
        <v>0</v>
      </c>
      <c r="D61" s="9" t="s">
        <v>62</v>
      </c>
    </row>
    <row r="64" spans="1:7" ht="15" customHeight="1" x14ac:dyDescent="0.3">
      <c r="A64" s="32" t="s">
        <v>63</v>
      </c>
      <c r="B64" s="33"/>
      <c r="C64" s="33"/>
      <c r="D64" s="33"/>
      <c r="E64" s="33"/>
      <c r="F64" s="33"/>
      <c r="G64" s="33"/>
    </row>
    <row r="65" spans="1:7" ht="15" customHeight="1" x14ac:dyDescent="0.3">
      <c r="A65" s="6" t="s">
        <v>64</v>
      </c>
      <c r="B65" s="6" t="s">
        <v>65</v>
      </c>
      <c r="C65" s="6" t="s">
        <v>66</v>
      </c>
      <c r="D65" s="6" t="s">
        <v>67</v>
      </c>
      <c r="E65" s="6" t="s">
        <v>68</v>
      </c>
      <c r="F65" s="6" t="s">
        <v>69</v>
      </c>
    </row>
    <row r="66" spans="1:7" ht="15" customHeight="1" x14ac:dyDescent="0.3">
      <c r="A66" s="8" t="s">
        <v>70</v>
      </c>
      <c r="B66" s="13">
        <v>125</v>
      </c>
      <c r="C66" s="14" t="s">
        <v>71</v>
      </c>
      <c r="D66" s="14" t="s">
        <v>72</v>
      </c>
      <c r="E66" s="14" t="s">
        <v>73</v>
      </c>
      <c r="F66" s="8" t="s">
        <v>74</v>
      </c>
    </row>
    <row r="67" spans="1:7" ht="15" customHeight="1" x14ac:dyDescent="0.3">
      <c r="A67" s="8" t="s">
        <v>75</v>
      </c>
      <c r="B67" s="13">
        <v>100</v>
      </c>
      <c r="C67" s="14" t="s">
        <v>76</v>
      </c>
      <c r="D67" s="14" t="s">
        <v>77</v>
      </c>
      <c r="E67" s="14">
        <v>150</v>
      </c>
      <c r="F67" s="8" t="s">
        <v>78</v>
      </c>
    </row>
    <row r="68" spans="1:7" ht="15" customHeight="1" x14ac:dyDescent="0.3">
      <c r="A68" s="8" t="s">
        <v>79</v>
      </c>
      <c r="B68" s="13">
        <v>140</v>
      </c>
      <c r="C68" s="14" t="s">
        <v>80</v>
      </c>
      <c r="D68" s="14" t="s">
        <v>72</v>
      </c>
      <c r="E68" s="14" t="s">
        <v>73</v>
      </c>
      <c r="F68" s="8" t="s">
        <v>74</v>
      </c>
    </row>
    <row r="69" spans="1:7" ht="15" customHeight="1" x14ac:dyDescent="0.3">
      <c r="A69" s="1" t="s">
        <v>81</v>
      </c>
      <c r="B69" s="15" t="s">
        <v>70</v>
      </c>
    </row>
    <row r="72" spans="1:7" ht="15" customHeight="1" x14ac:dyDescent="0.3">
      <c r="A72" s="32" t="s">
        <v>82</v>
      </c>
      <c r="B72" s="33"/>
      <c r="C72" s="33"/>
      <c r="D72" s="33"/>
      <c r="E72" s="33"/>
      <c r="F72" s="33"/>
      <c r="G72" s="33"/>
    </row>
    <row r="73" spans="1:7" ht="15" customHeight="1" x14ac:dyDescent="0.3">
      <c r="A73" s="6" t="s">
        <v>64</v>
      </c>
      <c r="B73" s="6" t="s">
        <v>65</v>
      </c>
      <c r="C73" s="6" t="s">
        <v>66</v>
      </c>
      <c r="D73" s="6" t="s">
        <v>67</v>
      </c>
      <c r="E73" s="6" t="s">
        <v>68</v>
      </c>
      <c r="F73" s="6" t="s">
        <v>69</v>
      </c>
    </row>
    <row r="74" spans="1:7" ht="15" customHeight="1" x14ac:dyDescent="0.3">
      <c r="A74" s="8" t="s">
        <v>70</v>
      </c>
      <c r="B74" s="13">
        <v>330</v>
      </c>
      <c r="C74" s="14" t="s">
        <v>71</v>
      </c>
      <c r="D74" s="14" t="s">
        <v>72</v>
      </c>
      <c r="E74" s="14" t="s">
        <v>73</v>
      </c>
      <c r="F74" s="8" t="s">
        <v>74</v>
      </c>
    </row>
    <row r="75" spans="1:7" ht="15" customHeight="1" x14ac:dyDescent="0.3">
      <c r="A75" s="8" t="s">
        <v>75</v>
      </c>
      <c r="B75" s="13">
        <v>264</v>
      </c>
      <c r="C75" s="14" t="s">
        <v>76</v>
      </c>
      <c r="D75" s="14" t="s">
        <v>83</v>
      </c>
      <c r="E75" s="14">
        <v>80</v>
      </c>
      <c r="F75" s="8" t="s">
        <v>78</v>
      </c>
    </row>
    <row r="76" spans="1:7" ht="15" customHeight="1" x14ac:dyDescent="0.3">
      <c r="A76" s="8" t="s">
        <v>79</v>
      </c>
      <c r="B76" s="13">
        <v>370</v>
      </c>
      <c r="C76" s="14" t="s">
        <v>80</v>
      </c>
      <c r="D76" s="14" t="s">
        <v>72</v>
      </c>
      <c r="E76" s="14" t="s">
        <v>73</v>
      </c>
      <c r="F76" s="8" t="s">
        <v>74</v>
      </c>
    </row>
    <row r="77" spans="1:7" ht="15" customHeight="1" x14ac:dyDescent="0.3">
      <c r="A77" s="1" t="s">
        <v>81</v>
      </c>
      <c r="B77" s="15" t="s">
        <v>70</v>
      </c>
    </row>
    <row r="80" spans="1:7" ht="15" customHeight="1" x14ac:dyDescent="0.3">
      <c r="A80" s="32" t="s">
        <v>84</v>
      </c>
      <c r="B80" s="33"/>
      <c r="C80" s="33"/>
      <c r="D80" s="33"/>
    </row>
    <row r="81" spans="1:5" ht="15" customHeight="1" x14ac:dyDescent="0.3">
      <c r="A81" s="6" t="s">
        <v>0</v>
      </c>
      <c r="B81" s="6" t="s">
        <v>18</v>
      </c>
      <c r="C81" s="6" t="s">
        <v>85</v>
      </c>
      <c r="D81" s="6" t="s">
        <v>86</v>
      </c>
    </row>
    <row r="82" spans="1:5" ht="15" customHeight="1" x14ac:dyDescent="0.3">
      <c r="A82" s="7" t="s">
        <v>2</v>
      </c>
      <c r="B82" s="4">
        <v>2000</v>
      </c>
      <c r="C82" s="16">
        <v>10</v>
      </c>
      <c r="D82" s="17">
        <v>1</v>
      </c>
    </row>
    <row r="83" spans="1:5" ht="15" customHeight="1" x14ac:dyDescent="0.3">
      <c r="A83" s="7" t="s">
        <v>11</v>
      </c>
      <c r="B83" s="4">
        <v>500</v>
      </c>
      <c r="C83" s="16">
        <v>10</v>
      </c>
      <c r="D83" s="17">
        <v>1</v>
      </c>
    </row>
    <row r="84" spans="1:5" ht="15" customHeight="1" x14ac:dyDescent="0.3">
      <c r="A84" s="7" t="s">
        <v>12</v>
      </c>
      <c r="B84" s="4">
        <v>50</v>
      </c>
      <c r="C84" s="16">
        <v>20</v>
      </c>
      <c r="D84" s="17">
        <v>2</v>
      </c>
    </row>
    <row r="85" spans="1:5" ht="15" customHeight="1" x14ac:dyDescent="0.3">
      <c r="A85" s="7" t="s">
        <v>13</v>
      </c>
      <c r="B85" s="4">
        <v>10000</v>
      </c>
      <c r="C85" s="16">
        <v>10</v>
      </c>
      <c r="D85" s="17">
        <v>1</v>
      </c>
    </row>
    <row r="86" spans="1:5" ht="15" customHeight="1" x14ac:dyDescent="0.3">
      <c r="A86" s="7" t="s">
        <v>14</v>
      </c>
      <c r="B86" s="4">
        <v>1000</v>
      </c>
      <c r="C86" s="16">
        <v>15</v>
      </c>
      <c r="D86" s="17">
        <v>1</v>
      </c>
    </row>
    <row r="87" spans="1:5" ht="15" customHeight="1" x14ac:dyDescent="0.3">
      <c r="A87" s="7" t="s">
        <v>15</v>
      </c>
      <c r="B87" s="4">
        <v>2000</v>
      </c>
      <c r="C87" s="16">
        <v>15</v>
      </c>
      <c r="D87" s="17">
        <v>1</v>
      </c>
    </row>
    <row r="88" spans="1:5" ht="15" customHeight="1" x14ac:dyDescent="0.3">
      <c r="A88" s="31" t="s">
        <v>87</v>
      </c>
      <c r="B88" s="29"/>
      <c r="C88" s="29"/>
      <c r="D88" s="29"/>
      <c r="E88" s="30"/>
    </row>
    <row r="89" spans="1:5" ht="15" customHeight="1" x14ac:dyDescent="0.3">
      <c r="A89" s="28" t="s">
        <v>88</v>
      </c>
      <c r="B89" s="29"/>
      <c r="C89" s="29"/>
      <c r="D89" s="29"/>
      <c r="E89" s="30"/>
    </row>
    <row r="90" spans="1:5" ht="15" customHeight="1" x14ac:dyDescent="0.3">
      <c r="A90" s="6" t="s">
        <v>0</v>
      </c>
      <c r="B90" s="6" t="s">
        <v>89</v>
      </c>
      <c r="C90" s="6" t="s">
        <v>90</v>
      </c>
      <c r="D90" s="6" t="s">
        <v>91</v>
      </c>
      <c r="E90" s="6" t="s">
        <v>92</v>
      </c>
    </row>
    <row r="91" spans="1:5" ht="15" customHeight="1" x14ac:dyDescent="0.3">
      <c r="A91" s="7" t="s">
        <v>2</v>
      </c>
      <c r="B91" s="18">
        <v>1</v>
      </c>
      <c r="C91" s="19" t="e">
        <f>#REF!/8</f>
        <v>#REF!</v>
      </c>
      <c r="D91" s="19" t="e">
        <f t="shared" ref="D91:D98" si="2">B91*C91</f>
        <v>#REF!</v>
      </c>
      <c r="E91" s="20" t="str">
        <f t="shared" ref="E91:E98" si="3">IF(B91&gt;=1.5,"NO","SÍ - RIESGO ALTO")</f>
        <v>SÍ - RIESGO ALTO</v>
      </c>
    </row>
    <row r="92" spans="1:5" ht="15" customHeight="1" x14ac:dyDescent="0.3">
      <c r="A92" s="7" t="s">
        <v>11</v>
      </c>
      <c r="B92" s="18">
        <v>1</v>
      </c>
      <c r="C92" s="19" t="e">
        <f>#REF!/8</f>
        <v>#REF!</v>
      </c>
      <c r="D92" s="19" t="e">
        <f t="shared" si="2"/>
        <v>#REF!</v>
      </c>
      <c r="E92" s="20" t="str">
        <f t="shared" si="3"/>
        <v>SÍ - RIESGO ALTO</v>
      </c>
    </row>
    <row r="93" spans="1:5" ht="15" customHeight="1" x14ac:dyDescent="0.3">
      <c r="A93" s="7" t="s">
        <v>12</v>
      </c>
      <c r="B93" s="18">
        <v>2</v>
      </c>
      <c r="C93" s="19" t="e">
        <f>#REF!/8</f>
        <v>#REF!</v>
      </c>
      <c r="D93" s="19" t="e">
        <f t="shared" si="2"/>
        <v>#REF!</v>
      </c>
      <c r="E93" s="20" t="str">
        <f t="shared" si="3"/>
        <v>NO</v>
      </c>
    </row>
    <row r="94" spans="1:5" ht="15" customHeight="1" x14ac:dyDescent="0.3">
      <c r="A94" s="7" t="s">
        <v>13</v>
      </c>
      <c r="B94" s="18">
        <v>1</v>
      </c>
      <c r="C94" s="19" t="e">
        <f>#REF!/8</f>
        <v>#REF!</v>
      </c>
      <c r="D94" s="19" t="e">
        <f t="shared" si="2"/>
        <v>#REF!</v>
      </c>
      <c r="E94" s="20" t="str">
        <f t="shared" si="3"/>
        <v>SÍ - RIESGO ALTO</v>
      </c>
    </row>
    <row r="95" spans="1:5" ht="15" customHeight="1" x14ac:dyDescent="0.3">
      <c r="A95" s="7" t="s">
        <v>14</v>
      </c>
      <c r="B95" s="18">
        <v>1</v>
      </c>
      <c r="C95" s="19" t="e">
        <f>#REF!/8</f>
        <v>#REF!</v>
      </c>
      <c r="D95" s="19" t="e">
        <f t="shared" si="2"/>
        <v>#REF!</v>
      </c>
      <c r="E95" s="20" t="str">
        <f t="shared" si="3"/>
        <v>SÍ - RIESGO ALTO</v>
      </c>
    </row>
    <row r="96" spans="1:5" ht="15" customHeight="1" x14ac:dyDescent="0.3">
      <c r="A96" s="7" t="s">
        <v>15</v>
      </c>
      <c r="B96" s="18">
        <v>1</v>
      </c>
      <c r="C96" s="19" t="e">
        <f>#REF!/8</f>
        <v>#REF!</v>
      </c>
      <c r="D96" s="19" t="e">
        <f t="shared" si="2"/>
        <v>#REF!</v>
      </c>
      <c r="E96" s="20" t="str">
        <f t="shared" si="3"/>
        <v>SÍ - RIESGO ALTO</v>
      </c>
    </row>
    <row r="97" spans="1:5" ht="15" customHeight="1" x14ac:dyDescent="0.3">
      <c r="A97" s="7" t="s">
        <v>16</v>
      </c>
      <c r="B97" s="18">
        <v>1</v>
      </c>
      <c r="C97" s="19" t="e">
        <f>#REF!/8</f>
        <v>#REF!</v>
      </c>
      <c r="D97" s="19" t="e">
        <f t="shared" si="2"/>
        <v>#REF!</v>
      </c>
      <c r="E97" s="20" t="str">
        <f t="shared" si="3"/>
        <v>SÍ - RIESGO ALTO</v>
      </c>
    </row>
    <row r="98" spans="1:5" ht="15" customHeight="1" x14ac:dyDescent="0.3">
      <c r="A98" s="7" t="s">
        <v>17</v>
      </c>
      <c r="B98" s="18">
        <v>1</v>
      </c>
      <c r="C98" s="19" t="e">
        <f>#REF!/8</f>
        <v>#REF!</v>
      </c>
      <c r="D98" s="19" t="e">
        <f t="shared" si="2"/>
        <v>#REF!</v>
      </c>
      <c r="E98" s="20" t="str">
        <f t="shared" si="3"/>
        <v>SÍ - RIESGO ALTO</v>
      </c>
    </row>
    <row r="100" spans="1:5" x14ac:dyDescent="0.3">
      <c r="A100" t="s">
        <v>93</v>
      </c>
    </row>
    <row r="101" spans="1:5" x14ac:dyDescent="0.3">
      <c r="A101" t="s">
        <v>94</v>
      </c>
      <c r="B101" t="e">
        <f>#REF!</f>
        <v>#REF!</v>
      </c>
      <c r="C101" t="s">
        <v>95</v>
      </c>
    </row>
    <row r="104" spans="1:5" x14ac:dyDescent="0.3">
      <c r="A104" t="s">
        <v>96</v>
      </c>
    </row>
    <row r="105" spans="1:5" x14ac:dyDescent="0.3">
      <c r="A105" t="s">
        <v>97</v>
      </c>
      <c r="B105" t="s">
        <v>98</v>
      </c>
      <c r="C105" t="s">
        <v>1</v>
      </c>
    </row>
    <row r="106" spans="1:5" x14ac:dyDescent="0.3">
      <c r="A106" t="s">
        <v>99</v>
      </c>
      <c r="B106" s="25" t="e">
        <f>#REF!</f>
        <v>#REF!</v>
      </c>
    </row>
    <row r="107" spans="1:5" x14ac:dyDescent="0.3">
      <c r="A107" t="s">
        <v>100</v>
      </c>
      <c r="B107">
        <v>0</v>
      </c>
      <c r="C107" t="s">
        <v>101</v>
      </c>
    </row>
    <row r="108" spans="1:5" x14ac:dyDescent="0.3">
      <c r="A108" t="s">
        <v>102</v>
      </c>
      <c r="B108">
        <v>1</v>
      </c>
    </row>
    <row r="109" spans="1:5" x14ac:dyDescent="0.3">
      <c r="A109" t="s">
        <v>103</v>
      </c>
      <c r="B109">
        <v>1</v>
      </c>
    </row>
    <row r="110" spans="1:5" x14ac:dyDescent="0.3">
      <c r="A110" t="s">
        <v>104</v>
      </c>
      <c r="B110">
        <v>1</v>
      </c>
    </row>
    <row r="111" spans="1:5" x14ac:dyDescent="0.3">
      <c r="A111" t="s">
        <v>105</v>
      </c>
      <c r="B111">
        <f>IFERROR(VALUE(SUBSTITUTE(LEFT(D67,FIND("%",D67)-1),"%",""))/100,0)</f>
        <v>0.16</v>
      </c>
    </row>
    <row r="112" spans="1:5" x14ac:dyDescent="0.3">
      <c r="A112" t="s">
        <v>106</v>
      </c>
      <c r="B112">
        <f>IFERROR(VALUE(SUBSTITUTE(LEFT(D75,FIND("%",D75)-1),"%",""))/100,0)</f>
        <v>0.16</v>
      </c>
    </row>
    <row r="113" spans="1:2" x14ac:dyDescent="0.3">
      <c r="A113" t="s">
        <v>107</v>
      </c>
      <c r="B113" s="27" t="e">
        <f>#REF!</f>
        <v>#REF!</v>
      </c>
    </row>
  </sheetData>
  <mergeCells count="13">
    <mergeCell ref="A1:K1"/>
    <mergeCell ref="A2:K2"/>
    <mergeCell ref="A72:G72"/>
    <mergeCell ref="A64:G64"/>
    <mergeCell ref="A33:D33"/>
    <mergeCell ref="A4:K4"/>
    <mergeCell ref="A89:E89"/>
    <mergeCell ref="A88:E88"/>
    <mergeCell ref="A45:D45"/>
    <mergeCell ref="A80:D80"/>
    <mergeCell ref="A9:D9"/>
    <mergeCell ref="A57:E57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zoomScaleNormal="100" workbookViewId="0">
      <selection activeCell="F10" sqref="F10"/>
    </sheetView>
  </sheetViews>
  <sheetFormatPr baseColWidth="10" defaultColWidth="8.6640625" defaultRowHeight="14.4" x14ac:dyDescent="0.3"/>
  <cols>
    <col min="1" max="1" width="15" customWidth="1"/>
    <col min="2" max="2" width="9.33203125" bestFit="1" customWidth="1"/>
    <col min="3" max="3" width="10.33203125" bestFit="1" customWidth="1"/>
    <col min="4" max="4" width="13.6640625" bestFit="1" customWidth="1"/>
    <col min="5" max="5" width="17.109375" bestFit="1" customWidth="1"/>
    <col min="6" max="6" width="21.5546875" bestFit="1" customWidth="1"/>
    <col min="7" max="7" width="24.88671875" bestFit="1" customWidth="1"/>
    <col min="8" max="9" width="28.33203125" bestFit="1" customWidth="1"/>
    <col min="10" max="10" width="27.33203125" bestFit="1" customWidth="1"/>
  </cols>
  <sheetData>
    <row r="1" spans="1:11" ht="17.25" customHeight="1" x14ac:dyDescent="0.3">
      <c r="A1" s="34" t="s">
        <v>108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5" customHeight="1" x14ac:dyDescent="0.3">
      <c r="A2" s="36" t="s">
        <v>109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5" customHeight="1" x14ac:dyDescent="0.3">
      <c r="A3" s="37" t="s">
        <v>110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5" spans="1:11" ht="15" customHeight="1" x14ac:dyDescent="0.3">
      <c r="A5" s="32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15" customHeight="1" x14ac:dyDescent="0.3">
      <c r="A6" s="2" t="s">
        <v>111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</row>
    <row r="7" spans="1:11" ht="15" customHeight="1" x14ac:dyDescent="0.3">
      <c r="A7" s="7" t="s">
        <v>112</v>
      </c>
      <c r="B7" s="22" t="e">
        <f>#REF!</f>
        <v>#REF!</v>
      </c>
      <c r="C7" s="19" t="e">
        <f t="shared" ref="C7:I7" si="0">B10</f>
        <v>#REF!</v>
      </c>
      <c r="D7" s="19" t="e">
        <f t="shared" si="0"/>
        <v>#REF!</v>
      </c>
      <c r="E7" s="19" t="e">
        <f t="shared" si="0"/>
        <v>#REF!</v>
      </c>
      <c r="F7" s="19" t="e">
        <f t="shared" si="0"/>
        <v>#REF!</v>
      </c>
      <c r="G7" s="19" t="e">
        <f t="shared" si="0"/>
        <v>#REF!</v>
      </c>
      <c r="H7" s="19" t="e">
        <f t="shared" si="0"/>
        <v>#REF!</v>
      </c>
      <c r="I7" s="19" t="e">
        <f t="shared" si="0"/>
        <v>#REF!</v>
      </c>
    </row>
    <row r="8" spans="1:11" ht="15" customHeight="1" x14ac:dyDescent="0.3">
      <c r="A8" s="7" t="s">
        <v>113</v>
      </c>
      <c r="B8" s="4">
        <v>2520</v>
      </c>
      <c r="C8" s="4">
        <v>2520</v>
      </c>
      <c r="D8" s="4">
        <v>2520</v>
      </c>
      <c r="E8" s="4">
        <v>2520</v>
      </c>
      <c r="F8" s="4">
        <v>0</v>
      </c>
      <c r="G8" s="4">
        <v>0</v>
      </c>
      <c r="H8" s="4">
        <v>0</v>
      </c>
      <c r="I8" s="4">
        <v>0</v>
      </c>
    </row>
    <row r="9" spans="1:11" ht="15" customHeight="1" x14ac:dyDescent="0.3">
      <c r="A9" s="7" t="s">
        <v>114</v>
      </c>
      <c r="B9" s="22" t="e">
        <f>#REF!</f>
        <v>#REF!</v>
      </c>
      <c r="C9" s="22" t="e">
        <f>#REF!</f>
        <v>#REF!</v>
      </c>
      <c r="D9" s="22" t="e">
        <f>#REF!</f>
        <v>#REF!</v>
      </c>
      <c r="E9" s="22" t="e">
        <f>#REF!</f>
        <v>#REF!</v>
      </c>
      <c r="F9" s="22" t="e">
        <f>#REF!</f>
        <v>#REF!</v>
      </c>
      <c r="G9" s="22" t="e">
        <f>#REF!</f>
        <v>#REF!</v>
      </c>
      <c r="H9" s="22" t="e">
        <f>#REF!</f>
        <v>#REF!</v>
      </c>
      <c r="I9" s="22" t="e">
        <f>#REF!</f>
        <v>#REF!</v>
      </c>
    </row>
    <row r="10" spans="1:11" ht="15" customHeight="1" x14ac:dyDescent="0.3">
      <c r="A10" s="3" t="s">
        <v>115</v>
      </c>
      <c r="B10" s="21" t="e">
        <f t="shared" ref="B10:I10" si="1">B7+B8-B9</f>
        <v>#REF!</v>
      </c>
      <c r="C10" s="21" t="e">
        <f t="shared" si="1"/>
        <v>#REF!</v>
      </c>
      <c r="D10" s="21" t="e">
        <f t="shared" si="1"/>
        <v>#REF!</v>
      </c>
      <c r="E10" s="21" t="e">
        <f t="shared" si="1"/>
        <v>#REF!</v>
      </c>
      <c r="F10" s="21" t="e">
        <f t="shared" si="1"/>
        <v>#REF!</v>
      </c>
      <c r="G10" s="21" t="e">
        <f t="shared" si="1"/>
        <v>#REF!</v>
      </c>
      <c r="H10" s="21" t="e">
        <f t="shared" si="1"/>
        <v>#REF!</v>
      </c>
      <c r="I10" s="21" t="e">
        <f t="shared" si="1"/>
        <v>#REF!</v>
      </c>
    </row>
    <row r="11" spans="1:11" ht="15" customHeight="1" x14ac:dyDescent="0.3">
      <c r="A11" s="32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15" customHeight="1" x14ac:dyDescent="0.3">
      <c r="A12" s="2" t="s">
        <v>111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</row>
    <row r="13" spans="1:11" ht="15" customHeight="1" x14ac:dyDescent="0.3">
      <c r="A13" s="7" t="s">
        <v>112</v>
      </c>
      <c r="B13" s="22" t="e">
        <f>#REF!</f>
        <v>#REF!</v>
      </c>
      <c r="C13" s="19" t="e">
        <f t="shared" ref="C13:I13" si="2">B16</f>
        <v>#REF!</v>
      </c>
      <c r="D13" s="19" t="e">
        <f t="shared" si="2"/>
        <v>#REF!</v>
      </c>
      <c r="E13" s="19" t="e">
        <f t="shared" si="2"/>
        <v>#REF!</v>
      </c>
      <c r="F13" s="19" t="e">
        <f t="shared" si="2"/>
        <v>#REF!</v>
      </c>
      <c r="G13" s="19" t="e">
        <f t="shared" si="2"/>
        <v>#REF!</v>
      </c>
      <c r="H13" s="19" t="e">
        <f t="shared" si="2"/>
        <v>#REF!</v>
      </c>
      <c r="I13" s="19" t="e">
        <f t="shared" si="2"/>
        <v>#REF!</v>
      </c>
    </row>
    <row r="14" spans="1:11" ht="15" customHeight="1" x14ac:dyDescent="0.3">
      <c r="A14" s="7" t="s">
        <v>113</v>
      </c>
      <c r="B14" s="4">
        <v>504</v>
      </c>
      <c r="C14" s="4">
        <v>504</v>
      </c>
      <c r="D14" s="4">
        <v>504</v>
      </c>
      <c r="E14" s="4">
        <v>504</v>
      </c>
      <c r="F14" s="4">
        <v>504</v>
      </c>
      <c r="G14" s="4">
        <v>0</v>
      </c>
      <c r="H14" s="4">
        <v>0</v>
      </c>
      <c r="I14" s="4">
        <v>0</v>
      </c>
    </row>
    <row r="15" spans="1:11" ht="15" customHeight="1" x14ac:dyDescent="0.3">
      <c r="A15" s="7" t="s">
        <v>114</v>
      </c>
      <c r="B15" s="22" t="e">
        <f>#REF!</f>
        <v>#REF!</v>
      </c>
      <c r="C15" s="22" t="e">
        <f>#REF!</f>
        <v>#REF!</v>
      </c>
      <c r="D15" s="22" t="e">
        <f>#REF!</f>
        <v>#REF!</v>
      </c>
      <c r="E15" s="22" t="e">
        <f>#REF!</f>
        <v>#REF!</v>
      </c>
      <c r="F15" s="22" t="e">
        <f>#REF!</f>
        <v>#REF!</v>
      </c>
      <c r="G15" s="22" t="e">
        <f>#REF!</f>
        <v>#REF!</v>
      </c>
      <c r="H15" s="22" t="e">
        <f>#REF!</f>
        <v>#REF!</v>
      </c>
      <c r="I15" s="22" t="e">
        <f>#REF!</f>
        <v>#REF!</v>
      </c>
    </row>
    <row r="16" spans="1:11" ht="15" customHeight="1" x14ac:dyDescent="0.3">
      <c r="A16" s="3" t="s">
        <v>115</v>
      </c>
      <c r="B16" s="21" t="e">
        <f t="shared" ref="B16:I16" si="3">B13+B14-B15</f>
        <v>#REF!</v>
      </c>
      <c r="C16" s="21" t="e">
        <f t="shared" si="3"/>
        <v>#REF!</v>
      </c>
      <c r="D16" s="21" t="e">
        <f t="shared" si="3"/>
        <v>#REF!</v>
      </c>
      <c r="E16" s="21" t="e">
        <f t="shared" si="3"/>
        <v>#REF!</v>
      </c>
      <c r="F16" s="21" t="e">
        <f t="shared" si="3"/>
        <v>#REF!</v>
      </c>
      <c r="G16" s="21" t="e">
        <f t="shared" si="3"/>
        <v>#REF!</v>
      </c>
      <c r="H16" s="21" t="e">
        <f t="shared" si="3"/>
        <v>#REF!</v>
      </c>
      <c r="I16" s="21" t="e">
        <f t="shared" si="3"/>
        <v>#REF!</v>
      </c>
    </row>
    <row r="17" spans="1:11" ht="15" customHeight="1" x14ac:dyDescent="0.3">
      <c r="A17" s="32" t="s">
        <v>12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5" customHeight="1" x14ac:dyDescent="0.3">
      <c r="A18" s="2" t="s">
        <v>111</v>
      </c>
      <c r="B18" s="2" t="s">
        <v>3</v>
      </c>
      <c r="C18" s="2" t="s">
        <v>4</v>
      </c>
      <c r="D18" s="2" t="s">
        <v>5</v>
      </c>
      <c r="E18" s="2" t="s">
        <v>6</v>
      </c>
      <c r="F18" s="2" t="s">
        <v>7</v>
      </c>
      <c r="G18" s="2" t="s">
        <v>8</v>
      </c>
      <c r="H18" s="2" t="s">
        <v>9</v>
      </c>
      <c r="I18" s="2" t="s">
        <v>10</v>
      </c>
    </row>
    <row r="19" spans="1:11" ht="15" customHeight="1" x14ac:dyDescent="0.3">
      <c r="A19" s="7" t="s">
        <v>112</v>
      </c>
      <c r="B19" s="22" t="e">
        <f>#REF!</f>
        <v>#REF!</v>
      </c>
      <c r="C19" s="19" t="e">
        <f t="shared" ref="C19:I19" si="4">B22</f>
        <v>#REF!</v>
      </c>
      <c r="D19" s="19" t="e">
        <f t="shared" si="4"/>
        <v>#REF!</v>
      </c>
      <c r="E19" s="19" t="e">
        <f t="shared" si="4"/>
        <v>#REF!</v>
      </c>
      <c r="F19" s="19" t="e">
        <f t="shared" si="4"/>
        <v>#REF!</v>
      </c>
      <c r="G19" s="19" t="e">
        <f t="shared" si="4"/>
        <v>#REF!</v>
      </c>
      <c r="H19" s="19" t="e">
        <f t="shared" si="4"/>
        <v>#REF!</v>
      </c>
      <c r="I19" s="19" t="e">
        <f t="shared" si="4"/>
        <v>#REF!</v>
      </c>
    </row>
    <row r="20" spans="1:11" ht="15" customHeight="1" x14ac:dyDescent="0.3">
      <c r="A20" s="7" t="s">
        <v>113</v>
      </c>
      <c r="B20" s="4">
        <v>25.2</v>
      </c>
      <c r="C20" s="4">
        <v>25.2</v>
      </c>
      <c r="D20" s="4">
        <v>25.2</v>
      </c>
      <c r="E20" s="4">
        <v>25.2</v>
      </c>
      <c r="F20" s="4">
        <v>25.2</v>
      </c>
      <c r="G20" s="4">
        <v>25.2</v>
      </c>
      <c r="H20" s="4">
        <v>25.2</v>
      </c>
      <c r="I20" s="4">
        <v>0</v>
      </c>
    </row>
    <row r="21" spans="1:11" ht="15" customHeight="1" x14ac:dyDescent="0.3">
      <c r="A21" s="7" t="s">
        <v>114</v>
      </c>
      <c r="B21" s="22" t="e">
        <f>#REF!</f>
        <v>#REF!</v>
      </c>
      <c r="C21" s="22" t="e">
        <f>#REF!</f>
        <v>#REF!</v>
      </c>
      <c r="D21" s="22" t="e">
        <f>#REF!</f>
        <v>#REF!</v>
      </c>
      <c r="E21" s="22" t="e">
        <f>#REF!</f>
        <v>#REF!</v>
      </c>
      <c r="F21" s="22" t="e">
        <f>#REF!</f>
        <v>#REF!</v>
      </c>
      <c r="G21" s="22" t="e">
        <f>#REF!</f>
        <v>#REF!</v>
      </c>
      <c r="H21" s="22" t="e">
        <f>#REF!</f>
        <v>#REF!</v>
      </c>
      <c r="I21" s="22" t="e">
        <f>#REF!</f>
        <v>#REF!</v>
      </c>
    </row>
    <row r="22" spans="1:11" ht="15" customHeight="1" x14ac:dyDescent="0.3">
      <c r="A22" s="3" t="s">
        <v>115</v>
      </c>
      <c r="B22" s="21" t="e">
        <f t="shared" ref="B22:I22" si="5">B19+B20-B21</f>
        <v>#REF!</v>
      </c>
      <c r="C22" s="21" t="e">
        <f t="shared" si="5"/>
        <v>#REF!</v>
      </c>
      <c r="D22" s="21" t="e">
        <f t="shared" si="5"/>
        <v>#REF!</v>
      </c>
      <c r="E22" s="21" t="e">
        <f t="shared" si="5"/>
        <v>#REF!</v>
      </c>
      <c r="F22" s="21" t="e">
        <f t="shared" si="5"/>
        <v>#REF!</v>
      </c>
      <c r="G22" s="21" t="e">
        <f t="shared" si="5"/>
        <v>#REF!</v>
      </c>
      <c r="H22" s="21" t="e">
        <f t="shared" si="5"/>
        <v>#REF!</v>
      </c>
      <c r="I22" s="21" t="e">
        <f t="shared" si="5"/>
        <v>#REF!</v>
      </c>
    </row>
    <row r="23" spans="1:11" ht="15" customHeight="1" x14ac:dyDescent="0.3">
      <c r="A23" s="32" t="s">
        <v>13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5" customHeight="1" x14ac:dyDescent="0.3">
      <c r="A24" s="2" t="s">
        <v>111</v>
      </c>
      <c r="B24" s="2" t="s">
        <v>3</v>
      </c>
      <c r="C24" s="2" t="s">
        <v>4</v>
      </c>
      <c r="D24" s="2" t="s">
        <v>5</v>
      </c>
      <c r="E24" s="2" t="s">
        <v>6</v>
      </c>
      <c r="F24" s="2" t="s">
        <v>7</v>
      </c>
      <c r="G24" s="2" t="s">
        <v>8</v>
      </c>
      <c r="H24" s="2" t="s">
        <v>9</v>
      </c>
      <c r="I24" s="2" t="s">
        <v>10</v>
      </c>
    </row>
    <row r="25" spans="1:11" ht="15" customHeight="1" x14ac:dyDescent="0.3">
      <c r="A25" s="7" t="s">
        <v>112</v>
      </c>
      <c r="B25" s="22" t="e">
        <f>#REF!</f>
        <v>#REF!</v>
      </c>
      <c r="C25" s="19" t="e">
        <f t="shared" ref="C25:I25" si="6">B28</f>
        <v>#REF!</v>
      </c>
      <c r="D25" s="19" t="e">
        <f t="shared" si="6"/>
        <v>#REF!</v>
      </c>
      <c r="E25" s="19" t="e">
        <f t="shared" si="6"/>
        <v>#REF!</v>
      </c>
      <c r="F25" s="19" t="e">
        <f t="shared" si="6"/>
        <v>#REF!</v>
      </c>
      <c r="G25" s="19" t="e">
        <f t="shared" si="6"/>
        <v>#REF!</v>
      </c>
      <c r="H25" s="19" t="e">
        <f t="shared" si="6"/>
        <v>#REF!</v>
      </c>
      <c r="I25" s="19" t="e">
        <f t="shared" si="6"/>
        <v>#REF!</v>
      </c>
    </row>
    <row r="26" spans="1:11" ht="15" customHeight="1" x14ac:dyDescent="0.3">
      <c r="A26" s="7" t="s">
        <v>113</v>
      </c>
      <c r="B26" s="4">
        <v>20160</v>
      </c>
      <c r="C26" s="4">
        <v>20160</v>
      </c>
      <c r="D26" s="4">
        <v>20160</v>
      </c>
      <c r="E26" s="4">
        <v>20160</v>
      </c>
      <c r="F26" s="4">
        <v>20160</v>
      </c>
      <c r="G26" s="4">
        <v>20160</v>
      </c>
      <c r="H26" s="4">
        <v>20160</v>
      </c>
      <c r="I26" s="4">
        <v>0</v>
      </c>
    </row>
    <row r="27" spans="1:11" ht="15" customHeight="1" x14ac:dyDescent="0.3">
      <c r="A27" s="7" t="s">
        <v>114</v>
      </c>
      <c r="B27" s="22" t="e">
        <f>#REF!</f>
        <v>#REF!</v>
      </c>
      <c r="C27" s="22" t="e">
        <f>#REF!</f>
        <v>#REF!</v>
      </c>
      <c r="D27" s="22" t="e">
        <f>#REF!</f>
        <v>#REF!</v>
      </c>
      <c r="E27" s="22" t="e">
        <f>#REF!</f>
        <v>#REF!</v>
      </c>
      <c r="F27" s="22" t="e">
        <f>#REF!</f>
        <v>#REF!</v>
      </c>
      <c r="G27" s="22" t="e">
        <f>#REF!</f>
        <v>#REF!</v>
      </c>
      <c r="H27" s="22" t="e">
        <f>#REF!</f>
        <v>#REF!</v>
      </c>
      <c r="I27" s="22" t="e">
        <f>#REF!</f>
        <v>#REF!</v>
      </c>
    </row>
    <row r="28" spans="1:11" ht="15" customHeight="1" x14ac:dyDescent="0.3">
      <c r="A28" s="3" t="s">
        <v>115</v>
      </c>
      <c r="B28" s="21" t="e">
        <f t="shared" ref="B28:I28" si="7">B25+B26-B27</f>
        <v>#REF!</v>
      </c>
      <c r="C28" s="21" t="e">
        <f t="shared" si="7"/>
        <v>#REF!</v>
      </c>
      <c r="D28" s="21" t="e">
        <f t="shared" si="7"/>
        <v>#REF!</v>
      </c>
      <c r="E28" s="21" t="e">
        <f t="shared" si="7"/>
        <v>#REF!</v>
      </c>
      <c r="F28" s="21" t="e">
        <f t="shared" si="7"/>
        <v>#REF!</v>
      </c>
      <c r="G28" s="21" t="e">
        <f t="shared" si="7"/>
        <v>#REF!</v>
      </c>
      <c r="H28" s="21" t="e">
        <f t="shared" si="7"/>
        <v>#REF!</v>
      </c>
      <c r="I28" s="21" t="e">
        <f t="shared" si="7"/>
        <v>#REF!</v>
      </c>
    </row>
    <row r="29" spans="1:11" ht="15" customHeight="1" x14ac:dyDescent="0.3">
      <c r="A29" s="32" t="s">
        <v>14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5" customHeight="1" x14ac:dyDescent="0.3">
      <c r="A30" s="2" t="s">
        <v>111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7</v>
      </c>
      <c r="G30" s="2" t="s">
        <v>8</v>
      </c>
      <c r="H30" s="2" t="s">
        <v>9</v>
      </c>
      <c r="I30" s="2" t="s">
        <v>10</v>
      </c>
    </row>
    <row r="31" spans="1:11" ht="15" customHeight="1" x14ac:dyDescent="0.3">
      <c r="A31" s="7" t="s">
        <v>112</v>
      </c>
      <c r="B31" s="22" t="e">
        <f>#REF!</f>
        <v>#REF!</v>
      </c>
      <c r="C31" s="19" t="e">
        <f t="shared" ref="C31:I31" si="8">B34</f>
        <v>#REF!</v>
      </c>
      <c r="D31" s="19" t="e">
        <f t="shared" si="8"/>
        <v>#REF!</v>
      </c>
      <c r="E31" s="19" t="e">
        <f t="shared" si="8"/>
        <v>#REF!</v>
      </c>
      <c r="F31" s="19" t="e">
        <f t="shared" si="8"/>
        <v>#REF!</v>
      </c>
      <c r="G31" s="19" t="e">
        <f t="shared" si="8"/>
        <v>#REF!</v>
      </c>
      <c r="H31" s="19" t="e">
        <f t="shared" si="8"/>
        <v>#REF!</v>
      </c>
      <c r="I31" s="19" t="e">
        <f t="shared" si="8"/>
        <v>#REF!</v>
      </c>
    </row>
    <row r="32" spans="1:11" ht="15" customHeight="1" x14ac:dyDescent="0.3">
      <c r="A32" s="7" t="s">
        <v>113</v>
      </c>
      <c r="B32" s="4">
        <v>756</v>
      </c>
      <c r="C32" s="4">
        <v>756</v>
      </c>
      <c r="D32" s="4">
        <v>756</v>
      </c>
      <c r="E32" s="4">
        <v>756</v>
      </c>
      <c r="F32" s="4">
        <v>756</v>
      </c>
      <c r="G32" s="4">
        <v>756</v>
      </c>
      <c r="H32" s="4">
        <v>756</v>
      </c>
      <c r="I32" s="4">
        <v>0</v>
      </c>
    </row>
    <row r="33" spans="1:11" ht="15" customHeight="1" x14ac:dyDescent="0.3">
      <c r="A33" s="7" t="s">
        <v>114</v>
      </c>
      <c r="B33" s="22" t="e">
        <f>#REF!</f>
        <v>#REF!</v>
      </c>
      <c r="C33" s="22" t="e">
        <f>#REF!</f>
        <v>#REF!</v>
      </c>
      <c r="D33" s="22" t="e">
        <f>#REF!</f>
        <v>#REF!</v>
      </c>
      <c r="E33" s="22" t="e">
        <f>#REF!</f>
        <v>#REF!</v>
      </c>
      <c r="F33" s="22" t="e">
        <f>#REF!</f>
        <v>#REF!</v>
      </c>
      <c r="G33" s="22" t="e">
        <f>#REF!</f>
        <v>#REF!</v>
      </c>
      <c r="H33" s="22" t="e">
        <f>#REF!</f>
        <v>#REF!</v>
      </c>
      <c r="I33" s="22" t="e">
        <f>#REF!</f>
        <v>#REF!</v>
      </c>
    </row>
    <row r="34" spans="1:11" ht="15" customHeight="1" x14ac:dyDescent="0.3">
      <c r="A34" s="3" t="s">
        <v>115</v>
      </c>
      <c r="B34" s="21" t="e">
        <f t="shared" ref="B34:I34" si="9">B31+B32-B33</f>
        <v>#REF!</v>
      </c>
      <c r="C34" s="21" t="e">
        <f t="shared" si="9"/>
        <v>#REF!</v>
      </c>
      <c r="D34" s="21" t="e">
        <f t="shared" si="9"/>
        <v>#REF!</v>
      </c>
      <c r="E34" s="21" t="e">
        <f t="shared" si="9"/>
        <v>#REF!</v>
      </c>
      <c r="F34" s="21" t="e">
        <f t="shared" si="9"/>
        <v>#REF!</v>
      </c>
      <c r="G34" s="21" t="e">
        <f t="shared" si="9"/>
        <v>#REF!</v>
      </c>
      <c r="H34" s="21" t="e">
        <f t="shared" si="9"/>
        <v>#REF!</v>
      </c>
      <c r="I34" s="21" t="e">
        <f t="shared" si="9"/>
        <v>#REF!</v>
      </c>
    </row>
    <row r="35" spans="1:11" ht="15" customHeight="1" x14ac:dyDescent="0.3">
      <c r="A35" s="32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15" customHeight="1" x14ac:dyDescent="0.3">
      <c r="A36" s="2" t="s">
        <v>111</v>
      </c>
      <c r="B36" s="2" t="s">
        <v>3</v>
      </c>
      <c r="C36" s="2" t="s">
        <v>4</v>
      </c>
      <c r="D36" s="2" t="s">
        <v>5</v>
      </c>
      <c r="E36" s="2" t="s">
        <v>6</v>
      </c>
      <c r="F36" s="2" t="s">
        <v>7</v>
      </c>
      <c r="G36" s="2" t="s">
        <v>8</v>
      </c>
      <c r="H36" s="2" t="s">
        <v>9</v>
      </c>
      <c r="I36" s="2" t="s">
        <v>10</v>
      </c>
    </row>
    <row r="37" spans="1:11" ht="15" customHeight="1" x14ac:dyDescent="0.3">
      <c r="A37" s="7" t="s">
        <v>112</v>
      </c>
      <c r="B37" s="22" t="e">
        <f>#REF!</f>
        <v>#REF!</v>
      </c>
      <c r="C37" s="19" t="e">
        <f t="shared" ref="C37:I37" si="10">B40</f>
        <v>#REF!</v>
      </c>
      <c r="D37" s="19" t="e">
        <f t="shared" si="10"/>
        <v>#REF!</v>
      </c>
      <c r="E37" s="19" t="e">
        <f t="shared" si="10"/>
        <v>#REF!</v>
      </c>
      <c r="F37" s="19" t="e">
        <f t="shared" si="10"/>
        <v>#REF!</v>
      </c>
      <c r="G37" s="19" t="e">
        <f t="shared" si="10"/>
        <v>#REF!</v>
      </c>
      <c r="H37" s="19" t="e">
        <f t="shared" si="10"/>
        <v>#REF!</v>
      </c>
      <c r="I37" s="19" t="e">
        <f t="shared" si="10"/>
        <v>#REF!</v>
      </c>
    </row>
    <row r="38" spans="1:11" ht="15" customHeight="1" x14ac:dyDescent="0.3">
      <c r="A38" s="7" t="s">
        <v>113</v>
      </c>
      <c r="B38" s="4">
        <v>1512</v>
      </c>
      <c r="C38" s="4">
        <v>1512</v>
      </c>
      <c r="D38" s="4">
        <v>1512</v>
      </c>
      <c r="E38" s="4">
        <v>1512</v>
      </c>
      <c r="F38" s="4">
        <v>1512</v>
      </c>
      <c r="G38" s="4">
        <v>1512</v>
      </c>
      <c r="H38" s="4">
        <v>1512</v>
      </c>
      <c r="I38" s="4">
        <v>0</v>
      </c>
    </row>
    <row r="39" spans="1:11" ht="15" customHeight="1" x14ac:dyDescent="0.3">
      <c r="A39" s="7" t="s">
        <v>114</v>
      </c>
      <c r="B39" s="22" t="e">
        <f>#REF!</f>
        <v>#REF!</v>
      </c>
      <c r="C39" s="22" t="e">
        <f>#REF!</f>
        <v>#REF!</v>
      </c>
      <c r="D39" s="22" t="e">
        <f>#REF!</f>
        <v>#REF!</v>
      </c>
      <c r="E39" s="22" t="e">
        <f>#REF!</f>
        <v>#REF!</v>
      </c>
      <c r="F39" s="22" t="e">
        <f>#REF!</f>
        <v>#REF!</v>
      </c>
      <c r="G39" s="22" t="e">
        <f>#REF!</f>
        <v>#REF!</v>
      </c>
      <c r="H39" s="22" t="e">
        <f>#REF!</f>
        <v>#REF!</v>
      </c>
      <c r="I39" s="22" t="e">
        <f>#REF!</f>
        <v>#REF!</v>
      </c>
    </row>
    <row r="40" spans="1:11" ht="15" customHeight="1" x14ac:dyDescent="0.3">
      <c r="A40" s="3" t="s">
        <v>115</v>
      </c>
      <c r="B40" s="21" t="e">
        <f t="shared" ref="B40:I40" si="11">B37+B38-B39</f>
        <v>#REF!</v>
      </c>
      <c r="C40" s="21" t="e">
        <f t="shared" si="11"/>
        <v>#REF!</v>
      </c>
      <c r="D40" s="21" t="e">
        <f t="shared" si="11"/>
        <v>#REF!</v>
      </c>
      <c r="E40" s="21" t="e">
        <f t="shared" si="11"/>
        <v>#REF!</v>
      </c>
      <c r="F40" s="21" t="e">
        <f t="shared" si="11"/>
        <v>#REF!</v>
      </c>
      <c r="G40" s="21" t="e">
        <f t="shared" si="11"/>
        <v>#REF!</v>
      </c>
      <c r="H40" s="21" t="e">
        <f t="shared" si="11"/>
        <v>#REF!</v>
      </c>
      <c r="I40" s="21" t="e">
        <f t="shared" si="11"/>
        <v>#REF!</v>
      </c>
    </row>
    <row r="41" spans="1:11" ht="15" customHeight="1" x14ac:dyDescent="0.3">
      <c r="A41" s="32" t="s">
        <v>16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 ht="15" customHeight="1" x14ac:dyDescent="0.3">
      <c r="A42" s="2" t="s">
        <v>111</v>
      </c>
      <c r="B42" s="2" t="s">
        <v>3</v>
      </c>
      <c r="C42" s="2" t="s">
        <v>4</v>
      </c>
      <c r="D42" s="2" t="s">
        <v>5</v>
      </c>
      <c r="E42" s="2" t="s">
        <v>6</v>
      </c>
      <c r="F42" s="2" t="s">
        <v>7</v>
      </c>
      <c r="G42" s="2" t="s">
        <v>8</v>
      </c>
      <c r="H42" s="2" t="s">
        <v>9</v>
      </c>
      <c r="I42" s="2" t="s">
        <v>10</v>
      </c>
    </row>
    <row r="43" spans="1:11" ht="15" customHeight="1" x14ac:dyDescent="0.3">
      <c r="A43" s="7" t="s">
        <v>112</v>
      </c>
      <c r="B43" s="22" t="e">
        <f>#REF!</f>
        <v>#REF!</v>
      </c>
      <c r="C43" s="19" t="e">
        <f t="shared" ref="C43:I43" si="12">B46</f>
        <v>#REF!</v>
      </c>
      <c r="D43" s="19" t="e">
        <f t="shared" si="12"/>
        <v>#REF!</v>
      </c>
      <c r="E43" s="19" t="e">
        <f t="shared" si="12"/>
        <v>#REF!</v>
      </c>
      <c r="F43" s="19" t="e">
        <f t="shared" si="12"/>
        <v>#REF!</v>
      </c>
      <c r="G43" s="19" t="e">
        <f t="shared" si="12"/>
        <v>#REF!</v>
      </c>
      <c r="H43" s="19" t="e">
        <f t="shared" si="12"/>
        <v>#REF!</v>
      </c>
      <c r="I43" s="19" t="e">
        <f t="shared" si="12"/>
        <v>#REF!</v>
      </c>
    </row>
    <row r="44" spans="1:11" ht="15" customHeight="1" x14ac:dyDescent="0.3">
      <c r="A44" s="7" t="s">
        <v>113</v>
      </c>
      <c r="B44" s="4">
        <v>5040</v>
      </c>
      <c r="C44" s="4">
        <v>5040</v>
      </c>
      <c r="D44" s="4">
        <v>5040</v>
      </c>
      <c r="E44" s="4">
        <v>5040</v>
      </c>
      <c r="F44" s="4">
        <v>5040</v>
      </c>
      <c r="G44" s="4">
        <v>5040</v>
      </c>
      <c r="H44" s="4">
        <v>5040</v>
      </c>
      <c r="I44" s="4">
        <v>0</v>
      </c>
    </row>
    <row r="45" spans="1:11" ht="15" customHeight="1" x14ac:dyDescent="0.3">
      <c r="A45" s="7" t="s">
        <v>114</v>
      </c>
      <c r="B45" s="22" t="e">
        <f>#REF!</f>
        <v>#REF!</v>
      </c>
      <c r="C45" s="22" t="e">
        <f>#REF!</f>
        <v>#REF!</v>
      </c>
      <c r="D45" s="22" t="e">
        <f>#REF!</f>
        <v>#REF!</v>
      </c>
      <c r="E45" s="22" t="e">
        <f>#REF!</f>
        <v>#REF!</v>
      </c>
      <c r="F45" s="22" t="e">
        <f>#REF!</f>
        <v>#REF!</v>
      </c>
      <c r="G45" s="22" t="e">
        <f>#REF!</f>
        <v>#REF!</v>
      </c>
      <c r="H45" s="22" t="e">
        <f>#REF!</f>
        <v>#REF!</v>
      </c>
      <c r="I45" s="22" t="e">
        <f>#REF!</f>
        <v>#REF!</v>
      </c>
    </row>
    <row r="46" spans="1:11" ht="15" customHeight="1" x14ac:dyDescent="0.3">
      <c r="A46" s="3" t="s">
        <v>115</v>
      </c>
      <c r="B46" s="21" t="e">
        <f t="shared" ref="B46:I46" si="13">B43+B44-B45</f>
        <v>#REF!</v>
      </c>
      <c r="C46" s="21" t="e">
        <f t="shared" si="13"/>
        <v>#REF!</v>
      </c>
      <c r="D46" s="21" t="e">
        <f t="shared" si="13"/>
        <v>#REF!</v>
      </c>
      <c r="E46" s="21" t="e">
        <f t="shared" si="13"/>
        <v>#REF!</v>
      </c>
      <c r="F46" s="21" t="e">
        <f t="shared" si="13"/>
        <v>#REF!</v>
      </c>
      <c r="G46" s="21" t="e">
        <f t="shared" si="13"/>
        <v>#REF!</v>
      </c>
      <c r="H46" s="21" t="e">
        <f t="shared" si="13"/>
        <v>#REF!</v>
      </c>
      <c r="I46" s="21" t="e">
        <f t="shared" si="13"/>
        <v>#REF!</v>
      </c>
    </row>
    <row r="47" spans="1:11" ht="15" customHeight="1" x14ac:dyDescent="0.3">
      <c r="A47" s="32" t="s">
        <v>17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5" customHeight="1" x14ac:dyDescent="0.3">
      <c r="A48" s="2" t="s">
        <v>111</v>
      </c>
      <c r="B48" s="2" t="s">
        <v>3</v>
      </c>
      <c r="C48" s="2" t="s">
        <v>4</v>
      </c>
      <c r="D48" s="2" t="s">
        <v>5</v>
      </c>
      <c r="E48" s="2" t="s">
        <v>6</v>
      </c>
      <c r="F48" s="2" t="s">
        <v>7</v>
      </c>
      <c r="G48" s="2" t="s">
        <v>8</v>
      </c>
      <c r="H48" s="2" t="s">
        <v>9</v>
      </c>
      <c r="I48" s="2" t="s">
        <v>10</v>
      </c>
    </row>
    <row r="49" spans="1:10" ht="15" customHeight="1" x14ac:dyDescent="0.3">
      <c r="A49" s="7" t="s">
        <v>112</v>
      </c>
      <c r="B49" s="22" t="e">
        <f>#REF!</f>
        <v>#REF!</v>
      </c>
      <c r="C49" s="19" t="e">
        <f t="shared" ref="C49:I49" si="14">B$52</f>
        <v>#REF!</v>
      </c>
      <c r="D49" s="19" t="e">
        <f t="shared" si="14"/>
        <v>#REF!</v>
      </c>
      <c r="E49" s="19" t="e">
        <f t="shared" si="14"/>
        <v>#REF!</v>
      </c>
      <c r="F49" s="19" t="e">
        <f t="shared" si="14"/>
        <v>#REF!</v>
      </c>
      <c r="G49" s="19" t="e">
        <f t="shared" si="14"/>
        <v>#REF!</v>
      </c>
      <c r="H49" s="19" t="e">
        <f t="shared" si="14"/>
        <v>#REF!</v>
      </c>
      <c r="I49" s="19" t="e">
        <f t="shared" si="14"/>
        <v>#REF!</v>
      </c>
    </row>
    <row r="50" spans="1:10" ht="15" customHeight="1" x14ac:dyDescent="0.3">
      <c r="A50" s="7" t="s">
        <v>113</v>
      </c>
      <c r="B50" s="22">
        <v>1890</v>
      </c>
      <c r="C50" s="19">
        <v>1890</v>
      </c>
      <c r="D50" s="19">
        <v>1890</v>
      </c>
      <c r="E50" s="19">
        <v>1890</v>
      </c>
      <c r="F50" s="19">
        <v>1890</v>
      </c>
      <c r="G50" s="19">
        <v>1890</v>
      </c>
      <c r="H50" s="19">
        <v>1890</v>
      </c>
      <c r="I50" s="19">
        <v>0</v>
      </c>
    </row>
    <row r="51" spans="1:10" ht="15" customHeight="1" x14ac:dyDescent="0.3">
      <c r="A51" s="7" t="s">
        <v>114</v>
      </c>
      <c r="B51" s="22" t="e">
        <f>#REF!</f>
        <v>#REF!</v>
      </c>
      <c r="C51" s="19" t="e">
        <f>#REF!</f>
        <v>#REF!</v>
      </c>
      <c r="D51" s="19" t="e">
        <f>#REF!</f>
        <v>#REF!</v>
      </c>
      <c r="E51" s="19" t="e">
        <f>#REF!</f>
        <v>#REF!</v>
      </c>
      <c r="F51" s="19" t="e">
        <f>#REF!</f>
        <v>#REF!</v>
      </c>
      <c r="G51" s="19" t="e">
        <f>#REF!</f>
        <v>#REF!</v>
      </c>
      <c r="H51" s="19" t="e">
        <f>#REF!</f>
        <v>#REF!</v>
      </c>
      <c r="I51" s="19" t="e">
        <f>#REF!</f>
        <v>#REF!</v>
      </c>
    </row>
    <row r="52" spans="1:10" ht="15" customHeight="1" x14ac:dyDescent="0.3">
      <c r="A52" s="7" t="s">
        <v>115</v>
      </c>
      <c r="B52" s="22" t="e">
        <f t="shared" ref="B52:I52" si="15">B$49+B$50-B$51</f>
        <v>#REF!</v>
      </c>
      <c r="C52" s="19" t="e">
        <f t="shared" si="15"/>
        <v>#REF!</v>
      </c>
      <c r="D52" s="19" t="e">
        <f t="shared" si="15"/>
        <v>#REF!</v>
      </c>
      <c r="E52" s="19" t="e">
        <f t="shared" si="15"/>
        <v>#REF!</v>
      </c>
      <c r="F52" s="19" t="e">
        <f t="shared" si="15"/>
        <v>#REF!</v>
      </c>
      <c r="G52" s="19" t="e">
        <f t="shared" si="15"/>
        <v>#REF!</v>
      </c>
      <c r="H52" s="19" t="e">
        <f t="shared" si="15"/>
        <v>#REF!</v>
      </c>
      <c r="I52" s="19" t="e">
        <f t="shared" si="15"/>
        <v>#REF!</v>
      </c>
    </row>
    <row r="53" spans="1:10" ht="15" customHeight="1" x14ac:dyDescent="0.3">
      <c r="A53" s="31" t="s">
        <v>116</v>
      </c>
      <c r="B53" s="29"/>
      <c r="C53" s="29"/>
      <c r="D53" s="29"/>
      <c r="E53" s="29"/>
      <c r="F53" s="29"/>
      <c r="G53" s="29"/>
      <c r="H53" s="29"/>
      <c r="I53" s="29"/>
      <c r="J53" s="30"/>
    </row>
    <row r="54" spans="1:10" ht="15" customHeight="1" x14ac:dyDescent="0.3">
      <c r="A54" s="6" t="s">
        <v>0</v>
      </c>
      <c r="B54" s="23" t="s">
        <v>3</v>
      </c>
      <c r="C54" s="23" t="s">
        <v>4</v>
      </c>
      <c r="D54" s="23" t="s">
        <v>5</v>
      </c>
      <c r="E54" s="23" t="s">
        <v>6</v>
      </c>
      <c r="F54" s="23" t="s">
        <v>7</v>
      </c>
      <c r="G54" s="23" t="s">
        <v>8</v>
      </c>
      <c r="H54" s="23" t="s">
        <v>9</v>
      </c>
      <c r="I54" s="23" t="s">
        <v>10</v>
      </c>
      <c r="J54" s="6" t="s">
        <v>117</v>
      </c>
    </row>
    <row r="55" spans="1:10" ht="15" customHeight="1" x14ac:dyDescent="0.3">
      <c r="A55" s="3" t="s">
        <v>2</v>
      </c>
      <c r="B55" s="21" t="e">
        <f>IF(B9&lt;Inputs!D92,"⚠ RIESGO","OK")</f>
        <v>#REF!</v>
      </c>
      <c r="C55" s="21" t="e">
        <f>IF(C9&lt;Inputs!D92,"⚠ RIESGO","OK")</f>
        <v>#REF!</v>
      </c>
      <c r="D55" s="21" t="e">
        <f>IF(D9&lt;Inputs!D92,"⚠ RIESGO","OK")</f>
        <v>#REF!</v>
      </c>
      <c r="E55" s="21" t="e">
        <f>IF(E9&lt;Inputs!D92,"⚠ RIESGO","OK")</f>
        <v>#REF!</v>
      </c>
      <c r="F55" s="21" t="e">
        <f>IF(F9&lt;Inputs!D92,"⚠ RIESGO","OK")</f>
        <v>#REF!</v>
      </c>
      <c r="G55" s="21" t="e">
        <f>IF(G9&lt;Inputs!D92,"⚠ RIESGO","OK")</f>
        <v>#REF!</v>
      </c>
      <c r="H55" s="21" t="e">
        <f>IF(H9&lt;Inputs!D92,"⚠ RIESGO","OK")</f>
        <v>#REF!</v>
      </c>
      <c r="I55" s="21" t="e">
        <f>IF(I9&lt;Inputs!D92,"⚠ RIESGO","OK")</f>
        <v>#REF!</v>
      </c>
      <c r="J55" s="24" t="e">
        <f>MIN(B9:I9)</f>
        <v>#REF!</v>
      </c>
    </row>
    <row r="56" spans="1:10" ht="15" customHeight="1" x14ac:dyDescent="0.3">
      <c r="A56" s="7" t="s">
        <v>11</v>
      </c>
      <c r="B56" s="20" t="e">
        <f>IF(B14&lt;Inputs!D93,"⚠ RIESGO","OK")</f>
        <v>#REF!</v>
      </c>
      <c r="C56" s="20" t="e">
        <f>IF(C14&lt;Inputs!D93,"⚠ RIESGO","OK")</f>
        <v>#REF!</v>
      </c>
      <c r="D56" s="20" t="e">
        <f>IF(D14&lt;Inputs!D93,"⚠ RIESGO","OK")</f>
        <v>#REF!</v>
      </c>
      <c r="E56" s="20" t="e">
        <f>IF(E14&lt;Inputs!D93,"⚠ RIESGO","OK")</f>
        <v>#REF!</v>
      </c>
      <c r="F56" s="20" t="e">
        <f>IF(F14&lt;Inputs!D93,"⚠ RIESGO","OK")</f>
        <v>#REF!</v>
      </c>
      <c r="G56" s="20" t="e">
        <f>IF(G14&lt;Inputs!D93,"⚠ RIESGO","OK")</f>
        <v>#REF!</v>
      </c>
      <c r="H56" s="20" t="e">
        <f>IF(H14&lt;Inputs!D93,"⚠ RIESGO","OK")</f>
        <v>#REF!</v>
      </c>
      <c r="I56" s="20" t="e">
        <f>IF(I14&lt;Inputs!D93,"⚠ RIESGO","OK")</f>
        <v>#REF!</v>
      </c>
      <c r="J56" s="24">
        <f>MIN(B14:I14)</f>
        <v>0</v>
      </c>
    </row>
    <row r="57" spans="1:10" ht="15" customHeight="1" x14ac:dyDescent="0.3">
      <c r="A57" s="7" t="s">
        <v>12</v>
      </c>
      <c r="B57" s="20" t="e">
        <f>IF(B19&lt;Inputs!D94,"⚠ RIESGO","OK")</f>
        <v>#REF!</v>
      </c>
      <c r="C57" s="20" t="e">
        <f>IF(C19&lt;Inputs!D94,"⚠ RIESGO","OK")</f>
        <v>#REF!</v>
      </c>
      <c r="D57" s="20" t="e">
        <f>IF(D19&lt;Inputs!D94,"⚠ RIESGO","OK")</f>
        <v>#REF!</v>
      </c>
      <c r="E57" s="20" t="e">
        <f>IF(E19&lt;Inputs!D94,"⚠ RIESGO","OK")</f>
        <v>#REF!</v>
      </c>
      <c r="F57" s="20" t="e">
        <f>IF(F19&lt;Inputs!D94,"⚠ RIESGO","OK")</f>
        <v>#REF!</v>
      </c>
      <c r="G57" s="20" t="e">
        <f>IF(G19&lt;Inputs!D94,"⚠ RIESGO","OK")</f>
        <v>#REF!</v>
      </c>
      <c r="H57" s="20" t="e">
        <f>IF(H19&lt;Inputs!D94,"⚠ RIESGO","OK")</f>
        <v>#REF!</v>
      </c>
      <c r="I57" s="20" t="e">
        <f>IF(I19&lt;Inputs!D94,"⚠ RIESGO","OK")</f>
        <v>#REF!</v>
      </c>
      <c r="J57" s="24" t="e">
        <f>MIN(B19:I19)</f>
        <v>#REF!</v>
      </c>
    </row>
    <row r="58" spans="1:10" ht="15" customHeight="1" x14ac:dyDescent="0.3">
      <c r="A58" s="7" t="s">
        <v>13</v>
      </c>
      <c r="B58" s="20" t="e">
        <f>IF(B24&lt;Inputs!D95,"⚠ RIESGO","OK")</f>
        <v>#REF!</v>
      </c>
      <c r="C58" s="20" t="e">
        <f>IF(C24&lt;Inputs!D95,"⚠ RIESGO","OK")</f>
        <v>#REF!</v>
      </c>
      <c r="D58" s="20" t="e">
        <f>IF(D24&lt;Inputs!D95,"⚠ RIESGO","OK")</f>
        <v>#REF!</v>
      </c>
      <c r="E58" s="20" t="e">
        <f>IF(E24&lt;Inputs!D95,"⚠ RIESGO","OK")</f>
        <v>#REF!</v>
      </c>
      <c r="F58" s="20" t="e">
        <f>IF(F24&lt;Inputs!D95,"⚠ RIESGO","OK")</f>
        <v>#REF!</v>
      </c>
      <c r="G58" s="20" t="e">
        <f>IF(G24&lt;Inputs!D95,"⚠ RIESGO","OK")</f>
        <v>#REF!</v>
      </c>
      <c r="H58" s="20" t="e">
        <f>IF(H24&lt;Inputs!D95,"⚠ RIESGO","OK")</f>
        <v>#REF!</v>
      </c>
      <c r="I58" s="20" t="e">
        <f>IF(I24&lt;Inputs!D95,"⚠ RIESGO","OK")</f>
        <v>#REF!</v>
      </c>
      <c r="J58" s="24">
        <f>MIN(B24:I24)</f>
        <v>0</v>
      </c>
    </row>
    <row r="59" spans="1:10" ht="15" customHeight="1" x14ac:dyDescent="0.3">
      <c r="A59" s="7" t="s">
        <v>14</v>
      </c>
      <c r="B59" s="20" t="e">
        <f>IF(B29&lt;Inputs!D96,"⚠ RIESGO","OK")</f>
        <v>#REF!</v>
      </c>
      <c r="C59" s="20" t="e">
        <f>IF(C29&lt;Inputs!D96,"⚠ RIESGO","OK")</f>
        <v>#REF!</v>
      </c>
      <c r="D59" s="20" t="e">
        <f>IF(D29&lt;Inputs!D96,"⚠ RIESGO","OK")</f>
        <v>#REF!</v>
      </c>
      <c r="E59" s="20" t="e">
        <f>IF(E29&lt;Inputs!D96,"⚠ RIESGO","OK")</f>
        <v>#REF!</v>
      </c>
      <c r="F59" s="20" t="e">
        <f>IF(F29&lt;Inputs!D96,"⚠ RIESGO","OK")</f>
        <v>#REF!</v>
      </c>
      <c r="G59" s="20" t="e">
        <f>IF(G29&lt;Inputs!D96,"⚠ RIESGO","OK")</f>
        <v>#REF!</v>
      </c>
      <c r="H59" s="20" t="e">
        <f>IF(H29&lt;Inputs!D96,"⚠ RIESGO","OK")</f>
        <v>#REF!</v>
      </c>
      <c r="I59" s="20" t="e">
        <f>IF(I29&lt;Inputs!D96,"⚠ RIESGO","OK")</f>
        <v>#REF!</v>
      </c>
      <c r="J59" s="24">
        <f>MIN(B29:I29)</f>
        <v>0</v>
      </c>
    </row>
    <row r="60" spans="1:10" ht="15" customHeight="1" x14ac:dyDescent="0.3">
      <c r="A60" s="7" t="s">
        <v>15</v>
      </c>
      <c r="B60" s="20" t="e">
        <f>IF(B34&lt;Inputs!D97,"⚠ RIESGO","OK")</f>
        <v>#REF!</v>
      </c>
      <c r="C60" s="20" t="e">
        <f>IF(C34&lt;Inputs!D97,"⚠ RIESGO","OK")</f>
        <v>#REF!</v>
      </c>
      <c r="D60" s="20" t="e">
        <f>IF(D34&lt;Inputs!D97,"⚠ RIESGO","OK")</f>
        <v>#REF!</v>
      </c>
      <c r="E60" s="20" t="e">
        <f>IF(E34&lt;Inputs!D97,"⚠ RIESGO","OK")</f>
        <v>#REF!</v>
      </c>
      <c r="F60" s="20" t="e">
        <f>IF(F34&lt;Inputs!D97,"⚠ RIESGO","OK")</f>
        <v>#REF!</v>
      </c>
      <c r="G60" s="20" t="e">
        <f>IF(G34&lt;Inputs!D97,"⚠ RIESGO","OK")</f>
        <v>#REF!</v>
      </c>
      <c r="H60" s="20" t="e">
        <f>IF(H34&lt;Inputs!D97,"⚠ RIESGO","OK")</f>
        <v>#REF!</v>
      </c>
      <c r="I60" s="20" t="e">
        <f>IF(I34&lt;Inputs!D97,"⚠ RIESGO","OK")</f>
        <v>#REF!</v>
      </c>
      <c r="J60" s="24" t="e">
        <f>MIN(B34:I34)</f>
        <v>#REF!</v>
      </c>
    </row>
    <row r="61" spans="1:10" ht="15" customHeight="1" x14ac:dyDescent="0.3">
      <c r="A61" s="7" t="s">
        <v>16</v>
      </c>
      <c r="B61" s="20" t="e">
        <f>IF(B39&lt;Inputs!D98,"⚠ RIESGO","OK")</f>
        <v>#REF!</v>
      </c>
      <c r="C61" s="20" t="e">
        <f>IF(C39&lt;Inputs!D98,"⚠ RIESGO","OK")</f>
        <v>#REF!</v>
      </c>
      <c r="D61" s="20" t="e">
        <f>IF(D39&lt;Inputs!D98,"⚠ RIESGO","OK")</f>
        <v>#REF!</v>
      </c>
      <c r="E61" s="20" t="e">
        <f>IF(E39&lt;Inputs!D98,"⚠ RIESGO","OK")</f>
        <v>#REF!</v>
      </c>
      <c r="F61" s="20" t="e">
        <f>IF(F39&lt;Inputs!D98,"⚠ RIESGO","OK")</f>
        <v>#REF!</v>
      </c>
      <c r="G61" s="20" t="e">
        <f>IF(G39&lt;Inputs!D98,"⚠ RIESGO","OK")</f>
        <v>#REF!</v>
      </c>
      <c r="H61" s="20" t="e">
        <f>IF(H39&lt;Inputs!D98,"⚠ RIESGO","OK")</f>
        <v>#REF!</v>
      </c>
      <c r="I61" s="20" t="e">
        <f>IF(I39&lt;Inputs!D98,"⚠ RIESGO","OK")</f>
        <v>#REF!</v>
      </c>
      <c r="J61" s="24" t="e">
        <f>MIN(B39:I39)</f>
        <v>#REF!</v>
      </c>
    </row>
    <row r="62" spans="1:10" ht="15" customHeight="1" x14ac:dyDescent="0.3">
      <c r="A62" s="7" t="s">
        <v>17</v>
      </c>
      <c r="B62" s="20" t="str">
        <f>IF(B44&lt;Inputs!D99,"⚠ RIESGO","OK")</f>
        <v>OK</v>
      </c>
      <c r="C62" s="20" t="str">
        <f>IF(C44&lt;Inputs!D99,"⚠ RIESGO","OK")</f>
        <v>OK</v>
      </c>
      <c r="D62" s="20" t="str">
        <f>IF(D44&lt;Inputs!D99,"⚠ RIESGO","OK")</f>
        <v>OK</v>
      </c>
      <c r="E62" s="20" t="str">
        <f>IF(E44&lt;Inputs!D99,"⚠ RIESGO","OK")</f>
        <v>OK</v>
      </c>
      <c r="F62" s="20" t="str">
        <f>IF(F44&lt;Inputs!D99,"⚠ RIESGO","OK")</f>
        <v>OK</v>
      </c>
      <c r="G62" s="20" t="str">
        <f>IF(G44&lt;Inputs!D99,"⚠ RIESGO","OK")</f>
        <v>OK</v>
      </c>
      <c r="H62" s="20" t="str">
        <f>IF(H44&lt;Inputs!D99,"⚠ RIESGO","OK")</f>
        <v>OK</v>
      </c>
      <c r="I62" s="20" t="str">
        <f>IF(I44&lt;Inputs!D99,"⚠ RIESGO","OK")</f>
        <v>OK</v>
      </c>
      <c r="J62" s="24">
        <f>MIN(B44:I44)</f>
        <v>0</v>
      </c>
    </row>
  </sheetData>
  <mergeCells count="12">
    <mergeCell ref="A53:J53"/>
    <mergeCell ref="A47:K47"/>
    <mergeCell ref="A1:K1"/>
    <mergeCell ref="A17:K17"/>
    <mergeCell ref="A5:K5"/>
    <mergeCell ref="A23:K23"/>
    <mergeCell ref="A35:K35"/>
    <mergeCell ref="A3:K3"/>
    <mergeCell ref="A29:K29"/>
    <mergeCell ref="A41:K41"/>
    <mergeCell ref="A2:K2"/>
    <mergeCell ref="A11:K11"/>
  </mergeCells>
  <conditionalFormatting sqref="B10:I10">
    <cfRule type="cellIs" dxfId="8" priority="2" operator="lessThan">
      <formula>0</formula>
    </cfRule>
  </conditionalFormatting>
  <conditionalFormatting sqref="B16:I16">
    <cfRule type="cellIs" dxfId="7" priority="10" operator="lessThan">
      <formula>0</formula>
    </cfRule>
  </conditionalFormatting>
  <conditionalFormatting sqref="B22:I22">
    <cfRule type="cellIs" dxfId="6" priority="18" operator="lessThan">
      <formula>0</formula>
    </cfRule>
  </conditionalFormatting>
  <conditionalFormatting sqref="B28:I28">
    <cfRule type="cellIs" dxfId="5" priority="26" operator="lessThan">
      <formula>0</formula>
    </cfRule>
  </conditionalFormatting>
  <conditionalFormatting sqref="B34:I34">
    <cfRule type="cellIs" dxfId="4" priority="34" operator="lessThan">
      <formula>0</formula>
    </cfRule>
  </conditionalFormatting>
  <conditionalFormatting sqref="B40:I40">
    <cfRule type="cellIs" dxfId="3" priority="42" operator="lessThan">
      <formula>0</formula>
    </cfRule>
  </conditionalFormatting>
  <conditionalFormatting sqref="B46:I46">
    <cfRule type="cellIs" dxfId="2" priority="50" operator="lessThan">
      <formula>0</formula>
    </cfRule>
  </conditionalFormatting>
  <conditionalFormatting sqref="B55:I55">
    <cfRule type="cellIs" dxfId="1" priority="58" operator="lessThan">
      <formula>0</formula>
    </cfRule>
  </conditionalFormatting>
  <conditionalFormatting sqref="B55:I62">
    <cfRule type="cellIs" dxfId="0" priority="59" operator="equal">
      <formula>"⚠ RIESGO"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"/>
  <sheetViews>
    <sheetView zoomScaleNormal="100" workbookViewId="0">
      <selection activeCell="B14" sqref="B14"/>
    </sheetView>
  </sheetViews>
  <sheetFormatPr baseColWidth="10" defaultColWidth="8.6640625" defaultRowHeight="14.4" x14ac:dyDescent="0.3"/>
  <cols>
    <col min="1" max="1" width="15" customWidth="1"/>
  </cols>
  <sheetData>
    <row r="1" spans="1:9" ht="17.25" customHeight="1" x14ac:dyDescent="0.3">
      <c r="A1" s="34" t="s">
        <v>118</v>
      </c>
      <c r="B1" s="33"/>
      <c r="C1" s="33"/>
      <c r="D1" s="33"/>
      <c r="E1" s="33"/>
      <c r="F1" s="33"/>
    </row>
    <row r="2" spans="1:9" ht="15" customHeight="1" x14ac:dyDescent="0.3">
      <c r="A2" s="36" t="s">
        <v>119</v>
      </c>
      <c r="B2" s="33"/>
      <c r="C2" s="33"/>
      <c r="D2" s="33"/>
      <c r="E2" s="33"/>
      <c r="F2" s="33"/>
    </row>
    <row r="4" spans="1:9" ht="15" customHeight="1" x14ac:dyDescent="0.3">
      <c r="A4" s="32" t="s">
        <v>120</v>
      </c>
      <c r="B4" s="33"/>
      <c r="C4" s="33"/>
      <c r="D4" s="33"/>
      <c r="E4" s="33"/>
      <c r="F4" s="33"/>
    </row>
    <row r="5" spans="1:9" ht="15" customHeight="1" x14ac:dyDescent="0.3">
      <c r="A5" s="6" t="s">
        <v>121</v>
      </c>
      <c r="B5" s="6" t="s">
        <v>122</v>
      </c>
      <c r="C5" s="6" t="s">
        <v>123</v>
      </c>
      <c r="D5" s="6" t="s">
        <v>124</v>
      </c>
      <c r="E5" s="6" t="s">
        <v>125</v>
      </c>
    </row>
    <row r="6" spans="1:9" ht="15" customHeight="1" x14ac:dyDescent="0.3">
      <c r="A6" s="7" t="s">
        <v>126</v>
      </c>
      <c r="B6" s="7" t="s">
        <v>2</v>
      </c>
      <c r="C6" s="7" t="s">
        <v>127</v>
      </c>
      <c r="D6" s="7" t="s">
        <v>128</v>
      </c>
      <c r="E6" s="7" t="s">
        <v>129</v>
      </c>
    </row>
    <row r="7" spans="1:9" ht="15" customHeight="1" x14ac:dyDescent="0.3">
      <c r="A7" s="7" t="s">
        <v>130</v>
      </c>
      <c r="B7" s="7" t="s">
        <v>11</v>
      </c>
      <c r="C7" s="7" t="s">
        <v>127</v>
      </c>
      <c r="D7" s="7" t="s">
        <v>131</v>
      </c>
      <c r="E7" s="7" t="s">
        <v>129</v>
      </c>
    </row>
    <row r="8" spans="1:9" ht="15" customHeight="1" x14ac:dyDescent="0.3">
      <c r="A8" s="7" t="s">
        <v>132</v>
      </c>
      <c r="B8" s="7" t="s">
        <v>73</v>
      </c>
      <c r="C8" s="7" t="s">
        <v>14</v>
      </c>
      <c r="D8" s="7" t="s">
        <v>133</v>
      </c>
      <c r="E8" s="7" t="s">
        <v>129</v>
      </c>
    </row>
    <row r="9" spans="1:9" ht="15" customHeight="1" x14ac:dyDescent="0.3">
      <c r="A9" s="7" t="s">
        <v>134</v>
      </c>
      <c r="B9" s="7" t="s">
        <v>73</v>
      </c>
      <c r="C9" s="7" t="s">
        <v>17</v>
      </c>
      <c r="D9" s="7" t="s">
        <v>135</v>
      </c>
      <c r="E9" s="7" t="s">
        <v>129</v>
      </c>
    </row>
    <row r="10" spans="1:9" ht="15" customHeight="1" x14ac:dyDescent="0.3">
      <c r="A10" s="7" t="s">
        <v>136</v>
      </c>
      <c r="B10" s="7" t="s">
        <v>137</v>
      </c>
      <c r="C10" s="7" t="s">
        <v>138</v>
      </c>
      <c r="D10" s="7" t="s">
        <v>139</v>
      </c>
      <c r="E10" s="7" t="s">
        <v>129</v>
      </c>
    </row>
    <row r="12" spans="1:9" x14ac:dyDescent="0.3">
      <c r="A12" t="s">
        <v>140</v>
      </c>
    </row>
    <row r="13" spans="1:9" x14ac:dyDescent="0.3">
      <c r="A13" t="s">
        <v>141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</row>
    <row r="14" spans="1:9" x14ac:dyDescent="0.3">
      <c r="A14" t="s">
        <v>142</v>
      </c>
      <c r="B14" t="e">
        <f>Inputs!B6*Inputs!$B$101</f>
        <v>#REF!</v>
      </c>
      <c r="C14" t="e">
        <f>Inputs!C6*Inputs!$B$101</f>
        <v>#REF!</v>
      </c>
      <c r="D14" t="e">
        <f>Inputs!D6*Inputs!$B$101</f>
        <v>#REF!</v>
      </c>
      <c r="E14" t="e">
        <f>Inputs!E6*Inputs!$B$101</f>
        <v>#REF!</v>
      </c>
      <c r="F14" t="e">
        <f>Inputs!F6*Inputs!$B$101</f>
        <v>#REF!</v>
      </c>
      <c r="G14" t="e">
        <f>Inputs!G6*Inputs!$B$101</f>
        <v>#REF!</v>
      </c>
      <c r="H14" t="e">
        <f>Inputs!H6*Inputs!$B$101</f>
        <v>#REF!</v>
      </c>
      <c r="I14" t="e">
        <f>Inputs!I6*Inputs!$B$101</f>
        <v>#REF!</v>
      </c>
    </row>
    <row r="15" spans="1:9" x14ac:dyDescent="0.3">
      <c r="A15" t="s">
        <v>143</v>
      </c>
      <c r="B15">
        <f t="shared" ref="B15:I18" si="0">IFERROR(C14,0)</f>
        <v>0</v>
      </c>
      <c r="C15">
        <f t="shared" si="0"/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</row>
    <row r="16" spans="1:9" x14ac:dyDescent="0.3">
      <c r="A16" t="s">
        <v>144</v>
      </c>
      <c r="B16">
        <f t="shared" si="0"/>
        <v>0</v>
      </c>
      <c r="C16">
        <f t="shared" si="0"/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</row>
    <row r="17" spans="1:9" x14ac:dyDescent="0.3">
      <c r="A17" t="s">
        <v>145</v>
      </c>
      <c r="B17">
        <f t="shared" si="0"/>
        <v>0</v>
      </c>
      <c r="C17">
        <f t="shared" si="0"/>
        <v>0</v>
      </c>
      <c r="D17">
        <f t="shared" si="0"/>
        <v>0</v>
      </c>
      <c r="E17">
        <f t="shared" si="0"/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</row>
    <row r="18" spans="1:9" x14ac:dyDescent="0.3">
      <c r="A18" t="s">
        <v>146</v>
      </c>
      <c r="B18">
        <f t="shared" si="0"/>
        <v>0</v>
      </c>
      <c r="C18">
        <f t="shared" si="0"/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</row>
  </sheetData>
  <mergeCells count="3">
    <mergeCell ref="A2:F2"/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Inputs</vt:lpstr>
      <vt:lpstr>Inventario_Dinamico</vt:lpstr>
      <vt:lpstr>MRP_LeadTimes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Daniel Quiroga Villalobos</cp:lastModifiedBy>
  <cp:revision>0</cp:revision>
  <dcterms:created xsi:type="dcterms:W3CDTF">2026-01-12T17:03:36Z</dcterms:created>
  <dcterms:modified xsi:type="dcterms:W3CDTF">2026-01-13T23:16:53Z</dcterms:modified>
  <dc:language>en-US</dc:language>
</cp:coreProperties>
</file>