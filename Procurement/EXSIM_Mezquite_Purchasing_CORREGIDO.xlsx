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worksheets/sheet21.xml" ContentType="application/vnd.openxmlformats-officedocument.spreadsheetml.worksheet+xml"/>
  <Override PartName="/xl/tables/table4.xml" ContentType="application/vnd.openxmlformats-officedocument.spreadsheetml.table+xml"/>
  <Override PartName="/xl/worksheets/sheet22.xml" ContentType="application/vnd.openxmlformats-officedocument.spreadsheetml.worksheet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tables/table6.xml" ContentType="application/vnd.openxmlformats-officedocument.spreadsheetml.table+xml"/>
  <Override PartName="/xl/worksheets/sheet24.xml" ContentType="application/vnd.openxmlformats-officedocument.spreadsheetml.worksheet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tables/table8.xml" ContentType="application/vnd.openxmlformats-officedocument.spreadsheetml.table+xml"/>
  <Override PartName="/xl/worksheets/sheet26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2" autoFilterDateGrouping="1"/>
  </bookViews>
  <sheets>
    <sheet name="BUYING_PLAN_FINAL" sheetId="1" state="visible" r:id="rId1"/>
    <sheet name="MRP_NetReq" sheetId="2" state="visible" r:id="rId2"/>
    <sheet name="Inputs" sheetId="3" state="visible" r:id="rId3"/>
    <sheet name="BOM_Consumo" sheetId="4" state="visible" r:id="rId4"/>
    <sheet name="Inventario_Dinamico" sheetId="5" state="visible" r:id="rId5"/>
    <sheet name="Compras_y_Lotes" sheetId="6" state="visible" r:id="rId6"/>
    <sheet name="Costos" sheetId="7" state="visible" r:id="rId7"/>
    <sheet name="Cashflow_Compras" sheetId="8" state="visible" r:id="rId8"/>
    <sheet name="Escenarios" sheetId="9" state="visible" r:id="rId9"/>
    <sheet name="Analisis_Proveedores" sheetId="10" state="visible" r:id="rId10"/>
    <sheet name="Dashboard" sheetId="11" state="visible" r:id="rId11"/>
    <sheet name="Riesgo_Proveedor_B" sheetId="12" state="visible" r:id="rId12"/>
    <sheet name="Cashflow_Integrado" sheetId="13" state="visible" r:id="rId13"/>
    <sheet name="EXSIM_Upload_Legacy" sheetId="14" state="visible" r:id="rId14"/>
    <sheet name="Multi_Planta" sheetId="15" state="visible" r:id="rId15"/>
    <sheet name="MRP_LeadTimes" sheetId="16" state="visible" r:id="rId16"/>
    <sheet name="Reconciliacion" sheetId="17" state="visible" r:id="rId17"/>
    <sheet name="ESG_CO2" sheetId="18" state="visible" r:id="rId18"/>
    <sheet name="tbl_Params" sheetId="19" state="visible" r:id="rId19"/>
    <sheet name="Plan_Produccion" sheetId="20" state="visible" r:id="rId20"/>
    <sheet name="Req_Gross" sheetId="21" state="visible" r:id="rId21"/>
    <sheet name="Inv_Inicial" sheetId="22" state="visible" r:id="rId22"/>
    <sheet name="Policy" sheetId="23" state="visible" r:id="rId23"/>
    <sheet name="MRP_Parts" sheetId="24" state="visible" r:id="rId24"/>
    <sheet name="Pieces_t0" sheetId="25" state="visible" r:id="rId25"/>
    <sheet name="EXSIM_UPLOAD" sheetId="26" state="visible" r:id="rId26"/>
  </sheets>
  <definedNames>
    <definedName name="tZeroValue">EXSIM_UPLOAD!$B$1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>
    <font>
      <name val="Calibri"/>
      <charset val="1"/>
      <family val="2"/>
      <color theme="1"/>
      <sz val="11"/>
    </font>
    <font>
      <name val="Cambria"/>
      <family val="1"/>
      <b val="1"/>
      <sz val="14"/>
    </font>
    <font>
      <name val="Cambria"/>
      <family val="1"/>
      <i val="1"/>
      <color rgb="FF0000FF"/>
      <sz val="9"/>
    </font>
    <font>
      <name val="Cambria"/>
      <family val="1"/>
      <b val="1"/>
      <color rgb="FFFFFFFF"/>
      <sz val="11"/>
    </font>
    <font>
      <name val="Cambria"/>
      <family val="1"/>
      <b val="1"/>
      <sz val="10"/>
    </font>
    <font>
      <name val="Cambria"/>
      <family val="1"/>
      <color rgb="FF0000FF"/>
      <sz val="10"/>
    </font>
    <font>
      <name val="Cambria"/>
      <family val="1"/>
      <color rgb="FF000000"/>
      <sz val="10"/>
    </font>
    <font>
      <name val="Cambria"/>
      <family val="1"/>
      <i val="1"/>
      <sz val="9"/>
    </font>
    <font>
      <name val="Cambria"/>
      <family val="1"/>
      <i val="1"/>
      <color rgb="FFFF0000"/>
      <sz val="9"/>
    </font>
    <font>
      <name val="Cambria"/>
      <family val="1"/>
      <i val="1"/>
      <color rgb="FF008000"/>
      <sz val="9"/>
    </font>
    <font>
      <name val="Cambria"/>
      <family val="1"/>
      <color rgb="FF008000"/>
      <sz val="10"/>
    </font>
    <font>
      <name val="Cambria"/>
      <family val="1"/>
      <i val="1"/>
      <color rgb="FFFF6B00"/>
      <sz val="9"/>
    </font>
    <font>
      <name val="Cambria"/>
      <family val="1"/>
      <sz val="10"/>
    </font>
    <font>
      <name val="Cambria"/>
      <family val="1"/>
      <b val="1"/>
      <color rgb="FF008000"/>
      <sz val="11"/>
    </font>
    <font>
      <name val="Cambria"/>
      <family val="1"/>
      <b val="1"/>
      <color rgb="FFFFFFFF"/>
      <sz val="16"/>
    </font>
    <font>
      <name val="Cambria"/>
      <family val="1"/>
      <b val="1"/>
      <color rgb="FFFF0000"/>
      <sz val="12"/>
    </font>
    <font>
      <name val="Cambria"/>
      <family val="1"/>
      <b val="1"/>
      <color rgb="FFFF0000"/>
      <sz val="14"/>
    </font>
    <font>
      <name val="Cambria"/>
      <family val="1"/>
      <b val="1"/>
      <i val="1"/>
      <color rgb="FFFF0000"/>
      <sz val="10"/>
    </font>
    <font>
      <name val="Cambria"/>
      <family val="1"/>
      <b val="1"/>
      <color rgb="FFFFFFFF"/>
      <sz val="12"/>
    </font>
    <font>
      <name val="Cambria"/>
      <family val="1"/>
      <b val="1"/>
      <color rgb="FFFFFFFF"/>
      <sz val="14"/>
    </font>
    <font>
      <name val="Cambria"/>
      <family val="1"/>
      <color rgb="FF008000"/>
      <sz val="11"/>
    </font>
  </fonts>
  <fills count="13">
    <fill>
      <patternFill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3" fontId="5" fillId="4" borderId="1" applyAlignment="1" pivotButton="0" quotePrefix="0" xfId="0">
      <alignment horizontal="right"/>
    </xf>
    <xf numFmtId="3" fontId="6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9" fontId="5" fillId="0" borderId="1" applyAlignment="1" pivotButton="0" quotePrefix="0" xfId="0">
      <alignment horizontal="right"/>
    </xf>
    <xf numFmtId="1" fontId="5" fillId="0" borderId="1" applyAlignment="1" pivotButton="0" quotePrefix="0" xfId="0">
      <alignment horizontal="right"/>
    </xf>
    <xf numFmtId="167" fontId="5" fillId="4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6" fillId="0" borderId="1" pivotButton="0" quotePrefix="0" xfId="0"/>
    <xf numFmtId="0" fontId="3" fillId="2" borderId="1" applyAlignment="1" pivotButton="0" quotePrefix="0" xfId="0">
      <alignment horizontal="center"/>
    </xf>
    <xf numFmtId="2" fontId="10" fillId="0" borderId="1" applyAlignment="1" pivotButton="0" quotePrefix="0" xfId="0">
      <alignment horizontal="right"/>
    </xf>
    <xf numFmtId="4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3" fontId="10" fillId="3" borderId="1" applyAlignment="1" pivotButton="0" quotePrefix="0" xfId="0">
      <alignment horizontal="right"/>
    </xf>
    <xf numFmtId="3" fontId="10" fillId="0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3" fontId="6" fillId="4" borderId="1" pivotButton="0" quotePrefix="0" xfId="0"/>
    <xf numFmtId="0" fontId="4" fillId="3" borderId="1" applyAlignment="1" pivotButton="0" quotePrefix="0" xfId="0">
      <alignment horizontal="center" wrapText="1"/>
    </xf>
    <xf numFmtId="3" fontId="10" fillId="0" borderId="1" pivotButton="0" quotePrefix="0" xfId="0"/>
    <xf numFmtId="3" fontId="6" fillId="0" borderId="1" pivotButton="0" quotePrefix="0" xfId="0"/>
    <xf numFmtId="3" fontId="5" fillId="4" borderId="1" pivotButton="0" quotePrefix="0" xfId="0"/>
    <xf numFmtId="164" fontId="10" fillId="0" borderId="1" pivotButton="0" quotePrefix="0" xfId="0"/>
    <xf numFmtId="164" fontId="6" fillId="0" borderId="1" pivotButton="0" quotePrefix="0" xfId="0"/>
    <xf numFmtId="164" fontId="3" fillId="2" borderId="1" pivotButton="0" quotePrefix="0" xfId="0"/>
    <xf numFmtId="0" fontId="10" fillId="0" borderId="1" pivotButton="0" quotePrefix="0" xfId="0"/>
    <xf numFmtId="0" fontId="3" fillId="2" borderId="1" applyAlignment="1" pivotButton="0" quotePrefix="0" xfId="0">
      <alignment horizontal="center" wrapText="1"/>
    </xf>
    <xf numFmtId="1" fontId="6" fillId="0" borderId="1" applyAlignment="1" pivotButton="0" quotePrefix="0" xfId="0">
      <alignment horizontal="center"/>
    </xf>
    <xf numFmtId="1" fontId="6" fillId="0" borderId="1" pivotButton="0" quotePrefix="0" xfId="0"/>
    <xf numFmtId="164" fontId="5" fillId="4" borderId="1" pivotButton="0" quotePrefix="0" xfId="0"/>
    <xf numFmtId="1" fontId="3" fillId="2" borderId="1" pivotButton="0" quotePrefix="0" xfId="0"/>
    <xf numFmtId="164" fontId="0" fillId="0" borderId="1" pivotButton="0" quotePrefix="0" xfId="0"/>
    <xf numFmtId="0" fontId="5" fillId="4" borderId="1" pivotButton="0" quotePrefix="0" xfId="0"/>
    <xf numFmtId="0" fontId="12" fillId="0" borderId="1" pivotButton="0" quotePrefix="0" xfId="0"/>
    <xf numFmtId="164" fontId="13" fillId="5" borderId="1" pivotButton="0" quotePrefix="0" xfId="0"/>
    <xf numFmtId="0" fontId="13" fillId="5" borderId="1" pivotButton="0" quotePrefix="0" xfId="0"/>
    <xf numFmtId="3" fontId="5" fillId="4" borderId="0" pivotButton="0" quotePrefix="0" xfId="0"/>
    <xf numFmtId="9" fontId="0" fillId="0" borderId="1" pivotButton="0" quotePrefix="0" xfId="0"/>
    <xf numFmtId="0" fontId="13" fillId="4" borderId="0" pivotButton="0" quotePrefix="0" xfId="0"/>
    <xf numFmtId="164" fontId="13" fillId="4" borderId="0" pivotButton="0" quotePrefix="0" xfId="0"/>
    <xf numFmtId="0" fontId="4" fillId="0" borderId="0" applyAlignment="1" pivotButton="0" quotePrefix="0" xfId="0">
      <alignment horizontal="right"/>
    </xf>
    <xf numFmtId="164" fontId="6" fillId="3" borderId="1" pivotButton="0" quotePrefix="0" xfId="0"/>
    <xf numFmtId="0" fontId="0" fillId="3" borderId="1" pivotButton="0" quotePrefix="0" xfId="0"/>
    <xf numFmtId="0" fontId="6" fillId="3" borderId="1" pivotButton="0" quotePrefix="0" xfId="0"/>
    <xf numFmtId="0" fontId="6" fillId="4" borderId="1" pivotButton="0" quotePrefix="0" xfId="0"/>
    <xf numFmtId="9" fontId="5" fillId="4" borderId="1" pivotButton="0" quotePrefix="0" xfId="0"/>
    <xf numFmtId="0" fontId="10" fillId="0" borderId="1" applyAlignment="1" pivotButton="0" quotePrefix="0" xfId="0">
      <alignment horizontal="center"/>
    </xf>
    <xf numFmtId="9" fontId="6" fillId="0" borderId="1" pivotButton="0" quotePrefix="0" xfId="0"/>
    <xf numFmtId="168" fontId="6" fillId="8" borderId="1" pivotButton="0" quotePrefix="0" xfId="0"/>
    <xf numFmtId="3" fontId="6" fillId="7" borderId="1" pivotButton="0" quotePrefix="0" xfId="0"/>
    <xf numFmtId="164" fontId="6" fillId="7" borderId="1" pivotButton="0" quotePrefix="0" xfId="0"/>
    <xf numFmtId="164" fontId="6" fillId="5" borderId="1" pivotButton="0" quotePrefix="0" xfId="0"/>
    <xf numFmtId="164" fontId="10" fillId="7" borderId="1" pivotButton="0" quotePrefix="0" xfId="0"/>
    <xf numFmtId="164" fontId="4" fillId="3" borderId="1" pivotButton="0" quotePrefix="0" xfId="0"/>
    <xf numFmtId="164" fontId="3" fillId="9" borderId="1" pivotButton="0" quotePrefix="0" xfId="0"/>
    <xf numFmtId="164" fontId="6" fillId="4" borderId="1" pivotButton="0" quotePrefix="0" xfId="0"/>
    <xf numFmtId="1" fontId="0" fillId="0" borderId="1" applyAlignment="1" pivotButton="0" quotePrefix="0" xfId="0">
      <alignment horizontal="center"/>
    </xf>
    <xf numFmtId="3" fontId="20" fillId="0" borderId="1" pivotButton="0" quotePrefix="0" xfId="0"/>
    <xf numFmtId="3" fontId="0" fillId="0" borderId="1" pivotButton="0" quotePrefix="0" xfId="0"/>
    <xf numFmtId="167" fontId="5" fillId="0" borderId="1" pivotButton="0" quotePrefix="0" xfId="0"/>
    <xf numFmtId="0" fontId="2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9" fontId="0" fillId="0" borderId="0" pivotButton="0" quotePrefix="0" xfId="0"/>
    <xf numFmtId="0" fontId="3" fillId="2" borderId="0" pivotButton="0" quotePrefix="0" xfId="0"/>
    <xf numFmtId="0" fontId="3" fillId="2" borderId="1" pivotButton="0" quotePrefix="0" xfId="0"/>
    <xf numFmtId="0" fontId="8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14" fillId="6" borderId="0" pivotButton="0" quotePrefix="0" xfId="0"/>
    <xf numFmtId="0" fontId="15" fillId="7" borderId="0" pivotButton="0" quotePrefix="0" xfId="0"/>
    <xf numFmtId="0" fontId="0" fillId="0" borderId="2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9" borderId="0" applyAlignment="1" pivotButton="0" quotePrefix="0" xfId="0">
      <alignment horizontal="center" vertical="center"/>
    </xf>
    <xf numFmtId="0" fontId="19" fillId="10" borderId="0" pivotButton="0" quotePrefix="0" xfId="0"/>
    <xf numFmtId="0" fontId="19" fillId="11" borderId="0" pivotButton="0" quotePrefix="0" xfId="0"/>
    <xf numFmtId="0" fontId="19" fillId="12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ables/table1.xml><?xml version="1.0" encoding="utf-8"?>
<table xmlns="http://schemas.openxmlformats.org/spreadsheetml/2006/main" id="1" name="Tabla1" displayName="Tabla1" ref="A2:M114" headerRowCount="1" totalsRowShown="0">
  <autoFilter ref="A2:M114"/>
  <tableColumns count="13">
    <tableColumn id="1" name="Plant"/>
    <tableColumn id="2" name="Material"/>
    <tableColumn id="3" name="Metric"/>
    <tableColumn id="4" name="Q1"/>
    <tableColumn id="5" name="Q2"/>
    <tableColumn id="6" name="Q3"/>
    <tableColumn id="7" name="Q4"/>
    <tableColumn id="8" name="Q5"/>
    <tableColumn id="9" name="Q6"/>
    <tableColumn id="10" name="Q7"/>
    <tableColumn id="11" name="Q8"/>
    <tableColumn id="12" name="Total">
      <calculatedColumnFormula>SUM(D3:K3)</calculatedColumnFormula>
    </tableColumn>
    <tableColumn id="13" name="Key">
      <calculatedColumnFormula>A3&amp;"|"&amp;B3&amp;"|"&amp;C3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2" name="tParams" displayName="tParams" ref="A1:E9" headerRowCount="1">
  <autoFilter ref="A1:E9"/>
  <tableColumns count="5">
    <tableColumn id="1" name="Material"/>
    <tableColumn id="2" name="Type"/>
    <tableColumn id="3" name="BatchSize"/>
    <tableColumn id="4" name="ConsPerEC"/>
    <tableColumn id="5" name="DefaultLeadTimeFortnights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ProdPlan" displayName="tProdPlan" ref="A1:C17" headerRowCount="1">
  <autoFilter ref="A1:C17"/>
  <tableColumns count="3">
    <tableColumn id="1" name="Plant"/>
    <tableColumn id="2" name="Fortnight"/>
    <tableColumn id="3" name="EC_Produced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GrossReq" displayName="tGrossReq" ref="A1:D129" headerRowCount="1">
  <autoFilter ref="A1:D129"/>
  <tableColumns count="4">
    <tableColumn id="1" name="Plant"/>
    <tableColumn id="2" name="Fortnight"/>
    <tableColumn id="3" name="Material"/>
    <tableColumn id="4" name="GrossReqUnits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Inv0" displayName="tInv0" ref="A1:C17" headerRowCount="1">
  <autoFilter ref="A1:C17"/>
  <tableColumns count="3">
    <tableColumn id="1" name="Plant"/>
    <tableColumn id="2" name="Material"/>
    <tableColumn id="3" name="OnHand_InitialUnits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Policy" displayName="tPolicy" ref="A1:D17" headerRowCount="1">
  <autoFilter ref="A1:D17"/>
  <tableColumns count="4">
    <tableColumn id="1" name="Plant"/>
    <tableColumn id="2" name="Material"/>
    <tableColumn id="3" name="SafetyStock_Fortnights"/>
    <tableColumn id="4" name="PreferredSupplier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MRPParts" displayName="tMRPParts" ref="A1:M33" headerRowCount="1">
  <autoFilter ref="A1:M33"/>
  <tableColumns count="13">
    <tableColumn id="1" name="Plant"/>
    <tableColumn id="2" name="Material"/>
    <tableColumn id="3" name="Fortnight"/>
    <tableColumn id="4" name="GrossReqUnits"/>
    <tableColumn id="5" name="ReceiptsUnits"/>
    <tableColumn id="6" name="ProjectedOnHand_Begin"/>
    <tableColumn id="7" name="ProjectedOnHand_End"/>
    <tableColumn id="8" name="SafetyStockUnits"/>
    <tableColumn id="9" name="NetReqUnits"/>
    <tableColumn id="10" name="PlannedOrderReceiptUnits"/>
    <tableColumn id="11" name="PlannedOrderLots"/>
    <tableColumn id="12" name="PlannedOrderReceiptUnits_Rounded"/>
    <tableColumn id="13" name="PlannedOrderReleaseFortnight"/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Pieces0" displayName="tPieces0" ref="A1:G13" headerRowCount="1">
  <autoFilter ref="A1:G13"/>
  <tableColumns count="7">
    <tableColumn id="1" name="Plant"/>
    <tableColumn id="2" name="Material"/>
    <tableColumn id="3" name="TotalGrossReqPeriodUnits"/>
    <tableColumn id="4" name="SafetyStockUnits"/>
    <tableColumn id="5" name="NetReqUnits"/>
    <tableColumn id="6" name="PlannedLots_t0"/>
    <tableColumn id="7" name="PlannedUnits_t0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Upload" displayName="tUpload" ref="A3:E47" headerRowCount="1">
  <autoFilter ref="A3:E47"/>
  <tableColumns count="5">
    <tableColumn id="1" name="Plant"/>
    <tableColumn id="2" name="Fortnight"/>
    <tableColumn id="3" name="Material"/>
    <tableColumn id="4" name="Lots"/>
    <tableColumn id="5" name="Supplier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topLeftCell="A13" workbookViewId="0">
      <selection activeCell="A27" sqref="A27:E34"/>
    </sheetView>
  </sheetViews>
  <sheetFormatPr baseColWidth="10" defaultRowHeight="14.4"/>
  <cols>
    <col width="26.77734375" bestFit="1" customWidth="1" min="1" max="1"/>
    <col width="7.88671875" bestFit="1" customWidth="1" min="2" max="2"/>
    <col width="8.6640625" bestFit="1" customWidth="1" min="3" max="3"/>
    <col width="5" bestFit="1" customWidth="1" min="4" max="4"/>
    <col width="6" bestFit="1" customWidth="1" min="5" max="5"/>
    <col width="7.44140625" bestFit="1" customWidth="1" min="6" max="6"/>
    <col width="12.5546875" bestFit="1" customWidth="1" min="7" max="7"/>
    <col width="9.88671875" bestFit="1" customWidth="1" min="8" max="8"/>
    <col width="15.33203125" bestFit="1" customWidth="1" min="9" max="9"/>
  </cols>
  <sheetData>
    <row r="1">
      <c r="A1" t="inlineStr">
        <is>
          <t>BUYING PLAN FINAL (ajustable)</t>
        </is>
      </c>
    </row>
    <row r="2">
      <c r="A2" t="inlineStr">
        <is>
          <t>Plant</t>
        </is>
      </c>
      <c r="B2" t="inlineStr">
        <is>
          <t>Material</t>
        </is>
      </c>
      <c r="C2" t="inlineStr">
        <is>
          <t>Quincena</t>
        </is>
      </c>
      <c r="D2" t="inlineStr">
        <is>
          <t>Lots</t>
        </is>
      </c>
      <c r="E2" t="inlineStr">
        <is>
          <t>Units</t>
        </is>
      </c>
      <c r="F2" t="inlineStr">
        <is>
          <t>Supplier</t>
        </is>
      </c>
      <c r="G2" t="inlineStr">
        <is>
          <t>Expected Cost</t>
        </is>
      </c>
      <c r="H2" t="inlineStr">
        <is>
          <t>Payment Q</t>
        </is>
      </c>
      <c r="I2" t="inlineStr">
        <is>
          <t>Notes</t>
        </is>
      </c>
    </row>
    <row r="3">
      <c r="A3" t="inlineStr">
        <is>
          <t>Centro</t>
        </is>
      </c>
      <c r="B3" t="inlineStr">
        <is>
          <t>Parte A</t>
        </is>
      </c>
      <c r="C3" t="inlineStr">
        <is>
          <t>Q1</t>
        </is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/>
      </c>
      <c r="E3">
        <f>D3*_xlfn.XLOOKUP(B3,Inputs!$A$35:$A$42,Inputs!$B$35:$B$42)</f>
        <v/>
      </c>
      <c r="F3">
        <f>IF(LEFT(B3,5)="Pieza","Unico",IF(B3="Parte A",Inputs!$B$69,IF(B3="Parte B",Inputs!$B$77,"A")))</f>
        <v/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/>
      </c>
      <c r="H3">
        <f>IF(C3="Q0","Q0",IF(LEFT(F3,5)="Unico",C3,IF(VALUE(MID(C3,2,2))+IF(F3="B",2,IF(F3="C",8,0))&gt;8,"Next period","Q"&amp;(VALUE(MID(C3,2,2))+IF(F3="B",2,IF(F3="C",8,0))))) )</f>
        <v/>
      </c>
      <c r="I3">
        <f>IF(LEFT(B3,5)="Pieza","Compra unica t=0","")</f>
        <v/>
      </c>
    </row>
    <row r="4">
      <c r="A4" t="inlineStr">
        <is>
          <t>Centro</t>
        </is>
      </c>
      <c r="B4" t="inlineStr">
        <is>
          <t>Parte A</t>
        </is>
      </c>
      <c r="C4" t="inlineStr">
        <is>
          <t>Q2</t>
        </is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/>
      </c>
      <c r="E4">
        <f>D4*_xlfn.XLOOKUP(B4,Inputs!$A$35:$A$42,Inputs!$B$35:$B$42)</f>
        <v/>
      </c>
      <c r="F4">
        <f>IF(LEFT(B4,5)="Pieza","Unico",IF(B4="Parte A",Inputs!$B$69,IF(B4="Parte B",Inputs!$B$77,"A")))</f>
        <v/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/>
      </c>
      <c r="H4">
        <f>IF(C4="Q0","Q0",IF(LEFT(F4,5)="Unico",C4,IF(VALUE(MID(C4,2,2))+IF(F4="B",2,IF(F4="C",8,0))&gt;8,"Next period","Q"&amp;(VALUE(MID(C4,2,2))+IF(F4="B",2,IF(F4="C",8,0))))) )</f>
        <v/>
      </c>
      <c r="I4">
        <f>IF(LEFT(B4,5)="Pieza","Compra unica t=0","")</f>
        <v/>
      </c>
    </row>
    <row r="5">
      <c r="A5" t="inlineStr">
        <is>
          <t>Centro</t>
        </is>
      </c>
      <c r="B5" t="inlineStr">
        <is>
          <t>Parte A</t>
        </is>
      </c>
      <c r="C5" t="inlineStr">
        <is>
          <t>Q3</t>
        </is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/>
      </c>
      <c r="E5">
        <f>D5*_xlfn.XLOOKUP(B5,Inputs!$A$35:$A$42,Inputs!$B$35:$B$42)</f>
        <v/>
      </c>
      <c r="F5">
        <f>IF(LEFT(B5,5)="Pieza","Unico",IF(B5="Parte A",Inputs!$B$69,IF(B5="Parte B",Inputs!$B$77,"A")))</f>
        <v/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/>
      </c>
      <c r="H5">
        <f>IF(C5="Q0","Q0",IF(LEFT(F5,5)="Unico",C5,IF(VALUE(MID(C5,2,2))+IF(F5="B",2,IF(F5="C",8,0))&gt;8,"Next period","Q"&amp;(VALUE(MID(C5,2,2))+IF(F5="B",2,IF(F5="C",8,0))))) )</f>
        <v/>
      </c>
      <c r="I5">
        <f>IF(LEFT(B5,5)="Pieza","Compra unica t=0","")</f>
        <v/>
      </c>
    </row>
    <row r="6">
      <c r="A6" t="inlineStr">
        <is>
          <t>Centro</t>
        </is>
      </c>
      <c r="B6" t="inlineStr">
        <is>
          <t>Parte A</t>
        </is>
      </c>
      <c r="C6" t="inlineStr">
        <is>
          <t>Q4</t>
        </is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/>
      </c>
      <c r="E6">
        <f>D6*_xlfn.XLOOKUP(B6,Inputs!$A$35:$A$42,Inputs!$B$35:$B$42)</f>
        <v/>
      </c>
      <c r="F6">
        <f>IF(LEFT(B6,5)="Pieza","Unico",IF(B6="Parte A",Inputs!$B$69,IF(B6="Parte B",Inputs!$B$77,"A")))</f>
        <v/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/>
      </c>
      <c r="H6">
        <f>IF(C6="Q0","Q0",IF(LEFT(F6,5)="Unico",C6,IF(VALUE(MID(C6,2,2))+IF(F6="B",2,IF(F6="C",8,0))&gt;8,"Next period","Q"&amp;(VALUE(MID(C6,2,2))+IF(F6="B",2,IF(F6="C",8,0))))) )</f>
        <v/>
      </c>
      <c r="I6">
        <f>IF(LEFT(B6,5)="Pieza","Compra unica t=0","")</f>
        <v/>
      </c>
    </row>
    <row r="7">
      <c r="A7" t="inlineStr">
        <is>
          <t>Centro</t>
        </is>
      </c>
      <c r="B7" t="inlineStr">
        <is>
          <t>Parte A</t>
        </is>
      </c>
      <c r="C7" t="inlineStr">
        <is>
          <t>Q5</t>
        </is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/>
      </c>
      <c r="E7">
        <f>D7*_xlfn.XLOOKUP(B7,Inputs!$A$35:$A$42,Inputs!$B$35:$B$42)</f>
        <v/>
      </c>
      <c r="F7">
        <f>IF(LEFT(B7,5)="Pieza","Unico",IF(B7="Parte A",Inputs!$B$69,IF(B7="Parte B",Inputs!$B$77,"A")))</f>
        <v/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/>
      </c>
      <c r="H7">
        <f>IF(C7="Q0","Q0",IF(LEFT(F7,5)="Unico",C7,IF(VALUE(MID(C7,2,2))+IF(F7="B",2,IF(F7="C",8,0))&gt;8,"Next period","Q"&amp;(VALUE(MID(C7,2,2))+IF(F7="B",2,IF(F7="C",8,0))))) )</f>
        <v/>
      </c>
      <c r="I7">
        <f>IF(LEFT(B7,5)="Pieza","Compra unica t=0","")</f>
        <v/>
      </c>
    </row>
    <row r="8">
      <c r="A8" t="inlineStr">
        <is>
          <t>Centro</t>
        </is>
      </c>
      <c r="B8" t="inlineStr">
        <is>
          <t>Parte A</t>
        </is>
      </c>
      <c r="C8" t="inlineStr">
        <is>
          <t>Q6</t>
        </is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/>
      </c>
      <c r="E8">
        <f>D8*_xlfn.XLOOKUP(B8,Inputs!$A$35:$A$42,Inputs!$B$35:$B$42)</f>
        <v/>
      </c>
      <c r="F8">
        <f>IF(LEFT(B8,5)="Pieza","Unico",IF(B8="Parte A",Inputs!$B$69,IF(B8="Parte B",Inputs!$B$77,"A")))</f>
        <v/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/>
      </c>
      <c r="H8">
        <f>IF(C8="Q0","Q0",IF(LEFT(F8,5)="Unico",C8,IF(VALUE(MID(C8,2,2))+IF(F8="B",2,IF(F8="C",8,0))&gt;8,"Next period","Q"&amp;(VALUE(MID(C8,2,2))+IF(F8="B",2,IF(F8="C",8,0))))) )</f>
        <v/>
      </c>
      <c r="I8">
        <f>IF(LEFT(B8,5)="Pieza","Compra unica t=0","")</f>
        <v/>
      </c>
    </row>
    <row r="9">
      <c r="A9" t="inlineStr">
        <is>
          <t>Centro</t>
        </is>
      </c>
      <c r="B9" t="inlineStr">
        <is>
          <t>Parte A</t>
        </is>
      </c>
      <c r="C9" t="inlineStr">
        <is>
          <t>Q7</t>
        </is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/>
      </c>
      <c r="E9">
        <f>D9*_xlfn.XLOOKUP(B9,Inputs!$A$35:$A$42,Inputs!$B$35:$B$42)</f>
        <v/>
      </c>
      <c r="F9">
        <f>IF(LEFT(B9,5)="Pieza","Unico",IF(B9="Parte A",Inputs!$B$69,IF(B9="Parte B",Inputs!$B$77,"A")))</f>
        <v/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/>
      </c>
      <c r="H9">
        <f>IF(C9="Q0","Q0",IF(LEFT(F9,5)="Unico",C9,IF(VALUE(MID(C9,2,2))+IF(F9="B",2,IF(F9="C",8,0))&gt;8,"Next period","Q"&amp;(VALUE(MID(C9,2,2))+IF(F9="B",2,IF(F9="C",8,0))))) )</f>
        <v/>
      </c>
      <c r="I9">
        <f>IF(LEFT(B9,5)="Pieza","Compra unica t=0","")</f>
        <v/>
      </c>
    </row>
    <row r="10">
      <c r="A10" t="inlineStr">
        <is>
          <t>Centro</t>
        </is>
      </c>
      <c r="B10" t="inlineStr">
        <is>
          <t>Parte A</t>
        </is>
      </c>
      <c r="C10" t="inlineStr">
        <is>
          <t>Q8</t>
        </is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/>
      </c>
      <c r="E10">
        <f>D10*_xlfn.XLOOKUP(B10,Inputs!$A$35:$A$42,Inputs!$B$35:$B$42)</f>
        <v/>
      </c>
      <c r="F10">
        <f>IF(LEFT(B10,5)="Pieza","Unico",IF(B10="Parte A",Inputs!$B$69,IF(B10="Parte B",Inputs!$B$77,"A")))</f>
        <v/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/>
      </c>
      <c r="H10">
        <f>IF(C10="Q0","Q0",IF(LEFT(F10,5)="Unico",C10,IF(VALUE(MID(C10,2,2))+IF(F10="B",2,IF(F10="C",8,0))&gt;8,"Next period","Q"&amp;(VALUE(MID(C10,2,2))+IF(F10="B",2,IF(F10="C",8,0))))) )</f>
        <v/>
      </c>
      <c r="I10">
        <f>IF(LEFT(B10,5)="Pieza","Compra unica t=0","")</f>
        <v/>
      </c>
    </row>
    <row r="11">
      <c r="A11" t="inlineStr">
        <is>
          <t>Centro</t>
        </is>
      </c>
      <c r="B11" t="inlineStr">
        <is>
          <t>Parte B</t>
        </is>
      </c>
      <c r="C11" t="inlineStr">
        <is>
          <t>Q1</t>
        </is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/>
      </c>
      <c r="E11">
        <f>D11*_xlfn.XLOOKUP(B11,Inputs!$A$35:$A$42,Inputs!$B$35:$B$42)</f>
        <v/>
      </c>
      <c r="F11">
        <f>IF(LEFT(B11,5)="Pieza","Unico",IF(B11="Parte A",Inputs!$B$69,IF(B11="Parte B",Inputs!$B$77,"A")))</f>
        <v/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/>
      </c>
      <c r="H11">
        <f>IF(C11="Q0","Q0",IF(LEFT(F11,5)="Unico",C11,IF(VALUE(MID(C11,2,2))+IF(F11="B",2,IF(F11="C",8,0))&gt;8,"Next period","Q"&amp;(VALUE(MID(C11,2,2))+IF(F11="B",2,IF(F11="C",8,0))))) )</f>
        <v/>
      </c>
      <c r="I11">
        <f>IF(LEFT(B11,5)="Pieza","Compra unica t=0","")</f>
        <v/>
      </c>
    </row>
    <row r="12">
      <c r="A12" t="inlineStr">
        <is>
          <t>Centro</t>
        </is>
      </c>
      <c r="B12" t="inlineStr">
        <is>
          <t>Parte B</t>
        </is>
      </c>
      <c r="C12" t="inlineStr">
        <is>
          <t>Q2</t>
        </is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/>
      </c>
      <c r="E12">
        <f>D12*_xlfn.XLOOKUP(B12,Inputs!$A$35:$A$42,Inputs!$B$35:$B$42)</f>
        <v/>
      </c>
      <c r="F12">
        <f>IF(LEFT(B12,5)="Pieza","Unico",IF(B12="Parte A",Inputs!$B$69,IF(B12="Parte B",Inputs!$B$77,"A")))</f>
        <v/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/>
      </c>
      <c r="H12">
        <f>IF(C12="Q0","Q0",IF(LEFT(F12,5)="Unico",C12,IF(VALUE(MID(C12,2,2))+IF(F12="B",2,IF(F12="C",8,0))&gt;8,"Next period","Q"&amp;(VALUE(MID(C12,2,2))+IF(F12="B",2,IF(F12="C",8,0))))) )</f>
        <v/>
      </c>
      <c r="I12">
        <f>IF(LEFT(B12,5)="Pieza","Compra unica t=0","")</f>
        <v/>
      </c>
    </row>
    <row r="13">
      <c r="A13" t="inlineStr">
        <is>
          <t>Centro</t>
        </is>
      </c>
      <c r="B13" t="inlineStr">
        <is>
          <t>Parte B</t>
        </is>
      </c>
      <c r="C13" t="inlineStr">
        <is>
          <t>Q3</t>
        </is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/>
      </c>
      <c r="E13">
        <f>D13*_xlfn.XLOOKUP(B13,Inputs!$A$35:$A$42,Inputs!$B$35:$B$42)</f>
        <v/>
      </c>
      <c r="F13">
        <f>IF(LEFT(B13,5)="Pieza","Unico",IF(B13="Parte A",Inputs!$B$69,IF(B13="Parte B",Inputs!$B$77,"A")))</f>
        <v/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/>
      </c>
      <c r="H13">
        <f>IF(C13="Q0","Q0",IF(LEFT(F13,5)="Unico",C13,IF(VALUE(MID(C13,2,2))+IF(F13="B",2,IF(F13="C",8,0))&gt;8,"Next period","Q"&amp;(VALUE(MID(C13,2,2))+IF(F13="B",2,IF(F13="C",8,0))))) )</f>
        <v/>
      </c>
      <c r="I13">
        <f>IF(LEFT(B13,5)="Pieza","Compra unica t=0","")</f>
        <v/>
      </c>
    </row>
    <row r="14">
      <c r="A14" t="inlineStr">
        <is>
          <t>Centro</t>
        </is>
      </c>
      <c r="B14" t="inlineStr">
        <is>
          <t>Parte B</t>
        </is>
      </c>
      <c r="C14" t="inlineStr">
        <is>
          <t>Q4</t>
        </is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/>
      </c>
      <c r="E14">
        <f>D14*_xlfn.XLOOKUP(B14,Inputs!$A$35:$A$42,Inputs!$B$35:$B$42)</f>
        <v/>
      </c>
      <c r="F14">
        <f>IF(LEFT(B14,5)="Pieza","Unico",IF(B14="Parte A",Inputs!$B$69,IF(B14="Parte B",Inputs!$B$77,"A")))</f>
        <v/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/>
      </c>
      <c r="H14">
        <f>IF(C14="Q0","Q0",IF(LEFT(F14,5)="Unico",C14,IF(VALUE(MID(C14,2,2))+IF(F14="B",2,IF(F14="C",8,0))&gt;8,"Next period","Q"&amp;(VALUE(MID(C14,2,2))+IF(F14="B",2,IF(F14="C",8,0))))) )</f>
        <v/>
      </c>
      <c r="I14">
        <f>IF(LEFT(B14,5)="Pieza","Compra unica t=0","")</f>
        <v/>
      </c>
    </row>
    <row r="15">
      <c r="A15" t="inlineStr">
        <is>
          <t>Centro</t>
        </is>
      </c>
      <c r="B15" t="inlineStr">
        <is>
          <t>Parte B</t>
        </is>
      </c>
      <c r="C15" t="inlineStr">
        <is>
          <t>Q5</t>
        </is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/>
      </c>
      <c r="E15">
        <f>D15*_xlfn.XLOOKUP(B15,Inputs!$A$35:$A$42,Inputs!$B$35:$B$42)</f>
        <v/>
      </c>
      <c r="F15">
        <f>IF(LEFT(B15,5)="Pieza","Unico",IF(B15="Parte A",Inputs!$B$69,IF(B15="Parte B",Inputs!$B$77,"A")))</f>
        <v/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/>
      </c>
      <c r="H15">
        <f>IF(C15="Q0","Q0",IF(LEFT(F15,5)="Unico",C15,IF(VALUE(MID(C15,2,2))+IF(F15="B",2,IF(F15="C",8,0))&gt;8,"Next period","Q"&amp;(VALUE(MID(C15,2,2))+IF(F15="B",2,IF(F15="C",8,0))))) )</f>
        <v/>
      </c>
      <c r="I15">
        <f>IF(LEFT(B15,5)="Pieza","Compra unica t=0","")</f>
        <v/>
      </c>
    </row>
    <row r="16">
      <c r="A16" t="inlineStr">
        <is>
          <t>Centro</t>
        </is>
      </c>
      <c r="B16" t="inlineStr">
        <is>
          <t>Parte B</t>
        </is>
      </c>
      <c r="C16" t="inlineStr">
        <is>
          <t>Q6</t>
        </is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/>
      </c>
      <c r="E16">
        <f>D16*_xlfn.XLOOKUP(B16,Inputs!$A$35:$A$42,Inputs!$B$35:$B$42)</f>
        <v/>
      </c>
      <c r="F16">
        <f>IF(LEFT(B16,5)="Pieza","Unico",IF(B16="Parte A",Inputs!$B$69,IF(B16="Parte B",Inputs!$B$77,"A")))</f>
        <v/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/>
      </c>
      <c r="H16">
        <f>IF(C16="Q0","Q0",IF(LEFT(F16,5)="Unico",C16,IF(VALUE(MID(C16,2,2))+IF(F16="B",2,IF(F16="C",8,0))&gt;8,"Next period","Q"&amp;(VALUE(MID(C16,2,2))+IF(F16="B",2,IF(F16="C",8,0))))) )</f>
        <v/>
      </c>
      <c r="I16">
        <f>IF(LEFT(B16,5)="Pieza","Compra unica t=0","")</f>
        <v/>
      </c>
    </row>
    <row r="17">
      <c r="A17" t="inlineStr">
        <is>
          <t>Centro</t>
        </is>
      </c>
      <c r="B17" t="inlineStr">
        <is>
          <t>Parte B</t>
        </is>
      </c>
      <c r="C17" t="inlineStr">
        <is>
          <t>Q7</t>
        </is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/>
      </c>
      <c r="E17">
        <f>D17*_xlfn.XLOOKUP(B17,Inputs!$A$35:$A$42,Inputs!$B$35:$B$42)</f>
        <v/>
      </c>
      <c r="F17">
        <f>IF(LEFT(B17,5)="Pieza","Unico",IF(B17="Parte A",Inputs!$B$69,IF(B17="Parte B",Inputs!$B$77,"A")))</f>
        <v/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/>
      </c>
      <c r="H17">
        <f>IF(C17="Q0","Q0",IF(LEFT(F17,5)="Unico",C17,IF(VALUE(MID(C17,2,2))+IF(F17="B",2,IF(F17="C",8,0))&gt;8,"Next period","Q"&amp;(VALUE(MID(C17,2,2))+IF(F17="B",2,IF(F17="C",8,0))))) )</f>
        <v/>
      </c>
      <c r="I17">
        <f>IF(LEFT(B17,5)="Pieza","Compra unica t=0","")</f>
        <v/>
      </c>
    </row>
    <row r="18">
      <c r="A18" t="inlineStr">
        <is>
          <t>Centro</t>
        </is>
      </c>
      <c r="B18" t="inlineStr">
        <is>
          <t>Parte B</t>
        </is>
      </c>
      <c r="C18" t="inlineStr">
        <is>
          <t>Q8</t>
        </is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/>
      </c>
      <c r="E18">
        <f>D18*_xlfn.XLOOKUP(B18,Inputs!$A$35:$A$42,Inputs!$B$35:$B$42)</f>
        <v/>
      </c>
      <c r="F18">
        <f>IF(LEFT(B18,5)="Pieza","Unico",IF(B18="Parte A",Inputs!$B$69,IF(B18="Parte B",Inputs!$B$77,"A")))</f>
        <v/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/>
      </c>
      <c r="H18">
        <f>IF(C18="Q0","Q0",IF(LEFT(F18,5)="Unico",C18,IF(VALUE(MID(C18,2,2))+IF(F18="B",2,IF(F18="C",8,0))&gt;8,"Next period","Q"&amp;(VALUE(MID(C18,2,2))+IF(F18="B",2,IF(F18="C",8,0))))) )</f>
        <v/>
      </c>
      <c r="I18">
        <f>IF(LEFT(B18,5)="Pieza","Compra unica t=0","")</f>
        <v/>
      </c>
    </row>
    <row r="19">
      <c r="A19" t="inlineStr">
        <is>
          <t>Oeste</t>
        </is>
      </c>
      <c r="B19" t="inlineStr">
        <is>
          <t>Parte A</t>
        </is>
      </c>
      <c r="C19" t="inlineStr">
        <is>
          <t>Q1</t>
        </is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/>
      </c>
      <c r="E19">
        <f>D19*_xlfn.XLOOKUP(B19,Inputs!$A$35:$A$42,Inputs!$B$35:$B$42)</f>
        <v/>
      </c>
      <c r="F19">
        <f>IF(LEFT(B19,5)="Pieza","Unico",IF(B19="Parte A",Inputs!$B$69,IF(B19="Parte B",Inputs!$B$77,"A")))</f>
        <v/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/>
      </c>
      <c r="H19">
        <f>IF(C19="Q0","Q0",IF(LEFT(F19,5)="Unico",C19,IF(VALUE(MID(C19,2,2))+IF(F19="B",2,IF(F19="C",8,0))&gt;8,"Next period","Q"&amp;(VALUE(MID(C19,2,2))+IF(F19="B",2,IF(F19="C",8,0))))) )</f>
        <v/>
      </c>
      <c r="I19">
        <f>IF(LEFT(B19,5)="Pieza","Compra unica t=0","")</f>
        <v/>
      </c>
    </row>
    <row r="20">
      <c r="A20" t="inlineStr">
        <is>
          <t>Oeste</t>
        </is>
      </c>
      <c r="B20" t="inlineStr">
        <is>
          <t>Parte A</t>
        </is>
      </c>
      <c r="C20" t="inlineStr">
        <is>
          <t>Q2</t>
        </is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/>
      </c>
      <c r="E20">
        <f>D20*_xlfn.XLOOKUP(B20,Inputs!$A$35:$A$42,Inputs!$B$35:$B$42)</f>
        <v/>
      </c>
      <c r="F20">
        <f>IF(LEFT(B20,5)="Pieza","Unico",IF(B20="Parte A",Inputs!$B$69,IF(B20="Parte B",Inputs!$B$77,"A")))</f>
        <v/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/>
      </c>
      <c r="H20">
        <f>IF(C20="Q0","Q0",IF(LEFT(F20,5)="Unico",C20,IF(VALUE(MID(C20,2,2))+IF(F20="B",2,IF(F20="C",8,0))&gt;8,"Next period","Q"&amp;(VALUE(MID(C20,2,2))+IF(F20="B",2,IF(F20="C",8,0))))) )</f>
        <v/>
      </c>
      <c r="I20">
        <f>IF(LEFT(B20,5)="Pieza","Compra unica t=0","")</f>
        <v/>
      </c>
    </row>
    <row r="21">
      <c r="A21" t="inlineStr">
        <is>
          <t>Oeste</t>
        </is>
      </c>
      <c r="B21" t="inlineStr">
        <is>
          <t>Parte A</t>
        </is>
      </c>
      <c r="C21" t="inlineStr">
        <is>
          <t>Q3</t>
        </is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/>
      </c>
      <c r="E21">
        <f>D21*_xlfn.XLOOKUP(B21,Inputs!$A$35:$A$42,Inputs!$B$35:$B$42)</f>
        <v/>
      </c>
      <c r="F21">
        <f>IF(LEFT(B21,5)="Pieza","Unico",IF(B21="Parte A",Inputs!$B$69,IF(B21="Parte B",Inputs!$B$77,"A")))</f>
        <v/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/>
      </c>
      <c r="H21">
        <f>IF(C21="Q0","Q0",IF(LEFT(F21,5)="Unico",C21,IF(VALUE(MID(C21,2,2))+IF(F21="B",2,IF(F21="C",8,0))&gt;8,"Next period","Q"&amp;(VALUE(MID(C21,2,2))+IF(F21="B",2,IF(F21="C",8,0))))) )</f>
        <v/>
      </c>
      <c r="I21">
        <f>IF(LEFT(B21,5)="Pieza","Compra unica t=0","")</f>
        <v/>
      </c>
    </row>
    <row r="22">
      <c r="A22" t="inlineStr">
        <is>
          <t>Oeste</t>
        </is>
      </c>
      <c r="B22" t="inlineStr">
        <is>
          <t>Parte A</t>
        </is>
      </c>
      <c r="C22" t="inlineStr">
        <is>
          <t>Q4</t>
        </is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/>
      </c>
      <c r="E22">
        <f>D22*_xlfn.XLOOKUP(B22,Inputs!$A$35:$A$42,Inputs!$B$35:$B$42)</f>
        <v/>
      </c>
      <c r="F22">
        <f>IF(LEFT(B22,5)="Pieza","Unico",IF(B22="Parte A",Inputs!$B$69,IF(B22="Parte B",Inputs!$B$77,"A")))</f>
        <v/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/>
      </c>
      <c r="H22">
        <f>IF(C22="Q0","Q0",IF(LEFT(F22,5)="Unico",C22,IF(VALUE(MID(C22,2,2))+IF(F22="B",2,IF(F22="C",8,0))&gt;8,"Next period","Q"&amp;(VALUE(MID(C22,2,2))+IF(F22="B",2,IF(F22="C",8,0))))) )</f>
        <v/>
      </c>
      <c r="I22">
        <f>IF(LEFT(B22,5)="Pieza","Compra unica t=0","")</f>
        <v/>
      </c>
    </row>
    <row r="23">
      <c r="A23" t="inlineStr">
        <is>
          <t>Oeste</t>
        </is>
      </c>
      <c r="B23" t="inlineStr">
        <is>
          <t>Parte A</t>
        </is>
      </c>
      <c r="C23" t="inlineStr">
        <is>
          <t>Q5</t>
        </is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/>
      </c>
      <c r="E23">
        <f>D23*_xlfn.XLOOKUP(B23,Inputs!$A$35:$A$42,Inputs!$B$35:$B$42)</f>
        <v/>
      </c>
      <c r="F23">
        <f>IF(LEFT(B23,5)="Pieza","Unico",IF(B23="Parte A",Inputs!$B$69,IF(B23="Parte B",Inputs!$B$77,"A")))</f>
        <v/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/>
      </c>
      <c r="H23">
        <f>IF(C23="Q0","Q0",IF(LEFT(F23,5)="Unico",C23,IF(VALUE(MID(C23,2,2))+IF(F23="B",2,IF(F23="C",8,0))&gt;8,"Next period","Q"&amp;(VALUE(MID(C23,2,2))+IF(F23="B",2,IF(F23="C",8,0))))) )</f>
        <v/>
      </c>
      <c r="I23">
        <f>IF(LEFT(B23,5)="Pieza","Compra unica t=0","")</f>
        <v/>
      </c>
    </row>
    <row r="24">
      <c r="A24" t="inlineStr">
        <is>
          <t>Oeste</t>
        </is>
      </c>
      <c r="B24" t="inlineStr">
        <is>
          <t>Parte A</t>
        </is>
      </c>
      <c r="C24" t="inlineStr">
        <is>
          <t>Q6</t>
        </is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/>
      </c>
      <c r="E24">
        <f>D24*_xlfn.XLOOKUP(B24,Inputs!$A$35:$A$42,Inputs!$B$35:$B$42)</f>
        <v/>
      </c>
      <c r="F24">
        <f>IF(LEFT(B24,5)="Pieza","Unico",IF(B24="Parte A",Inputs!$B$69,IF(B24="Parte B",Inputs!$B$77,"A")))</f>
        <v/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/>
      </c>
      <c r="H24">
        <f>IF(C24="Q0","Q0",IF(LEFT(F24,5)="Unico",C24,IF(VALUE(MID(C24,2,2))+IF(F24="B",2,IF(F24="C",8,0))&gt;8,"Next period","Q"&amp;(VALUE(MID(C24,2,2))+IF(F24="B",2,IF(F24="C",8,0))))) )</f>
        <v/>
      </c>
      <c r="I24">
        <f>IF(LEFT(B24,5)="Pieza","Compra unica t=0","")</f>
        <v/>
      </c>
    </row>
    <row r="25">
      <c r="A25" t="inlineStr">
        <is>
          <t>Oeste</t>
        </is>
      </c>
      <c r="B25" t="inlineStr">
        <is>
          <t>Parte A</t>
        </is>
      </c>
      <c r="C25" t="inlineStr">
        <is>
          <t>Q7</t>
        </is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/>
      </c>
      <c r="E25">
        <f>D25*_xlfn.XLOOKUP(B25,Inputs!$A$35:$A$42,Inputs!$B$35:$B$42)</f>
        <v/>
      </c>
      <c r="F25">
        <f>IF(LEFT(B25,5)="Pieza","Unico",IF(B25="Parte A",Inputs!$B$69,IF(B25="Parte B",Inputs!$B$77,"A")))</f>
        <v/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/>
      </c>
      <c r="H25">
        <f>IF(C25="Q0","Q0",IF(LEFT(F25,5)="Unico",C25,IF(VALUE(MID(C25,2,2))+IF(F25="B",2,IF(F25="C",8,0))&gt;8,"Next period","Q"&amp;(VALUE(MID(C25,2,2))+IF(F25="B",2,IF(F25="C",8,0))))) )</f>
        <v/>
      </c>
      <c r="I25">
        <f>IF(LEFT(B25,5)="Pieza","Compra unica t=0","")</f>
        <v/>
      </c>
    </row>
    <row r="26">
      <c r="A26" t="inlineStr">
        <is>
          <t>Oeste</t>
        </is>
      </c>
      <c r="B26" t="inlineStr">
        <is>
          <t>Parte A</t>
        </is>
      </c>
      <c r="C26" t="inlineStr">
        <is>
          <t>Q8</t>
        </is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/>
      </c>
      <c r="E26">
        <f>D26*_xlfn.XLOOKUP(B26,Inputs!$A$35:$A$42,Inputs!$B$35:$B$42)</f>
        <v/>
      </c>
      <c r="F26">
        <f>IF(LEFT(B26,5)="Pieza","Unico",IF(B26="Parte A",Inputs!$B$69,IF(B26="Parte B",Inputs!$B$77,"A")))</f>
        <v/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/>
      </c>
      <c r="H26">
        <f>IF(C26="Q0","Q0",IF(LEFT(F26,5)="Unico",C26,IF(VALUE(MID(C26,2,2))+IF(F26="B",2,IF(F26="C",8,0))&gt;8,"Next period","Q"&amp;(VALUE(MID(C26,2,2))+IF(F26="B",2,IF(F26="C",8,0))))) )</f>
        <v/>
      </c>
      <c r="I26">
        <f>IF(LEFT(B26,5)="Pieza","Compra unica t=0","")</f>
        <v/>
      </c>
    </row>
    <row r="27">
      <c r="A27" t="inlineStr">
        <is>
          <t>Oeste</t>
        </is>
      </c>
      <c r="B27" t="inlineStr">
        <is>
          <t>Parte B</t>
        </is>
      </c>
      <c r="C27" t="inlineStr">
        <is>
          <t>Q1</t>
        </is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/>
      </c>
      <c r="E27">
        <f>D27*_xlfn.XLOOKUP(B27,Inputs!$A$35:$A$42,Inputs!$B$35:$B$42)</f>
        <v/>
      </c>
      <c r="F27">
        <f>IF(LEFT(B27,5)="Pieza","Unico",IF(B27="Parte A",Inputs!$B$69,IF(B27="Parte B",Inputs!$B$77,"A")))</f>
        <v/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/>
      </c>
      <c r="H27">
        <f>IF(C27="Q0","Q0",IF(LEFT(F27,5)="Unico",C27,IF(VALUE(MID(C27,2,2))+IF(F27="B",2,IF(F27="C",8,0))&gt;8,"Next period","Q"&amp;(VALUE(MID(C27,2,2))+IF(F27="B",2,IF(F27="C",8,0))))) )</f>
        <v/>
      </c>
      <c r="I27">
        <f>IF(LEFT(B27,5)="Pieza","Compra unica t=0","")</f>
        <v/>
      </c>
    </row>
    <row r="28">
      <c r="A28" t="inlineStr">
        <is>
          <t>Oeste</t>
        </is>
      </c>
      <c r="B28" t="inlineStr">
        <is>
          <t>Parte B</t>
        </is>
      </c>
      <c r="C28" t="inlineStr">
        <is>
          <t>Q2</t>
        </is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/>
      </c>
      <c r="E28">
        <f>D28*_xlfn.XLOOKUP(B28,Inputs!$A$35:$A$42,Inputs!$B$35:$B$42)</f>
        <v/>
      </c>
      <c r="F28">
        <f>IF(LEFT(B28,5)="Pieza","Unico",IF(B28="Parte A",Inputs!$B$69,IF(B28="Parte B",Inputs!$B$77,"A")))</f>
        <v/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/>
      </c>
      <c r="H28">
        <f>IF(C28="Q0","Q0",IF(LEFT(F28,5)="Unico",C28,IF(VALUE(MID(C28,2,2))+IF(F28="B",2,IF(F28="C",8,0))&gt;8,"Next period","Q"&amp;(VALUE(MID(C28,2,2))+IF(F28="B",2,IF(F28="C",8,0))))) )</f>
        <v/>
      </c>
      <c r="I28">
        <f>IF(LEFT(B28,5)="Pieza","Compra unica t=0","")</f>
        <v/>
      </c>
    </row>
    <row r="29">
      <c r="A29" t="inlineStr">
        <is>
          <t>Oeste</t>
        </is>
      </c>
      <c r="B29" t="inlineStr">
        <is>
          <t>Parte B</t>
        </is>
      </c>
      <c r="C29" t="inlineStr">
        <is>
          <t>Q3</t>
        </is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/>
      </c>
      <c r="E29">
        <f>D29*_xlfn.XLOOKUP(B29,Inputs!$A$35:$A$42,Inputs!$B$35:$B$42)</f>
        <v/>
      </c>
      <c r="F29">
        <f>IF(LEFT(B29,5)="Pieza","Unico",IF(B29="Parte A",Inputs!$B$69,IF(B29="Parte B",Inputs!$B$77,"A")))</f>
        <v/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/>
      </c>
      <c r="H29">
        <f>IF(C29="Q0","Q0",IF(LEFT(F29,5)="Unico",C29,IF(VALUE(MID(C29,2,2))+IF(F29="B",2,IF(F29="C",8,0))&gt;8,"Next period","Q"&amp;(VALUE(MID(C29,2,2))+IF(F29="B",2,IF(F29="C",8,0))))) )</f>
        <v/>
      </c>
      <c r="I29">
        <f>IF(LEFT(B29,5)="Pieza","Compra unica t=0","")</f>
        <v/>
      </c>
    </row>
    <row r="30">
      <c r="A30" t="inlineStr">
        <is>
          <t>Oeste</t>
        </is>
      </c>
      <c r="B30" t="inlineStr">
        <is>
          <t>Parte B</t>
        </is>
      </c>
      <c r="C30" t="inlineStr">
        <is>
          <t>Q4</t>
        </is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/>
      </c>
      <c r="E30">
        <f>D30*_xlfn.XLOOKUP(B30,Inputs!$A$35:$A$42,Inputs!$B$35:$B$42)</f>
        <v/>
      </c>
      <c r="F30">
        <f>IF(LEFT(B30,5)="Pieza","Unico",IF(B30="Parte A",Inputs!$B$69,IF(B30="Parte B",Inputs!$B$77,"A")))</f>
        <v/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/>
      </c>
      <c r="H30">
        <f>IF(C30="Q0","Q0",IF(LEFT(F30,5)="Unico",C30,IF(VALUE(MID(C30,2,2))+IF(F30="B",2,IF(F30="C",8,0))&gt;8,"Next period","Q"&amp;(VALUE(MID(C30,2,2))+IF(F30="B",2,IF(F30="C",8,0))))) )</f>
        <v/>
      </c>
      <c r="I30">
        <f>IF(LEFT(B30,5)="Pieza","Compra unica t=0","")</f>
        <v/>
      </c>
    </row>
    <row r="31">
      <c r="A31" t="inlineStr">
        <is>
          <t>Oeste</t>
        </is>
      </c>
      <c r="B31" t="inlineStr">
        <is>
          <t>Parte B</t>
        </is>
      </c>
      <c r="C31" t="inlineStr">
        <is>
          <t>Q5</t>
        </is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/>
      </c>
      <c r="E31">
        <f>D31*_xlfn.XLOOKUP(B31,Inputs!$A$35:$A$42,Inputs!$B$35:$B$42)</f>
        <v/>
      </c>
      <c r="F31">
        <f>IF(LEFT(B31,5)="Pieza","Unico",IF(B31="Parte A",Inputs!$B$69,IF(B31="Parte B",Inputs!$B$77,"A")))</f>
        <v/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/>
      </c>
      <c r="H31">
        <f>IF(C31="Q0","Q0",IF(LEFT(F31,5)="Unico",C31,IF(VALUE(MID(C31,2,2))+IF(F31="B",2,IF(F31="C",8,0))&gt;8,"Next period","Q"&amp;(VALUE(MID(C31,2,2))+IF(F31="B",2,IF(F31="C",8,0))))) )</f>
        <v/>
      </c>
      <c r="I31">
        <f>IF(LEFT(B31,5)="Pieza","Compra unica t=0","")</f>
        <v/>
      </c>
    </row>
    <row r="32">
      <c r="A32" t="inlineStr">
        <is>
          <t>Oeste</t>
        </is>
      </c>
      <c r="B32" t="inlineStr">
        <is>
          <t>Parte B</t>
        </is>
      </c>
      <c r="C32" t="inlineStr">
        <is>
          <t>Q6</t>
        </is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/>
      </c>
      <c r="E32">
        <f>D32*_xlfn.XLOOKUP(B32,Inputs!$A$35:$A$42,Inputs!$B$35:$B$42)</f>
        <v/>
      </c>
      <c r="F32">
        <f>IF(LEFT(B32,5)="Pieza","Unico",IF(B32="Parte A",Inputs!$B$69,IF(B32="Parte B",Inputs!$B$77,"A")))</f>
        <v/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/>
      </c>
      <c r="H32">
        <f>IF(C32="Q0","Q0",IF(LEFT(F32,5)="Unico",C32,IF(VALUE(MID(C32,2,2))+IF(F32="B",2,IF(F32="C",8,0))&gt;8,"Next period","Q"&amp;(VALUE(MID(C32,2,2))+IF(F32="B",2,IF(F32="C",8,0))))) )</f>
        <v/>
      </c>
      <c r="I32">
        <f>IF(LEFT(B32,5)="Pieza","Compra unica t=0","")</f>
        <v/>
      </c>
    </row>
    <row r="33">
      <c r="A33" t="inlineStr">
        <is>
          <t>Oeste</t>
        </is>
      </c>
      <c r="B33" t="inlineStr">
        <is>
          <t>Parte B</t>
        </is>
      </c>
      <c r="C33" t="inlineStr">
        <is>
          <t>Q7</t>
        </is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/>
      </c>
      <c r="E33">
        <f>D33*_xlfn.XLOOKUP(B33,Inputs!$A$35:$A$42,Inputs!$B$35:$B$42)</f>
        <v/>
      </c>
      <c r="F33">
        <f>IF(LEFT(B33,5)="Pieza","Unico",IF(B33="Parte A",Inputs!$B$69,IF(B33="Parte B",Inputs!$B$77,"A")))</f>
        <v/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/>
      </c>
      <c r="H33">
        <f>IF(C33="Q0","Q0",IF(LEFT(F33,5)="Unico",C33,IF(VALUE(MID(C33,2,2))+IF(F33="B",2,IF(F33="C",8,0))&gt;8,"Next period","Q"&amp;(VALUE(MID(C33,2,2))+IF(F33="B",2,IF(F33="C",8,0))))) )</f>
        <v/>
      </c>
      <c r="I33">
        <f>IF(LEFT(B33,5)="Pieza","Compra unica t=0","")</f>
        <v/>
      </c>
    </row>
    <row r="34">
      <c r="A34" t="inlineStr">
        <is>
          <t>Oeste</t>
        </is>
      </c>
      <c r="B34" t="inlineStr">
        <is>
          <t>Parte B</t>
        </is>
      </c>
      <c r="C34" t="inlineStr">
        <is>
          <t>Q8</t>
        </is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/>
      </c>
      <c r="E34">
        <f>D34*_xlfn.XLOOKUP(B34,Inputs!$A$35:$A$42,Inputs!$B$35:$B$42)</f>
        <v/>
      </c>
      <c r="F34">
        <f>IF(LEFT(B34,5)="Pieza","Unico",IF(B34="Parte A",Inputs!$B$69,IF(B34="Parte B",Inputs!$B$77,"A")))</f>
        <v/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/>
      </c>
      <c r="H34">
        <f>IF(C34="Q0","Q0",IF(LEFT(F34,5)="Unico",C34,IF(VALUE(MID(C34,2,2))+IF(F34="B",2,IF(F34="C",8,0))&gt;8,"Next period","Q"&amp;(VALUE(MID(C34,2,2))+IF(F34="B",2,IF(F34="C",8,0))))) )</f>
        <v/>
      </c>
      <c r="I34">
        <f>IF(LEFT(B34,5)="Pieza","Compra unica t=0","")</f>
        <v/>
      </c>
    </row>
    <row r="35">
      <c r="A35" t="inlineStr">
        <is>
          <t>Centro</t>
        </is>
      </c>
      <c r="B35" t="inlineStr">
        <is>
          <t>Pieza 1</t>
        </is>
      </c>
      <c r="C35" t="inlineStr">
        <is>
          <t>Q0</t>
        </is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/>
      </c>
      <c r="E35">
        <f>D35*_xlfn.XLOOKUP(B35,Inputs!$A$35:$A$42,Inputs!$B$35:$B$42)</f>
        <v/>
      </c>
      <c r="F35">
        <f>IF(LEFT(B35,5)="Pieza","Unico",IF(B35="Parte A",Inputs!$B$69,IF(B35="Parte B",Inputs!$B$77,"A")))</f>
        <v/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/>
      </c>
      <c r="H35">
        <f>IF(C35="Q0","Q0",IF(LEFT(F35,5)="Unico",C35,IF(VALUE(MID(C35,2,2))+IF(F35="B",2,IF(F35="C",8,0))&gt;8,"Next period","Q"&amp;(VALUE(MID(C35,2,2))+IF(F35="B",2,IF(F35="C",8,0))))) )</f>
        <v/>
      </c>
      <c r="I35">
        <f>IF(LEFT(B35,5)="Pieza","Compra unica t=0","")</f>
        <v/>
      </c>
    </row>
    <row r="36">
      <c r="A36" t="inlineStr">
        <is>
          <t>Centro</t>
        </is>
      </c>
      <c r="B36" t="inlineStr">
        <is>
          <t>Pieza 2</t>
        </is>
      </c>
      <c r="C36" t="inlineStr">
        <is>
          <t>Q0</t>
        </is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/>
      </c>
      <c r="E36">
        <f>D36*_xlfn.XLOOKUP(B36,Inputs!$A$35:$A$42,Inputs!$B$35:$B$42)</f>
        <v/>
      </c>
      <c r="F36">
        <f>IF(LEFT(B36,5)="Pieza","Unico",IF(B36="Parte A",Inputs!$B$69,IF(B36="Parte B",Inputs!$B$77,"A")))</f>
        <v/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/>
      </c>
      <c r="H36">
        <f>IF(C36="Q0","Q0",IF(LEFT(F36,5)="Unico",C36,IF(VALUE(MID(C36,2,2))+IF(F36="B",2,IF(F36="C",8,0))&gt;8,"Next period","Q"&amp;(VALUE(MID(C36,2,2))+IF(F36="B",2,IF(F36="C",8,0))))) )</f>
        <v/>
      </c>
      <c r="I36">
        <f>IF(LEFT(B36,5)="Pieza","Compra unica t=0","")</f>
        <v/>
      </c>
    </row>
    <row r="37">
      <c r="A37" t="inlineStr">
        <is>
          <t>Centro</t>
        </is>
      </c>
      <c r="B37" t="inlineStr">
        <is>
          <t>Pieza 3</t>
        </is>
      </c>
      <c r="C37" t="inlineStr">
        <is>
          <t>Q0</t>
        </is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/>
      </c>
      <c r="E37">
        <f>D37*_xlfn.XLOOKUP(B37,Inputs!$A$35:$A$42,Inputs!$B$35:$B$42)</f>
        <v/>
      </c>
      <c r="F37">
        <f>IF(LEFT(B37,5)="Pieza","Unico",IF(B37="Parte A",Inputs!$B$69,IF(B37="Parte B",Inputs!$B$77,"A")))</f>
        <v/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/>
      </c>
      <c r="H37">
        <f>IF(C37="Q0","Q0",IF(LEFT(F37,5)="Unico",C37,IF(VALUE(MID(C37,2,2))+IF(F37="B",2,IF(F37="C",8,0))&gt;8,"Next period","Q"&amp;(VALUE(MID(C37,2,2))+IF(F37="B",2,IF(F37="C",8,0))))) )</f>
        <v/>
      </c>
      <c r="I37">
        <f>IF(LEFT(B37,5)="Pieza","Compra unica t=0","")</f>
        <v/>
      </c>
    </row>
    <row r="38">
      <c r="A38" t="inlineStr">
        <is>
          <t>Centro</t>
        </is>
      </c>
      <c r="B38" t="inlineStr">
        <is>
          <t>Pieza 4</t>
        </is>
      </c>
      <c r="C38" t="inlineStr">
        <is>
          <t>Q0</t>
        </is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/>
      </c>
      <c r="E38">
        <f>D38*_xlfn.XLOOKUP(B38,Inputs!$A$35:$A$42,Inputs!$B$35:$B$42)</f>
        <v/>
      </c>
      <c r="F38">
        <f>IF(LEFT(B38,5)="Pieza","Unico",IF(B38="Parte A",Inputs!$B$69,IF(B38="Parte B",Inputs!$B$77,"A")))</f>
        <v/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/>
      </c>
      <c r="H38">
        <f>IF(C38="Q0","Q0",IF(LEFT(F38,5)="Unico",C38,IF(VALUE(MID(C38,2,2))+IF(F38="B",2,IF(F38="C",8,0))&gt;8,"Next period","Q"&amp;(VALUE(MID(C38,2,2))+IF(F38="B",2,IF(F38="C",8,0))))) )</f>
        <v/>
      </c>
      <c r="I38">
        <f>IF(LEFT(B38,5)="Pieza","Compra unica t=0","")</f>
        <v/>
      </c>
    </row>
    <row r="39">
      <c r="A39" t="inlineStr">
        <is>
          <t>Centro</t>
        </is>
      </c>
      <c r="B39" t="inlineStr">
        <is>
          <t>Pieza 5</t>
        </is>
      </c>
      <c r="C39" t="inlineStr">
        <is>
          <t>Q0</t>
        </is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/>
      </c>
      <c r="E39">
        <f>D39*_xlfn.XLOOKUP(B39,Inputs!$A$35:$A$42,Inputs!$B$35:$B$42)</f>
        <v/>
      </c>
      <c r="F39">
        <f>IF(LEFT(B39,5)="Pieza","Unico",IF(B39="Parte A",Inputs!$B$69,IF(B39="Parte B",Inputs!$B$77,"A")))</f>
        <v/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/>
      </c>
      <c r="H39">
        <f>IF(C39="Q0","Q0",IF(LEFT(F39,5)="Unico",C39,IF(VALUE(MID(C39,2,2))+IF(F39="B",2,IF(F39="C",8,0))&gt;8,"Next period","Q"&amp;(VALUE(MID(C39,2,2))+IF(F39="B",2,IF(F39="C",8,0))))) )</f>
        <v/>
      </c>
      <c r="I39">
        <f>IF(LEFT(B39,5)="Pieza","Compra unica t=0","")</f>
        <v/>
      </c>
    </row>
    <row r="40">
      <c r="A40" t="inlineStr">
        <is>
          <t>Centro</t>
        </is>
      </c>
      <c r="B40" t="inlineStr">
        <is>
          <t>Pieza 6</t>
        </is>
      </c>
      <c r="C40" t="inlineStr">
        <is>
          <t>Q0</t>
        </is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/>
      </c>
      <c r="E40">
        <f>D40*_xlfn.XLOOKUP(B40,Inputs!$A$35:$A$42,Inputs!$B$35:$B$42)</f>
        <v/>
      </c>
      <c r="F40">
        <f>IF(LEFT(B40,5)="Pieza","Unico",IF(B40="Parte A",Inputs!$B$69,IF(B40="Parte B",Inputs!$B$77,"A")))</f>
        <v/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/>
      </c>
      <c r="H40">
        <f>IF(C40="Q0","Q0",IF(LEFT(F40,5)="Unico",C40,IF(VALUE(MID(C40,2,2))+IF(F40="B",2,IF(F40="C",8,0))&gt;8,"Next period","Q"&amp;(VALUE(MID(C40,2,2))+IF(F40="B",2,IF(F40="C",8,0))))) )</f>
        <v/>
      </c>
      <c r="I40">
        <f>IF(LEFT(B40,5)="Pieza","Compra unica t=0","")</f>
        <v/>
      </c>
    </row>
    <row r="41">
      <c r="A41" t="inlineStr">
        <is>
          <t>Oeste</t>
        </is>
      </c>
      <c r="B41" t="inlineStr">
        <is>
          <t>Pieza 1</t>
        </is>
      </c>
      <c r="C41" t="inlineStr">
        <is>
          <t>Q0</t>
        </is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/>
      </c>
      <c r="E41">
        <f>D41*_xlfn.XLOOKUP(B41,Inputs!$A$35:$A$42,Inputs!$B$35:$B$42)</f>
        <v/>
      </c>
      <c r="F41">
        <f>IF(LEFT(B41,5)="Pieza","Unico",IF(B41="Parte A",Inputs!$B$69,IF(B41="Parte B",Inputs!$B$77,"A")))</f>
        <v/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/>
      </c>
      <c r="H41">
        <f>IF(C41="Q0","Q0",IF(LEFT(F41,5)="Unico",C41,IF(VALUE(MID(C41,2,2))+IF(F41="B",2,IF(F41="C",8,0))&gt;8,"Next period","Q"&amp;(VALUE(MID(C41,2,2))+IF(F41="B",2,IF(F41="C",8,0))))) )</f>
        <v/>
      </c>
      <c r="I41">
        <f>IF(LEFT(B41,5)="Pieza","Compra unica t=0","")</f>
        <v/>
      </c>
    </row>
    <row r="42">
      <c r="A42" t="inlineStr">
        <is>
          <t>Oeste</t>
        </is>
      </c>
      <c r="B42" t="inlineStr">
        <is>
          <t>Pieza 2</t>
        </is>
      </c>
      <c r="C42" t="inlineStr">
        <is>
          <t>Q0</t>
        </is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/>
      </c>
      <c r="E42">
        <f>D42*_xlfn.XLOOKUP(B42,Inputs!$A$35:$A$42,Inputs!$B$35:$B$42)</f>
        <v/>
      </c>
      <c r="F42">
        <f>IF(LEFT(B42,5)="Pieza","Unico",IF(B42="Parte A",Inputs!$B$69,IF(B42="Parte B",Inputs!$B$77,"A")))</f>
        <v/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/>
      </c>
      <c r="H42">
        <f>IF(C42="Q0","Q0",IF(LEFT(F42,5)="Unico",C42,IF(VALUE(MID(C42,2,2))+IF(F42="B",2,IF(F42="C",8,0))&gt;8,"Next period","Q"&amp;(VALUE(MID(C42,2,2))+IF(F42="B",2,IF(F42="C",8,0))))) )</f>
        <v/>
      </c>
      <c r="I42">
        <f>IF(LEFT(B42,5)="Pieza","Compra unica t=0","")</f>
        <v/>
      </c>
    </row>
    <row r="43">
      <c r="A43" t="inlineStr">
        <is>
          <t>Oeste</t>
        </is>
      </c>
      <c r="B43" t="inlineStr">
        <is>
          <t>Pieza 3</t>
        </is>
      </c>
      <c r="C43" t="inlineStr">
        <is>
          <t>Q0</t>
        </is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/>
      </c>
      <c r="E43">
        <f>D43*_xlfn.XLOOKUP(B43,Inputs!$A$35:$A$42,Inputs!$B$35:$B$42)</f>
        <v/>
      </c>
      <c r="F43">
        <f>IF(LEFT(B43,5)="Pieza","Unico",IF(B43="Parte A",Inputs!$B$69,IF(B43="Parte B",Inputs!$B$77,"A")))</f>
        <v/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/>
      </c>
      <c r="H43">
        <f>IF(C43="Q0","Q0",IF(LEFT(F43,5)="Unico",C43,IF(VALUE(MID(C43,2,2))+IF(F43="B",2,IF(F43="C",8,0))&gt;8,"Next period","Q"&amp;(VALUE(MID(C43,2,2))+IF(F43="B",2,IF(F43="C",8,0))))) )</f>
        <v/>
      </c>
      <c r="I43">
        <f>IF(LEFT(B43,5)="Pieza","Compra unica t=0","")</f>
        <v/>
      </c>
    </row>
    <row r="44">
      <c r="A44" t="inlineStr">
        <is>
          <t>Oeste</t>
        </is>
      </c>
      <c r="B44" t="inlineStr">
        <is>
          <t>Pieza 4</t>
        </is>
      </c>
      <c r="C44" t="inlineStr">
        <is>
          <t>Q0</t>
        </is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/>
      </c>
      <c r="E44">
        <f>D44*_xlfn.XLOOKUP(B44,Inputs!$A$35:$A$42,Inputs!$B$35:$B$42)</f>
        <v/>
      </c>
      <c r="F44">
        <f>IF(LEFT(B44,5)="Pieza","Unico",IF(B44="Parte A",Inputs!$B$69,IF(B44="Parte B",Inputs!$B$77,"A")))</f>
        <v/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/>
      </c>
      <c r="H44">
        <f>IF(C44="Q0","Q0",IF(LEFT(F44,5)="Unico",C44,IF(VALUE(MID(C44,2,2))+IF(F44="B",2,IF(F44="C",8,0))&gt;8,"Next period","Q"&amp;(VALUE(MID(C44,2,2))+IF(F44="B",2,IF(F44="C",8,0))))) )</f>
        <v/>
      </c>
      <c r="I44">
        <f>IF(LEFT(B44,5)="Pieza","Compra unica t=0","")</f>
        <v/>
      </c>
    </row>
    <row r="45">
      <c r="A45" t="inlineStr">
        <is>
          <t>Oeste</t>
        </is>
      </c>
      <c r="B45" t="inlineStr">
        <is>
          <t>Pieza 5</t>
        </is>
      </c>
      <c r="C45" t="inlineStr">
        <is>
          <t>Q0</t>
        </is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/>
      </c>
      <c r="E45">
        <f>D45*_xlfn.XLOOKUP(B45,Inputs!$A$35:$A$42,Inputs!$B$35:$B$42)</f>
        <v/>
      </c>
      <c r="F45">
        <f>IF(LEFT(B45,5)="Pieza","Unico",IF(B45="Parte A",Inputs!$B$69,IF(B45="Parte B",Inputs!$B$77,"A")))</f>
        <v/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/>
      </c>
      <c r="H45">
        <f>IF(C45="Q0","Q0",IF(LEFT(F45,5)="Unico",C45,IF(VALUE(MID(C45,2,2))+IF(F45="B",2,IF(F45="C",8,0))&gt;8,"Next period","Q"&amp;(VALUE(MID(C45,2,2))+IF(F45="B",2,IF(F45="C",8,0))))) )</f>
        <v/>
      </c>
      <c r="I45">
        <f>IF(LEFT(B45,5)="Pieza","Compra unica t=0","")</f>
        <v/>
      </c>
    </row>
    <row r="46">
      <c r="A46" t="inlineStr">
        <is>
          <t>Oeste</t>
        </is>
      </c>
      <c r="B46" t="inlineStr">
        <is>
          <t>Pieza 6</t>
        </is>
      </c>
      <c r="C46" t="inlineStr">
        <is>
          <t>Q0</t>
        </is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/>
      </c>
      <c r="E46">
        <f>D46*_xlfn.XLOOKUP(B46,Inputs!$A$35:$A$42,Inputs!$B$35:$B$42)</f>
        <v/>
      </c>
      <c r="F46">
        <f>IF(LEFT(B46,5)="Pieza","Unico",IF(B46="Parte A",Inputs!$B$69,IF(B46="Parte B",Inputs!$B$77,"A")))</f>
        <v/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/>
      </c>
      <c r="H46">
        <f>IF(C46="Q0","Q0",IF(LEFT(F46,5)="Unico",C46,IF(VALUE(MID(C46,2,2))+IF(F46="B",2,IF(F46="C",8,0))&gt;8,"Next period","Q"&amp;(VALUE(MID(C46,2,2))+IF(F46="B",2,IF(F46="C",8,0))))) )</f>
        <v/>
      </c>
      <c r="I46">
        <f>IF(LEFT(B46,5)="Pieza","Compra unica t=0","")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D5" sqref="D5"/>
    </sheetView>
  </sheetViews>
  <sheetFormatPr baseColWidth="10" defaultRowHeight="14.4"/>
  <cols>
    <col width="44.77734375" bestFit="1" customWidth="1" min="1" max="1"/>
    <col width="9.77734375" customWidth="1" min="2" max="2"/>
    <col width="14.21875" bestFit="1" customWidth="1" min="3" max="3"/>
    <col width="12" bestFit="1" customWidth="1" min="4" max="12"/>
    <col width="27.77734375" bestFit="1" customWidth="1" min="13" max="13"/>
  </cols>
  <sheetData>
    <row r="1">
      <c r="A1" t="inlineStr">
        <is>
          <t>MRP NET REQUIREMENTS (periodo 6 base, ajustable)</t>
        </is>
      </c>
    </row>
    <row r="2">
      <c r="A2" t="inlineStr">
        <is>
          <t>Plant</t>
        </is>
      </c>
      <c r="B2" t="inlineStr">
        <is>
          <t>Material</t>
        </is>
      </c>
      <c r="C2" t="inlineStr">
        <is>
          <t>Metric</t>
        </is>
      </c>
      <c r="D2" t="inlineStr">
        <is>
          <t>Q1</t>
        </is>
      </c>
      <c r="E2" t="inlineStr">
        <is>
          <t>Q2</t>
        </is>
      </c>
      <c r="F2" t="inlineStr">
        <is>
          <t>Q3</t>
        </is>
      </c>
      <c r="G2" t="inlineStr">
        <is>
          <t>Q4</t>
        </is>
      </c>
      <c r="H2" t="inlineStr">
        <is>
          <t>Q5</t>
        </is>
      </c>
      <c r="I2" t="inlineStr">
        <is>
          <t>Q6</t>
        </is>
      </c>
      <c r="J2" t="inlineStr">
        <is>
          <t>Q7</t>
        </is>
      </c>
      <c r="K2" t="inlineStr">
        <is>
          <t>Q8</t>
        </is>
      </c>
      <c r="L2" t="inlineStr">
        <is>
          <t>Total</t>
        </is>
      </c>
      <c r="M2" t="inlineStr">
        <is>
          <t>Key</t>
        </is>
      </c>
    </row>
    <row r="3">
      <c r="A3" t="inlineStr">
        <is>
          <t>Centro</t>
        </is>
      </c>
      <c r="B3" t="inlineStr">
        <is>
          <t>Parte A</t>
        </is>
      </c>
      <c r="C3" t="inlineStr">
        <is>
          <t>Gross Req</t>
        </is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/>
      </c>
      <c r="L3">
        <f>SUM(D3:K3)</f>
        <v/>
      </c>
      <c r="M3">
        <f>A3&amp;"|"&amp;B3&amp;"|"&amp;C3</f>
        <v/>
      </c>
    </row>
    <row r="4">
      <c r="A4" t="inlineStr">
        <is>
          <t>Centro</t>
        </is>
      </c>
      <c r="B4" t="inlineStr">
        <is>
          <t>Parte A</t>
        </is>
      </c>
      <c r="C4" t="inlineStr">
        <is>
          <t>Safety Stock</t>
        </is>
      </c>
      <c r="D4">
        <f>IFERROR(_xlfn.XLOOKUP($B4,Inputs!$A$82:$A$87,Inputs!$B$82:$B$87),0)*IF($A4="Centro",_xlfn.XLOOKUP($B4,Multi_Planta!$A$6:$A$13,Multi_Planta!$G$6:$G$13),1-_xlfn.XLOOKUP($B4,Multi_Planta!$A$6:$A$13,Multi_Planta!$G$6:$G$13))</f>
        <v/>
      </c>
      <c r="E4">
        <f>IFERROR(_xlfn.XLOOKUP($B4,Inputs!$A$82:$A$87,Inputs!$B$82:$B$87),0)*IF($A4="Centro",_xlfn.XLOOKUP($B4,Multi_Planta!$A$6:$A$13,Multi_Planta!$G$6:$G$13),1-_xlfn.XLOOKUP($B4,Multi_Planta!$A$6:$A$13,Multi_Planta!$G$6:$G$13))</f>
        <v/>
      </c>
      <c r="F4">
        <f>IFERROR(_xlfn.XLOOKUP($B4,Inputs!$A$82:$A$87,Inputs!$B$82:$B$87),0)*IF($A4="Centro",_xlfn.XLOOKUP($B4,Multi_Planta!$A$6:$A$13,Multi_Planta!$G$6:$G$13),1-_xlfn.XLOOKUP($B4,Multi_Planta!$A$6:$A$13,Multi_Planta!$G$6:$G$13))</f>
        <v/>
      </c>
      <c r="G4">
        <f>IFERROR(_xlfn.XLOOKUP($B4,Inputs!$A$82:$A$87,Inputs!$B$82:$B$87),0)*IF($A4="Centro",_xlfn.XLOOKUP($B4,Multi_Planta!$A$6:$A$13,Multi_Planta!$G$6:$G$13),1-_xlfn.XLOOKUP($B4,Multi_Planta!$A$6:$A$13,Multi_Planta!$G$6:$G$13))</f>
        <v/>
      </c>
      <c r="H4">
        <f>IFERROR(_xlfn.XLOOKUP($B4,Inputs!$A$82:$A$87,Inputs!$B$82:$B$87),0)*IF($A4="Centro",_xlfn.XLOOKUP($B4,Multi_Planta!$A$6:$A$13,Multi_Planta!$G$6:$G$13),1-_xlfn.XLOOKUP($B4,Multi_Planta!$A$6:$A$13,Multi_Planta!$G$6:$G$13))</f>
        <v/>
      </c>
      <c r="I4">
        <f>IFERROR(_xlfn.XLOOKUP($B4,Inputs!$A$82:$A$87,Inputs!$B$82:$B$87),0)*IF($A4="Centro",_xlfn.XLOOKUP($B4,Multi_Planta!$A$6:$A$13,Multi_Planta!$G$6:$G$13),1-_xlfn.XLOOKUP($B4,Multi_Planta!$A$6:$A$13,Multi_Planta!$G$6:$G$13))</f>
        <v/>
      </c>
      <c r="J4">
        <f>IFERROR(_xlfn.XLOOKUP($B4,Inputs!$A$82:$A$87,Inputs!$B$82:$B$87),0)*IF($A4="Centro",_xlfn.XLOOKUP($B4,Multi_Planta!$A$6:$A$13,Multi_Planta!$G$6:$G$13),1-_xlfn.XLOOKUP($B4,Multi_Planta!$A$6:$A$13,Multi_Planta!$G$6:$G$13))</f>
        <v/>
      </c>
      <c r="K4">
        <f>IFERROR(_xlfn.XLOOKUP($B4,Inputs!$A$82:$A$87,Inputs!$B$82:$B$87),0)*IF($A4="Centro",_xlfn.XLOOKUP($B4,Multi_Planta!$A$6:$A$13,Multi_Planta!$G$6:$G$13),1-_xlfn.XLOOKUP($B4,Multi_Planta!$A$6:$A$13,Multi_Planta!$G$6:$G$13))</f>
        <v/>
      </c>
      <c r="L4">
        <f>SUM(D4:K4)</f>
        <v/>
      </c>
      <c r="M4">
        <f>A4&amp;"|"&amp;B4&amp;"|"&amp;C4</f>
        <v/>
      </c>
    </row>
    <row r="5">
      <c r="A5" t="inlineStr">
        <is>
          <t>Centro</t>
        </is>
      </c>
      <c r="B5" t="inlineStr">
        <is>
          <t>Parte A</t>
        </is>
      </c>
      <c r="C5" t="inlineStr">
        <is>
          <t>POH Start</t>
        </is>
      </c>
      <c r="D5">
        <f>IF($A5="Centro",_xlfn.XLOOKUP($B5,Multi_Planta!$A$6:$A$13,Multi_Planta!$B$6:$B$13),_xlfn.XLOOKUP($B5,Multi_Planta!$A$6:$A$13,Multi_Planta!$C$6:$C$13))</f>
        <v/>
      </c>
      <c r="E5">
        <f>D9</f>
        <v/>
      </c>
      <c r="F5">
        <f>E9</f>
        <v/>
      </c>
      <c r="G5">
        <f>F9</f>
        <v/>
      </c>
      <c r="H5">
        <f>G9</f>
        <v/>
      </c>
      <c r="I5">
        <f>H9</f>
        <v/>
      </c>
      <c r="J5">
        <f>I9</f>
        <v/>
      </c>
      <c r="K5">
        <f>J9</f>
        <v/>
      </c>
      <c r="L5">
        <f>SUM(D5:K5)</f>
        <v/>
      </c>
      <c r="M5">
        <f>A5&amp;"|"&amp;B5&amp;"|"&amp;C5</f>
        <v/>
      </c>
    </row>
    <row r="6">
      <c r="A6" t="inlineStr">
        <is>
          <t>Centro</t>
        </is>
      </c>
      <c r="B6" t="inlineStr">
        <is>
          <t>Parte A</t>
        </is>
      </c>
      <c r="C6" t="inlineStr">
        <is>
          <t>Net Req</t>
        </is>
      </c>
      <c r="D6">
        <f>MAX(0,D3+D4-D5)</f>
        <v/>
      </c>
      <c r="E6">
        <f>MAX(0,E3+E4-E5)</f>
        <v/>
      </c>
      <c r="F6">
        <f>MAX(0,F3+F4-F5)</f>
        <v/>
      </c>
      <c r="G6">
        <f>MAX(0,G3+G4-G5)</f>
        <v/>
      </c>
      <c r="H6">
        <f>MAX(0,H3+H4-H5)</f>
        <v/>
      </c>
      <c r="I6">
        <f>MAX(0,I3+I4-I5)</f>
        <v/>
      </c>
      <c r="J6">
        <f>MAX(0,J3+J4-J5)</f>
        <v/>
      </c>
      <c r="K6">
        <f>MAX(0,K3+K4-K5)</f>
        <v/>
      </c>
      <c r="L6">
        <f>SUM(D6:K6)</f>
        <v/>
      </c>
      <c r="M6">
        <f>A6&amp;"|"&amp;B6&amp;"|"&amp;C6</f>
        <v/>
      </c>
    </row>
    <row r="7">
      <c r="A7" t="inlineStr">
        <is>
          <t>Centro</t>
        </is>
      </c>
      <c r="B7" t="inlineStr">
        <is>
          <t>Parte A</t>
        </is>
      </c>
      <c r="C7" t="inlineStr">
        <is>
          <t>Planned Receipt</t>
        </is>
      </c>
      <c r="D7">
        <f>IF(AND(LEFT($B7,5)="Pieza",Inputs!$B$110=1),_xlfn.CEILING.MATH(L3,_xlfn.XLOOKUP($B7,Inputs!$A$35:$A$42,Inputs!$B$35:$B$42)),_xlfn.CEILING.MATH(D6,_xlfn.XLOOKUP($B7,Inputs!$A$35:$A$42,Inputs!$B$35:$B$42)))</f>
        <v/>
      </c>
      <c r="E7">
        <f>IF(AND(LEFT($B7,5)="Pieza",Inputs!$B$110=1),0,_xlfn.CEILING.MATH(E6,_xlfn.XLOOKUP($B7,Inputs!$A$35:$A$42,Inputs!$B$35:$B$42)))</f>
        <v/>
      </c>
      <c r="F7">
        <f>IF(AND(LEFT($B7,5)="Pieza",Inputs!$B$110=1),0,_xlfn.CEILING.MATH(F6,_xlfn.XLOOKUP($B7,Inputs!$A$35:$A$42,Inputs!$B$35:$B$42)))</f>
        <v/>
      </c>
      <c r="G7">
        <f>IF(AND(LEFT($B7,5)="Pieza",Inputs!$B$110=1),0,_xlfn.CEILING.MATH(G6,_xlfn.XLOOKUP($B7,Inputs!$A$35:$A$42,Inputs!$B$35:$B$42)))</f>
        <v/>
      </c>
      <c r="H7">
        <f>IF(AND(LEFT($B7,5)="Pieza",Inputs!$B$110=1),0,_xlfn.CEILING.MATH(H6,_xlfn.XLOOKUP($B7,Inputs!$A$35:$A$42,Inputs!$B$35:$B$42)))</f>
        <v/>
      </c>
      <c r="I7">
        <f>IF(AND(LEFT($B7,5)="Pieza",Inputs!$B$110=1),0,_xlfn.CEILING.MATH(I6,_xlfn.XLOOKUP($B7,Inputs!$A$35:$A$42,Inputs!$B$35:$B$42)))</f>
        <v/>
      </c>
      <c r="J7">
        <f>IF(AND(LEFT($B7,5)="Pieza",Inputs!$B$110=1),0,_xlfn.CEILING.MATH(J6,_xlfn.XLOOKUP($B7,Inputs!$A$35:$A$42,Inputs!$B$35:$B$42)))</f>
        <v/>
      </c>
      <c r="K7">
        <f>IF(AND(LEFT($B7,5)="Pieza",Inputs!$B$110=1),0,_xlfn.CEILING.MATH(K6,_xlfn.XLOOKUP($B7,Inputs!$A$35:$A$42,Inputs!$B$35:$B$42)))</f>
        <v/>
      </c>
      <c r="L7">
        <f>SUM(D7:K7)</f>
        <v/>
      </c>
      <c r="M7">
        <f>A7&amp;"|"&amp;B7&amp;"|"&amp;C7</f>
        <v/>
      </c>
    </row>
    <row r="8">
      <c r="A8" t="inlineStr">
        <is>
          <t>Centro</t>
        </is>
      </c>
      <c r="B8" t="inlineStr">
        <is>
          <t>Parte A</t>
        </is>
      </c>
      <c r="C8" t="inlineStr">
        <is>
          <t>Planned Release</t>
        </is>
      </c>
      <c r="D8">
        <f>D7</f>
        <v/>
      </c>
      <c r="E8">
        <f>E7</f>
        <v/>
      </c>
      <c r="F8">
        <f>F7</f>
        <v/>
      </c>
      <c r="G8">
        <f>G7</f>
        <v/>
      </c>
      <c r="H8">
        <f>H7</f>
        <v/>
      </c>
      <c r="I8">
        <f>I7</f>
        <v/>
      </c>
      <c r="J8">
        <f>J7</f>
        <v/>
      </c>
      <c r="K8">
        <f>K7</f>
        <v/>
      </c>
      <c r="L8">
        <f>SUM(D8:K8)</f>
        <v/>
      </c>
      <c r="M8">
        <f>A8&amp;"|"&amp;B8&amp;"|"&amp;C8</f>
        <v/>
      </c>
    </row>
    <row r="9">
      <c r="A9" t="inlineStr">
        <is>
          <t>Centro</t>
        </is>
      </c>
      <c r="B9" t="inlineStr">
        <is>
          <t>Parte A</t>
        </is>
      </c>
      <c r="C9" t="inlineStr">
        <is>
          <t>POH End</t>
        </is>
      </c>
      <c r="D9">
        <f>D5+D7-D3</f>
        <v/>
      </c>
      <c r="E9">
        <f>E5+E7-E3</f>
        <v/>
      </c>
      <c r="F9">
        <f>F5+F7-F3</f>
        <v/>
      </c>
      <c r="G9">
        <f>G5+G7-G3</f>
        <v/>
      </c>
      <c r="H9">
        <f>H5+H7-H3</f>
        <v/>
      </c>
      <c r="I9">
        <f>I5+I7-I3</f>
        <v/>
      </c>
      <c r="J9">
        <f>J5+J7-J3</f>
        <v/>
      </c>
      <c r="K9">
        <f>K5+K7-K3</f>
        <v/>
      </c>
      <c r="L9">
        <f>SUM(D9:K9)</f>
        <v/>
      </c>
      <c r="M9">
        <f>A9&amp;"|"&amp;B9&amp;"|"&amp;C9</f>
        <v/>
      </c>
    </row>
    <row r="10">
      <c r="A10" t="inlineStr">
        <is>
          <t>Centro</t>
        </is>
      </c>
      <c r="B10" t="inlineStr">
        <is>
          <t>Parte B</t>
        </is>
      </c>
      <c r="C10" t="inlineStr">
        <is>
          <t>Gross Req</t>
        </is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/>
      </c>
      <c r="L10">
        <f>SUM(D10:K10)</f>
        <v/>
      </c>
      <c r="M10">
        <f>A10&amp;"|"&amp;B10&amp;"|"&amp;C10</f>
        <v/>
      </c>
    </row>
    <row r="11">
      <c r="A11" t="inlineStr">
        <is>
          <t>Centro</t>
        </is>
      </c>
      <c r="B11" t="inlineStr">
        <is>
          <t>Parte B</t>
        </is>
      </c>
      <c r="C11" t="inlineStr">
        <is>
          <t>Safety Stock</t>
        </is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/>
      </c>
      <c r="L11">
        <f>SUM(D11:K11)</f>
        <v/>
      </c>
      <c r="M11">
        <f>A11&amp;"|"&amp;B11&amp;"|"&amp;C11</f>
        <v/>
      </c>
    </row>
    <row r="12">
      <c r="A12" t="inlineStr">
        <is>
          <t>Centro</t>
        </is>
      </c>
      <c r="B12" t="inlineStr">
        <is>
          <t>Parte B</t>
        </is>
      </c>
      <c r="C12" t="inlineStr">
        <is>
          <t>POH Start</t>
        </is>
      </c>
      <c r="D12">
        <f>IF($A12="Centro",_xlfn.XLOOKUP($B12,Multi_Planta!$A$6:$A$13,Multi_Planta!$B$6:$B$13),_xlfn.XLOOKUP($B12,Multi_Planta!$A$6:$A$13,Multi_Planta!$C$6:$C$13))</f>
        <v/>
      </c>
      <c r="E12">
        <f>D16</f>
        <v/>
      </c>
      <c r="F12">
        <f>E16</f>
        <v/>
      </c>
      <c r="G12">
        <f>F16</f>
        <v/>
      </c>
      <c r="H12">
        <f>G16</f>
        <v/>
      </c>
      <c r="I12">
        <f>H16</f>
        <v/>
      </c>
      <c r="J12">
        <f>I16</f>
        <v/>
      </c>
      <c r="K12">
        <f>J16</f>
        <v/>
      </c>
      <c r="L12">
        <f>SUM(D12:K12)</f>
        <v/>
      </c>
      <c r="M12">
        <f>A12&amp;"|"&amp;B12&amp;"|"&amp;C12</f>
        <v/>
      </c>
    </row>
    <row r="13">
      <c r="A13" t="inlineStr">
        <is>
          <t>Centro</t>
        </is>
      </c>
      <c r="B13" t="inlineStr">
        <is>
          <t>Parte B</t>
        </is>
      </c>
      <c r="C13" t="inlineStr">
        <is>
          <t>Net Req</t>
        </is>
      </c>
      <c r="D13">
        <f>MAX(0,D10+D11-D12)</f>
        <v/>
      </c>
      <c r="E13">
        <f>MAX(0,E10+E11-E12)</f>
        <v/>
      </c>
      <c r="F13">
        <f>MAX(0,F10+F11-F12)</f>
        <v/>
      </c>
      <c r="G13">
        <f>MAX(0,G10+G11-G12)</f>
        <v/>
      </c>
      <c r="H13">
        <f>MAX(0,H10+H11-H12)</f>
        <v/>
      </c>
      <c r="I13">
        <f>MAX(0,I10+I11-I12)</f>
        <v/>
      </c>
      <c r="J13">
        <f>MAX(0,J10+J11-J12)</f>
        <v/>
      </c>
      <c r="K13">
        <f>MAX(0,K10+K11-K12)</f>
        <v/>
      </c>
      <c r="L13">
        <f>SUM(D13:K13)</f>
        <v/>
      </c>
      <c r="M13">
        <f>A13&amp;"|"&amp;B13&amp;"|"&amp;C13</f>
        <v/>
      </c>
    </row>
    <row r="14">
      <c r="A14" t="inlineStr">
        <is>
          <t>Centro</t>
        </is>
      </c>
      <c r="B14" t="inlineStr">
        <is>
          <t>Parte B</t>
        </is>
      </c>
      <c r="C14" t="inlineStr">
        <is>
          <t>Planned Receipt</t>
        </is>
      </c>
      <c r="D14">
        <f>IF(AND(LEFT($B14,5)="Pieza",Inputs!$B$110=1),_xlfn.CEILING.MATH(L10,_xlfn.XLOOKUP($B14,Inputs!$A$35:$A$42,Inputs!$B$35:$B$42)),_xlfn.CEILING.MATH(D13,_xlfn.XLOOKUP($B14,Inputs!$A$35:$A$42,Inputs!$B$35:$B$42)))</f>
        <v/>
      </c>
      <c r="E14">
        <f>IF(AND(LEFT($B14,5)="Pieza",Inputs!$B$110=1),0,_xlfn.CEILING.MATH(E13,_xlfn.XLOOKUP($B14,Inputs!$A$35:$A$42,Inputs!$B$35:$B$42)))</f>
        <v/>
      </c>
      <c r="F14">
        <f>IF(AND(LEFT($B14,5)="Pieza",Inputs!$B$110=1),0,_xlfn.CEILING.MATH(F13,_xlfn.XLOOKUP($B14,Inputs!$A$35:$A$42,Inputs!$B$35:$B$42)))</f>
        <v/>
      </c>
      <c r="G14">
        <f>IF(AND(LEFT($B14,5)="Pieza",Inputs!$B$110=1),0,_xlfn.CEILING.MATH(G13,_xlfn.XLOOKUP($B14,Inputs!$A$35:$A$42,Inputs!$B$35:$B$42)))</f>
        <v/>
      </c>
      <c r="H14">
        <f>IF(AND(LEFT($B14,5)="Pieza",Inputs!$B$110=1),0,_xlfn.CEILING.MATH(H13,_xlfn.XLOOKUP($B14,Inputs!$A$35:$A$42,Inputs!$B$35:$B$42)))</f>
        <v/>
      </c>
      <c r="I14">
        <f>IF(AND(LEFT($B14,5)="Pieza",Inputs!$B$110=1),0,_xlfn.CEILING.MATH(I13,_xlfn.XLOOKUP($B14,Inputs!$A$35:$A$42,Inputs!$B$35:$B$42)))</f>
        <v/>
      </c>
      <c r="J14">
        <f>IF(AND(LEFT($B14,5)="Pieza",Inputs!$B$110=1),0,_xlfn.CEILING.MATH(J13,_xlfn.XLOOKUP($B14,Inputs!$A$35:$A$42,Inputs!$B$35:$B$42)))</f>
        <v/>
      </c>
      <c r="K14">
        <f>IF(AND(LEFT($B14,5)="Pieza",Inputs!$B$110=1),0,_xlfn.CEILING.MATH(K13,_xlfn.XLOOKUP($B14,Inputs!$A$35:$A$42,Inputs!$B$35:$B$42)))</f>
        <v/>
      </c>
      <c r="L14">
        <f>SUM(D14:K14)</f>
        <v/>
      </c>
      <c r="M14">
        <f>A14&amp;"|"&amp;B14&amp;"|"&amp;C14</f>
        <v/>
      </c>
    </row>
    <row r="15">
      <c r="A15" t="inlineStr">
        <is>
          <t>Centro</t>
        </is>
      </c>
      <c r="B15" t="inlineStr">
        <is>
          <t>Parte B</t>
        </is>
      </c>
      <c r="C15" t="inlineStr">
        <is>
          <t>Planned Release</t>
        </is>
      </c>
      <c r="D15">
        <f>D14</f>
        <v/>
      </c>
      <c r="E15">
        <f>E14</f>
        <v/>
      </c>
      <c r="F15">
        <f>F14</f>
        <v/>
      </c>
      <c r="G15">
        <f>G14</f>
        <v/>
      </c>
      <c r="H15">
        <f>H14</f>
        <v/>
      </c>
      <c r="I15">
        <f>I14</f>
        <v/>
      </c>
      <c r="J15">
        <f>J14</f>
        <v/>
      </c>
      <c r="K15">
        <f>K14</f>
        <v/>
      </c>
      <c r="L15">
        <f>SUM(D15:K15)</f>
        <v/>
      </c>
      <c r="M15">
        <f>A15&amp;"|"&amp;B15&amp;"|"&amp;C15</f>
        <v/>
      </c>
    </row>
    <row r="16">
      <c r="A16" t="inlineStr">
        <is>
          <t>Centro</t>
        </is>
      </c>
      <c r="B16" t="inlineStr">
        <is>
          <t>Parte B</t>
        </is>
      </c>
      <c r="C16" t="inlineStr">
        <is>
          <t>POH End</t>
        </is>
      </c>
      <c r="D16">
        <f>D12+D14-D10</f>
        <v/>
      </c>
      <c r="E16">
        <f>E12+E14-E10</f>
        <v/>
      </c>
      <c r="F16">
        <f>F12+F14-F10</f>
        <v/>
      </c>
      <c r="G16">
        <f>G12+G14-G10</f>
        <v/>
      </c>
      <c r="H16">
        <f>H12+H14-H10</f>
        <v/>
      </c>
      <c r="I16">
        <f>I12+I14-I10</f>
        <v/>
      </c>
      <c r="J16">
        <f>J12+J14-J10</f>
        <v/>
      </c>
      <c r="K16">
        <f>K12+K14-K10</f>
        <v/>
      </c>
      <c r="L16">
        <f>SUM(D16:K16)</f>
        <v/>
      </c>
      <c r="M16">
        <f>A16&amp;"|"&amp;B16&amp;"|"&amp;C16</f>
        <v/>
      </c>
    </row>
    <row r="17">
      <c r="A17" t="inlineStr">
        <is>
          <t>Centro</t>
        </is>
      </c>
      <c r="B17" t="inlineStr">
        <is>
          <t>Pieza 1</t>
        </is>
      </c>
      <c r="C17" t="inlineStr">
        <is>
          <t>Gross Req</t>
        </is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/>
      </c>
      <c r="L17">
        <f>SUM(D17:K17)</f>
        <v/>
      </c>
      <c r="M17">
        <f>A17&amp;"|"&amp;B17&amp;"|"&amp;C17</f>
        <v/>
      </c>
    </row>
    <row r="18">
      <c r="A18" t="inlineStr">
        <is>
          <t>Centro</t>
        </is>
      </c>
      <c r="B18" t="inlineStr">
        <is>
          <t>Pieza 1</t>
        </is>
      </c>
      <c r="C18" t="inlineStr">
        <is>
          <t>Safety Stock</t>
        </is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/>
      </c>
      <c r="L18">
        <f>SUM(D18:K18)</f>
        <v/>
      </c>
      <c r="M18">
        <f>A18&amp;"|"&amp;B18&amp;"|"&amp;C18</f>
        <v/>
      </c>
    </row>
    <row r="19">
      <c r="A19" t="inlineStr">
        <is>
          <t>Centro</t>
        </is>
      </c>
      <c r="B19" t="inlineStr">
        <is>
          <t>Pieza 1</t>
        </is>
      </c>
      <c r="C19" t="inlineStr">
        <is>
          <t>POH Start</t>
        </is>
      </c>
      <c r="D19">
        <f>IF($A19="Centro",_xlfn.XLOOKUP($B19,Multi_Planta!$A$6:$A$13,Multi_Planta!$B$6:$B$13),_xlfn.XLOOKUP($B19,Multi_Planta!$A$6:$A$13,Multi_Planta!$C$6:$C$13))</f>
        <v/>
      </c>
      <c r="E19">
        <f>D23</f>
        <v/>
      </c>
      <c r="F19">
        <f>E23</f>
        <v/>
      </c>
      <c r="G19">
        <f>F23</f>
        <v/>
      </c>
      <c r="H19">
        <f>G23</f>
        <v/>
      </c>
      <c r="I19">
        <f>H23</f>
        <v/>
      </c>
      <c r="J19">
        <f>I23</f>
        <v/>
      </c>
      <c r="K19">
        <f>J23</f>
        <v/>
      </c>
      <c r="L19">
        <f>SUM(D19:K19)</f>
        <v/>
      </c>
      <c r="M19">
        <f>A19&amp;"|"&amp;B19&amp;"|"&amp;C19</f>
        <v/>
      </c>
    </row>
    <row r="20">
      <c r="A20" t="inlineStr">
        <is>
          <t>Centro</t>
        </is>
      </c>
      <c r="B20" t="inlineStr">
        <is>
          <t>Pieza 1</t>
        </is>
      </c>
      <c r="C20" t="inlineStr">
        <is>
          <t>Net Req</t>
        </is>
      </c>
      <c r="D20">
        <f>MAX(0,D17+D18-D19)</f>
        <v/>
      </c>
      <c r="E20">
        <f>MAX(0,E17+E18-E19)</f>
        <v/>
      </c>
      <c r="F20">
        <f>MAX(0,F17+F18-F19)</f>
        <v/>
      </c>
      <c r="G20">
        <f>MAX(0,G17+G18-G19)</f>
        <v/>
      </c>
      <c r="H20">
        <f>MAX(0,H17+H18-H19)</f>
        <v/>
      </c>
      <c r="I20">
        <f>MAX(0,I17+I18-I19)</f>
        <v/>
      </c>
      <c r="J20">
        <f>MAX(0,J17+J18-J19)</f>
        <v/>
      </c>
      <c r="K20">
        <f>MAX(0,K17+K18-K19)</f>
        <v/>
      </c>
      <c r="L20">
        <f>SUM(D20:K20)</f>
        <v/>
      </c>
      <c r="M20">
        <f>A20&amp;"|"&amp;B20&amp;"|"&amp;C20</f>
        <v/>
      </c>
    </row>
    <row r="21">
      <c r="A21" t="inlineStr">
        <is>
          <t>Centro</t>
        </is>
      </c>
      <c r="B21" t="inlineStr">
        <is>
          <t>Pieza 1</t>
        </is>
      </c>
      <c r="C21" t="inlineStr">
        <is>
          <t>Planned Receipt</t>
        </is>
      </c>
      <c r="D21">
        <f>IF(AND(LEFT($B21,5)="Pieza",Inputs!$B$110=1),_xlfn.CEILING.MATH(L17,_xlfn.XLOOKUP($B21,Inputs!$A$35:$A$42,Inputs!$B$35:$B$42)),_xlfn.CEILING.MATH(D20,_xlfn.XLOOKUP($B21,Inputs!$A$35:$A$42,Inputs!$B$35:$B$42)))</f>
        <v/>
      </c>
      <c r="E21">
        <f>IF(AND(LEFT($B21,5)="Pieza",Inputs!$B$110=1),0,_xlfn.CEILING.MATH(E20,_xlfn.XLOOKUP($B21,Inputs!$A$35:$A$42,Inputs!$B$35:$B$42)))</f>
        <v/>
      </c>
      <c r="F21">
        <f>IF(AND(LEFT($B21,5)="Pieza",Inputs!$B$110=1),0,_xlfn.CEILING.MATH(F20,_xlfn.XLOOKUP($B21,Inputs!$A$35:$A$42,Inputs!$B$35:$B$42)))</f>
        <v/>
      </c>
      <c r="G21">
        <f>IF(AND(LEFT($B21,5)="Pieza",Inputs!$B$110=1),0,_xlfn.CEILING.MATH(G20,_xlfn.XLOOKUP($B21,Inputs!$A$35:$A$42,Inputs!$B$35:$B$42)))</f>
        <v/>
      </c>
      <c r="H21">
        <f>IF(AND(LEFT($B21,5)="Pieza",Inputs!$B$110=1),0,_xlfn.CEILING.MATH(H20,_xlfn.XLOOKUP($B21,Inputs!$A$35:$A$42,Inputs!$B$35:$B$42)))</f>
        <v/>
      </c>
      <c r="I21">
        <f>IF(AND(LEFT($B21,5)="Pieza",Inputs!$B$110=1),0,_xlfn.CEILING.MATH(I20,_xlfn.XLOOKUP($B21,Inputs!$A$35:$A$42,Inputs!$B$35:$B$42)))</f>
        <v/>
      </c>
      <c r="J21">
        <f>IF(AND(LEFT($B21,5)="Pieza",Inputs!$B$110=1),0,_xlfn.CEILING.MATH(J20,_xlfn.XLOOKUP($B21,Inputs!$A$35:$A$42,Inputs!$B$35:$B$42)))</f>
        <v/>
      </c>
      <c r="K21">
        <f>IF(AND(LEFT($B21,5)="Pieza",Inputs!$B$110=1),0,_xlfn.CEILING.MATH(K20,_xlfn.XLOOKUP($B21,Inputs!$A$35:$A$42,Inputs!$B$35:$B$42)))</f>
        <v/>
      </c>
      <c r="L21">
        <f>SUM(D21:K21)</f>
        <v/>
      </c>
      <c r="M21">
        <f>A21&amp;"|"&amp;B21&amp;"|"&amp;C21</f>
        <v/>
      </c>
    </row>
    <row r="22">
      <c r="A22" t="inlineStr">
        <is>
          <t>Centro</t>
        </is>
      </c>
      <c r="B22" t="inlineStr">
        <is>
          <t>Pieza 1</t>
        </is>
      </c>
      <c r="C22" t="inlineStr">
        <is>
          <t>Planned Release</t>
        </is>
      </c>
      <c r="D22">
        <f>D21</f>
        <v/>
      </c>
      <c r="E22">
        <f>E21</f>
        <v/>
      </c>
      <c r="F22">
        <f>F21</f>
        <v/>
      </c>
      <c r="G22">
        <f>G21</f>
        <v/>
      </c>
      <c r="H22">
        <f>H21</f>
        <v/>
      </c>
      <c r="I22">
        <f>I21</f>
        <v/>
      </c>
      <c r="J22">
        <f>J21</f>
        <v/>
      </c>
      <c r="K22">
        <f>K21</f>
        <v/>
      </c>
      <c r="L22">
        <f>SUM(D22:K22)</f>
        <v/>
      </c>
      <c r="M22">
        <f>A22&amp;"|"&amp;B22&amp;"|"&amp;C22</f>
        <v/>
      </c>
    </row>
    <row r="23">
      <c r="A23" t="inlineStr">
        <is>
          <t>Centro</t>
        </is>
      </c>
      <c r="B23" t="inlineStr">
        <is>
          <t>Pieza 1</t>
        </is>
      </c>
      <c r="C23" t="inlineStr">
        <is>
          <t>POH End</t>
        </is>
      </c>
      <c r="D23">
        <f>D19+D21-D17</f>
        <v/>
      </c>
      <c r="E23">
        <f>E19+E21-E17</f>
        <v/>
      </c>
      <c r="F23">
        <f>F19+F21-F17</f>
        <v/>
      </c>
      <c r="G23">
        <f>G19+G21-G17</f>
        <v/>
      </c>
      <c r="H23">
        <f>H19+H21-H17</f>
        <v/>
      </c>
      <c r="I23">
        <f>I19+I21-I17</f>
        <v/>
      </c>
      <c r="J23">
        <f>J19+J21-J17</f>
        <v/>
      </c>
      <c r="K23">
        <f>K19+K21-K17</f>
        <v/>
      </c>
      <c r="L23">
        <f>SUM(D23:K23)</f>
        <v/>
      </c>
      <c r="M23">
        <f>A23&amp;"|"&amp;B23&amp;"|"&amp;C23</f>
        <v/>
      </c>
    </row>
    <row r="24">
      <c r="A24" t="inlineStr">
        <is>
          <t>Centro</t>
        </is>
      </c>
      <c r="B24" t="inlineStr">
        <is>
          <t>Pieza 2</t>
        </is>
      </c>
      <c r="C24" t="inlineStr">
        <is>
          <t>Gross Req</t>
        </is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/>
      </c>
      <c r="L24">
        <f>SUM(D24:K24)</f>
        <v/>
      </c>
      <c r="M24">
        <f>A24&amp;"|"&amp;B24&amp;"|"&amp;C24</f>
        <v/>
      </c>
    </row>
    <row r="25">
      <c r="A25" t="inlineStr">
        <is>
          <t>Centro</t>
        </is>
      </c>
      <c r="B25" t="inlineStr">
        <is>
          <t>Pieza 2</t>
        </is>
      </c>
      <c r="C25" t="inlineStr">
        <is>
          <t>Safety Stock</t>
        </is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/>
      </c>
      <c r="L25">
        <f>SUM(D25:K25)</f>
        <v/>
      </c>
      <c r="M25">
        <f>A25&amp;"|"&amp;B25&amp;"|"&amp;C25</f>
        <v/>
      </c>
    </row>
    <row r="26">
      <c r="A26" t="inlineStr">
        <is>
          <t>Centro</t>
        </is>
      </c>
      <c r="B26" t="inlineStr">
        <is>
          <t>Pieza 2</t>
        </is>
      </c>
      <c r="C26" t="inlineStr">
        <is>
          <t>POH Start</t>
        </is>
      </c>
      <c r="D26">
        <f>IF($A26="Centro",_xlfn.XLOOKUP($B26,Multi_Planta!$A$6:$A$13,Multi_Planta!$B$6:$B$13),_xlfn.XLOOKUP($B26,Multi_Planta!$A$6:$A$13,Multi_Planta!$C$6:$C$13))</f>
        <v/>
      </c>
      <c r="E26">
        <f>D30</f>
        <v/>
      </c>
      <c r="F26">
        <f>E30</f>
        <v/>
      </c>
      <c r="G26">
        <f>F30</f>
        <v/>
      </c>
      <c r="H26">
        <f>G30</f>
        <v/>
      </c>
      <c r="I26">
        <f>H30</f>
        <v/>
      </c>
      <c r="J26">
        <f>I30</f>
        <v/>
      </c>
      <c r="K26">
        <f>J30</f>
        <v/>
      </c>
      <c r="L26">
        <f>SUM(D26:K26)</f>
        <v/>
      </c>
      <c r="M26">
        <f>A26&amp;"|"&amp;B26&amp;"|"&amp;C26</f>
        <v/>
      </c>
    </row>
    <row r="27">
      <c r="A27" t="inlineStr">
        <is>
          <t>Centro</t>
        </is>
      </c>
      <c r="B27" t="inlineStr">
        <is>
          <t>Pieza 2</t>
        </is>
      </c>
      <c r="C27" t="inlineStr">
        <is>
          <t>Net Req</t>
        </is>
      </c>
      <c r="D27">
        <f>MAX(0,D24+D25-D26)</f>
        <v/>
      </c>
      <c r="E27">
        <f>MAX(0,E24+E25-E26)</f>
        <v/>
      </c>
      <c r="F27">
        <f>MAX(0,F24+F25-F26)</f>
        <v/>
      </c>
      <c r="G27">
        <f>MAX(0,G24+G25-G26)</f>
        <v/>
      </c>
      <c r="H27">
        <f>MAX(0,H24+H25-H26)</f>
        <v/>
      </c>
      <c r="I27">
        <f>MAX(0,I24+I25-I26)</f>
        <v/>
      </c>
      <c r="J27">
        <f>MAX(0,J24+J25-J26)</f>
        <v/>
      </c>
      <c r="K27">
        <f>MAX(0,K24+K25-K26)</f>
        <v/>
      </c>
      <c r="L27">
        <f>SUM(D27:K27)</f>
        <v/>
      </c>
      <c r="M27">
        <f>A27&amp;"|"&amp;B27&amp;"|"&amp;C27</f>
        <v/>
      </c>
    </row>
    <row r="28">
      <c r="A28" t="inlineStr">
        <is>
          <t>Centro</t>
        </is>
      </c>
      <c r="B28" t="inlineStr">
        <is>
          <t>Pieza 2</t>
        </is>
      </c>
      <c r="C28" t="inlineStr">
        <is>
          <t>Planned Receipt</t>
        </is>
      </c>
      <c r="D28">
        <f>IF(AND(LEFT($B28,5)="Pieza",Inputs!$B$110=1),_xlfn.CEILING.MATH(L24,_xlfn.XLOOKUP($B28,Inputs!$A$35:$A$42,Inputs!$B$35:$B$42)),_xlfn.CEILING.MATH(D27,_xlfn.XLOOKUP($B28,Inputs!$A$35:$A$42,Inputs!$B$35:$B$42)))</f>
        <v/>
      </c>
      <c r="E28">
        <f>IF(AND(LEFT($B28,5)="Pieza",Inputs!$B$110=1),0,_xlfn.CEILING.MATH(E27,_xlfn.XLOOKUP($B28,Inputs!$A$35:$A$42,Inputs!$B$35:$B$42)))</f>
        <v/>
      </c>
      <c r="F28">
        <f>IF(AND(LEFT($B28,5)="Pieza",Inputs!$B$110=1),0,_xlfn.CEILING.MATH(F27,_xlfn.XLOOKUP($B28,Inputs!$A$35:$A$42,Inputs!$B$35:$B$42)))</f>
        <v/>
      </c>
      <c r="G28">
        <f>IF(AND(LEFT($B28,5)="Pieza",Inputs!$B$110=1),0,_xlfn.CEILING.MATH(G27,_xlfn.XLOOKUP($B28,Inputs!$A$35:$A$42,Inputs!$B$35:$B$42)))</f>
        <v/>
      </c>
      <c r="H28">
        <f>IF(AND(LEFT($B28,5)="Pieza",Inputs!$B$110=1),0,_xlfn.CEILING.MATH(H27,_xlfn.XLOOKUP($B28,Inputs!$A$35:$A$42,Inputs!$B$35:$B$42)))</f>
        <v/>
      </c>
      <c r="I28">
        <f>IF(AND(LEFT($B28,5)="Pieza",Inputs!$B$110=1),0,_xlfn.CEILING.MATH(I27,_xlfn.XLOOKUP($B28,Inputs!$A$35:$A$42,Inputs!$B$35:$B$42)))</f>
        <v/>
      </c>
      <c r="J28">
        <f>IF(AND(LEFT($B28,5)="Pieza",Inputs!$B$110=1),0,_xlfn.CEILING.MATH(J27,_xlfn.XLOOKUP($B28,Inputs!$A$35:$A$42,Inputs!$B$35:$B$42)))</f>
        <v/>
      </c>
      <c r="K28">
        <f>IF(AND(LEFT($B28,5)="Pieza",Inputs!$B$110=1),0,_xlfn.CEILING.MATH(K27,_xlfn.XLOOKUP($B28,Inputs!$A$35:$A$42,Inputs!$B$35:$B$42)))</f>
        <v/>
      </c>
      <c r="L28">
        <f>SUM(D28:K28)</f>
        <v/>
      </c>
      <c r="M28">
        <f>A28&amp;"|"&amp;B28&amp;"|"&amp;C28</f>
        <v/>
      </c>
    </row>
    <row r="29">
      <c r="A29" t="inlineStr">
        <is>
          <t>Centro</t>
        </is>
      </c>
      <c r="B29" t="inlineStr">
        <is>
          <t>Pieza 2</t>
        </is>
      </c>
      <c r="C29" t="inlineStr">
        <is>
          <t>Planned Release</t>
        </is>
      </c>
      <c r="D29">
        <f>D28</f>
        <v/>
      </c>
      <c r="E29">
        <f>E28</f>
        <v/>
      </c>
      <c r="F29">
        <f>F28</f>
        <v/>
      </c>
      <c r="G29">
        <f>G28</f>
        <v/>
      </c>
      <c r="H29">
        <f>H28</f>
        <v/>
      </c>
      <c r="I29">
        <f>I28</f>
        <v/>
      </c>
      <c r="J29">
        <f>J28</f>
        <v/>
      </c>
      <c r="K29">
        <f>K28</f>
        <v/>
      </c>
      <c r="L29">
        <f>SUM(D29:K29)</f>
        <v/>
      </c>
      <c r="M29">
        <f>A29&amp;"|"&amp;B29&amp;"|"&amp;C29</f>
        <v/>
      </c>
    </row>
    <row r="30">
      <c r="A30" t="inlineStr">
        <is>
          <t>Centro</t>
        </is>
      </c>
      <c r="B30" t="inlineStr">
        <is>
          <t>Pieza 2</t>
        </is>
      </c>
      <c r="C30" t="inlineStr">
        <is>
          <t>POH End</t>
        </is>
      </c>
      <c r="D30">
        <f>D26+D28-D24</f>
        <v/>
      </c>
      <c r="E30">
        <f>E26+E28-E24</f>
        <v/>
      </c>
      <c r="F30">
        <f>F26+F28-F24</f>
        <v/>
      </c>
      <c r="G30">
        <f>G26+G28-G24</f>
        <v/>
      </c>
      <c r="H30">
        <f>H26+H28-H24</f>
        <v/>
      </c>
      <c r="I30">
        <f>I26+I28-I24</f>
        <v/>
      </c>
      <c r="J30">
        <f>J26+J28-J24</f>
        <v/>
      </c>
      <c r="K30">
        <f>K26+K28-K24</f>
        <v/>
      </c>
      <c r="L30">
        <f>SUM(D30:K30)</f>
        <v/>
      </c>
      <c r="M30">
        <f>A30&amp;"|"&amp;B30&amp;"|"&amp;C30</f>
        <v/>
      </c>
    </row>
    <row r="31">
      <c r="A31" t="inlineStr">
        <is>
          <t>Centro</t>
        </is>
      </c>
      <c r="B31" t="inlineStr">
        <is>
          <t>Pieza 3</t>
        </is>
      </c>
      <c r="C31" t="inlineStr">
        <is>
          <t>Gross Req</t>
        </is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/>
      </c>
      <c r="L31">
        <f>SUM(D31:K31)</f>
        <v/>
      </c>
      <c r="M31">
        <f>A31&amp;"|"&amp;B31&amp;"|"&amp;C31</f>
        <v/>
      </c>
    </row>
    <row r="32">
      <c r="A32" t="inlineStr">
        <is>
          <t>Centro</t>
        </is>
      </c>
      <c r="B32" t="inlineStr">
        <is>
          <t>Pieza 3</t>
        </is>
      </c>
      <c r="C32" t="inlineStr">
        <is>
          <t>Safety Stock</t>
        </is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/>
      </c>
      <c r="L32">
        <f>SUM(D32:K32)</f>
        <v/>
      </c>
      <c r="M32">
        <f>A32&amp;"|"&amp;B32&amp;"|"&amp;C32</f>
        <v/>
      </c>
    </row>
    <row r="33">
      <c r="A33" t="inlineStr">
        <is>
          <t>Centro</t>
        </is>
      </c>
      <c r="B33" t="inlineStr">
        <is>
          <t>Pieza 3</t>
        </is>
      </c>
      <c r="C33" t="inlineStr">
        <is>
          <t>POH Start</t>
        </is>
      </c>
      <c r="D33">
        <f>IF($A33="Centro",_xlfn.XLOOKUP($B33,Multi_Planta!$A$6:$A$13,Multi_Planta!$B$6:$B$13),_xlfn.XLOOKUP($B33,Multi_Planta!$A$6:$A$13,Multi_Planta!$C$6:$C$13))</f>
        <v/>
      </c>
      <c r="E33">
        <f>D37</f>
        <v/>
      </c>
      <c r="F33">
        <f>E37</f>
        <v/>
      </c>
      <c r="G33">
        <f>F37</f>
        <v/>
      </c>
      <c r="H33">
        <f>G37</f>
        <v/>
      </c>
      <c r="I33">
        <f>H37</f>
        <v/>
      </c>
      <c r="J33">
        <f>I37</f>
        <v/>
      </c>
      <c r="K33">
        <f>J37</f>
        <v/>
      </c>
      <c r="L33">
        <f>SUM(D33:K33)</f>
        <v/>
      </c>
      <c r="M33">
        <f>A33&amp;"|"&amp;B33&amp;"|"&amp;C33</f>
        <v/>
      </c>
    </row>
    <row r="34">
      <c r="A34" t="inlineStr">
        <is>
          <t>Centro</t>
        </is>
      </c>
      <c r="B34" t="inlineStr">
        <is>
          <t>Pieza 3</t>
        </is>
      </c>
      <c r="C34" t="inlineStr">
        <is>
          <t>Net Req</t>
        </is>
      </c>
      <c r="D34">
        <f>MAX(0,D31+D32-D33)</f>
        <v/>
      </c>
      <c r="E34">
        <f>MAX(0,E31+E32-E33)</f>
        <v/>
      </c>
      <c r="F34">
        <f>MAX(0,F31+F32-F33)</f>
        <v/>
      </c>
      <c r="G34">
        <f>MAX(0,G31+G32-G33)</f>
        <v/>
      </c>
      <c r="H34">
        <f>MAX(0,H31+H32-H33)</f>
        <v/>
      </c>
      <c r="I34">
        <f>MAX(0,I31+I32-I33)</f>
        <v/>
      </c>
      <c r="J34">
        <f>MAX(0,J31+J32-J33)</f>
        <v/>
      </c>
      <c r="K34">
        <f>MAX(0,K31+K32-K33)</f>
        <v/>
      </c>
      <c r="L34">
        <f>SUM(D34:K34)</f>
        <v/>
      </c>
      <c r="M34">
        <f>A34&amp;"|"&amp;B34&amp;"|"&amp;C34</f>
        <v/>
      </c>
    </row>
    <row r="35">
      <c r="A35" t="inlineStr">
        <is>
          <t>Centro</t>
        </is>
      </c>
      <c r="B35" t="inlineStr">
        <is>
          <t>Pieza 3</t>
        </is>
      </c>
      <c r="C35" t="inlineStr">
        <is>
          <t>Planned Receipt</t>
        </is>
      </c>
      <c r="D35">
        <f>IF(AND(LEFT($B35,5)="Pieza",Inputs!$B$110=1),_xlfn.CEILING.MATH(L31,_xlfn.XLOOKUP($B35,Inputs!$A$35:$A$42,Inputs!$B$35:$B$42)),_xlfn.CEILING.MATH(D34,_xlfn.XLOOKUP($B35,Inputs!$A$35:$A$42,Inputs!$B$35:$B$42)))</f>
        <v/>
      </c>
      <c r="E35">
        <f>IF(AND(LEFT($B35,5)="Pieza",Inputs!$B$110=1),0,_xlfn.CEILING.MATH(E34,_xlfn.XLOOKUP($B35,Inputs!$A$35:$A$42,Inputs!$B$35:$B$42)))</f>
        <v/>
      </c>
      <c r="F35">
        <f>IF(AND(LEFT($B35,5)="Pieza",Inputs!$B$110=1),0,_xlfn.CEILING.MATH(F34,_xlfn.XLOOKUP($B35,Inputs!$A$35:$A$42,Inputs!$B$35:$B$42)))</f>
        <v/>
      </c>
      <c r="G35">
        <f>IF(AND(LEFT($B35,5)="Pieza",Inputs!$B$110=1),0,_xlfn.CEILING.MATH(G34,_xlfn.XLOOKUP($B35,Inputs!$A$35:$A$42,Inputs!$B$35:$B$42)))</f>
        <v/>
      </c>
      <c r="H35">
        <f>IF(AND(LEFT($B35,5)="Pieza",Inputs!$B$110=1),0,_xlfn.CEILING.MATH(H34,_xlfn.XLOOKUP($B35,Inputs!$A$35:$A$42,Inputs!$B$35:$B$42)))</f>
        <v/>
      </c>
      <c r="I35">
        <f>IF(AND(LEFT($B35,5)="Pieza",Inputs!$B$110=1),0,_xlfn.CEILING.MATH(I34,_xlfn.XLOOKUP($B35,Inputs!$A$35:$A$42,Inputs!$B$35:$B$42)))</f>
        <v/>
      </c>
      <c r="J35">
        <f>IF(AND(LEFT($B35,5)="Pieza",Inputs!$B$110=1),0,_xlfn.CEILING.MATH(J34,_xlfn.XLOOKUP($B35,Inputs!$A$35:$A$42,Inputs!$B$35:$B$42)))</f>
        <v/>
      </c>
      <c r="K35">
        <f>IF(AND(LEFT($B35,5)="Pieza",Inputs!$B$110=1),0,_xlfn.CEILING.MATH(K34,_xlfn.XLOOKUP($B35,Inputs!$A$35:$A$42,Inputs!$B$35:$B$42)))</f>
        <v/>
      </c>
      <c r="L35">
        <f>SUM(D35:K35)</f>
        <v/>
      </c>
      <c r="M35">
        <f>A35&amp;"|"&amp;B35&amp;"|"&amp;C35</f>
        <v/>
      </c>
    </row>
    <row r="36">
      <c r="A36" t="inlineStr">
        <is>
          <t>Centro</t>
        </is>
      </c>
      <c r="B36" t="inlineStr">
        <is>
          <t>Pieza 3</t>
        </is>
      </c>
      <c r="C36" t="inlineStr">
        <is>
          <t>Planned Release</t>
        </is>
      </c>
      <c r="D36">
        <f>D35</f>
        <v/>
      </c>
      <c r="E36">
        <f>E35</f>
        <v/>
      </c>
      <c r="F36">
        <f>F35</f>
        <v/>
      </c>
      <c r="G36">
        <f>G35</f>
        <v/>
      </c>
      <c r="H36">
        <f>H35</f>
        <v/>
      </c>
      <c r="I36">
        <f>I35</f>
        <v/>
      </c>
      <c r="J36">
        <f>J35</f>
        <v/>
      </c>
      <c r="K36">
        <f>K35</f>
        <v/>
      </c>
      <c r="L36">
        <f>SUM(D36:K36)</f>
        <v/>
      </c>
      <c r="M36">
        <f>A36&amp;"|"&amp;B36&amp;"|"&amp;C36</f>
        <v/>
      </c>
    </row>
    <row r="37">
      <c r="A37" t="inlineStr">
        <is>
          <t>Centro</t>
        </is>
      </c>
      <c r="B37" t="inlineStr">
        <is>
          <t>Pieza 3</t>
        </is>
      </c>
      <c r="C37" t="inlineStr">
        <is>
          <t>POH End</t>
        </is>
      </c>
      <c r="D37">
        <f>D33+D35-D31</f>
        <v/>
      </c>
      <c r="E37">
        <f>E33+E35-E31</f>
        <v/>
      </c>
      <c r="F37">
        <f>F33+F35-F31</f>
        <v/>
      </c>
      <c r="G37">
        <f>G33+G35-G31</f>
        <v/>
      </c>
      <c r="H37">
        <f>H33+H35-H31</f>
        <v/>
      </c>
      <c r="I37">
        <f>I33+I35-I31</f>
        <v/>
      </c>
      <c r="J37">
        <f>J33+J35-J31</f>
        <v/>
      </c>
      <c r="K37">
        <f>K33+K35-K31</f>
        <v/>
      </c>
      <c r="L37">
        <f>SUM(D37:K37)</f>
        <v/>
      </c>
      <c r="M37">
        <f>A37&amp;"|"&amp;B37&amp;"|"&amp;C37</f>
        <v/>
      </c>
    </row>
    <row r="38">
      <c r="A38" t="inlineStr">
        <is>
          <t>Centro</t>
        </is>
      </c>
      <c r="B38" t="inlineStr">
        <is>
          <t>Pieza 4</t>
        </is>
      </c>
      <c r="C38" t="inlineStr">
        <is>
          <t>Gross Req</t>
        </is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/>
      </c>
      <c r="L38">
        <f>SUM(D38:K38)</f>
        <v/>
      </c>
      <c r="M38">
        <f>A38&amp;"|"&amp;B38&amp;"|"&amp;C38</f>
        <v/>
      </c>
    </row>
    <row r="39">
      <c r="A39" t="inlineStr">
        <is>
          <t>Centro</t>
        </is>
      </c>
      <c r="B39" t="inlineStr">
        <is>
          <t>Pieza 4</t>
        </is>
      </c>
      <c r="C39" t="inlineStr">
        <is>
          <t>Safety Stock</t>
        </is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/>
      </c>
      <c r="L39">
        <f>SUM(D39:K39)</f>
        <v/>
      </c>
      <c r="M39">
        <f>A39&amp;"|"&amp;B39&amp;"|"&amp;C39</f>
        <v/>
      </c>
    </row>
    <row r="40">
      <c r="A40" t="inlineStr">
        <is>
          <t>Centro</t>
        </is>
      </c>
      <c r="B40" t="inlineStr">
        <is>
          <t>Pieza 4</t>
        </is>
      </c>
      <c r="C40" t="inlineStr">
        <is>
          <t>POH Start</t>
        </is>
      </c>
      <c r="D40">
        <f>IF($A40="Centro",_xlfn.XLOOKUP($B40,Multi_Planta!$A$6:$A$13,Multi_Planta!$B$6:$B$13),_xlfn.XLOOKUP($B40,Multi_Planta!$A$6:$A$13,Multi_Planta!$C$6:$C$13))</f>
        <v/>
      </c>
      <c r="E40">
        <f>D44</f>
        <v/>
      </c>
      <c r="F40">
        <f>E44</f>
        <v/>
      </c>
      <c r="G40">
        <f>F44</f>
        <v/>
      </c>
      <c r="H40">
        <f>G44</f>
        <v/>
      </c>
      <c r="I40">
        <f>H44</f>
        <v/>
      </c>
      <c r="J40">
        <f>I44</f>
        <v/>
      </c>
      <c r="K40">
        <f>J44</f>
        <v/>
      </c>
      <c r="L40">
        <f>SUM(D40:K40)</f>
        <v/>
      </c>
      <c r="M40">
        <f>A40&amp;"|"&amp;B40&amp;"|"&amp;C40</f>
        <v/>
      </c>
    </row>
    <row r="41">
      <c r="A41" t="inlineStr">
        <is>
          <t>Centro</t>
        </is>
      </c>
      <c r="B41" t="inlineStr">
        <is>
          <t>Pieza 4</t>
        </is>
      </c>
      <c r="C41" t="inlineStr">
        <is>
          <t>Net Req</t>
        </is>
      </c>
      <c r="D41">
        <f>MAX(0,D38+D39-D40)</f>
        <v/>
      </c>
      <c r="E41">
        <f>MAX(0,E38+E39-E40)</f>
        <v/>
      </c>
      <c r="F41">
        <f>MAX(0,F38+F39-F40)</f>
        <v/>
      </c>
      <c r="G41">
        <f>MAX(0,G38+G39-G40)</f>
        <v/>
      </c>
      <c r="H41">
        <f>MAX(0,H38+H39-H40)</f>
        <v/>
      </c>
      <c r="I41">
        <f>MAX(0,I38+I39-I40)</f>
        <v/>
      </c>
      <c r="J41">
        <f>MAX(0,J38+J39-J40)</f>
        <v/>
      </c>
      <c r="K41">
        <f>MAX(0,K38+K39-K40)</f>
        <v/>
      </c>
      <c r="L41">
        <f>SUM(D41:K41)</f>
        <v/>
      </c>
      <c r="M41">
        <f>A41&amp;"|"&amp;B41&amp;"|"&amp;C41</f>
        <v/>
      </c>
    </row>
    <row r="42">
      <c r="A42" t="inlineStr">
        <is>
          <t>Centro</t>
        </is>
      </c>
      <c r="B42" t="inlineStr">
        <is>
          <t>Pieza 4</t>
        </is>
      </c>
      <c r="C42" t="inlineStr">
        <is>
          <t>Planned Receipt</t>
        </is>
      </c>
      <c r="D42">
        <f>IF(AND(LEFT($B42,5)="Pieza",Inputs!$B$110=1),_xlfn.CEILING.MATH(L38,_xlfn.XLOOKUP($B42,Inputs!$A$35:$A$42,Inputs!$B$35:$B$42)),_xlfn.CEILING.MATH(D41,_xlfn.XLOOKUP($B42,Inputs!$A$35:$A$42,Inputs!$B$35:$B$42)))</f>
        <v/>
      </c>
      <c r="E42">
        <f>IF(AND(LEFT($B42,5)="Pieza",Inputs!$B$110=1),0,_xlfn.CEILING.MATH(E41,_xlfn.XLOOKUP($B42,Inputs!$A$35:$A$42,Inputs!$B$35:$B$42)))</f>
        <v/>
      </c>
      <c r="F42">
        <f>IF(AND(LEFT($B42,5)="Pieza",Inputs!$B$110=1),0,_xlfn.CEILING.MATH(F41,_xlfn.XLOOKUP($B42,Inputs!$A$35:$A$42,Inputs!$B$35:$B$42)))</f>
        <v/>
      </c>
      <c r="G42">
        <f>IF(AND(LEFT($B42,5)="Pieza",Inputs!$B$110=1),0,_xlfn.CEILING.MATH(G41,_xlfn.XLOOKUP($B42,Inputs!$A$35:$A$42,Inputs!$B$35:$B$42)))</f>
        <v/>
      </c>
      <c r="H42">
        <f>IF(AND(LEFT($B42,5)="Pieza",Inputs!$B$110=1),0,_xlfn.CEILING.MATH(H41,_xlfn.XLOOKUP($B42,Inputs!$A$35:$A$42,Inputs!$B$35:$B$42)))</f>
        <v/>
      </c>
      <c r="I42">
        <f>IF(AND(LEFT($B42,5)="Pieza",Inputs!$B$110=1),0,_xlfn.CEILING.MATH(I41,_xlfn.XLOOKUP($B42,Inputs!$A$35:$A$42,Inputs!$B$35:$B$42)))</f>
        <v/>
      </c>
      <c r="J42">
        <f>IF(AND(LEFT($B42,5)="Pieza",Inputs!$B$110=1),0,_xlfn.CEILING.MATH(J41,_xlfn.XLOOKUP($B42,Inputs!$A$35:$A$42,Inputs!$B$35:$B$42)))</f>
        <v/>
      </c>
      <c r="K42">
        <f>IF(AND(LEFT($B42,5)="Pieza",Inputs!$B$110=1),0,_xlfn.CEILING.MATH(K41,_xlfn.XLOOKUP($B42,Inputs!$A$35:$A$42,Inputs!$B$35:$B$42)))</f>
        <v/>
      </c>
      <c r="L42">
        <f>SUM(D42:K42)</f>
        <v/>
      </c>
      <c r="M42">
        <f>A42&amp;"|"&amp;B42&amp;"|"&amp;C42</f>
        <v/>
      </c>
    </row>
    <row r="43">
      <c r="A43" t="inlineStr">
        <is>
          <t>Centro</t>
        </is>
      </c>
      <c r="B43" t="inlineStr">
        <is>
          <t>Pieza 4</t>
        </is>
      </c>
      <c r="C43" t="inlineStr">
        <is>
          <t>Planned Release</t>
        </is>
      </c>
      <c r="D43">
        <f>D42</f>
        <v/>
      </c>
      <c r="E43">
        <f>E42</f>
        <v/>
      </c>
      <c r="F43">
        <f>F42</f>
        <v/>
      </c>
      <c r="G43">
        <f>G42</f>
        <v/>
      </c>
      <c r="H43">
        <f>H42</f>
        <v/>
      </c>
      <c r="I43">
        <f>I42</f>
        <v/>
      </c>
      <c r="J43">
        <f>J42</f>
        <v/>
      </c>
      <c r="K43">
        <f>K42</f>
        <v/>
      </c>
      <c r="L43">
        <f>SUM(D43:K43)</f>
        <v/>
      </c>
      <c r="M43">
        <f>A43&amp;"|"&amp;B43&amp;"|"&amp;C43</f>
        <v/>
      </c>
    </row>
    <row r="44">
      <c r="A44" t="inlineStr">
        <is>
          <t>Centro</t>
        </is>
      </c>
      <c r="B44" t="inlineStr">
        <is>
          <t>Pieza 4</t>
        </is>
      </c>
      <c r="C44" t="inlineStr">
        <is>
          <t>POH End</t>
        </is>
      </c>
      <c r="D44">
        <f>D40+D42-D38</f>
        <v/>
      </c>
      <c r="E44">
        <f>E40+E42-E38</f>
        <v/>
      </c>
      <c r="F44">
        <f>F40+F42-F38</f>
        <v/>
      </c>
      <c r="G44">
        <f>G40+G42-G38</f>
        <v/>
      </c>
      <c r="H44">
        <f>H40+H42-H38</f>
        <v/>
      </c>
      <c r="I44">
        <f>I40+I42-I38</f>
        <v/>
      </c>
      <c r="J44">
        <f>J40+J42-J38</f>
        <v/>
      </c>
      <c r="K44">
        <f>K40+K42-K38</f>
        <v/>
      </c>
      <c r="L44">
        <f>SUM(D44:K44)</f>
        <v/>
      </c>
      <c r="M44">
        <f>A44&amp;"|"&amp;B44&amp;"|"&amp;C44</f>
        <v/>
      </c>
    </row>
    <row r="45">
      <c r="A45" t="inlineStr">
        <is>
          <t>Centro</t>
        </is>
      </c>
      <c r="B45" t="inlineStr">
        <is>
          <t>Pieza 5</t>
        </is>
      </c>
      <c r="C45" t="inlineStr">
        <is>
          <t>Gross Req</t>
        </is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/>
      </c>
      <c r="L45">
        <f>SUM(D45:K45)</f>
        <v/>
      </c>
      <c r="M45">
        <f>A45&amp;"|"&amp;B45&amp;"|"&amp;C45</f>
        <v/>
      </c>
    </row>
    <row r="46">
      <c r="A46" t="inlineStr">
        <is>
          <t>Centro</t>
        </is>
      </c>
      <c r="B46" t="inlineStr">
        <is>
          <t>Pieza 5</t>
        </is>
      </c>
      <c r="C46" t="inlineStr">
        <is>
          <t>Safety Stock</t>
        </is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/>
      </c>
      <c r="L46">
        <f>SUM(D46:K46)</f>
        <v/>
      </c>
      <c r="M46">
        <f>A46&amp;"|"&amp;B46&amp;"|"&amp;C46</f>
        <v/>
      </c>
    </row>
    <row r="47">
      <c r="A47" t="inlineStr">
        <is>
          <t>Centro</t>
        </is>
      </c>
      <c r="B47" t="inlineStr">
        <is>
          <t>Pieza 5</t>
        </is>
      </c>
      <c r="C47" t="inlineStr">
        <is>
          <t>POH Start</t>
        </is>
      </c>
      <c r="D47">
        <f>IF($A47="Centro",_xlfn.XLOOKUP($B47,Multi_Planta!$A$6:$A$13,Multi_Planta!$B$6:$B$13),_xlfn.XLOOKUP($B47,Multi_Planta!$A$6:$A$13,Multi_Planta!$C$6:$C$13))</f>
        <v/>
      </c>
      <c r="E47">
        <f>D51</f>
        <v/>
      </c>
      <c r="F47">
        <f>E51</f>
        <v/>
      </c>
      <c r="G47">
        <f>F51</f>
        <v/>
      </c>
      <c r="H47">
        <f>G51</f>
        <v/>
      </c>
      <c r="I47">
        <f>H51</f>
        <v/>
      </c>
      <c r="J47">
        <f>I51</f>
        <v/>
      </c>
      <c r="K47">
        <f>J51</f>
        <v/>
      </c>
      <c r="L47">
        <f>SUM(D47:K47)</f>
        <v/>
      </c>
      <c r="M47">
        <f>A47&amp;"|"&amp;B47&amp;"|"&amp;C47</f>
        <v/>
      </c>
    </row>
    <row r="48">
      <c r="A48" t="inlineStr">
        <is>
          <t>Centro</t>
        </is>
      </c>
      <c r="B48" t="inlineStr">
        <is>
          <t>Pieza 5</t>
        </is>
      </c>
      <c r="C48" t="inlineStr">
        <is>
          <t>Net Req</t>
        </is>
      </c>
      <c r="D48">
        <f>MAX(0,D45+D46-D47)</f>
        <v/>
      </c>
      <c r="E48">
        <f>MAX(0,E45+E46-E47)</f>
        <v/>
      </c>
      <c r="F48">
        <f>MAX(0,F45+F46-F47)</f>
        <v/>
      </c>
      <c r="G48">
        <f>MAX(0,G45+G46-G47)</f>
        <v/>
      </c>
      <c r="H48">
        <f>MAX(0,H45+H46-H47)</f>
        <v/>
      </c>
      <c r="I48">
        <f>MAX(0,I45+I46-I47)</f>
        <v/>
      </c>
      <c r="J48">
        <f>MAX(0,J45+J46-J47)</f>
        <v/>
      </c>
      <c r="K48">
        <f>MAX(0,K45+K46-K47)</f>
        <v/>
      </c>
      <c r="L48">
        <f>SUM(D48:K48)</f>
        <v/>
      </c>
      <c r="M48">
        <f>A48&amp;"|"&amp;B48&amp;"|"&amp;C48</f>
        <v/>
      </c>
    </row>
    <row r="49">
      <c r="A49" t="inlineStr">
        <is>
          <t>Centro</t>
        </is>
      </c>
      <c r="B49" t="inlineStr">
        <is>
          <t>Pieza 5</t>
        </is>
      </c>
      <c r="C49" t="inlineStr">
        <is>
          <t>Planned Receipt</t>
        </is>
      </c>
      <c r="D49">
        <f>IF(AND(LEFT($B49,5)="Pieza",Inputs!$B$110=1),_xlfn.CEILING.MATH(L45,_xlfn.XLOOKUP($B49,Inputs!$A$35:$A$42,Inputs!$B$35:$B$42)),_xlfn.CEILING.MATH(D48,_xlfn.XLOOKUP($B49,Inputs!$A$35:$A$42,Inputs!$B$35:$B$42)))</f>
        <v/>
      </c>
      <c r="E49">
        <f>IF(AND(LEFT($B49,5)="Pieza",Inputs!$B$110=1),0,_xlfn.CEILING.MATH(E48,_xlfn.XLOOKUP($B49,Inputs!$A$35:$A$42,Inputs!$B$35:$B$42)))</f>
        <v/>
      </c>
      <c r="F49">
        <f>IF(AND(LEFT($B49,5)="Pieza",Inputs!$B$110=1),0,_xlfn.CEILING.MATH(F48,_xlfn.XLOOKUP($B49,Inputs!$A$35:$A$42,Inputs!$B$35:$B$42)))</f>
        <v/>
      </c>
      <c r="G49">
        <f>IF(AND(LEFT($B49,5)="Pieza",Inputs!$B$110=1),0,_xlfn.CEILING.MATH(G48,_xlfn.XLOOKUP($B49,Inputs!$A$35:$A$42,Inputs!$B$35:$B$42)))</f>
        <v/>
      </c>
      <c r="H49">
        <f>IF(AND(LEFT($B49,5)="Pieza",Inputs!$B$110=1),0,_xlfn.CEILING.MATH(H48,_xlfn.XLOOKUP($B49,Inputs!$A$35:$A$42,Inputs!$B$35:$B$42)))</f>
        <v/>
      </c>
      <c r="I49">
        <f>IF(AND(LEFT($B49,5)="Pieza",Inputs!$B$110=1),0,_xlfn.CEILING.MATH(I48,_xlfn.XLOOKUP($B49,Inputs!$A$35:$A$42,Inputs!$B$35:$B$42)))</f>
        <v/>
      </c>
      <c r="J49">
        <f>IF(AND(LEFT($B49,5)="Pieza",Inputs!$B$110=1),0,_xlfn.CEILING.MATH(J48,_xlfn.XLOOKUP($B49,Inputs!$A$35:$A$42,Inputs!$B$35:$B$42)))</f>
        <v/>
      </c>
      <c r="K49">
        <f>IF(AND(LEFT($B49,5)="Pieza",Inputs!$B$110=1),0,_xlfn.CEILING.MATH(K48,_xlfn.XLOOKUP($B49,Inputs!$A$35:$A$42,Inputs!$B$35:$B$42)))</f>
        <v/>
      </c>
      <c r="L49">
        <f>SUM(D49:K49)</f>
        <v/>
      </c>
      <c r="M49">
        <f>A49&amp;"|"&amp;B49&amp;"|"&amp;C49</f>
        <v/>
      </c>
    </row>
    <row r="50">
      <c r="A50" t="inlineStr">
        <is>
          <t>Centro</t>
        </is>
      </c>
      <c r="B50" t="inlineStr">
        <is>
          <t>Pieza 5</t>
        </is>
      </c>
      <c r="C50" t="inlineStr">
        <is>
          <t>Planned Release</t>
        </is>
      </c>
      <c r="D50">
        <f>D49</f>
        <v/>
      </c>
      <c r="E50">
        <f>E49</f>
        <v/>
      </c>
      <c r="F50">
        <f>F49</f>
        <v/>
      </c>
      <c r="G50">
        <f>G49</f>
        <v/>
      </c>
      <c r="H50">
        <f>H49</f>
        <v/>
      </c>
      <c r="I50">
        <f>I49</f>
        <v/>
      </c>
      <c r="J50">
        <f>J49</f>
        <v/>
      </c>
      <c r="K50">
        <f>K49</f>
        <v/>
      </c>
      <c r="L50">
        <f>SUM(D50:K50)</f>
        <v/>
      </c>
      <c r="M50">
        <f>A50&amp;"|"&amp;B50&amp;"|"&amp;C50</f>
        <v/>
      </c>
    </row>
    <row r="51">
      <c r="A51" t="inlineStr">
        <is>
          <t>Centro</t>
        </is>
      </c>
      <c r="B51" t="inlineStr">
        <is>
          <t>Pieza 5</t>
        </is>
      </c>
      <c r="C51" t="inlineStr">
        <is>
          <t>POH End</t>
        </is>
      </c>
      <c r="D51">
        <f>D47+D49-D45</f>
        <v/>
      </c>
      <c r="E51">
        <f>E47+E49-E45</f>
        <v/>
      </c>
      <c r="F51">
        <f>F47+F49-F45</f>
        <v/>
      </c>
      <c r="G51">
        <f>G47+G49-G45</f>
        <v/>
      </c>
      <c r="H51">
        <f>H47+H49-H45</f>
        <v/>
      </c>
      <c r="I51">
        <f>I47+I49-I45</f>
        <v/>
      </c>
      <c r="J51">
        <f>J47+J49-J45</f>
        <v/>
      </c>
      <c r="K51">
        <f>K47+K49-K45</f>
        <v/>
      </c>
      <c r="L51">
        <f>SUM(D51:K51)</f>
        <v/>
      </c>
      <c r="M51">
        <f>A51&amp;"|"&amp;B51&amp;"|"&amp;C51</f>
        <v/>
      </c>
    </row>
    <row r="52">
      <c r="A52" t="inlineStr">
        <is>
          <t>Centro</t>
        </is>
      </c>
      <c r="B52" t="inlineStr">
        <is>
          <t>Pieza 6</t>
        </is>
      </c>
      <c r="C52" t="inlineStr">
        <is>
          <t>Gross Req</t>
        </is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/>
      </c>
      <c r="L52">
        <f>SUM(D52:K52)</f>
        <v/>
      </c>
      <c r="M52">
        <f>A52&amp;"|"&amp;B52&amp;"|"&amp;C52</f>
        <v/>
      </c>
    </row>
    <row r="53">
      <c r="A53" t="inlineStr">
        <is>
          <t>Centro</t>
        </is>
      </c>
      <c r="B53" t="inlineStr">
        <is>
          <t>Pieza 6</t>
        </is>
      </c>
      <c r="C53" t="inlineStr">
        <is>
          <t>Safety Stock</t>
        </is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/>
      </c>
      <c r="L53">
        <f>SUM(D53:K53)</f>
        <v/>
      </c>
      <c r="M53">
        <f>A53&amp;"|"&amp;B53&amp;"|"&amp;C53</f>
        <v/>
      </c>
    </row>
    <row r="54">
      <c r="A54" t="inlineStr">
        <is>
          <t>Centro</t>
        </is>
      </c>
      <c r="B54" t="inlineStr">
        <is>
          <t>Pieza 6</t>
        </is>
      </c>
      <c r="C54" t="inlineStr">
        <is>
          <t>POH Start</t>
        </is>
      </c>
      <c r="D54">
        <f>IF($A54="Centro",_xlfn.XLOOKUP($B54,Multi_Planta!$A$6:$A$13,Multi_Planta!$B$6:$B$13),_xlfn.XLOOKUP($B54,Multi_Planta!$A$6:$A$13,Multi_Planta!$C$6:$C$13))</f>
        <v/>
      </c>
      <c r="E54">
        <f>D58</f>
        <v/>
      </c>
      <c r="F54">
        <f>E58</f>
        <v/>
      </c>
      <c r="G54">
        <f>F58</f>
        <v/>
      </c>
      <c r="H54">
        <f>G58</f>
        <v/>
      </c>
      <c r="I54">
        <f>H58</f>
        <v/>
      </c>
      <c r="J54">
        <f>I58</f>
        <v/>
      </c>
      <c r="K54">
        <f>J58</f>
        <v/>
      </c>
      <c r="L54">
        <f>SUM(D54:K54)</f>
        <v/>
      </c>
      <c r="M54">
        <f>A54&amp;"|"&amp;B54&amp;"|"&amp;C54</f>
        <v/>
      </c>
    </row>
    <row r="55">
      <c r="A55" t="inlineStr">
        <is>
          <t>Centro</t>
        </is>
      </c>
      <c r="B55" t="inlineStr">
        <is>
          <t>Pieza 6</t>
        </is>
      </c>
      <c r="C55" t="inlineStr">
        <is>
          <t>Net Req</t>
        </is>
      </c>
      <c r="D55">
        <f>MAX(0,D52+D53-D54)</f>
        <v/>
      </c>
      <c r="E55">
        <f>MAX(0,E52+E53-E54)</f>
        <v/>
      </c>
      <c r="F55">
        <f>MAX(0,F52+F53-F54)</f>
        <v/>
      </c>
      <c r="G55">
        <f>MAX(0,G52+G53-G54)</f>
        <v/>
      </c>
      <c r="H55">
        <f>MAX(0,H52+H53-H54)</f>
        <v/>
      </c>
      <c r="I55">
        <f>MAX(0,I52+I53-I54)</f>
        <v/>
      </c>
      <c r="J55">
        <f>MAX(0,J52+J53-J54)</f>
        <v/>
      </c>
      <c r="K55">
        <f>MAX(0,K52+K53-K54)</f>
        <v/>
      </c>
      <c r="L55">
        <f>SUM(D55:K55)</f>
        <v/>
      </c>
      <c r="M55">
        <f>A55&amp;"|"&amp;B55&amp;"|"&amp;C55</f>
        <v/>
      </c>
    </row>
    <row r="56">
      <c r="A56" t="inlineStr">
        <is>
          <t>Centro</t>
        </is>
      </c>
      <c r="B56" t="inlineStr">
        <is>
          <t>Pieza 6</t>
        </is>
      </c>
      <c r="C56" t="inlineStr">
        <is>
          <t>Planned Receipt</t>
        </is>
      </c>
      <c r="D56">
        <f>IF(AND(LEFT($B56,5)="Pieza",Inputs!$B$110=1),_xlfn.CEILING.MATH(L52,_xlfn.XLOOKUP($B56,Inputs!$A$35:$A$42,Inputs!$B$35:$B$42)),_xlfn.CEILING.MATH(D55,_xlfn.XLOOKUP($B56,Inputs!$A$35:$A$42,Inputs!$B$35:$B$42)))</f>
        <v/>
      </c>
      <c r="E56">
        <f>IF(AND(LEFT($B56,5)="Pieza",Inputs!$B$110=1),0,_xlfn.CEILING.MATH(E55,_xlfn.XLOOKUP($B56,Inputs!$A$35:$A$42,Inputs!$B$35:$B$42)))</f>
        <v/>
      </c>
      <c r="F56">
        <f>IF(AND(LEFT($B56,5)="Pieza",Inputs!$B$110=1),0,_xlfn.CEILING.MATH(F55,_xlfn.XLOOKUP($B56,Inputs!$A$35:$A$42,Inputs!$B$35:$B$42)))</f>
        <v/>
      </c>
      <c r="G56">
        <f>IF(AND(LEFT($B56,5)="Pieza",Inputs!$B$110=1),0,_xlfn.CEILING.MATH(G55,_xlfn.XLOOKUP($B56,Inputs!$A$35:$A$42,Inputs!$B$35:$B$42)))</f>
        <v/>
      </c>
      <c r="H56">
        <f>IF(AND(LEFT($B56,5)="Pieza",Inputs!$B$110=1),0,_xlfn.CEILING.MATH(H55,_xlfn.XLOOKUP($B56,Inputs!$A$35:$A$42,Inputs!$B$35:$B$42)))</f>
        <v/>
      </c>
      <c r="I56">
        <f>IF(AND(LEFT($B56,5)="Pieza",Inputs!$B$110=1),0,_xlfn.CEILING.MATH(I55,_xlfn.XLOOKUP($B56,Inputs!$A$35:$A$42,Inputs!$B$35:$B$42)))</f>
        <v/>
      </c>
      <c r="J56">
        <f>IF(AND(LEFT($B56,5)="Pieza",Inputs!$B$110=1),0,_xlfn.CEILING.MATH(J55,_xlfn.XLOOKUP($B56,Inputs!$A$35:$A$42,Inputs!$B$35:$B$42)))</f>
        <v/>
      </c>
      <c r="K56">
        <f>IF(AND(LEFT($B56,5)="Pieza",Inputs!$B$110=1),0,_xlfn.CEILING.MATH(K55,_xlfn.XLOOKUP($B56,Inputs!$A$35:$A$42,Inputs!$B$35:$B$42)))</f>
        <v/>
      </c>
      <c r="L56">
        <f>SUM(D56:K56)</f>
        <v/>
      </c>
      <c r="M56">
        <f>A56&amp;"|"&amp;B56&amp;"|"&amp;C56</f>
        <v/>
      </c>
    </row>
    <row r="57">
      <c r="A57" t="inlineStr">
        <is>
          <t>Centro</t>
        </is>
      </c>
      <c r="B57" t="inlineStr">
        <is>
          <t>Pieza 6</t>
        </is>
      </c>
      <c r="C57" t="inlineStr">
        <is>
          <t>Planned Release</t>
        </is>
      </c>
      <c r="D57">
        <f>D56</f>
        <v/>
      </c>
      <c r="E57">
        <f>E56</f>
        <v/>
      </c>
      <c r="F57">
        <f>F56</f>
        <v/>
      </c>
      <c r="G57">
        <f>G56</f>
        <v/>
      </c>
      <c r="H57">
        <f>H56</f>
        <v/>
      </c>
      <c r="I57">
        <f>I56</f>
        <v/>
      </c>
      <c r="J57">
        <f>J56</f>
        <v/>
      </c>
      <c r="K57">
        <f>K56</f>
        <v/>
      </c>
      <c r="L57">
        <f>SUM(D57:K57)</f>
        <v/>
      </c>
      <c r="M57">
        <f>A57&amp;"|"&amp;B57&amp;"|"&amp;C57</f>
        <v/>
      </c>
    </row>
    <row r="58">
      <c r="A58" t="inlineStr">
        <is>
          <t>Centro</t>
        </is>
      </c>
      <c r="B58" t="inlineStr">
        <is>
          <t>Pieza 6</t>
        </is>
      </c>
      <c r="C58" t="inlineStr">
        <is>
          <t>POH End</t>
        </is>
      </c>
      <c r="D58">
        <f>D54+D56-D52</f>
        <v/>
      </c>
      <c r="E58">
        <f>E54+E56-E52</f>
        <v/>
      </c>
      <c r="F58">
        <f>F54+F56-F52</f>
        <v/>
      </c>
      <c r="G58">
        <f>G54+G56-G52</f>
        <v/>
      </c>
      <c r="H58">
        <f>H54+H56-H52</f>
        <v/>
      </c>
      <c r="I58">
        <f>I54+I56-I52</f>
        <v/>
      </c>
      <c r="J58">
        <f>J54+J56-J52</f>
        <v/>
      </c>
      <c r="K58">
        <f>K54+K56-K52</f>
        <v/>
      </c>
      <c r="L58">
        <f>SUM(D58:K58)</f>
        <v/>
      </c>
      <c r="M58">
        <f>A58&amp;"|"&amp;B58&amp;"|"&amp;C58</f>
        <v/>
      </c>
    </row>
    <row r="59">
      <c r="A59" t="inlineStr">
        <is>
          <t>Oeste</t>
        </is>
      </c>
      <c r="B59" t="inlineStr">
        <is>
          <t>Parte A</t>
        </is>
      </c>
      <c r="C59" t="inlineStr">
        <is>
          <t>Gross Req</t>
        </is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/>
      </c>
      <c r="L59">
        <f>SUM(D59:K59)</f>
        <v/>
      </c>
      <c r="M59">
        <f>A59&amp;"|"&amp;B59&amp;"|"&amp;C59</f>
        <v/>
      </c>
    </row>
    <row r="60">
      <c r="A60" t="inlineStr">
        <is>
          <t>Oeste</t>
        </is>
      </c>
      <c r="B60" t="inlineStr">
        <is>
          <t>Parte A</t>
        </is>
      </c>
      <c r="C60" t="inlineStr">
        <is>
          <t>Safety Stock</t>
        </is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/>
      </c>
      <c r="L60">
        <f>SUM(D60:K60)</f>
        <v/>
      </c>
      <c r="M60">
        <f>A60&amp;"|"&amp;B60&amp;"|"&amp;C60</f>
        <v/>
      </c>
    </row>
    <row r="61">
      <c r="A61" t="inlineStr">
        <is>
          <t>Oeste</t>
        </is>
      </c>
      <c r="B61" t="inlineStr">
        <is>
          <t>Parte A</t>
        </is>
      </c>
      <c r="C61" t="inlineStr">
        <is>
          <t>POH Start</t>
        </is>
      </c>
      <c r="D61">
        <f>IF($A61="Centro",_xlfn.XLOOKUP($B61,Multi_Planta!$A$6:$A$13,Multi_Planta!$B$6:$B$13),_xlfn.XLOOKUP($B61,Multi_Planta!$A$6:$A$13,Multi_Planta!$C$6:$C$13))</f>
        <v/>
      </c>
      <c r="E61">
        <f>D65</f>
        <v/>
      </c>
      <c r="F61">
        <f>E65</f>
        <v/>
      </c>
      <c r="G61">
        <f>F65</f>
        <v/>
      </c>
      <c r="H61">
        <f>G65</f>
        <v/>
      </c>
      <c r="I61">
        <f>H65</f>
        <v/>
      </c>
      <c r="J61">
        <f>I65</f>
        <v/>
      </c>
      <c r="K61">
        <f>J65</f>
        <v/>
      </c>
      <c r="L61">
        <f>SUM(D61:K61)</f>
        <v/>
      </c>
      <c r="M61">
        <f>A61&amp;"|"&amp;B61&amp;"|"&amp;C61</f>
        <v/>
      </c>
    </row>
    <row r="62">
      <c r="A62" t="inlineStr">
        <is>
          <t>Oeste</t>
        </is>
      </c>
      <c r="B62" t="inlineStr">
        <is>
          <t>Parte A</t>
        </is>
      </c>
      <c r="C62" t="inlineStr">
        <is>
          <t>Net Req</t>
        </is>
      </c>
      <c r="D62">
        <f>MAX(0,D59+D60-D61)</f>
        <v/>
      </c>
      <c r="E62">
        <f>MAX(0,E59+E60-E61)</f>
        <v/>
      </c>
      <c r="F62">
        <f>MAX(0,F59+F60-F61)</f>
        <v/>
      </c>
      <c r="G62">
        <f>MAX(0,G59+G60-G61)</f>
        <v/>
      </c>
      <c r="H62">
        <f>MAX(0,H59+H60-H61)</f>
        <v/>
      </c>
      <c r="I62">
        <f>MAX(0,I59+I60-I61)</f>
        <v/>
      </c>
      <c r="J62">
        <f>MAX(0,J59+J60-J61)</f>
        <v/>
      </c>
      <c r="K62">
        <f>MAX(0,K59+K60-K61)</f>
        <v/>
      </c>
      <c r="L62">
        <f>SUM(D62:K62)</f>
        <v/>
      </c>
      <c r="M62">
        <f>A62&amp;"|"&amp;B62&amp;"|"&amp;C62</f>
        <v/>
      </c>
    </row>
    <row r="63">
      <c r="A63" t="inlineStr">
        <is>
          <t>Oeste</t>
        </is>
      </c>
      <c r="B63" t="inlineStr">
        <is>
          <t>Parte A</t>
        </is>
      </c>
      <c r="C63" t="inlineStr">
        <is>
          <t>Planned Receipt</t>
        </is>
      </c>
      <c r="D63">
        <f>IF(AND(LEFT($B63,5)="Pieza",Inputs!$B$110=1),_xlfn.CEILING.MATH(L59,_xlfn.XLOOKUP($B63,Inputs!$A$35:$A$42,Inputs!$B$35:$B$42)),_xlfn.CEILING.MATH(D62,_xlfn.XLOOKUP($B63,Inputs!$A$35:$A$42,Inputs!$B$35:$B$42)))</f>
        <v/>
      </c>
      <c r="E63">
        <f>IF(AND(LEFT($B63,5)="Pieza",Inputs!$B$110=1),0,_xlfn.CEILING.MATH(E62,_xlfn.XLOOKUP($B63,Inputs!$A$35:$A$42,Inputs!$B$35:$B$42)))</f>
        <v/>
      </c>
      <c r="F63">
        <f>IF(AND(LEFT($B63,5)="Pieza",Inputs!$B$110=1),0,_xlfn.CEILING.MATH(F62,_xlfn.XLOOKUP($B63,Inputs!$A$35:$A$42,Inputs!$B$35:$B$42)))</f>
        <v/>
      </c>
      <c r="G63">
        <f>IF(AND(LEFT($B63,5)="Pieza",Inputs!$B$110=1),0,_xlfn.CEILING.MATH(G62,_xlfn.XLOOKUP($B63,Inputs!$A$35:$A$42,Inputs!$B$35:$B$42)))</f>
        <v/>
      </c>
      <c r="H63">
        <f>IF(AND(LEFT($B63,5)="Pieza",Inputs!$B$110=1),0,_xlfn.CEILING.MATH(H62,_xlfn.XLOOKUP($B63,Inputs!$A$35:$A$42,Inputs!$B$35:$B$42)))</f>
        <v/>
      </c>
      <c r="I63">
        <f>IF(AND(LEFT($B63,5)="Pieza",Inputs!$B$110=1),0,_xlfn.CEILING.MATH(I62,_xlfn.XLOOKUP($B63,Inputs!$A$35:$A$42,Inputs!$B$35:$B$42)))</f>
        <v/>
      </c>
      <c r="J63">
        <f>IF(AND(LEFT($B63,5)="Pieza",Inputs!$B$110=1),0,_xlfn.CEILING.MATH(J62,_xlfn.XLOOKUP($B63,Inputs!$A$35:$A$42,Inputs!$B$35:$B$42)))</f>
        <v/>
      </c>
      <c r="K63">
        <f>IF(AND(LEFT($B63,5)="Pieza",Inputs!$B$110=1),0,_xlfn.CEILING.MATH(K62,_xlfn.XLOOKUP($B63,Inputs!$A$35:$A$42,Inputs!$B$35:$B$42)))</f>
        <v/>
      </c>
      <c r="L63">
        <f>SUM(D63:K63)</f>
        <v/>
      </c>
      <c r="M63">
        <f>A63&amp;"|"&amp;B63&amp;"|"&amp;C63</f>
        <v/>
      </c>
    </row>
    <row r="64">
      <c r="A64" t="inlineStr">
        <is>
          <t>Oeste</t>
        </is>
      </c>
      <c r="B64" t="inlineStr">
        <is>
          <t>Parte A</t>
        </is>
      </c>
      <c r="C64" t="inlineStr">
        <is>
          <t>Planned Release</t>
        </is>
      </c>
      <c r="D64">
        <f>D63</f>
        <v/>
      </c>
      <c r="E64">
        <f>E63</f>
        <v/>
      </c>
      <c r="F64">
        <f>F63</f>
        <v/>
      </c>
      <c r="G64">
        <f>G63</f>
        <v/>
      </c>
      <c r="H64">
        <f>H63</f>
        <v/>
      </c>
      <c r="I64">
        <f>I63</f>
        <v/>
      </c>
      <c r="J64">
        <f>J63</f>
        <v/>
      </c>
      <c r="K64">
        <f>K63</f>
        <v/>
      </c>
      <c r="L64">
        <f>SUM(D64:K64)</f>
        <v/>
      </c>
      <c r="M64">
        <f>A64&amp;"|"&amp;B64&amp;"|"&amp;C64</f>
        <v/>
      </c>
    </row>
    <row r="65">
      <c r="A65" t="inlineStr">
        <is>
          <t>Oeste</t>
        </is>
      </c>
      <c r="B65" t="inlineStr">
        <is>
          <t>Parte A</t>
        </is>
      </c>
      <c r="C65" t="inlineStr">
        <is>
          <t>POH End</t>
        </is>
      </c>
      <c r="D65">
        <f>D61+D63-D59</f>
        <v/>
      </c>
      <c r="E65">
        <f>E61+E63-E59</f>
        <v/>
      </c>
      <c r="F65">
        <f>F61+F63-F59</f>
        <v/>
      </c>
      <c r="G65">
        <f>G61+G63-G59</f>
        <v/>
      </c>
      <c r="H65">
        <f>H61+H63-H59</f>
        <v/>
      </c>
      <c r="I65">
        <f>I61+I63-I59</f>
        <v/>
      </c>
      <c r="J65">
        <f>J61+J63-J59</f>
        <v/>
      </c>
      <c r="K65">
        <f>K61+K63-K59</f>
        <v/>
      </c>
      <c r="L65">
        <f>SUM(D65:K65)</f>
        <v/>
      </c>
      <c r="M65">
        <f>A65&amp;"|"&amp;B65&amp;"|"&amp;C65</f>
        <v/>
      </c>
    </row>
    <row r="66">
      <c r="A66" t="inlineStr">
        <is>
          <t>Oeste</t>
        </is>
      </c>
      <c r="B66" t="inlineStr">
        <is>
          <t>Parte B</t>
        </is>
      </c>
      <c r="C66" t="inlineStr">
        <is>
          <t>Gross Req</t>
        </is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/>
      </c>
      <c r="L66">
        <f>SUM(D66:K66)</f>
        <v/>
      </c>
      <c r="M66">
        <f>A66&amp;"|"&amp;B66&amp;"|"&amp;C66</f>
        <v/>
      </c>
    </row>
    <row r="67">
      <c r="A67" t="inlineStr">
        <is>
          <t>Oeste</t>
        </is>
      </c>
      <c r="B67" t="inlineStr">
        <is>
          <t>Parte B</t>
        </is>
      </c>
      <c r="C67" t="inlineStr">
        <is>
          <t>Safety Stock</t>
        </is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/>
      </c>
      <c r="L67">
        <f>SUM(D67:K67)</f>
        <v/>
      </c>
      <c r="M67">
        <f>A67&amp;"|"&amp;B67&amp;"|"&amp;C67</f>
        <v/>
      </c>
    </row>
    <row r="68">
      <c r="A68" t="inlineStr">
        <is>
          <t>Oeste</t>
        </is>
      </c>
      <c r="B68" t="inlineStr">
        <is>
          <t>Parte B</t>
        </is>
      </c>
      <c r="C68" t="inlineStr">
        <is>
          <t>POH Start</t>
        </is>
      </c>
      <c r="D68">
        <f>IF($A68="Centro",_xlfn.XLOOKUP($B68,Multi_Planta!$A$6:$A$13,Multi_Planta!$B$6:$B$13),_xlfn.XLOOKUP($B68,Multi_Planta!$A$6:$A$13,Multi_Planta!$C$6:$C$13))</f>
        <v/>
      </c>
      <c r="E68">
        <f>D72</f>
        <v/>
      </c>
      <c r="F68">
        <f>E72</f>
        <v/>
      </c>
      <c r="G68">
        <f>F72</f>
        <v/>
      </c>
      <c r="H68">
        <f>G72</f>
        <v/>
      </c>
      <c r="I68">
        <f>H72</f>
        <v/>
      </c>
      <c r="J68">
        <f>I72</f>
        <v/>
      </c>
      <c r="K68">
        <f>J72</f>
        <v/>
      </c>
      <c r="L68">
        <f>SUM(D68:K68)</f>
        <v/>
      </c>
      <c r="M68">
        <f>A68&amp;"|"&amp;B68&amp;"|"&amp;C68</f>
        <v/>
      </c>
    </row>
    <row r="69">
      <c r="A69" t="inlineStr">
        <is>
          <t>Oeste</t>
        </is>
      </c>
      <c r="B69" t="inlineStr">
        <is>
          <t>Parte B</t>
        </is>
      </c>
      <c r="C69" t="inlineStr">
        <is>
          <t>Net Req</t>
        </is>
      </c>
      <c r="D69">
        <f>MAX(0,D66+D67-D68)</f>
        <v/>
      </c>
      <c r="E69">
        <f>MAX(0,E66+E67-E68)</f>
        <v/>
      </c>
      <c r="F69">
        <f>MAX(0,F66+F67-F68)</f>
        <v/>
      </c>
      <c r="G69">
        <f>MAX(0,G66+G67-G68)</f>
        <v/>
      </c>
      <c r="H69">
        <f>MAX(0,H66+H67-H68)</f>
        <v/>
      </c>
      <c r="I69">
        <f>MAX(0,I66+I67-I68)</f>
        <v/>
      </c>
      <c r="J69">
        <f>MAX(0,J66+J67-J68)</f>
        <v/>
      </c>
      <c r="K69">
        <f>MAX(0,K66+K67-K68)</f>
        <v/>
      </c>
      <c r="L69">
        <f>SUM(D69:K69)</f>
        <v/>
      </c>
      <c r="M69">
        <f>A69&amp;"|"&amp;B69&amp;"|"&amp;C69</f>
        <v/>
      </c>
    </row>
    <row r="70">
      <c r="A70" t="inlineStr">
        <is>
          <t>Oeste</t>
        </is>
      </c>
      <c r="B70" t="inlineStr">
        <is>
          <t>Parte B</t>
        </is>
      </c>
      <c r="C70" t="inlineStr">
        <is>
          <t>Planned Receipt</t>
        </is>
      </c>
      <c r="D70">
        <f>IF(AND(LEFT($B70,5)="Pieza",Inputs!$B$110=1),_xlfn.CEILING.MATH(L66,_xlfn.XLOOKUP($B70,Inputs!$A$35:$A$42,Inputs!$B$35:$B$42)),_xlfn.CEILING.MATH(D69,_xlfn.XLOOKUP($B70,Inputs!$A$35:$A$42,Inputs!$B$35:$B$42)))</f>
        <v/>
      </c>
      <c r="E70">
        <f>IF(AND(LEFT($B70,5)="Pieza",Inputs!$B$110=1),0,_xlfn.CEILING.MATH(E69,_xlfn.XLOOKUP($B70,Inputs!$A$35:$A$42,Inputs!$B$35:$B$42)))</f>
        <v/>
      </c>
      <c r="F70">
        <f>IF(AND(LEFT($B70,5)="Pieza",Inputs!$B$110=1),0,_xlfn.CEILING.MATH(F69,_xlfn.XLOOKUP($B70,Inputs!$A$35:$A$42,Inputs!$B$35:$B$42)))</f>
        <v/>
      </c>
      <c r="G70">
        <f>IF(AND(LEFT($B70,5)="Pieza",Inputs!$B$110=1),0,_xlfn.CEILING.MATH(G69,_xlfn.XLOOKUP($B70,Inputs!$A$35:$A$42,Inputs!$B$35:$B$42)))</f>
        <v/>
      </c>
      <c r="H70">
        <f>IF(AND(LEFT($B70,5)="Pieza",Inputs!$B$110=1),0,_xlfn.CEILING.MATH(H69,_xlfn.XLOOKUP($B70,Inputs!$A$35:$A$42,Inputs!$B$35:$B$42)))</f>
        <v/>
      </c>
      <c r="I70">
        <f>IF(AND(LEFT($B70,5)="Pieza",Inputs!$B$110=1),0,_xlfn.CEILING.MATH(I69,_xlfn.XLOOKUP($B70,Inputs!$A$35:$A$42,Inputs!$B$35:$B$42)))</f>
        <v/>
      </c>
      <c r="J70">
        <f>IF(AND(LEFT($B70,5)="Pieza",Inputs!$B$110=1),0,_xlfn.CEILING.MATH(J69,_xlfn.XLOOKUP($B70,Inputs!$A$35:$A$42,Inputs!$B$35:$B$42)))</f>
        <v/>
      </c>
      <c r="K70">
        <f>IF(AND(LEFT($B70,5)="Pieza",Inputs!$B$110=1),0,_xlfn.CEILING.MATH(K69,_xlfn.XLOOKUP($B70,Inputs!$A$35:$A$42,Inputs!$B$35:$B$42)))</f>
        <v/>
      </c>
      <c r="L70">
        <f>SUM(D70:K70)</f>
        <v/>
      </c>
      <c r="M70">
        <f>A70&amp;"|"&amp;B70&amp;"|"&amp;C70</f>
        <v/>
      </c>
    </row>
    <row r="71">
      <c r="A71" t="inlineStr">
        <is>
          <t>Oeste</t>
        </is>
      </c>
      <c r="B71" t="inlineStr">
        <is>
          <t>Parte B</t>
        </is>
      </c>
      <c r="C71" t="inlineStr">
        <is>
          <t>Planned Release</t>
        </is>
      </c>
      <c r="D71">
        <f>D70</f>
        <v/>
      </c>
      <c r="E71">
        <f>E70</f>
        <v/>
      </c>
      <c r="F71">
        <f>F70</f>
        <v/>
      </c>
      <c r="G71">
        <f>G70</f>
        <v/>
      </c>
      <c r="H71">
        <f>H70</f>
        <v/>
      </c>
      <c r="I71">
        <f>I70</f>
        <v/>
      </c>
      <c r="J71">
        <f>J70</f>
        <v/>
      </c>
      <c r="K71">
        <f>K70</f>
        <v/>
      </c>
      <c r="L71">
        <f>SUM(D71:K71)</f>
        <v/>
      </c>
      <c r="M71">
        <f>A71&amp;"|"&amp;B71&amp;"|"&amp;C71</f>
        <v/>
      </c>
    </row>
    <row r="72">
      <c r="A72" t="inlineStr">
        <is>
          <t>Oeste</t>
        </is>
      </c>
      <c r="B72" t="inlineStr">
        <is>
          <t>Parte B</t>
        </is>
      </c>
      <c r="C72" t="inlineStr">
        <is>
          <t>POH End</t>
        </is>
      </c>
      <c r="D72">
        <f>D68+D70-D66</f>
        <v/>
      </c>
      <c r="E72">
        <f>E68+E70-E66</f>
        <v/>
      </c>
      <c r="F72">
        <f>F68+F70-F66</f>
        <v/>
      </c>
      <c r="G72">
        <f>G68+G70-G66</f>
        <v/>
      </c>
      <c r="H72">
        <f>H68+H70-H66</f>
        <v/>
      </c>
      <c r="I72">
        <f>I68+I70-I66</f>
        <v/>
      </c>
      <c r="J72">
        <f>J68+J70-J66</f>
        <v/>
      </c>
      <c r="K72">
        <f>K68+K70-K66</f>
        <v/>
      </c>
      <c r="L72">
        <f>SUM(D72:K72)</f>
        <v/>
      </c>
      <c r="M72">
        <f>A72&amp;"|"&amp;B72&amp;"|"&amp;C72</f>
        <v/>
      </c>
    </row>
    <row r="73">
      <c r="A73" t="inlineStr">
        <is>
          <t>Oeste</t>
        </is>
      </c>
      <c r="B73" t="inlineStr">
        <is>
          <t>Pieza 1</t>
        </is>
      </c>
      <c r="C73" t="inlineStr">
        <is>
          <t>Gross Req</t>
        </is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/>
      </c>
      <c r="L73">
        <f>SUM(D73:K73)</f>
        <v/>
      </c>
      <c r="M73">
        <f>A73&amp;"|"&amp;B73&amp;"|"&amp;C73</f>
        <v/>
      </c>
    </row>
    <row r="74">
      <c r="A74" t="inlineStr">
        <is>
          <t>Oeste</t>
        </is>
      </c>
      <c r="B74" t="inlineStr">
        <is>
          <t>Pieza 1</t>
        </is>
      </c>
      <c r="C74" t="inlineStr">
        <is>
          <t>Safety Stock</t>
        </is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/>
      </c>
      <c r="L74">
        <f>SUM(D74:K74)</f>
        <v/>
      </c>
      <c r="M74">
        <f>A74&amp;"|"&amp;B74&amp;"|"&amp;C74</f>
        <v/>
      </c>
    </row>
    <row r="75">
      <c r="A75" t="inlineStr">
        <is>
          <t>Oeste</t>
        </is>
      </c>
      <c r="B75" t="inlineStr">
        <is>
          <t>Pieza 1</t>
        </is>
      </c>
      <c r="C75" t="inlineStr">
        <is>
          <t>POH Start</t>
        </is>
      </c>
      <c r="D75">
        <f>IF($A75="Centro",_xlfn.XLOOKUP($B75,Multi_Planta!$A$6:$A$13,Multi_Planta!$B$6:$B$13),_xlfn.XLOOKUP($B75,Multi_Planta!$A$6:$A$13,Multi_Planta!$C$6:$C$13))</f>
        <v/>
      </c>
      <c r="E75">
        <f>D79</f>
        <v/>
      </c>
      <c r="F75">
        <f>E79</f>
        <v/>
      </c>
      <c r="G75">
        <f>F79</f>
        <v/>
      </c>
      <c r="H75">
        <f>G79</f>
        <v/>
      </c>
      <c r="I75">
        <f>H79</f>
        <v/>
      </c>
      <c r="J75">
        <f>I79</f>
        <v/>
      </c>
      <c r="K75">
        <f>J79</f>
        <v/>
      </c>
      <c r="L75">
        <f>SUM(D75:K75)</f>
        <v/>
      </c>
      <c r="M75">
        <f>A75&amp;"|"&amp;B75&amp;"|"&amp;C75</f>
        <v/>
      </c>
    </row>
    <row r="76">
      <c r="A76" t="inlineStr">
        <is>
          <t>Oeste</t>
        </is>
      </c>
      <c r="B76" t="inlineStr">
        <is>
          <t>Pieza 1</t>
        </is>
      </c>
      <c r="C76" t="inlineStr">
        <is>
          <t>Net Req</t>
        </is>
      </c>
      <c r="D76">
        <f>MAX(0,D73+D74-D75)</f>
        <v/>
      </c>
      <c r="E76">
        <f>MAX(0,E73+E74-E75)</f>
        <v/>
      </c>
      <c r="F76">
        <f>MAX(0,F73+F74-F75)</f>
        <v/>
      </c>
      <c r="G76">
        <f>MAX(0,G73+G74-G75)</f>
        <v/>
      </c>
      <c r="H76">
        <f>MAX(0,H73+H74-H75)</f>
        <v/>
      </c>
      <c r="I76">
        <f>MAX(0,I73+I74-I75)</f>
        <v/>
      </c>
      <c r="J76">
        <f>MAX(0,J73+J74-J75)</f>
        <v/>
      </c>
      <c r="K76">
        <f>MAX(0,K73+K74-K75)</f>
        <v/>
      </c>
      <c r="L76">
        <f>SUM(D76:K76)</f>
        <v/>
      </c>
      <c r="M76">
        <f>A76&amp;"|"&amp;B76&amp;"|"&amp;C76</f>
        <v/>
      </c>
    </row>
    <row r="77">
      <c r="A77" t="inlineStr">
        <is>
          <t>Oeste</t>
        </is>
      </c>
      <c r="B77" t="inlineStr">
        <is>
          <t>Pieza 1</t>
        </is>
      </c>
      <c r="C77" t="inlineStr">
        <is>
          <t>Planned Receipt</t>
        </is>
      </c>
      <c r="D77">
        <f>IF(AND(LEFT($B77,5)="Pieza",Inputs!$B$110=1),_xlfn.CEILING.MATH(L73,_xlfn.XLOOKUP($B77,Inputs!$A$35:$A$42,Inputs!$B$35:$B$42)),_xlfn.CEILING.MATH(D76,_xlfn.XLOOKUP($B77,Inputs!$A$35:$A$42,Inputs!$B$35:$B$42)))</f>
        <v/>
      </c>
      <c r="E77">
        <f>IF(AND(LEFT($B77,5)="Pieza",Inputs!$B$110=1),0,_xlfn.CEILING.MATH(E76,_xlfn.XLOOKUP($B77,Inputs!$A$35:$A$42,Inputs!$B$35:$B$42)))</f>
        <v/>
      </c>
      <c r="F77">
        <f>IF(AND(LEFT($B77,5)="Pieza",Inputs!$B$110=1),0,_xlfn.CEILING.MATH(F76,_xlfn.XLOOKUP($B77,Inputs!$A$35:$A$42,Inputs!$B$35:$B$42)))</f>
        <v/>
      </c>
      <c r="G77">
        <f>IF(AND(LEFT($B77,5)="Pieza",Inputs!$B$110=1),0,_xlfn.CEILING.MATH(G76,_xlfn.XLOOKUP($B77,Inputs!$A$35:$A$42,Inputs!$B$35:$B$42)))</f>
        <v/>
      </c>
      <c r="H77">
        <f>IF(AND(LEFT($B77,5)="Pieza",Inputs!$B$110=1),0,_xlfn.CEILING.MATH(H76,_xlfn.XLOOKUP($B77,Inputs!$A$35:$A$42,Inputs!$B$35:$B$42)))</f>
        <v/>
      </c>
      <c r="I77">
        <f>IF(AND(LEFT($B77,5)="Pieza",Inputs!$B$110=1),0,_xlfn.CEILING.MATH(I76,_xlfn.XLOOKUP($B77,Inputs!$A$35:$A$42,Inputs!$B$35:$B$42)))</f>
        <v/>
      </c>
      <c r="J77">
        <f>IF(AND(LEFT($B77,5)="Pieza",Inputs!$B$110=1),0,_xlfn.CEILING.MATH(J76,_xlfn.XLOOKUP($B77,Inputs!$A$35:$A$42,Inputs!$B$35:$B$42)))</f>
        <v/>
      </c>
      <c r="K77">
        <f>IF(AND(LEFT($B77,5)="Pieza",Inputs!$B$110=1),0,_xlfn.CEILING.MATH(K76,_xlfn.XLOOKUP($B77,Inputs!$A$35:$A$42,Inputs!$B$35:$B$42)))</f>
        <v/>
      </c>
      <c r="L77">
        <f>SUM(D77:K77)</f>
        <v/>
      </c>
      <c r="M77">
        <f>A77&amp;"|"&amp;B77&amp;"|"&amp;C77</f>
        <v/>
      </c>
    </row>
    <row r="78">
      <c r="A78" t="inlineStr">
        <is>
          <t>Oeste</t>
        </is>
      </c>
      <c r="B78" t="inlineStr">
        <is>
          <t>Pieza 1</t>
        </is>
      </c>
      <c r="C78" t="inlineStr">
        <is>
          <t>Planned Release</t>
        </is>
      </c>
      <c r="D78">
        <f>D77</f>
        <v/>
      </c>
      <c r="E78">
        <f>E77</f>
        <v/>
      </c>
      <c r="F78">
        <f>F77</f>
        <v/>
      </c>
      <c r="G78">
        <f>G77</f>
        <v/>
      </c>
      <c r="H78">
        <f>H77</f>
        <v/>
      </c>
      <c r="I78">
        <f>I77</f>
        <v/>
      </c>
      <c r="J78">
        <f>J77</f>
        <v/>
      </c>
      <c r="K78">
        <f>K77</f>
        <v/>
      </c>
      <c r="L78">
        <f>SUM(D78:K78)</f>
        <v/>
      </c>
      <c r="M78">
        <f>A78&amp;"|"&amp;B78&amp;"|"&amp;C78</f>
        <v/>
      </c>
    </row>
    <row r="79">
      <c r="A79" t="inlineStr">
        <is>
          <t>Oeste</t>
        </is>
      </c>
      <c r="B79" t="inlineStr">
        <is>
          <t>Pieza 1</t>
        </is>
      </c>
      <c r="C79" t="inlineStr">
        <is>
          <t>POH End</t>
        </is>
      </c>
      <c r="D79">
        <f>D75+D77-D73</f>
        <v/>
      </c>
      <c r="E79">
        <f>E75+E77-E73</f>
        <v/>
      </c>
      <c r="F79">
        <f>F75+F77-F73</f>
        <v/>
      </c>
      <c r="G79">
        <f>G75+G77-G73</f>
        <v/>
      </c>
      <c r="H79">
        <f>H75+H77-H73</f>
        <v/>
      </c>
      <c r="I79">
        <f>I75+I77-I73</f>
        <v/>
      </c>
      <c r="J79">
        <f>J75+J77-J73</f>
        <v/>
      </c>
      <c r="K79">
        <f>K75+K77-K73</f>
        <v/>
      </c>
      <c r="L79">
        <f>SUM(D79:K79)</f>
        <v/>
      </c>
      <c r="M79">
        <f>A79&amp;"|"&amp;B79&amp;"|"&amp;C79</f>
        <v/>
      </c>
    </row>
    <row r="80">
      <c r="A80" t="inlineStr">
        <is>
          <t>Oeste</t>
        </is>
      </c>
      <c r="B80" t="inlineStr">
        <is>
          <t>Pieza 2</t>
        </is>
      </c>
      <c r="C80" t="inlineStr">
        <is>
          <t>Gross Req</t>
        </is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/>
      </c>
      <c r="L80">
        <f>SUM(D80:K80)</f>
        <v/>
      </c>
      <c r="M80">
        <f>A80&amp;"|"&amp;B80&amp;"|"&amp;C80</f>
        <v/>
      </c>
    </row>
    <row r="81">
      <c r="A81" t="inlineStr">
        <is>
          <t>Oeste</t>
        </is>
      </c>
      <c r="B81" t="inlineStr">
        <is>
          <t>Pieza 2</t>
        </is>
      </c>
      <c r="C81" t="inlineStr">
        <is>
          <t>Safety Stock</t>
        </is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/>
      </c>
      <c r="L81">
        <f>SUM(D81:K81)</f>
        <v/>
      </c>
      <c r="M81">
        <f>A81&amp;"|"&amp;B81&amp;"|"&amp;C81</f>
        <v/>
      </c>
    </row>
    <row r="82">
      <c r="A82" t="inlineStr">
        <is>
          <t>Oeste</t>
        </is>
      </c>
      <c r="B82" t="inlineStr">
        <is>
          <t>Pieza 2</t>
        </is>
      </c>
      <c r="C82" t="inlineStr">
        <is>
          <t>POH Start</t>
        </is>
      </c>
      <c r="D82">
        <f>IF($A82="Centro",_xlfn.XLOOKUP($B82,Multi_Planta!$A$6:$A$13,Multi_Planta!$B$6:$B$13),_xlfn.XLOOKUP($B82,Multi_Planta!$A$6:$A$13,Multi_Planta!$C$6:$C$13))</f>
        <v/>
      </c>
      <c r="E82">
        <f>D86</f>
        <v/>
      </c>
      <c r="F82">
        <f>E86</f>
        <v/>
      </c>
      <c r="G82">
        <f>F86</f>
        <v/>
      </c>
      <c r="H82">
        <f>G86</f>
        <v/>
      </c>
      <c r="I82">
        <f>H86</f>
        <v/>
      </c>
      <c r="J82">
        <f>I86</f>
        <v/>
      </c>
      <c r="K82">
        <f>J86</f>
        <v/>
      </c>
      <c r="L82">
        <f>SUM(D82:K82)</f>
        <v/>
      </c>
      <c r="M82">
        <f>A82&amp;"|"&amp;B82&amp;"|"&amp;C82</f>
        <v/>
      </c>
    </row>
    <row r="83">
      <c r="A83" t="inlineStr">
        <is>
          <t>Oeste</t>
        </is>
      </c>
      <c r="B83" t="inlineStr">
        <is>
          <t>Pieza 2</t>
        </is>
      </c>
      <c r="C83" t="inlineStr">
        <is>
          <t>Net Req</t>
        </is>
      </c>
      <c r="D83">
        <f>MAX(0,D80+D81-D82)</f>
        <v/>
      </c>
      <c r="E83">
        <f>MAX(0,E80+E81-E82)</f>
        <v/>
      </c>
      <c r="F83">
        <f>MAX(0,F80+F81-F82)</f>
        <v/>
      </c>
      <c r="G83">
        <f>MAX(0,G80+G81-G82)</f>
        <v/>
      </c>
      <c r="H83">
        <f>MAX(0,H80+H81-H82)</f>
        <v/>
      </c>
      <c r="I83">
        <f>MAX(0,I80+I81-I82)</f>
        <v/>
      </c>
      <c r="J83">
        <f>MAX(0,J80+J81-J82)</f>
        <v/>
      </c>
      <c r="K83">
        <f>MAX(0,K80+K81-K82)</f>
        <v/>
      </c>
      <c r="L83">
        <f>SUM(D83:K83)</f>
        <v/>
      </c>
      <c r="M83">
        <f>A83&amp;"|"&amp;B83&amp;"|"&amp;C83</f>
        <v/>
      </c>
    </row>
    <row r="84">
      <c r="A84" t="inlineStr">
        <is>
          <t>Oeste</t>
        </is>
      </c>
      <c r="B84" t="inlineStr">
        <is>
          <t>Pieza 2</t>
        </is>
      </c>
      <c r="C84" t="inlineStr">
        <is>
          <t>Planned Receipt</t>
        </is>
      </c>
      <c r="D84">
        <f>IF(AND(LEFT($B84,5)="Pieza",Inputs!$B$110=1),_xlfn.CEILING.MATH(L80,_xlfn.XLOOKUP($B84,Inputs!$A$35:$A$42,Inputs!$B$35:$B$42)),_xlfn.CEILING.MATH(D83,_xlfn.XLOOKUP($B84,Inputs!$A$35:$A$42,Inputs!$B$35:$B$42)))</f>
        <v/>
      </c>
      <c r="E84">
        <f>IF(AND(LEFT($B84,5)="Pieza",Inputs!$B$110=1),0,_xlfn.CEILING.MATH(E83,_xlfn.XLOOKUP($B84,Inputs!$A$35:$A$42,Inputs!$B$35:$B$42)))</f>
        <v/>
      </c>
      <c r="F84">
        <f>IF(AND(LEFT($B84,5)="Pieza",Inputs!$B$110=1),0,_xlfn.CEILING.MATH(F83,_xlfn.XLOOKUP($B84,Inputs!$A$35:$A$42,Inputs!$B$35:$B$42)))</f>
        <v/>
      </c>
      <c r="G84">
        <f>IF(AND(LEFT($B84,5)="Pieza",Inputs!$B$110=1),0,_xlfn.CEILING.MATH(G83,_xlfn.XLOOKUP($B84,Inputs!$A$35:$A$42,Inputs!$B$35:$B$42)))</f>
        <v/>
      </c>
      <c r="H84">
        <f>IF(AND(LEFT($B84,5)="Pieza",Inputs!$B$110=1),0,_xlfn.CEILING.MATH(H83,_xlfn.XLOOKUP($B84,Inputs!$A$35:$A$42,Inputs!$B$35:$B$42)))</f>
        <v/>
      </c>
      <c r="I84">
        <f>IF(AND(LEFT($B84,5)="Pieza",Inputs!$B$110=1),0,_xlfn.CEILING.MATH(I83,_xlfn.XLOOKUP($B84,Inputs!$A$35:$A$42,Inputs!$B$35:$B$42)))</f>
        <v/>
      </c>
      <c r="J84">
        <f>IF(AND(LEFT($B84,5)="Pieza",Inputs!$B$110=1),0,_xlfn.CEILING.MATH(J83,_xlfn.XLOOKUP($B84,Inputs!$A$35:$A$42,Inputs!$B$35:$B$42)))</f>
        <v/>
      </c>
      <c r="K84">
        <f>IF(AND(LEFT($B84,5)="Pieza",Inputs!$B$110=1),0,_xlfn.CEILING.MATH(K83,_xlfn.XLOOKUP($B84,Inputs!$A$35:$A$42,Inputs!$B$35:$B$42)))</f>
        <v/>
      </c>
      <c r="L84">
        <f>SUM(D84:K84)</f>
        <v/>
      </c>
      <c r="M84">
        <f>A84&amp;"|"&amp;B84&amp;"|"&amp;C84</f>
        <v/>
      </c>
    </row>
    <row r="85">
      <c r="A85" t="inlineStr">
        <is>
          <t>Oeste</t>
        </is>
      </c>
      <c r="B85" t="inlineStr">
        <is>
          <t>Pieza 2</t>
        </is>
      </c>
      <c r="C85" t="inlineStr">
        <is>
          <t>Planned Release</t>
        </is>
      </c>
      <c r="D85">
        <f>D84</f>
        <v/>
      </c>
      <c r="E85">
        <f>E84</f>
        <v/>
      </c>
      <c r="F85">
        <f>F84</f>
        <v/>
      </c>
      <c r="G85">
        <f>G84</f>
        <v/>
      </c>
      <c r="H85">
        <f>H84</f>
        <v/>
      </c>
      <c r="I85">
        <f>I84</f>
        <v/>
      </c>
      <c r="J85">
        <f>J84</f>
        <v/>
      </c>
      <c r="K85">
        <f>K84</f>
        <v/>
      </c>
      <c r="L85">
        <f>SUM(D85:K85)</f>
        <v/>
      </c>
      <c r="M85">
        <f>A85&amp;"|"&amp;B85&amp;"|"&amp;C85</f>
        <v/>
      </c>
    </row>
    <row r="86">
      <c r="A86" t="inlineStr">
        <is>
          <t>Oeste</t>
        </is>
      </c>
      <c r="B86" t="inlineStr">
        <is>
          <t>Pieza 2</t>
        </is>
      </c>
      <c r="C86" t="inlineStr">
        <is>
          <t>POH End</t>
        </is>
      </c>
      <c r="D86">
        <f>D82+D84-D80</f>
        <v/>
      </c>
      <c r="E86">
        <f>E82+E84-E80</f>
        <v/>
      </c>
      <c r="F86">
        <f>F82+F84-F80</f>
        <v/>
      </c>
      <c r="G86">
        <f>G82+G84-G80</f>
        <v/>
      </c>
      <c r="H86">
        <f>H82+H84-H80</f>
        <v/>
      </c>
      <c r="I86">
        <f>I82+I84-I80</f>
        <v/>
      </c>
      <c r="J86">
        <f>J82+J84-J80</f>
        <v/>
      </c>
      <c r="K86">
        <f>K82+K84-K80</f>
        <v/>
      </c>
      <c r="L86">
        <f>SUM(D86:K86)</f>
        <v/>
      </c>
      <c r="M86">
        <f>A86&amp;"|"&amp;B86&amp;"|"&amp;C86</f>
        <v/>
      </c>
    </row>
    <row r="87">
      <c r="A87" t="inlineStr">
        <is>
          <t>Oeste</t>
        </is>
      </c>
      <c r="B87" t="inlineStr">
        <is>
          <t>Pieza 3</t>
        </is>
      </c>
      <c r="C87" t="inlineStr">
        <is>
          <t>Gross Req</t>
        </is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/>
      </c>
      <c r="L87">
        <f>SUM(D87:K87)</f>
        <v/>
      </c>
      <c r="M87">
        <f>A87&amp;"|"&amp;B87&amp;"|"&amp;C87</f>
        <v/>
      </c>
    </row>
    <row r="88">
      <c r="A88" t="inlineStr">
        <is>
          <t>Oeste</t>
        </is>
      </c>
      <c r="B88" t="inlineStr">
        <is>
          <t>Pieza 3</t>
        </is>
      </c>
      <c r="C88" t="inlineStr">
        <is>
          <t>Safety Stock</t>
        </is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/>
      </c>
      <c r="L88">
        <f>SUM(D88:K88)</f>
        <v/>
      </c>
      <c r="M88">
        <f>A88&amp;"|"&amp;B88&amp;"|"&amp;C88</f>
        <v/>
      </c>
    </row>
    <row r="89">
      <c r="A89" t="inlineStr">
        <is>
          <t>Oeste</t>
        </is>
      </c>
      <c r="B89" t="inlineStr">
        <is>
          <t>Pieza 3</t>
        </is>
      </c>
      <c r="C89" t="inlineStr">
        <is>
          <t>POH Start</t>
        </is>
      </c>
      <c r="D89">
        <f>IF($A89="Centro",_xlfn.XLOOKUP($B89,Multi_Planta!$A$6:$A$13,Multi_Planta!$B$6:$B$13),_xlfn.XLOOKUP($B89,Multi_Planta!$A$6:$A$13,Multi_Planta!$C$6:$C$13))</f>
        <v/>
      </c>
      <c r="E89">
        <f>D93</f>
        <v/>
      </c>
      <c r="F89">
        <f>E93</f>
        <v/>
      </c>
      <c r="G89">
        <f>F93</f>
        <v/>
      </c>
      <c r="H89">
        <f>G93</f>
        <v/>
      </c>
      <c r="I89">
        <f>H93</f>
        <v/>
      </c>
      <c r="J89">
        <f>I93</f>
        <v/>
      </c>
      <c r="K89">
        <f>J93</f>
        <v/>
      </c>
      <c r="L89">
        <f>SUM(D89:K89)</f>
        <v/>
      </c>
      <c r="M89">
        <f>A89&amp;"|"&amp;B89&amp;"|"&amp;C89</f>
        <v/>
      </c>
    </row>
    <row r="90">
      <c r="A90" t="inlineStr">
        <is>
          <t>Oeste</t>
        </is>
      </c>
      <c r="B90" t="inlineStr">
        <is>
          <t>Pieza 3</t>
        </is>
      </c>
      <c r="C90" t="inlineStr">
        <is>
          <t>Net Req</t>
        </is>
      </c>
      <c r="D90">
        <f>MAX(0,D87+D88-D89)</f>
        <v/>
      </c>
      <c r="E90">
        <f>MAX(0,E87+E88-E89)</f>
        <v/>
      </c>
      <c r="F90">
        <f>MAX(0,F87+F88-F89)</f>
        <v/>
      </c>
      <c r="G90">
        <f>MAX(0,G87+G88-G89)</f>
        <v/>
      </c>
      <c r="H90">
        <f>MAX(0,H87+H88-H89)</f>
        <v/>
      </c>
      <c r="I90">
        <f>MAX(0,I87+I88-I89)</f>
        <v/>
      </c>
      <c r="J90">
        <f>MAX(0,J87+J88-J89)</f>
        <v/>
      </c>
      <c r="K90">
        <f>MAX(0,K87+K88-K89)</f>
        <v/>
      </c>
      <c r="L90">
        <f>SUM(D90:K90)</f>
        <v/>
      </c>
      <c r="M90">
        <f>A90&amp;"|"&amp;B90&amp;"|"&amp;C90</f>
        <v/>
      </c>
    </row>
    <row r="91">
      <c r="A91" t="inlineStr">
        <is>
          <t>Oeste</t>
        </is>
      </c>
      <c r="B91" t="inlineStr">
        <is>
          <t>Pieza 3</t>
        </is>
      </c>
      <c r="C91" t="inlineStr">
        <is>
          <t>Planned Receipt</t>
        </is>
      </c>
      <c r="D91">
        <f>IF(AND(LEFT($B91,5)="Pieza",Inputs!$B$110=1),_xlfn.CEILING.MATH(L87,_xlfn.XLOOKUP($B91,Inputs!$A$35:$A$42,Inputs!$B$35:$B$42)),_xlfn.CEILING.MATH(D90,_xlfn.XLOOKUP($B91,Inputs!$A$35:$A$42,Inputs!$B$35:$B$42)))</f>
        <v/>
      </c>
      <c r="E91">
        <f>IF(AND(LEFT($B91,5)="Pieza",Inputs!$B$110=1),0,_xlfn.CEILING.MATH(E90,_xlfn.XLOOKUP($B91,Inputs!$A$35:$A$42,Inputs!$B$35:$B$42)))</f>
        <v/>
      </c>
      <c r="F91">
        <f>IF(AND(LEFT($B91,5)="Pieza",Inputs!$B$110=1),0,_xlfn.CEILING.MATH(F90,_xlfn.XLOOKUP($B91,Inputs!$A$35:$A$42,Inputs!$B$35:$B$42)))</f>
        <v/>
      </c>
      <c r="G91">
        <f>IF(AND(LEFT($B91,5)="Pieza",Inputs!$B$110=1),0,_xlfn.CEILING.MATH(G90,_xlfn.XLOOKUP($B91,Inputs!$A$35:$A$42,Inputs!$B$35:$B$42)))</f>
        <v/>
      </c>
      <c r="H91">
        <f>IF(AND(LEFT($B91,5)="Pieza",Inputs!$B$110=1),0,_xlfn.CEILING.MATH(H90,_xlfn.XLOOKUP($B91,Inputs!$A$35:$A$42,Inputs!$B$35:$B$42)))</f>
        <v/>
      </c>
      <c r="I91">
        <f>IF(AND(LEFT($B91,5)="Pieza",Inputs!$B$110=1),0,_xlfn.CEILING.MATH(I90,_xlfn.XLOOKUP($B91,Inputs!$A$35:$A$42,Inputs!$B$35:$B$42)))</f>
        <v/>
      </c>
      <c r="J91">
        <f>IF(AND(LEFT($B91,5)="Pieza",Inputs!$B$110=1),0,_xlfn.CEILING.MATH(J90,_xlfn.XLOOKUP($B91,Inputs!$A$35:$A$42,Inputs!$B$35:$B$42)))</f>
        <v/>
      </c>
      <c r="K91">
        <f>IF(AND(LEFT($B91,5)="Pieza",Inputs!$B$110=1),0,_xlfn.CEILING.MATH(K90,_xlfn.XLOOKUP($B91,Inputs!$A$35:$A$42,Inputs!$B$35:$B$42)))</f>
        <v/>
      </c>
      <c r="L91">
        <f>SUM(D91:K91)</f>
        <v/>
      </c>
      <c r="M91">
        <f>A91&amp;"|"&amp;B91&amp;"|"&amp;C91</f>
        <v/>
      </c>
    </row>
    <row r="92">
      <c r="A92" t="inlineStr">
        <is>
          <t>Oeste</t>
        </is>
      </c>
      <c r="B92" t="inlineStr">
        <is>
          <t>Pieza 3</t>
        </is>
      </c>
      <c r="C92" t="inlineStr">
        <is>
          <t>Planned Release</t>
        </is>
      </c>
      <c r="D92">
        <f>D91</f>
        <v/>
      </c>
      <c r="E92">
        <f>E91</f>
        <v/>
      </c>
      <c r="F92">
        <f>F91</f>
        <v/>
      </c>
      <c r="G92">
        <f>G91</f>
        <v/>
      </c>
      <c r="H92">
        <f>H91</f>
        <v/>
      </c>
      <c r="I92">
        <f>I91</f>
        <v/>
      </c>
      <c r="J92">
        <f>J91</f>
        <v/>
      </c>
      <c r="K92">
        <f>K91</f>
        <v/>
      </c>
      <c r="L92">
        <f>SUM(D92:K92)</f>
        <v/>
      </c>
      <c r="M92">
        <f>A92&amp;"|"&amp;B92&amp;"|"&amp;C92</f>
        <v/>
      </c>
    </row>
    <row r="93">
      <c r="A93" t="inlineStr">
        <is>
          <t>Oeste</t>
        </is>
      </c>
      <c r="B93" t="inlineStr">
        <is>
          <t>Pieza 3</t>
        </is>
      </c>
      <c r="C93" t="inlineStr">
        <is>
          <t>POH End</t>
        </is>
      </c>
      <c r="D93">
        <f>D89+D91-D87</f>
        <v/>
      </c>
      <c r="E93">
        <f>E89+E91-E87</f>
        <v/>
      </c>
      <c r="F93">
        <f>F89+F91-F87</f>
        <v/>
      </c>
      <c r="G93">
        <f>G89+G91-G87</f>
        <v/>
      </c>
      <c r="H93">
        <f>H89+H91-H87</f>
        <v/>
      </c>
      <c r="I93">
        <f>I89+I91-I87</f>
        <v/>
      </c>
      <c r="J93">
        <f>J89+J91-J87</f>
        <v/>
      </c>
      <c r="K93">
        <f>K89+K91-K87</f>
        <v/>
      </c>
      <c r="L93">
        <f>SUM(D93:K93)</f>
        <v/>
      </c>
      <c r="M93">
        <f>A93&amp;"|"&amp;B93&amp;"|"&amp;C93</f>
        <v/>
      </c>
    </row>
    <row r="94">
      <c r="A94" t="inlineStr">
        <is>
          <t>Oeste</t>
        </is>
      </c>
      <c r="B94" t="inlineStr">
        <is>
          <t>Pieza 4</t>
        </is>
      </c>
      <c r="C94" t="inlineStr">
        <is>
          <t>Gross Req</t>
        </is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/>
      </c>
      <c r="L94">
        <f>SUM(D94:K94)</f>
        <v/>
      </c>
      <c r="M94">
        <f>A94&amp;"|"&amp;B94&amp;"|"&amp;C94</f>
        <v/>
      </c>
    </row>
    <row r="95">
      <c r="A95" t="inlineStr">
        <is>
          <t>Oeste</t>
        </is>
      </c>
      <c r="B95" t="inlineStr">
        <is>
          <t>Pieza 4</t>
        </is>
      </c>
      <c r="C95" t="inlineStr">
        <is>
          <t>Safety Stock</t>
        </is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/>
      </c>
      <c r="L95">
        <f>SUM(D95:K95)</f>
        <v/>
      </c>
      <c r="M95">
        <f>A95&amp;"|"&amp;B95&amp;"|"&amp;C95</f>
        <v/>
      </c>
    </row>
    <row r="96">
      <c r="A96" t="inlineStr">
        <is>
          <t>Oeste</t>
        </is>
      </c>
      <c r="B96" t="inlineStr">
        <is>
          <t>Pieza 4</t>
        </is>
      </c>
      <c r="C96" t="inlineStr">
        <is>
          <t>POH Start</t>
        </is>
      </c>
      <c r="D96">
        <f>IF($A96="Centro",_xlfn.XLOOKUP($B96,Multi_Planta!$A$6:$A$13,Multi_Planta!$B$6:$B$13),_xlfn.XLOOKUP($B96,Multi_Planta!$A$6:$A$13,Multi_Planta!$C$6:$C$13))</f>
        <v/>
      </c>
      <c r="E96">
        <f>D100</f>
        <v/>
      </c>
      <c r="F96">
        <f>E100</f>
        <v/>
      </c>
      <c r="G96">
        <f>F100</f>
        <v/>
      </c>
      <c r="H96">
        <f>G100</f>
        <v/>
      </c>
      <c r="I96">
        <f>H100</f>
        <v/>
      </c>
      <c r="J96">
        <f>I100</f>
        <v/>
      </c>
      <c r="K96">
        <f>J100</f>
        <v/>
      </c>
      <c r="L96">
        <f>SUM(D96:K96)</f>
        <v/>
      </c>
      <c r="M96">
        <f>A96&amp;"|"&amp;B96&amp;"|"&amp;C96</f>
        <v/>
      </c>
    </row>
    <row r="97">
      <c r="A97" t="inlineStr">
        <is>
          <t>Oeste</t>
        </is>
      </c>
      <c r="B97" t="inlineStr">
        <is>
          <t>Pieza 4</t>
        </is>
      </c>
      <c r="C97" t="inlineStr">
        <is>
          <t>Net Req</t>
        </is>
      </c>
      <c r="D97">
        <f>MAX(0,D94+D95-D96)</f>
        <v/>
      </c>
      <c r="E97">
        <f>MAX(0,E94+E95-E96)</f>
        <v/>
      </c>
      <c r="F97">
        <f>MAX(0,F94+F95-F96)</f>
        <v/>
      </c>
      <c r="G97">
        <f>MAX(0,G94+G95-G96)</f>
        <v/>
      </c>
      <c r="H97">
        <f>MAX(0,H94+H95-H96)</f>
        <v/>
      </c>
      <c r="I97">
        <f>MAX(0,I94+I95-I96)</f>
        <v/>
      </c>
      <c r="J97">
        <f>MAX(0,J94+J95-J96)</f>
        <v/>
      </c>
      <c r="K97">
        <f>MAX(0,K94+K95-K96)</f>
        <v/>
      </c>
      <c r="L97">
        <f>SUM(D97:K97)</f>
        <v/>
      </c>
      <c r="M97">
        <f>A97&amp;"|"&amp;B97&amp;"|"&amp;C97</f>
        <v/>
      </c>
    </row>
    <row r="98">
      <c r="A98" t="inlineStr">
        <is>
          <t>Oeste</t>
        </is>
      </c>
      <c r="B98" t="inlineStr">
        <is>
          <t>Pieza 4</t>
        </is>
      </c>
      <c r="C98" t="inlineStr">
        <is>
          <t>Planned Receipt</t>
        </is>
      </c>
      <c r="D98">
        <f>IF(AND(LEFT($B98,5)="Pieza",Inputs!$B$110=1),_xlfn.CEILING.MATH(L94,_xlfn.XLOOKUP($B98,Inputs!$A$35:$A$42,Inputs!$B$35:$B$42)),_xlfn.CEILING.MATH(D97,_xlfn.XLOOKUP($B98,Inputs!$A$35:$A$42,Inputs!$B$35:$B$42)))</f>
        <v/>
      </c>
      <c r="E98">
        <f>IF(AND(LEFT($B98,5)="Pieza",Inputs!$B$110=1),0,_xlfn.CEILING.MATH(E97,_xlfn.XLOOKUP($B98,Inputs!$A$35:$A$42,Inputs!$B$35:$B$42)))</f>
        <v/>
      </c>
      <c r="F98">
        <f>IF(AND(LEFT($B98,5)="Pieza",Inputs!$B$110=1),0,_xlfn.CEILING.MATH(F97,_xlfn.XLOOKUP($B98,Inputs!$A$35:$A$42,Inputs!$B$35:$B$42)))</f>
        <v/>
      </c>
      <c r="G98">
        <f>IF(AND(LEFT($B98,5)="Pieza",Inputs!$B$110=1),0,_xlfn.CEILING.MATH(G97,_xlfn.XLOOKUP($B98,Inputs!$A$35:$A$42,Inputs!$B$35:$B$42)))</f>
        <v/>
      </c>
      <c r="H98">
        <f>IF(AND(LEFT($B98,5)="Pieza",Inputs!$B$110=1),0,_xlfn.CEILING.MATH(H97,_xlfn.XLOOKUP($B98,Inputs!$A$35:$A$42,Inputs!$B$35:$B$42)))</f>
        <v/>
      </c>
      <c r="I98">
        <f>IF(AND(LEFT($B98,5)="Pieza",Inputs!$B$110=1),0,_xlfn.CEILING.MATH(I97,_xlfn.XLOOKUP($B98,Inputs!$A$35:$A$42,Inputs!$B$35:$B$42)))</f>
        <v/>
      </c>
      <c r="J98">
        <f>IF(AND(LEFT($B98,5)="Pieza",Inputs!$B$110=1),0,_xlfn.CEILING.MATH(J97,_xlfn.XLOOKUP($B98,Inputs!$A$35:$A$42,Inputs!$B$35:$B$42)))</f>
        <v/>
      </c>
      <c r="K98">
        <f>IF(AND(LEFT($B98,5)="Pieza",Inputs!$B$110=1),0,_xlfn.CEILING.MATH(K97,_xlfn.XLOOKUP($B98,Inputs!$A$35:$A$42,Inputs!$B$35:$B$42)))</f>
        <v/>
      </c>
      <c r="L98">
        <f>SUM(D98:K98)</f>
        <v/>
      </c>
      <c r="M98">
        <f>A98&amp;"|"&amp;B98&amp;"|"&amp;C98</f>
        <v/>
      </c>
    </row>
    <row r="99">
      <c r="A99" t="inlineStr">
        <is>
          <t>Oeste</t>
        </is>
      </c>
      <c r="B99" t="inlineStr">
        <is>
          <t>Pieza 4</t>
        </is>
      </c>
      <c r="C99" t="inlineStr">
        <is>
          <t>Planned Release</t>
        </is>
      </c>
      <c r="D99">
        <f>D98</f>
        <v/>
      </c>
      <c r="E99">
        <f>E98</f>
        <v/>
      </c>
      <c r="F99">
        <f>F98</f>
        <v/>
      </c>
      <c r="G99">
        <f>G98</f>
        <v/>
      </c>
      <c r="H99">
        <f>H98</f>
        <v/>
      </c>
      <c r="I99">
        <f>I98</f>
        <v/>
      </c>
      <c r="J99">
        <f>J98</f>
        <v/>
      </c>
      <c r="K99">
        <f>K98</f>
        <v/>
      </c>
      <c r="L99">
        <f>SUM(D99:K99)</f>
        <v/>
      </c>
      <c r="M99">
        <f>A99&amp;"|"&amp;B99&amp;"|"&amp;C99</f>
        <v/>
      </c>
    </row>
    <row r="100">
      <c r="A100" t="inlineStr">
        <is>
          <t>Oeste</t>
        </is>
      </c>
      <c r="B100" t="inlineStr">
        <is>
          <t>Pieza 4</t>
        </is>
      </c>
      <c r="C100" t="inlineStr">
        <is>
          <t>POH End</t>
        </is>
      </c>
      <c r="D100">
        <f>D96+D98-D94</f>
        <v/>
      </c>
      <c r="E100">
        <f>E96+E98-E94</f>
        <v/>
      </c>
      <c r="F100">
        <f>F96+F98-F94</f>
        <v/>
      </c>
      <c r="G100">
        <f>G96+G98-G94</f>
        <v/>
      </c>
      <c r="H100">
        <f>H96+H98-H94</f>
        <v/>
      </c>
      <c r="I100">
        <f>I96+I98-I94</f>
        <v/>
      </c>
      <c r="J100">
        <f>J96+J98-J94</f>
        <v/>
      </c>
      <c r="K100">
        <f>K96+K98-K94</f>
        <v/>
      </c>
      <c r="L100">
        <f>SUM(D100:K100)</f>
        <v/>
      </c>
      <c r="M100">
        <f>A100&amp;"|"&amp;B100&amp;"|"&amp;C100</f>
        <v/>
      </c>
    </row>
    <row r="101">
      <c r="A101" t="inlineStr">
        <is>
          <t>Oeste</t>
        </is>
      </c>
      <c r="B101" t="inlineStr">
        <is>
          <t>Pieza 5</t>
        </is>
      </c>
      <c r="C101" t="inlineStr">
        <is>
          <t>Gross Req</t>
        </is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/>
      </c>
      <c r="L101">
        <f>SUM(D101:K101)</f>
        <v/>
      </c>
      <c r="M101">
        <f>A101&amp;"|"&amp;B101&amp;"|"&amp;C101</f>
        <v/>
      </c>
    </row>
    <row r="102">
      <c r="A102" t="inlineStr">
        <is>
          <t>Oeste</t>
        </is>
      </c>
      <c r="B102" t="inlineStr">
        <is>
          <t>Pieza 5</t>
        </is>
      </c>
      <c r="C102" t="inlineStr">
        <is>
          <t>Safety Stock</t>
        </is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/>
      </c>
      <c r="L102">
        <f>SUM(D102:K102)</f>
        <v/>
      </c>
      <c r="M102">
        <f>A102&amp;"|"&amp;B102&amp;"|"&amp;C102</f>
        <v/>
      </c>
    </row>
    <row r="103">
      <c r="A103" t="inlineStr">
        <is>
          <t>Oeste</t>
        </is>
      </c>
      <c r="B103" t="inlineStr">
        <is>
          <t>Pieza 5</t>
        </is>
      </c>
      <c r="C103" t="inlineStr">
        <is>
          <t>POH Start</t>
        </is>
      </c>
      <c r="D103">
        <f>IF($A103="Centro",_xlfn.XLOOKUP($B103,Multi_Planta!$A$6:$A$13,Multi_Planta!$B$6:$B$13),_xlfn.XLOOKUP($B103,Multi_Planta!$A$6:$A$13,Multi_Planta!$C$6:$C$13))</f>
        <v/>
      </c>
      <c r="E103">
        <f>D107</f>
        <v/>
      </c>
      <c r="F103">
        <f>E107</f>
        <v/>
      </c>
      <c r="G103">
        <f>F107</f>
        <v/>
      </c>
      <c r="H103">
        <f>G107</f>
        <v/>
      </c>
      <c r="I103">
        <f>H107</f>
        <v/>
      </c>
      <c r="J103">
        <f>I107</f>
        <v/>
      </c>
      <c r="K103">
        <f>J107</f>
        <v/>
      </c>
      <c r="L103">
        <f>SUM(D103:K103)</f>
        <v/>
      </c>
      <c r="M103">
        <f>A103&amp;"|"&amp;B103&amp;"|"&amp;C103</f>
        <v/>
      </c>
    </row>
    <row r="104">
      <c r="A104" t="inlineStr">
        <is>
          <t>Oeste</t>
        </is>
      </c>
      <c r="B104" t="inlineStr">
        <is>
          <t>Pieza 5</t>
        </is>
      </c>
      <c r="C104" t="inlineStr">
        <is>
          <t>Net Req</t>
        </is>
      </c>
      <c r="D104">
        <f>MAX(0,D101+D102-D103)</f>
        <v/>
      </c>
      <c r="E104">
        <f>MAX(0,E101+E102-E103)</f>
        <v/>
      </c>
      <c r="F104">
        <f>MAX(0,F101+F102-F103)</f>
        <v/>
      </c>
      <c r="G104">
        <f>MAX(0,G101+G102-G103)</f>
        <v/>
      </c>
      <c r="H104">
        <f>MAX(0,H101+H102-H103)</f>
        <v/>
      </c>
      <c r="I104">
        <f>MAX(0,I101+I102-I103)</f>
        <v/>
      </c>
      <c r="J104">
        <f>MAX(0,J101+J102-J103)</f>
        <v/>
      </c>
      <c r="K104">
        <f>MAX(0,K101+K102-K103)</f>
        <v/>
      </c>
      <c r="L104">
        <f>SUM(D104:K104)</f>
        <v/>
      </c>
      <c r="M104">
        <f>A104&amp;"|"&amp;B104&amp;"|"&amp;C104</f>
        <v/>
      </c>
    </row>
    <row r="105">
      <c r="A105" t="inlineStr">
        <is>
          <t>Oeste</t>
        </is>
      </c>
      <c r="B105" t="inlineStr">
        <is>
          <t>Pieza 5</t>
        </is>
      </c>
      <c r="C105" t="inlineStr">
        <is>
          <t>Planned Receipt</t>
        </is>
      </c>
      <c r="D105">
        <f>IF(AND(LEFT($B105,5)="Pieza",Inputs!$B$110=1),_xlfn.CEILING.MATH(L101,_xlfn.XLOOKUP($B105,Inputs!$A$35:$A$42,Inputs!$B$35:$B$42)),_xlfn.CEILING.MATH(D104,_xlfn.XLOOKUP($B105,Inputs!$A$35:$A$42,Inputs!$B$35:$B$42)))</f>
        <v/>
      </c>
      <c r="E105">
        <f>IF(AND(LEFT($B105,5)="Pieza",Inputs!$B$110=1),0,_xlfn.CEILING.MATH(E104,_xlfn.XLOOKUP($B105,Inputs!$A$35:$A$42,Inputs!$B$35:$B$42)))</f>
        <v/>
      </c>
      <c r="F105">
        <f>IF(AND(LEFT($B105,5)="Pieza",Inputs!$B$110=1),0,_xlfn.CEILING.MATH(F104,_xlfn.XLOOKUP($B105,Inputs!$A$35:$A$42,Inputs!$B$35:$B$42)))</f>
        <v/>
      </c>
      <c r="G105">
        <f>IF(AND(LEFT($B105,5)="Pieza",Inputs!$B$110=1),0,_xlfn.CEILING.MATH(G104,_xlfn.XLOOKUP($B105,Inputs!$A$35:$A$42,Inputs!$B$35:$B$42)))</f>
        <v/>
      </c>
      <c r="H105">
        <f>IF(AND(LEFT($B105,5)="Pieza",Inputs!$B$110=1),0,_xlfn.CEILING.MATH(H104,_xlfn.XLOOKUP($B105,Inputs!$A$35:$A$42,Inputs!$B$35:$B$42)))</f>
        <v/>
      </c>
      <c r="I105">
        <f>IF(AND(LEFT($B105,5)="Pieza",Inputs!$B$110=1),0,_xlfn.CEILING.MATH(I104,_xlfn.XLOOKUP($B105,Inputs!$A$35:$A$42,Inputs!$B$35:$B$42)))</f>
        <v/>
      </c>
      <c r="J105">
        <f>IF(AND(LEFT($B105,5)="Pieza",Inputs!$B$110=1),0,_xlfn.CEILING.MATH(J104,_xlfn.XLOOKUP($B105,Inputs!$A$35:$A$42,Inputs!$B$35:$B$42)))</f>
        <v/>
      </c>
      <c r="K105">
        <f>IF(AND(LEFT($B105,5)="Pieza",Inputs!$B$110=1),0,_xlfn.CEILING.MATH(K104,_xlfn.XLOOKUP($B105,Inputs!$A$35:$A$42,Inputs!$B$35:$B$42)))</f>
        <v/>
      </c>
      <c r="L105">
        <f>SUM(D105:K105)</f>
        <v/>
      </c>
      <c r="M105">
        <f>A105&amp;"|"&amp;B105&amp;"|"&amp;C105</f>
        <v/>
      </c>
    </row>
    <row r="106">
      <c r="A106" t="inlineStr">
        <is>
          <t>Oeste</t>
        </is>
      </c>
      <c r="B106" t="inlineStr">
        <is>
          <t>Pieza 5</t>
        </is>
      </c>
      <c r="C106" t="inlineStr">
        <is>
          <t>Planned Release</t>
        </is>
      </c>
      <c r="D106">
        <f>D105</f>
        <v/>
      </c>
      <c r="E106">
        <f>E105</f>
        <v/>
      </c>
      <c r="F106">
        <f>F105</f>
        <v/>
      </c>
      <c r="G106">
        <f>G105</f>
        <v/>
      </c>
      <c r="H106">
        <f>H105</f>
        <v/>
      </c>
      <c r="I106">
        <f>I105</f>
        <v/>
      </c>
      <c r="J106">
        <f>J105</f>
        <v/>
      </c>
      <c r="K106">
        <f>K105</f>
        <v/>
      </c>
      <c r="L106">
        <f>SUM(D106:K106)</f>
        <v/>
      </c>
      <c r="M106">
        <f>A106&amp;"|"&amp;B106&amp;"|"&amp;C106</f>
        <v/>
      </c>
    </row>
    <row r="107">
      <c r="A107" t="inlineStr">
        <is>
          <t>Oeste</t>
        </is>
      </c>
      <c r="B107" t="inlineStr">
        <is>
          <t>Pieza 5</t>
        </is>
      </c>
      <c r="C107" t="inlineStr">
        <is>
          <t>POH End</t>
        </is>
      </c>
      <c r="D107">
        <f>D103+D105-D101</f>
        <v/>
      </c>
      <c r="E107">
        <f>E103+E105-E101</f>
        <v/>
      </c>
      <c r="F107">
        <f>F103+F105-F101</f>
        <v/>
      </c>
      <c r="G107">
        <f>G103+G105-G101</f>
        <v/>
      </c>
      <c r="H107">
        <f>H103+H105-H101</f>
        <v/>
      </c>
      <c r="I107">
        <f>I103+I105-I101</f>
        <v/>
      </c>
      <c r="J107">
        <f>J103+J105-J101</f>
        <v/>
      </c>
      <c r="K107">
        <f>K103+K105-K101</f>
        <v/>
      </c>
      <c r="L107">
        <f>SUM(D107:K107)</f>
        <v/>
      </c>
      <c r="M107">
        <f>A107&amp;"|"&amp;B107&amp;"|"&amp;C107</f>
        <v/>
      </c>
    </row>
    <row r="108">
      <c r="A108" t="inlineStr">
        <is>
          <t>Oeste</t>
        </is>
      </c>
      <c r="B108" t="inlineStr">
        <is>
          <t>Pieza 6</t>
        </is>
      </c>
      <c r="C108" t="inlineStr">
        <is>
          <t>Gross Req</t>
        </is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/>
      </c>
      <c r="L108">
        <f>SUM(D108:K108)</f>
        <v/>
      </c>
      <c r="M108">
        <f>A108&amp;"|"&amp;B108&amp;"|"&amp;C108</f>
        <v/>
      </c>
    </row>
    <row r="109">
      <c r="A109" t="inlineStr">
        <is>
          <t>Oeste</t>
        </is>
      </c>
      <c r="B109" t="inlineStr">
        <is>
          <t>Pieza 6</t>
        </is>
      </c>
      <c r="C109" t="inlineStr">
        <is>
          <t>Safety Stock</t>
        </is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/>
      </c>
      <c r="L109">
        <f>SUM(D109:K109)</f>
        <v/>
      </c>
      <c r="M109">
        <f>A109&amp;"|"&amp;B109&amp;"|"&amp;C109</f>
        <v/>
      </c>
    </row>
    <row r="110">
      <c r="A110" t="inlineStr">
        <is>
          <t>Oeste</t>
        </is>
      </c>
      <c r="B110" t="inlineStr">
        <is>
          <t>Pieza 6</t>
        </is>
      </c>
      <c r="C110" t="inlineStr">
        <is>
          <t>POH Start</t>
        </is>
      </c>
      <c r="D110">
        <f>IF($A110="Centro",_xlfn.XLOOKUP($B110,Multi_Planta!$A$6:$A$13,Multi_Planta!$B$6:$B$13),_xlfn.XLOOKUP($B110,Multi_Planta!$A$6:$A$13,Multi_Planta!$C$6:$C$13))</f>
        <v/>
      </c>
      <c r="E110">
        <f>D114</f>
        <v/>
      </c>
      <c r="F110">
        <f>E114</f>
        <v/>
      </c>
      <c r="G110">
        <f>F114</f>
        <v/>
      </c>
      <c r="H110">
        <f>G114</f>
        <v/>
      </c>
      <c r="I110">
        <f>H114</f>
        <v/>
      </c>
      <c r="J110">
        <f>I114</f>
        <v/>
      </c>
      <c r="K110">
        <f>J114</f>
        <v/>
      </c>
      <c r="L110">
        <f>SUM(D110:K110)</f>
        <v/>
      </c>
      <c r="M110">
        <f>A110&amp;"|"&amp;B110&amp;"|"&amp;C110</f>
        <v/>
      </c>
    </row>
    <row r="111">
      <c r="A111" t="inlineStr">
        <is>
          <t>Oeste</t>
        </is>
      </c>
      <c r="B111" t="inlineStr">
        <is>
          <t>Pieza 6</t>
        </is>
      </c>
      <c r="C111" t="inlineStr">
        <is>
          <t>Net Req</t>
        </is>
      </c>
      <c r="D111">
        <f>MAX(0,D108+D109-D110)</f>
        <v/>
      </c>
      <c r="E111">
        <f>MAX(0,E108+E109-E110)</f>
        <v/>
      </c>
      <c r="F111">
        <f>MAX(0,F108+F109-F110)</f>
        <v/>
      </c>
      <c r="G111">
        <f>MAX(0,G108+G109-G110)</f>
        <v/>
      </c>
      <c r="H111">
        <f>MAX(0,H108+H109-H110)</f>
        <v/>
      </c>
      <c r="I111">
        <f>MAX(0,I108+I109-I110)</f>
        <v/>
      </c>
      <c r="J111">
        <f>MAX(0,J108+J109-J110)</f>
        <v/>
      </c>
      <c r="K111">
        <f>MAX(0,K108+K109-K110)</f>
        <v/>
      </c>
      <c r="L111">
        <f>SUM(D111:K111)</f>
        <v/>
      </c>
      <c r="M111">
        <f>A111&amp;"|"&amp;B111&amp;"|"&amp;C111</f>
        <v/>
      </c>
    </row>
    <row r="112">
      <c r="A112" t="inlineStr">
        <is>
          <t>Oeste</t>
        </is>
      </c>
      <c r="B112" t="inlineStr">
        <is>
          <t>Pieza 6</t>
        </is>
      </c>
      <c r="C112" t="inlineStr">
        <is>
          <t>Planned Receipt</t>
        </is>
      </c>
      <c r="D112">
        <f>IF(AND(LEFT($B112,5)="Pieza",Inputs!$B$110=1),_xlfn.CEILING.MATH(L108,_xlfn.XLOOKUP($B112,Inputs!$A$35:$A$42,Inputs!$B$35:$B$42)),_xlfn.CEILING.MATH(D111,_xlfn.XLOOKUP($B112,Inputs!$A$35:$A$42,Inputs!$B$35:$B$42)))</f>
        <v/>
      </c>
      <c r="E112">
        <f>IF(AND(LEFT($B112,5)="Pieza",Inputs!$B$110=1),0,_xlfn.CEILING.MATH(E111,_xlfn.XLOOKUP($B112,Inputs!$A$35:$A$42,Inputs!$B$35:$B$42)))</f>
        <v/>
      </c>
      <c r="F112">
        <f>IF(AND(LEFT($B112,5)="Pieza",Inputs!$B$110=1),0,_xlfn.CEILING.MATH(F111,_xlfn.XLOOKUP($B112,Inputs!$A$35:$A$42,Inputs!$B$35:$B$42)))</f>
        <v/>
      </c>
      <c r="G112">
        <f>IF(AND(LEFT($B112,5)="Pieza",Inputs!$B$110=1),0,_xlfn.CEILING.MATH(G111,_xlfn.XLOOKUP($B112,Inputs!$A$35:$A$42,Inputs!$B$35:$B$42)))</f>
        <v/>
      </c>
      <c r="H112">
        <f>IF(AND(LEFT($B112,5)="Pieza",Inputs!$B$110=1),0,_xlfn.CEILING.MATH(H111,_xlfn.XLOOKUP($B112,Inputs!$A$35:$A$42,Inputs!$B$35:$B$42)))</f>
        <v/>
      </c>
      <c r="I112">
        <f>IF(AND(LEFT($B112,5)="Pieza",Inputs!$B$110=1),0,_xlfn.CEILING.MATH(I111,_xlfn.XLOOKUP($B112,Inputs!$A$35:$A$42,Inputs!$B$35:$B$42)))</f>
        <v/>
      </c>
      <c r="J112">
        <f>IF(AND(LEFT($B112,5)="Pieza",Inputs!$B$110=1),0,_xlfn.CEILING.MATH(J111,_xlfn.XLOOKUP($B112,Inputs!$A$35:$A$42,Inputs!$B$35:$B$42)))</f>
        <v/>
      </c>
      <c r="K112">
        <f>IF(AND(LEFT($B112,5)="Pieza",Inputs!$B$110=1),0,_xlfn.CEILING.MATH(K111,_xlfn.XLOOKUP($B112,Inputs!$A$35:$A$42,Inputs!$B$35:$B$42)))</f>
        <v/>
      </c>
      <c r="L112">
        <f>SUM(D112:K112)</f>
        <v/>
      </c>
      <c r="M112">
        <f>A112&amp;"|"&amp;B112&amp;"|"&amp;C112</f>
        <v/>
      </c>
    </row>
    <row r="113">
      <c r="A113" t="inlineStr">
        <is>
          <t>Oeste</t>
        </is>
      </c>
      <c r="B113" t="inlineStr">
        <is>
          <t>Pieza 6</t>
        </is>
      </c>
      <c r="C113" t="inlineStr">
        <is>
          <t>Planned Release</t>
        </is>
      </c>
      <c r="D113">
        <f>D112</f>
        <v/>
      </c>
      <c r="E113">
        <f>E112</f>
        <v/>
      </c>
      <c r="F113">
        <f>F112</f>
        <v/>
      </c>
      <c r="G113">
        <f>G112</f>
        <v/>
      </c>
      <c r="H113">
        <f>H112</f>
        <v/>
      </c>
      <c r="I113">
        <f>I112</f>
        <v/>
      </c>
      <c r="J113">
        <f>J112</f>
        <v/>
      </c>
      <c r="K113">
        <f>K112</f>
        <v/>
      </c>
      <c r="L113">
        <f>SUM(D113:K113)</f>
        <v/>
      </c>
      <c r="M113">
        <f>A113&amp;"|"&amp;B113&amp;"|"&amp;C113</f>
        <v/>
      </c>
    </row>
    <row r="114">
      <c r="A114" t="inlineStr">
        <is>
          <t>Oeste</t>
        </is>
      </c>
      <c r="B114" t="inlineStr">
        <is>
          <t>Pieza 6</t>
        </is>
      </c>
      <c r="C114" t="inlineStr">
        <is>
          <t>POH End</t>
        </is>
      </c>
      <c r="D114">
        <f>D110+D112-D108</f>
        <v/>
      </c>
      <c r="E114">
        <f>E110+E112-E108</f>
        <v/>
      </c>
      <c r="F114">
        <f>F110+F112-F108</f>
        <v/>
      </c>
      <c r="G114">
        <f>G110+G112-G108</f>
        <v/>
      </c>
      <c r="H114">
        <f>H110+H112-H108</f>
        <v/>
      </c>
      <c r="I114">
        <f>I110+I112-I108</f>
        <v/>
      </c>
      <c r="J114">
        <f>J110+J112-J108</f>
        <v/>
      </c>
      <c r="K114">
        <f>K110+K112-K108</f>
        <v/>
      </c>
      <c r="L114">
        <f>SUM(D114:K114)</f>
        <v/>
      </c>
      <c r="M114">
        <f>A114&amp;"|"&amp;B114&amp;"|"&amp;C114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3"/>
  <sheetViews>
    <sheetView tabSelected="1" topLeftCell="A79" zoomScaleNormal="100" workbookViewId="0">
      <selection activeCell="D78" sqref="D78"/>
    </sheetView>
  </sheetViews>
  <sheetFormatPr baseColWidth="10" defaultColWidth="8.6640625" defaultRowHeight="14.4"/>
  <cols>
    <col width="25" customWidth="1" min="1" max="1"/>
    <col width="15" customWidth="1" min="2" max="2"/>
    <col width="26.6640625" bestFit="1" customWidth="1" min="3" max="3"/>
    <col width="30.44140625" bestFit="1" customWidth="1" min="4" max="4"/>
    <col width="15" customWidth="1" min="5" max="7"/>
  </cols>
  <sheetData>
    <row r="1" ht="17.25" customHeight="1">
      <c r="A1" s="80" t="inlineStr">
        <is>
          <t>INPUTS - PURCHASING MANAGER</t>
        </is>
      </c>
    </row>
    <row r="2" ht="15" customHeight="1">
      <c r="A2" s="81" t="inlineStr">
        <is>
          <t>Solo inputs manuales. AZUL = modificar según tu estrategia. Sin fórmulas en esta hoja.</t>
        </is>
      </c>
    </row>
    <row r="4" ht="15" customHeight="1">
      <c r="A4" s="77" t="inlineStr">
        <is>
          <t>1. PRODUCCIÓN PLANEADA POR QUINCENA (Electroclean)</t>
        </is>
      </c>
    </row>
    <row r="5" ht="15" customHeight="1">
      <c r="A5" s="4" t="inlineStr">
        <is>
          <t>Quincena →</t>
        </is>
      </c>
      <c r="B5" s="4" t="inlineStr">
        <is>
          <t>Q1</t>
        </is>
      </c>
      <c r="C5" s="4" t="inlineStr">
        <is>
          <t>Q2</t>
        </is>
      </c>
      <c r="D5" s="4" t="inlineStr">
        <is>
          <t>Q3</t>
        </is>
      </c>
      <c r="E5" s="4" t="inlineStr">
        <is>
          <t>Q4</t>
        </is>
      </c>
      <c r="F5" s="4" t="inlineStr">
        <is>
          <t>Q5</t>
        </is>
      </c>
      <c r="G5" s="4" t="inlineStr">
        <is>
          <t>Q6</t>
        </is>
      </c>
      <c r="H5" s="4" t="inlineStr">
        <is>
          <t>Q7</t>
        </is>
      </c>
      <c r="I5" s="4" t="inlineStr">
        <is>
          <t>Q8</t>
        </is>
      </c>
      <c r="J5" s="4" t="inlineStr">
        <is>
          <t>TOTAL</t>
        </is>
      </c>
    </row>
    <row r="6" ht="15" customHeight="1">
      <c r="A6" s="5" t="inlineStr">
        <is>
          <t>Producción EC</t>
        </is>
      </c>
      <c r="B6" s="6" t="n">
        <v>2520</v>
      </c>
      <c r="C6" s="6" t="n">
        <v>2520</v>
      </c>
      <c r="D6" s="6" t="n">
        <v>2520</v>
      </c>
      <c r="E6" s="6" t="n">
        <v>2520</v>
      </c>
      <c r="F6" s="6" t="n">
        <v>2520</v>
      </c>
      <c r="G6" s="6" t="n">
        <v>2520</v>
      </c>
      <c r="H6" s="6" t="n">
        <v>2520</v>
      </c>
      <c r="I6" s="6" t="n">
        <v>2520</v>
      </c>
      <c r="J6" s="7">
        <f>SUM(B6:I6)</f>
        <v/>
      </c>
    </row>
    <row r="9" ht="15" customHeight="1">
      <c r="A9" s="77" t="inlineStr">
        <is>
          <t>2. INVENTARIO INICIAL (Fin Periodo Anterior)</t>
        </is>
      </c>
    </row>
    <row r="10" ht="15" customHeight="1">
      <c r="A10" s="8" t="inlineStr">
        <is>
          <t>Material</t>
        </is>
      </c>
      <c r="B10" s="8" t="inlineStr">
        <is>
          <t>Inventario Inicial</t>
        </is>
      </c>
      <c r="C10" s="8" t="inlineStr">
        <is>
          <t>Unidad</t>
        </is>
      </c>
      <c r="D10" s="8" t="inlineStr">
        <is>
          <t>Fuente</t>
        </is>
      </c>
    </row>
    <row r="11" ht="15" customHeight="1">
      <c r="A11" s="9" t="inlineStr">
        <is>
          <t>Parte A</t>
        </is>
      </c>
      <c r="B11" s="6" t="n">
        <v>4512</v>
      </c>
      <c r="C11" s="10" t="inlineStr">
        <is>
          <t>unidades</t>
        </is>
      </c>
      <c r="D11" s="11" t="inlineStr">
        <is>
          <t>Fin Periodo 6</t>
        </is>
      </c>
    </row>
    <row r="12" ht="15" customHeight="1">
      <c r="A12" s="9" t="inlineStr">
        <is>
          <t>Parte B</t>
        </is>
      </c>
      <c r="B12" s="6" t="n">
        <v>1058</v>
      </c>
      <c r="C12" s="10" t="inlineStr">
        <is>
          <t>unidades</t>
        </is>
      </c>
      <c r="D12" s="11" t="inlineStr">
        <is>
          <t>Fin Periodo 6</t>
        </is>
      </c>
    </row>
    <row r="13" ht="15" customHeight="1">
      <c r="A13" s="9" t="inlineStr">
        <is>
          <t>Pieza 1</t>
        </is>
      </c>
      <c r="B13" s="6" t="n">
        <v>130</v>
      </c>
      <c r="C13" s="10" t="inlineStr">
        <is>
          <t>unidades</t>
        </is>
      </c>
      <c r="D13" s="11" t="inlineStr">
        <is>
          <t>Fin Periodo 6</t>
        </is>
      </c>
    </row>
    <row r="14" ht="15" customHeight="1">
      <c r="A14" s="9" t="inlineStr">
        <is>
          <t>Pieza 2</t>
        </is>
      </c>
      <c r="B14" s="6" t="n">
        <v>5268</v>
      </c>
      <c r="C14" s="10" t="inlineStr">
        <is>
          <t>unidades</t>
        </is>
      </c>
      <c r="D14" s="11" t="inlineStr">
        <is>
          <t>Fin Periodo 6</t>
        </is>
      </c>
    </row>
    <row r="15" ht="15" customHeight="1">
      <c r="A15" s="9" t="inlineStr">
        <is>
          <t>Pieza 3</t>
        </is>
      </c>
      <c r="B15" s="6" t="n">
        <v>4333</v>
      </c>
      <c r="C15" s="10" t="inlineStr">
        <is>
          <t>unidades</t>
        </is>
      </c>
      <c r="D15" s="11" t="inlineStr">
        <is>
          <t>Fin Periodo 6</t>
        </is>
      </c>
    </row>
    <row r="16" ht="15" customHeight="1">
      <c r="A16" s="9" t="inlineStr">
        <is>
          <t>Pieza 4</t>
        </is>
      </c>
      <c r="B16" s="6" t="n">
        <v>8487</v>
      </c>
      <c r="C16" s="10" t="inlineStr">
        <is>
          <t>unidades</t>
        </is>
      </c>
      <c r="D16" s="11" t="inlineStr">
        <is>
          <t>Fin Periodo 6</t>
        </is>
      </c>
    </row>
    <row r="17" ht="15" customHeight="1">
      <c r="A17" s="9" t="inlineStr">
        <is>
          <t>Pieza 5</t>
        </is>
      </c>
      <c r="B17" s="6" t="n">
        <v>23192</v>
      </c>
      <c r="C17" s="10" t="inlineStr">
        <is>
          <t>unidades</t>
        </is>
      </c>
      <c r="D17" s="11" t="inlineStr">
        <is>
          <t>Fin Periodo 6</t>
        </is>
      </c>
    </row>
    <row r="18" ht="15" customHeight="1">
      <c r="A18" s="9" t="inlineStr">
        <is>
          <t>Pieza 6</t>
        </is>
      </c>
      <c r="B18" s="6" t="n">
        <v>6035</v>
      </c>
      <c r="C18" s="10" t="inlineStr">
        <is>
          <t>unidades</t>
        </is>
      </c>
      <c r="D18" s="11" t="inlineStr">
        <is>
          <t>Fin Periodo 6</t>
        </is>
      </c>
    </row>
    <row r="21" ht="15" customHeight="1">
      <c r="A21" s="77" t="inlineStr">
        <is>
          <t>3. BILL OF MATERIALS (BOM) - Consumo por Electroclean</t>
        </is>
      </c>
    </row>
    <row r="22" ht="15" customHeight="1">
      <c r="A22" s="8" t="inlineStr">
        <is>
          <t>Material</t>
        </is>
      </c>
      <c r="B22" s="8" t="inlineStr">
        <is>
          <t>Consumo por EC</t>
        </is>
      </c>
      <c r="C22" s="8" t="inlineStr">
        <is>
          <t>Unidad</t>
        </is>
      </c>
      <c r="D22" s="8" t="inlineStr">
        <is>
          <t>Observaciones</t>
        </is>
      </c>
    </row>
    <row r="23" ht="15" customHeight="1">
      <c r="A23" s="9" t="inlineStr">
        <is>
          <t>Parte A</t>
        </is>
      </c>
      <c r="B23" s="9" t="n">
        <v>1</v>
      </c>
      <c r="C23" s="9" t="inlineStr">
        <is>
          <t>unidades/EC</t>
        </is>
      </c>
      <c r="D23" s="11" t="inlineStr">
        <is>
          <t>1:1</t>
        </is>
      </c>
    </row>
    <row r="24" ht="15" customHeight="1">
      <c r="A24" s="9" t="inlineStr">
        <is>
          <t>Parte B</t>
        </is>
      </c>
      <c r="B24" s="9" t="n">
        <v>0.2</v>
      </c>
      <c r="C24" s="9" t="inlineStr">
        <is>
          <t>unidades/EC</t>
        </is>
      </c>
      <c r="D24" s="11" t="inlineStr">
        <is>
          <t>1:5</t>
        </is>
      </c>
    </row>
    <row r="25" ht="15" customHeight="1">
      <c r="A25" s="9" t="inlineStr">
        <is>
          <t>Pieza 1</t>
        </is>
      </c>
      <c r="B25" s="9" t="n">
        <v>0.01</v>
      </c>
      <c r="C25" s="9" t="inlineStr">
        <is>
          <t>unidades/EC</t>
        </is>
      </c>
      <c r="D25" s="11" t="inlineStr">
        <is>
          <t>1:100</t>
        </is>
      </c>
    </row>
    <row r="26" ht="15" customHeight="1">
      <c r="A26" s="9" t="inlineStr">
        <is>
          <t>Pieza 2</t>
        </is>
      </c>
      <c r="B26" s="9" t="n">
        <v>8</v>
      </c>
      <c r="C26" s="9" t="inlineStr">
        <is>
          <t>unidades/EC</t>
        </is>
      </c>
      <c r="D26" s="11" t="inlineStr">
        <is>
          <t>8:1</t>
        </is>
      </c>
    </row>
    <row r="27" ht="15" customHeight="1">
      <c r="A27" s="9" t="inlineStr">
        <is>
          <t>Pieza 3</t>
        </is>
      </c>
      <c r="B27" s="9" t="n">
        <v>0.3</v>
      </c>
      <c r="C27" s="9" t="inlineStr">
        <is>
          <t>unidades/EC</t>
        </is>
      </c>
      <c r="D27" s="11" t="inlineStr">
        <is>
          <t>30%</t>
        </is>
      </c>
    </row>
    <row r="28" ht="15" customHeight="1">
      <c r="A28" s="9" t="inlineStr">
        <is>
          <t>Pieza 4</t>
        </is>
      </c>
      <c r="B28" s="9" t="n">
        <v>0.6</v>
      </c>
      <c r="C28" s="9" t="inlineStr">
        <is>
          <t>unidades/EC</t>
        </is>
      </c>
      <c r="D28" s="11" t="inlineStr">
        <is>
          <t>60%</t>
        </is>
      </c>
    </row>
    <row r="29" ht="15" customHeight="1">
      <c r="A29" s="9" t="inlineStr">
        <is>
          <t>Pieza 5</t>
        </is>
      </c>
      <c r="B29" s="9" t="n">
        <v>2</v>
      </c>
      <c r="C29" s="9" t="inlineStr">
        <is>
          <t>unidades/EC</t>
        </is>
      </c>
      <c r="D29" s="11" t="inlineStr">
        <is>
          <t>2:1</t>
        </is>
      </c>
    </row>
    <row r="30" ht="15" customHeight="1">
      <c r="A30" s="9" t="inlineStr">
        <is>
          <t>Pieza 6</t>
        </is>
      </c>
      <c r="B30" s="9" t="n">
        <v>0.75</v>
      </c>
      <c r="C30" s="9" t="inlineStr">
        <is>
          <t>unidades/EC</t>
        </is>
      </c>
      <c r="D30" s="11" t="inlineStr">
        <is>
          <t>75%</t>
        </is>
      </c>
    </row>
    <row r="33" ht="15" customHeight="1">
      <c r="A33" s="77" t="inlineStr">
        <is>
          <t>4. BATCH SIZES (Tamaño de Lote)</t>
        </is>
      </c>
    </row>
    <row r="34" ht="15" customHeight="1">
      <c r="A34" s="8" t="inlineStr">
        <is>
          <t>Material</t>
        </is>
      </c>
      <c r="B34" s="8" t="inlineStr">
        <is>
          <t>Batch Size</t>
        </is>
      </c>
      <c r="C34" s="8" t="inlineStr">
        <is>
          <t>MOQ (Batch Size)</t>
        </is>
      </c>
      <c r="D34" s="8" t="inlineStr">
        <is>
          <t>Observaciones</t>
        </is>
      </c>
    </row>
    <row r="35" ht="15" customHeight="1">
      <c r="A35" s="9" t="inlineStr">
        <is>
          <t>Parte A</t>
        </is>
      </c>
      <c r="B35" s="6" t="n">
        <v>30</v>
      </c>
      <c r="C35" s="75">
        <f>B35</f>
        <v/>
      </c>
      <c r="D35" s="11" t="inlineStr">
        <is>
          <t>Lote fijo</t>
        </is>
      </c>
    </row>
    <row r="36" ht="15" customHeight="1">
      <c r="A36" s="9" t="inlineStr">
        <is>
          <t>Parte B</t>
        </is>
      </c>
      <c r="B36" s="6" t="n">
        <v>12</v>
      </c>
      <c r="C36" s="75">
        <f>B36</f>
        <v/>
      </c>
      <c r="D36" s="11" t="inlineStr">
        <is>
          <t>Lote fijo</t>
        </is>
      </c>
    </row>
    <row r="37" ht="15" customHeight="1">
      <c r="A37" s="9" t="inlineStr">
        <is>
          <t>Pieza 1</t>
        </is>
      </c>
      <c r="B37" s="6" t="n">
        <v>1</v>
      </c>
      <c r="C37" s="75">
        <f>B37</f>
        <v/>
      </c>
      <c r="D37" s="11" t="inlineStr">
        <is>
          <t>Individual</t>
        </is>
      </c>
    </row>
    <row r="38" ht="15" customHeight="1">
      <c r="A38" s="9" t="inlineStr">
        <is>
          <t>Pieza 2</t>
        </is>
      </c>
      <c r="B38" s="6" t="n">
        <v>100</v>
      </c>
      <c r="C38" s="75">
        <f>B38</f>
        <v/>
      </c>
      <c r="D38" s="11" t="inlineStr">
        <is>
          <t>Caja 100</t>
        </is>
      </c>
    </row>
    <row r="39" ht="15" customHeight="1">
      <c r="A39" s="9" t="inlineStr">
        <is>
          <t>Pieza 3</t>
        </is>
      </c>
      <c r="B39" s="6" t="n">
        <v>30</v>
      </c>
      <c r="C39" s="75">
        <f>B39</f>
        <v/>
      </c>
      <c r="D39" s="11" t="inlineStr">
        <is>
          <t>Lote 30</t>
        </is>
      </c>
    </row>
    <row r="40" ht="15" customHeight="1">
      <c r="A40" s="9" t="inlineStr">
        <is>
          <t>Pieza 4</t>
        </is>
      </c>
      <c r="B40" s="6" t="n">
        <v>60</v>
      </c>
      <c r="C40" s="75">
        <f>B40</f>
        <v/>
      </c>
      <c r="D40" s="11" t="inlineStr">
        <is>
          <t>Lote 60</t>
        </is>
      </c>
    </row>
    <row r="41" ht="15" customHeight="1">
      <c r="A41" s="9" t="inlineStr">
        <is>
          <t>Pieza 5</t>
        </is>
      </c>
      <c r="B41" s="6" t="n">
        <v>100</v>
      </c>
      <c r="C41" s="75">
        <f>B41</f>
        <v/>
      </c>
      <c r="D41" s="11" t="inlineStr">
        <is>
          <t>Lote 100</t>
        </is>
      </c>
    </row>
    <row r="42" ht="15" customHeight="1">
      <c r="A42" s="9" t="inlineStr">
        <is>
          <t>Pieza 6</t>
        </is>
      </c>
      <c r="B42" s="6" t="n">
        <v>150</v>
      </c>
      <c r="C42" s="75">
        <f>B42</f>
        <v/>
      </c>
      <c r="D42" s="11" t="inlineStr">
        <is>
          <t>Pallet 150</t>
        </is>
      </c>
    </row>
    <row r="43" ht="15" customHeight="1">
      <c r="B43" t="n">
        <v>125</v>
      </c>
      <c r="C43">
        <f>B43/B35</f>
        <v/>
      </c>
    </row>
    <row r="44" ht="15" customHeight="1">
      <c r="B44" t="n">
        <v>330</v>
      </c>
      <c r="C44">
        <f>B44/B36</f>
        <v/>
      </c>
    </row>
    <row r="45" ht="15" customHeight="1">
      <c r="A45" s="77" t="inlineStr">
        <is>
          <t>5. PRECIOS POR BATCH</t>
        </is>
      </c>
    </row>
    <row r="46" ht="15" customHeight="1">
      <c r="A46" s="8" t="inlineStr">
        <is>
          <t>Material</t>
        </is>
      </c>
      <c r="B46" s="8" t="n">
        <v>7</v>
      </c>
      <c r="C46" s="8">
        <f>B46/B38</f>
        <v/>
      </c>
      <c r="D46" s="8" t="inlineStr">
        <is>
          <t>Moneda</t>
        </is>
      </c>
    </row>
    <row r="47" ht="15" customHeight="1">
      <c r="A47" s="9" t="inlineStr">
        <is>
          <t>Parte A</t>
        </is>
      </c>
      <c r="B47" s="12" t="n">
        <v>125</v>
      </c>
      <c r="C47" s="13">
        <f>B47/B35</f>
        <v/>
      </c>
      <c r="D47" s="10" t="inlineStr">
        <is>
          <t>$</t>
        </is>
      </c>
    </row>
    <row r="48" ht="15" customHeight="1">
      <c r="A48" s="9" t="inlineStr">
        <is>
          <t>Parte B</t>
        </is>
      </c>
      <c r="B48" s="12" t="n">
        <v>330</v>
      </c>
      <c r="C48" s="13">
        <f>B48/B36</f>
        <v/>
      </c>
      <c r="D48" s="10" t="inlineStr">
        <is>
          <t>$</t>
        </is>
      </c>
    </row>
    <row r="49" ht="15" customHeight="1">
      <c r="A49" s="9" t="inlineStr">
        <is>
          <t>Pieza 1</t>
        </is>
      </c>
      <c r="B49" s="12" t="n">
        <v>60</v>
      </c>
      <c r="C49" s="13">
        <f>B49/B37</f>
        <v/>
      </c>
      <c r="D49" s="10" t="inlineStr">
        <is>
          <t>$</t>
        </is>
      </c>
    </row>
    <row r="50" ht="15" customHeight="1">
      <c r="A50" s="9" t="inlineStr">
        <is>
          <t>Pieza 2</t>
        </is>
      </c>
      <c r="B50" s="12" t="n">
        <v>7</v>
      </c>
      <c r="C50" s="13">
        <f>B50/B38</f>
        <v/>
      </c>
      <c r="D50" s="10" t="inlineStr">
        <is>
          <t>$</t>
        </is>
      </c>
    </row>
    <row r="51" ht="15" customHeight="1">
      <c r="A51" s="9" t="inlineStr">
        <is>
          <t>Pieza 3</t>
        </is>
      </c>
      <c r="B51" s="12" t="n">
        <v>36</v>
      </c>
      <c r="C51" s="13">
        <f>B51/B39</f>
        <v/>
      </c>
      <c r="D51" s="10" t="inlineStr">
        <is>
          <t>$</t>
        </is>
      </c>
    </row>
    <row r="52" ht="15" customHeight="1">
      <c r="A52" s="9" t="inlineStr">
        <is>
          <t>Pieza 4</t>
        </is>
      </c>
      <c r="B52" s="12" t="n">
        <v>24</v>
      </c>
      <c r="C52" s="13">
        <f>B52/B40</f>
        <v/>
      </c>
      <c r="D52" s="10" t="inlineStr">
        <is>
          <t>$</t>
        </is>
      </c>
    </row>
    <row r="53" ht="15" customHeight="1">
      <c r="A53" s="9" t="inlineStr">
        <is>
          <t>Pieza 5</t>
        </is>
      </c>
      <c r="B53" s="12" t="n">
        <v>30</v>
      </c>
      <c r="C53" s="13">
        <f>B53/B41</f>
        <v/>
      </c>
      <c r="D53" s="10" t="inlineStr">
        <is>
          <t>$</t>
        </is>
      </c>
    </row>
    <row r="54" ht="15" customHeight="1">
      <c r="A54" s="9" t="inlineStr">
        <is>
          <t>Pieza 6</t>
        </is>
      </c>
      <c r="B54" s="12" t="n">
        <v>28</v>
      </c>
      <c r="C54" s="13">
        <f>B54/B42</f>
        <v/>
      </c>
      <c r="D54" s="10" t="inlineStr">
        <is>
          <t>$</t>
        </is>
      </c>
    </row>
    <row r="57" ht="15" customHeight="1">
      <c r="A57" s="77" t="inlineStr">
        <is>
          <t>6. ORDERING COST &amp; HOLDING COST</t>
        </is>
      </c>
    </row>
    <row r="58" ht="15" customHeight="1">
      <c r="A58" s="8" t="inlineStr">
        <is>
          <t>Material</t>
        </is>
      </c>
      <c r="B58" s="8" t="inlineStr">
        <is>
          <t>Ordering Cost</t>
        </is>
      </c>
      <c r="C58" s="8" t="inlineStr">
        <is>
          <t>Holding Cost/U/Q</t>
        </is>
      </c>
      <c r="D58" s="8" t="inlineStr">
        <is>
          <t>Notas</t>
        </is>
      </c>
    </row>
    <row r="59" ht="15" customHeight="1">
      <c r="A59" s="9" t="inlineStr">
        <is>
          <t>Parte A</t>
        </is>
      </c>
      <c r="B59" s="12" t="n">
        <v>2300</v>
      </c>
      <c r="C59" s="14" t="n">
        <v>0.3</v>
      </c>
      <c r="D59" s="11" t="inlineStr">
        <is>
          <t>Por pedido / Por unidad-quincena</t>
        </is>
      </c>
    </row>
    <row r="60" ht="15" customHeight="1">
      <c r="A60" s="9" t="inlineStr">
        <is>
          <t>Parte B</t>
        </is>
      </c>
      <c r="B60" s="12" t="n">
        <v>6000</v>
      </c>
      <c r="C60" s="14" t="n">
        <v>4.5</v>
      </c>
      <c r="D60" s="11" t="inlineStr">
        <is>
          <t>Por pedido / Por unidad-quincena</t>
        </is>
      </c>
    </row>
    <row r="61" ht="15" customHeight="1">
      <c r="A61" s="9" t="inlineStr">
        <is>
          <t>Piezas 1-6</t>
        </is>
      </c>
      <c r="B61" s="12" t="n">
        <v>0</v>
      </c>
      <c r="C61" s="14" t="n">
        <v>0</v>
      </c>
      <c r="D61" s="11" t="inlineStr">
        <is>
          <t>Solo compra en t=0, sin costos adicionales</t>
        </is>
      </c>
    </row>
    <row r="64" ht="15" customHeight="1">
      <c r="A64" s="77" t="inlineStr">
        <is>
          <t>7. PROVEEDORES - PARTE A</t>
        </is>
      </c>
    </row>
    <row r="65" ht="15" customHeight="1">
      <c r="A65" s="8" t="inlineStr">
        <is>
          <t>ID</t>
        </is>
      </c>
      <c r="B65" s="8" t="inlineStr">
        <is>
          <t>Precio Base</t>
        </is>
      </c>
      <c r="C65" s="8" t="inlineStr">
        <is>
          <t>Términos Pago</t>
        </is>
      </c>
      <c r="D65" s="8" t="inlineStr">
        <is>
          <t>Descuento</t>
        </is>
      </c>
      <c r="E65" s="8" t="inlineStr">
        <is>
          <t>Discount Threshold (batches)</t>
        </is>
      </c>
      <c r="F65" s="8" t="inlineStr">
        <is>
          <t>Confiabilidad</t>
        </is>
      </c>
    </row>
    <row r="66" ht="15" customHeight="1">
      <c r="A66" s="10" t="inlineStr">
        <is>
          <t>A</t>
        </is>
      </c>
      <c r="B66" s="15" t="n">
        <v>125</v>
      </c>
      <c r="C66" s="16" t="inlineStr">
        <is>
          <t>Inmediato (0Q)</t>
        </is>
      </c>
      <c r="D66" s="16" t="inlineStr">
        <is>
          <t>No</t>
        </is>
      </c>
      <c r="E66" s="16" t="inlineStr">
        <is>
          <t>-</t>
        </is>
      </c>
      <c r="F66" s="10" t="inlineStr">
        <is>
          <t>100%</t>
        </is>
      </c>
    </row>
    <row r="67" ht="15" customHeight="1">
      <c r="A67" s="10" t="inlineStr">
        <is>
          <t>B</t>
        </is>
      </c>
      <c r="B67" s="15" t="n">
        <v>100</v>
      </c>
      <c r="C67" s="16" t="inlineStr">
        <is>
          <t>+2 Quincenas</t>
        </is>
      </c>
      <c r="D67" s="16" t="inlineStr">
        <is>
          <t>16% si Q≥150</t>
        </is>
      </c>
      <c r="E67" s="16" t="n">
        <v>150</v>
      </c>
      <c r="F67" s="10" t="inlineStr">
        <is>
          <t>80%</t>
        </is>
      </c>
    </row>
    <row r="68" ht="15" customHeight="1">
      <c r="A68" s="10" t="inlineStr">
        <is>
          <t>C</t>
        </is>
      </c>
      <c r="B68" s="15" t="n">
        <v>140</v>
      </c>
      <c r="C68" s="16" t="inlineStr">
        <is>
          <t>+8 Quincenas</t>
        </is>
      </c>
      <c r="D68" s="16" t="inlineStr">
        <is>
          <t>No</t>
        </is>
      </c>
      <c r="E68" s="16" t="inlineStr">
        <is>
          <t>-</t>
        </is>
      </c>
      <c r="F68" s="10" t="inlineStr">
        <is>
          <t>100%</t>
        </is>
      </c>
    </row>
    <row r="69" ht="15" customHeight="1">
      <c r="A69" s="84" t="inlineStr">
        <is>
          <t>PROVEEDOR ELEGIDO →</t>
        </is>
      </c>
      <c r="B69" s="17" t="inlineStr">
        <is>
          <t>A</t>
        </is>
      </c>
    </row>
    <row r="72" ht="15" customHeight="1">
      <c r="A72" s="77" t="inlineStr">
        <is>
          <t>8. PROVEEDORES - PARTE B</t>
        </is>
      </c>
    </row>
    <row r="73" ht="15" customHeight="1">
      <c r="A73" s="8" t="inlineStr">
        <is>
          <t>ID</t>
        </is>
      </c>
      <c r="B73" s="8" t="inlineStr">
        <is>
          <t>Precio Base</t>
        </is>
      </c>
      <c r="C73" s="8" t="inlineStr">
        <is>
          <t>Términos Pago</t>
        </is>
      </c>
      <c r="D73" s="8" t="inlineStr">
        <is>
          <t>Descuento</t>
        </is>
      </c>
      <c r="E73" s="8" t="inlineStr">
        <is>
          <t>Discount Threshold (batches)</t>
        </is>
      </c>
      <c r="F73" s="8" t="inlineStr">
        <is>
          <t>Confiabilidad</t>
        </is>
      </c>
    </row>
    <row r="74" ht="15" customHeight="1">
      <c r="A74" s="10" t="inlineStr">
        <is>
          <t>A</t>
        </is>
      </c>
      <c r="B74" s="15" t="n">
        <v>330</v>
      </c>
      <c r="C74" s="16" t="inlineStr">
        <is>
          <t>Inmediato (0Q)</t>
        </is>
      </c>
      <c r="D74" s="16" t="inlineStr">
        <is>
          <t>No</t>
        </is>
      </c>
      <c r="E74" s="16" t="inlineStr">
        <is>
          <t>-</t>
        </is>
      </c>
      <c r="F74" s="10" t="inlineStr">
        <is>
          <t>100%</t>
        </is>
      </c>
    </row>
    <row r="75" ht="15" customHeight="1">
      <c r="A75" s="10" t="inlineStr">
        <is>
          <t>B</t>
        </is>
      </c>
      <c r="B75" s="15" t="n">
        <v>264</v>
      </c>
      <c r="C75" s="16" t="inlineStr">
        <is>
          <t>+2 Quincenas</t>
        </is>
      </c>
      <c r="D75" s="16" t="inlineStr">
        <is>
          <t>16% si Q≥80</t>
        </is>
      </c>
      <c r="E75" s="16" t="n">
        <v>80</v>
      </c>
      <c r="F75" s="10" t="inlineStr">
        <is>
          <t>80%</t>
        </is>
      </c>
    </row>
    <row r="76" ht="15" customHeight="1">
      <c r="A76" s="10" t="inlineStr">
        <is>
          <t>C</t>
        </is>
      </c>
      <c r="B76" s="15" t="n">
        <v>370</v>
      </c>
      <c r="C76" s="16" t="inlineStr">
        <is>
          <t>+8 Quincenas</t>
        </is>
      </c>
      <c r="D76" s="16" t="inlineStr">
        <is>
          <t>No</t>
        </is>
      </c>
      <c r="E76" s="16" t="inlineStr">
        <is>
          <t>-</t>
        </is>
      </c>
      <c r="F76" s="10" t="inlineStr">
        <is>
          <t>100%</t>
        </is>
      </c>
    </row>
    <row r="77" ht="15" customHeight="1">
      <c r="A77" s="84" t="inlineStr">
        <is>
          <t>PROVEEDOR ELEGIDO →</t>
        </is>
      </c>
      <c r="B77" s="17" t="inlineStr">
        <is>
          <t>A</t>
        </is>
      </c>
    </row>
    <row r="80" ht="15" customHeight="1">
      <c r="A80" s="77" t="inlineStr">
        <is>
          <t>9. SAFETY STOCK (Stock de Seguridad)</t>
        </is>
      </c>
    </row>
    <row r="81" ht="15" customHeight="1">
      <c r="A81" s="8" t="inlineStr">
        <is>
          <t>Material</t>
        </is>
      </c>
      <c r="B81" s="8" t="inlineStr">
        <is>
          <t>Safety Stock</t>
        </is>
      </c>
      <c r="C81" s="8" t="inlineStr">
        <is>
          <t>% Consumo Prom</t>
        </is>
      </c>
      <c r="D81" s="8" t="inlineStr">
        <is>
          <t>Días Cobertura</t>
        </is>
      </c>
    </row>
    <row r="82" ht="15" customHeight="1">
      <c r="A82" s="9" t="inlineStr">
        <is>
          <t>Parte A</t>
        </is>
      </c>
      <c r="B82" s="6" t="n">
        <v>2000</v>
      </c>
      <c r="C82" s="18" t="n">
        <v>10</v>
      </c>
      <c r="D82" s="19" t="n">
        <v>1</v>
      </c>
    </row>
    <row r="83" ht="15" customHeight="1">
      <c r="A83" s="9" t="inlineStr">
        <is>
          <t>Parte B</t>
        </is>
      </c>
      <c r="B83" s="6" t="n">
        <v>500</v>
      </c>
      <c r="C83" s="18" t="n">
        <v>10</v>
      </c>
      <c r="D83" s="19" t="n">
        <v>1</v>
      </c>
    </row>
    <row r="84" ht="15" customHeight="1">
      <c r="A84" s="9" t="inlineStr">
        <is>
          <t>Pieza 1</t>
        </is>
      </c>
      <c r="B84" s="6" t="n">
        <v>50</v>
      </c>
      <c r="C84" s="18" t="n">
        <v>20</v>
      </c>
      <c r="D84" s="19" t="n">
        <v>2</v>
      </c>
    </row>
    <row r="85" ht="15" customHeight="1">
      <c r="A85" s="9" t="inlineStr">
        <is>
          <t>Pieza 2</t>
        </is>
      </c>
      <c r="B85" s="6" t="n">
        <v>10000</v>
      </c>
      <c r="C85" s="18" t="n">
        <v>10</v>
      </c>
      <c r="D85" s="19" t="n">
        <v>1</v>
      </c>
    </row>
    <row r="86" ht="15" customHeight="1">
      <c r="A86" s="9" t="inlineStr">
        <is>
          <t>Pieza 3</t>
        </is>
      </c>
      <c r="B86" s="6" t="n">
        <v>1000</v>
      </c>
      <c r="C86" s="18" t="n">
        <v>15</v>
      </c>
      <c r="D86" s="19" t="n">
        <v>1</v>
      </c>
    </row>
    <row r="87" ht="15" customHeight="1">
      <c r="A87" s="9" t="inlineStr">
        <is>
          <t>Pieza 4</t>
        </is>
      </c>
      <c r="B87" s="6" t="n">
        <v>2000</v>
      </c>
      <c r="C87" s="18" t="n">
        <v>15</v>
      </c>
      <c r="D87" s="19" t="n">
        <v>1</v>
      </c>
    </row>
    <row r="88" ht="15" customHeight="1">
      <c r="A88" s="78" t="inlineStr">
        <is>
          <t>10. BUFFER MÍNIMO (Cobertura Operativa)</t>
        </is>
      </c>
      <c r="B88" s="97" t="n"/>
      <c r="C88" s="97" t="n"/>
      <c r="D88" s="97" t="n"/>
      <c r="E88" s="98" t="n"/>
    </row>
    <row r="89" ht="15" customHeight="1">
      <c r="A89" s="79" t="inlineStr">
        <is>
          <t>Buffer = Quincenas de cobertura mínima antes de alerta</t>
        </is>
      </c>
      <c r="B89" s="97" t="n"/>
      <c r="C89" s="97" t="n"/>
      <c r="D89" s="97" t="n"/>
      <c r="E89" s="98" t="n"/>
    </row>
    <row r="90" ht="15" customHeight="1">
      <c r="A90" s="8" t="inlineStr">
        <is>
          <t>Material</t>
        </is>
      </c>
      <c r="B90" s="8" t="inlineStr">
        <is>
          <t>Buffer (Quincenas)</t>
        </is>
      </c>
      <c r="C90" s="8" t="inlineStr">
        <is>
          <t>Consumo Prom/Q</t>
        </is>
      </c>
      <c r="D90" s="8" t="inlineStr">
        <is>
          <t>Inv. Mínimo Calc</t>
        </is>
      </c>
      <c r="E90" s="8" t="inlineStr">
        <is>
          <t>Crítico?</t>
        </is>
      </c>
    </row>
    <row r="91" ht="15" customHeight="1">
      <c r="A91" s="9" t="inlineStr">
        <is>
          <t>Parte A</t>
        </is>
      </c>
      <c r="B91" s="20" t="n">
        <v>1</v>
      </c>
      <c r="C91" s="21">
        <f>BOM_Consumo!K6/8</f>
        <v/>
      </c>
      <c r="D91" s="21">
        <f>B91*C91</f>
        <v/>
      </c>
      <c r="E91" s="22">
        <f>IF(B91&gt;=1.5,"NO","SÍ - RIESGO ALTO")</f>
        <v/>
      </c>
    </row>
    <row r="92" ht="15" customHeight="1">
      <c r="A92" s="9" t="inlineStr">
        <is>
          <t>Parte B</t>
        </is>
      </c>
      <c r="B92" s="20" t="n">
        <v>1</v>
      </c>
      <c r="C92" s="21">
        <f>BOM_Consumo!K7/8</f>
        <v/>
      </c>
      <c r="D92" s="21">
        <f>B92*C92</f>
        <v/>
      </c>
      <c r="E92" s="22">
        <f>IF(B92&gt;=1.5,"NO","SÍ - RIESGO ALTO")</f>
        <v/>
      </c>
    </row>
    <row r="93" ht="15" customHeight="1">
      <c r="A93" s="9" t="inlineStr">
        <is>
          <t>Pieza 1</t>
        </is>
      </c>
      <c r="B93" s="20" t="n">
        <v>2</v>
      </c>
      <c r="C93" s="21">
        <f>BOM_Consumo!K8/8</f>
        <v/>
      </c>
      <c r="D93" s="21">
        <f>B93*C93</f>
        <v/>
      </c>
      <c r="E93" s="22">
        <f>IF(B93&gt;=1.5,"NO","SÍ - RIESGO ALTO")</f>
        <v/>
      </c>
    </row>
    <row r="94" ht="15" customHeight="1">
      <c r="A94" s="9" t="inlineStr">
        <is>
          <t>Pieza 2</t>
        </is>
      </c>
      <c r="B94" s="20" t="n">
        <v>1</v>
      </c>
      <c r="C94" s="21">
        <f>BOM_Consumo!K9/8</f>
        <v/>
      </c>
      <c r="D94" s="21">
        <f>B94*C94</f>
        <v/>
      </c>
      <c r="E94" s="22">
        <f>IF(B94&gt;=1.5,"NO","SÍ - RIESGO ALTO")</f>
        <v/>
      </c>
    </row>
    <row r="95" ht="15" customHeight="1">
      <c r="A95" s="9" t="inlineStr">
        <is>
          <t>Pieza 3</t>
        </is>
      </c>
      <c r="B95" s="20" t="n">
        <v>1</v>
      </c>
      <c r="C95" s="21">
        <f>BOM_Consumo!K10/8</f>
        <v/>
      </c>
      <c r="D95" s="21">
        <f>B95*C95</f>
        <v/>
      </c>
      <c r="E95" s="22">
        <f>IF(B95&gt;=1.5,"NO","SÍ - RIESGO ALTO")</f>
        <v/>
      </c>
    </row>
    <row r="96" ht="15" customHeight="1">
      <c r="A96" s="9" t="inlineStr">
        <is>
          <t>Pieza 4</t>
        </is>
      </c>
      <c r="B96" s="20" t="n">
        <v>1</v>
      </c>
      <c r="C96" s="21">
        <f>BOM_Consumo!K11/8</f>
        <v/>
      </c>
      <c r="D96" s="21">
        <f>B96*C96</f>
        <v/>
      </c>
      <c r="E96" s="22">
        <f>IF(B96&gt;=1.5,"NO","SÍ - RIESGO ALTO")</f>
        <v/>
      </c>
    </row>
    <row r="97" ht="15" customHeight="1">
      <c r="A97" s="9" t="inlineStr">
        <is>
          <t>Pieza 5</t>
        </is>
      </c>
      <c r="B97" s="20" t="n">
        <v>1</v>
      </c>
      <c r="C97" s="21">
        <f>BOM_Consumo!K12/8</f>
        <v/>
      </c>
      <c r="D97" s="21">
        <f>B97*C97</f>
        <v/>
      </c>
      <c r="E97" s="22">
        <f>IF(B97&gt;=1.5,"NO","SÍ - RIESGO ALTO")</f>
        <v/>
      </c>
    </row>
    <row r="98" ht="15" customHeight="1">
      <c r="A98" s="9" t="inlineStr">
        <is>
          <t>Pieza 6</t>
        </is>
      </c>
      <c r="B98" s="20" t="n">
        <v>1</v>
      </c>
      <c r="C98" s="21">
        <f>BOM_Consumo!K13/8</f>
        <v/>
      </c>
      <c r="D98" s="21">
        <f>B98*C98</f>
        <v/>
      </c>
      <c r="E98" s="22">
        <f>IF(B98&gt;=1.5,"NO","SÍ - RIESGO ALTO")</f>
        <v/>
      </c>
    </row>
    <row r="100">
      <c r="A100" t="inlineStr">
        <is>
          <t>11. SENSIBILIDAD DEMANDA</t>
        </is>
      </c>
    </row>
    <row r="101">
      <c r="A101" t="inlineStr">
        <is>
          <t>Factor Demanda</t>
        </is>
      </c>
      <c r="B101">
        <f>Escenarios!$E$29</f>
        <v/>
      </c>
      <c r="C101" t="inlineStr">
        <is>
          <t>1.0 = Base</t>
        </is>
      </c>
    </row>
    <row r="104">
      <c r="A104" t="inlineStr">
        <is>
          <t>12. PLANNING PARAMETERS</t>
        </is>
      </c>
    </row>
    <row r="105">
      <c r="A105" t="inlineStr">
        <is>
          <t>Parameter</t>
        </is>
      </c>
      <c r="B105" t="inlineStr">
        <is>
          <t>Value</t>
        </is>
      </c>
      <c r="C105" t="inlineStr">
        <is>
          <t>Notes</t>
        </is>
      </c>
    </row>
    <row r="106">
      <c r="A106" t="inlineStr">
        <is>
          <t>Stockout penalty ($/EC)</t>
        </is>
      </c>
      <c r="B106" s="74">
        <f>Riesgo_Proveedor_B!B8</f>
        <v/>
      </c>
    </row>
    <row r="107">
      <c r="A107" t="inlineStr">
        <is>
          <t>Financing cost per Q</t>
        </is>
      </c>
      <c r="B107" t="n">
        <v>0</v>
      </c>
      <c r="C107" t="inlineStr">
        <is>
          <t>0 = ignore cash cost</t>
        </is>
      </c>
    </row>
    <row r="108">
      <c r="A108" t="inlineStr">
        <is>
          <t>Review period R (Q)</t>
        </is>
      </c>
      <c r="B108" t="n">
        <v>1</v>
      </c>
    </row>
    <row r="109">
      <c r="A109" t="inlineStr">
        <is>
          <t>Order-up-to coverage (Q)</t>
        </is>
      </c>
      <c r="B109" t="n">
        <v>1</v>
      </c>
    </row>
    <row r="110">
      <c r="A110" t="inlineStr">
        <is>
          <t>Pieces buy at t=0 (1/0)</t>
        </is>
      </c>
      <c r="B110" t="n">
        <v>1</v>
      </c>
    </row>
    <row r="111">
      <c r="A111" t="inlineStr">
        <is>
          <t>Disc rate Part A (B)</t>
        </is>
      </c>
      <c r="B111">
        <f>IFERROR(VALUE(SUBSTITUTE(LEFT(D67,FIND("%",D67)-1),"%",""))/100,0)</f>
        <v/>
      </c>
    </row>
    <row r="112">
      <c r="A112" t="inlineStr">
        <is>
          <t>Disc rate Part B (B)</t>
        </is>
      </c>
      <c r="B112">
        <f>IFERROR(VALUE(SUBSTITUTE(LEFT(D75,FIND("%",D75)-1),"%",""))/100,0)</f>
        <v/>
      </c>
    </row>
    <row r="113">
      <c r="A113" t="inlineStr">
        <is>
          <t>Prob fail Supplier B</t>
        </is>
      </c>
      <c r="B113" s="76">
        <f>Riesgo_Proveedor_B!B7</f>
        <v/>
      </c>
    </row>
  </sheetData>
  <mergeCells count="13">
    <mergeCell ref="A45:D45"/>
    <mergeCell ref="A80:D80"/>
    <mergeCell ref="A9:D9"/>
    <mergeCell ref="A4:K4"/>
    <mergeCell ref="A57:E57"/>
    <mergeCell ref="A21:D21"/>
    <mergeCell ref="A2:K2"/>
    <mergeCell ref="A72:G72"/>
    <mergeCell ref="A64:G64"/>
    <mergeCell ref="A33:D33"/>
    <mergeCell ref="A89:E89"/>
    <mergeCell ref="A88:E88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zoomScaleNormal="100" workbookViewId="0">
      <selection activeCell="C7" sqref="C7"/>
    </sheetView>
  </sheetViews>
  <sheetFormatPr baseColWidth="10" defaultColWidth="8.6640625" defaultRowHeight="14.4"/>
  <cols>
    <col width="9" bestFit="1" customWidth="1" min="1" max="1"/>
    <col width="12.6640625" bestFit="1" customWidth="1" min="2" max="2"/>
    <col width="8.6640625" bestFit="1" customWidth="1" min="3" max="3"/>
    <col width="12" customWidth="1" min="4" max="4"/>
    <col width="15.33203125" bestFit="1" customWidth="1" min="5" max="5"/>
    <col width="18.77734375" bestFit="1" customWidth="1" min="6" max="6"/>
    <col width="23.21875" bestFit="1" customWidth="1" min="7" max="7"/>
    <col width="26.6640625" bestFit="1" customWidth="1" min="8" max="8"/>
    <col width="30" bestFit="1" customWidth="1" min="9" max="9"/>
    <col width="8.6640625" bestFit="1" customWidth="1" min="10" max="10"/>
    <col width="27.6640625" bestFit="1" customWidth="1" min="11" max="11"/>
  </cols>
  <sheetData>
    <row r="1" ht="17.25" customHeight="1">
      <c r="A1" s="80" t="inlineStr">
        <is>
          <t>BOM_CONSUMO (DEPRECATED - use Req_Gross)</t>
        </is>
      </c>
    </row>
    <row r="2" ht="15" customHeight="1">
      <c r="A2" s="82" t="inlineStr">
        <is>
          <t>Fórmula: Consumo_Q = Producción_EC_Q × Consumo_por_EC</t>
        </is>
      </c>
    </row>
    <row r="3" ht="15" customHeight="1">
      <c r="A3" s="83" t="inlineStr">
        <is>
          <t>VERDE = datos de Inputs | NEGRO = fórmulas calculadas</t>
        </is>
      </c>
    </row>
    <row r="5" ht="15" customHeight="1">
      <c r="A5" s="23" t="inlineStr">
        <is>
          <t>Material</t>
        </is>
      </c>
      <c r="B5" s="23" t="inlineStr">
        <is>
          <t>Consumo/EC</t>
        </is>
      </c>
      <c r="C5" s="23" t="inlineStr">
        <is>
          <t>Q1</t>
        </is>
      </c>
      <c r="D5" s="23" t="inlineStr">
        <is>
          <t>Q2</t>
        </is>
      </c>
      <c r="E5" s="23" t="inlineStr">
        <is>
          <t>Q3</t>
        </is>
      </c>
      <c r="F5" s="23" t="inlineStr">
        <is>
          <t>Q4</t>
        </is>
      </c>
      <c r="G5" s="23" t="inlineStr">
        <is>
          <t>Q5</t>
        </is>
      </c>
      <c r="H5" s="23" t="inlineStr">
        <is>
          <t>Q6</t>
        </is>
      </c>
      <c r="I5" s="23" t="inlineStr">
        <is>
          <t>Q7</t>
        </is>
      </c>
      <c r="J5" s="23" t="inlineStr">
        <is>
          <t>Q8</t>
        </is>
      </c>
      <c r="K5" s="23" t="inlineStr">
        <is>
          <t>TOTAL</t>
        </is>
      </c>
    </row>
    <row r="6" ht="15" customHeight="1">
      <c r="A6" s="9" t="inlineStr">
        <is>
          <t>Parte A</t>
        </is>
      </c>
      <c r="B6" s="24">
        <f>_xlfn.XLOOKUP(A6,Inputs!$A$22:$A$30,Inputs!$B$22:$B$30)</f>
        <v/>
      </c>
      <c r="C6" s="25">
        <f>MRP_LeadTimes!B$18*$B6</f>
        <v/>
      </c>
      <c r="D6" s="25">
        <f>MRP_LeadTimes!C$18*$B6</f>
        <v/>
      </c>
      <c r="E6" s="25">
        <f>MRP_LeadTimes!D$18*$B6</f>
        <v/>
      </c>
      <c r="F6" s="25">
        <f>MRP_LeadTimes!E$18*$B6</f>
        <v/>
      </c>
      <c r="G6" s="25">
        <f>MRP_LeadTimes!F$18*$B6</f>
        <v/>
      </c>
      <c r="H6" s="25">
        <f>MRP_LeadTimes!G$18*$B6</f>
        <v/>
      </c>
      <c r="I6" s="25">
        <f>MRP_LeadTimes!H$18*$B6</f>
        <v/>
      </c>
      <c r="J6" s="25">
        <f>MRP_LeadTimes!I$18*$B6</f>
        <v/>
      </c>
      <c r="K6" s="26">
        <f>SUM(C6:J6)</f>
        <v/>
      </c>
    </row>
    <row r="7" ht="15" customHeight="1">
      <c r="A7" s="9" t="inlineStr">
        <is>
          <t>Parte B</t>
        </is>
      </c>
      <c r="B7" s="24">
        <f>_xlfn.XLOOKUP(A7,Inputs!$A$22:$A$30,Inputs!$B$22:$B$30)</f>
        <v/>
      </c>
      <c r="C7" s="25">
        <f>MRP_LeadTimes!B$17*$B7</f>
        <v/>
      </c>
      <c r="D7" s="25">
        <f>MRP_LeadTimes!C$17*$B7</f>
        <v/>
      </c>
      <c r="E7" s="25">
        <f>MRP_LeadTimes!D$17*$B7</f>
        <v/>
      </c>
      <c r="F7" s="25">
        <f>MRP_LeadTimes!E$17*$B7</f>
        <v/>
      </c>
      <c r="G7" s="25">
        <f>MRP_LeadTimes!F$17*$B7</f>
        <v/>
      </c>
      <c r="H7" s="25">
        <f>MRP_LeadTimes!G$17*$B7</f>
        <v/>
      </c>
      <c r="I7" s="25">
        <f>MRP_LeadTimes!H$17*$B7</f>
        <v/>
      </c>
      <c r="J7" s="25">
        <f>MRP_LeadTimes!I$17*$B7</f>
        <v/>
      </c>
      <c r="K7" s="26">
        <f>SUM(C7:J7)</f>
        <v/>
      </c>
    </row>
    <row r="8" ht="15" customHeight="1">
      <c r="A8" s="9" t="inlineStr">
        <is>
          <t>Pieza 1</t>
        </is>
      </c>
      <c r="B8" s="24">
        <f>_xlfn.XLOOKUP(A8,Inputs!$A$22:$A$30,Inputs!$B$22:$B$30)</f>
        <v/>
      </c>
      <c r="C8" s="25">
        <f>MRP_LeadTimes!B$15*$B8</f>
        <v/>
      </c>
      <c r="D8" s="25">
        <f>MRP_LeadTimes!C$15*$B8</f>
        <v/>
      </c>
      <c r="E8" s="25">
        <f>MRP_LeadTimes!D$15*$B8</f>
        <v/>
      </c>
      <c r="F8" s="25">
        <f>MRP_LeadTimes!E$15*$B8</f>
        <v/>
      </c>
      <c r="G8" s="25">
        <f>MRP_LeadTimes!F$15*$B8</f>
        <v/>
      </c>
      <c r="H8" s="25">
        <f>MRP_LeadTimes!G$15*$B8</f>
        <v/>
      </c>
      <c r="I8" s="25">
        <f>MRP_LeadTimes!H$15*$B8</f>
        <v/>
      </c>
      <c r="J8" s="25">
        <f>MRP_LeadTimes!I$15*$B8</f>
        <v/>
      </c>
      <c r="K8" s="26">
        <f>SUM(C8:J8)</f>
        <v/>
      </c>
    </row>
    <row r="9" ht="15" customHeight="1">
      <c r="A9" s="9" t="inlineStr">
        <is>
          <t>Pieza 2</t>
        </is>
      </c>
      <c r="B9" s="24">
        <f>_xlfn.XLOOKUP(A9,Inputs!$A$22:$A$30,Inputs!$B$22:$B$30)</f>
        <v/>
      </c>
      <c r="C9" s="25">
        <f>MRP_LeadTimes!B$15*$B9</f>
        <v/>
      </c>
      <c r="D9" s="25">
        <f>MRP_LeadTimes!C$15*$B9</f>
        <v/>
      </c>
      <c r="E9" s="25">
        <f>MRP_LeadTimes!D$15*$B9</f>
        <v/>
      </c>
      <c r="F9" s="25">
        <f>MRP_LeadTimes!E$15*$B9</f>
        <v/>
      </c>
      <c r="G9" s="25">
        <f>MRP_LeadTimes!F$15*$B9</f>
        <v/>
      </c>
      <c r="H9" s="25">
        <f>MRP_LeadTimes!G$15*$B9</f>
        <v/>
      </c>
      <c r="I9" s="25">
        <f>MRP_LeadTimes!H$15*$B9</f>
        <v/>
      </c>
      <c r="J9" s="25">
        <f>MRP_LeadTimes!I$15*$B9</f>
        <v/>
      </c>
      <c r="K9" s="26">
        <f>SUM(C9:J9)</f>
        <v/>
      </c>
    </row>
    <row r="10" ht="15" customHeight="1">
      <c r="A10" s="9" t="inlineStr">
        <is>
          <t>Pieza 3</t>
        </is>
      </c>
      <c r="B10" s="24">
        <f>_xlfn.XLOOKUP(A10,Inputs!$A$22:$A$30,Inputs!$B$22:$B$30)</f>
        <v/>
      </c>
      <c r="C10" s="25">
        <f>MRP_LeadTimes!B$15*$B10</f>
        <v/>
      </c>
      <c r="D10" s="25">
        <f>MRP_LeadTimes!C$15*$B10</f>
        <v/>
      </c>
      <c r="E10" s="25">
        <f>MRP_LeadTimes!D$15*$B10</f>
        <v/>
      </c>
      <c r="F10" s="25">
        <f>MRP_LeadTimes!E$15*$B10</f>
        <v/>
      </c>
      <c r="G10" s="25">
        <f>MRP_LeadTimes!F$15*$B10</f>
        <v/>
      </c>
      <c r="H10" s="25">
        <f>MRP_LeadTimes!G$15*$B10</f>
        <v/>
      </c>
      <c r="I10" s="25">
        <f>MRP_LeadTimes!H$15*$B10</f>
        <v/>
      </c>
      <c r="J10" s="25">
        <f>MRP_LeadTimes!I$15*$B10</f>
        <v/>
      </c>
      <c r="K10" s="26">
        <f>SUM(C10:J10)</f>
        <v/>
      </c>
    </row>
    <row r="11" ht="15" customHeight="1">
      <c r="A11" s="9" t="inlineStr">
        <is>
          <t>Pieza 4</t>
        </is>
      </c>
      <c r="B11" s="24">
        <f>_xlfn.XLOOKUP(A11,Inputs!$A$22:$A$30,Inputs!$B$22:$B$30)</f>
        <v/>
      </c>
      <c r="C11" s="25">
        <f>MRP_LeadTimes!B$15*$B11</f>
        <v/>
      </c>
      <c r="D11" s="25">
        <f>MRP_LeadTimes!C$15*$B11</f>
        <v/>
      </c>
      <c r="E11" s="25">
        <f>MRP_LeadTimes!D$15*$B11</f>
        <v/>
      </c>
      <c r="F11" s="25">
        <f>MRP_LeadTimes!E$15*$B11</f>
        <v/>
      </c>
      <c r="G11" s="25">
        <f>MRP_LeadTimes!F$15*$B11</f>
        <v/>
      </c>
      <c r="H11" s="25">
        <f>MRP_LeadTimes!G$15*$B11</f>
        <v/>
      </c>
      <c r="I11" s="25">
        <f>MRP_LeadTimes!H$15*$B11</f>
        <v/>
      </c>
      <c r="J11" s="25">
        <f>MRP_LeadTimes!I$15*$B11</f>
        <v/>
      </c>
      <c r="K11" s="26">
        <f>SUM(C11:J11)</f>
        <v/>
      </c>
    </row>
    <row r="12" ht="15" customHeight="1">
      <c r="A12" s="9" t="inlineStr">
        <is>
          <t>Pieza 5</t>
        </is>
      </c>
      <c r="B12" s="24">
        <f>_xlfn.XLOOKUP(A12,Inputs!$A$22:$A$30,Inputs!$B$22:$B$30)</f>
        <v/>
      </c>
      <c r="C12" s="25">
        <f>MRP_LeadTimes!B$15*$B12</f>
        <v/>
      </c>
      <c r="D12" s="25">
        <f>MRP_LeadTimes!C$15*$B12</f>
        <v/>
      </c>
      <c r="E12" s="25">
        <f>MRP_LeadTimes!D$15*$B12</f>
        <v/>
      </c>
      <c r="F12" s="25">
        <f>MRP_LeadTimes!E$15*$B12</f>
        <v/>
      </c>
      <c r="G12" s="25">
        <f>MRP_LeadTimes!F$15*$B12</f>
        <v/>
      </c>
      <c r="H12" s="25">
        <f>MRP_LeadTimes!G$15*$B12</f>
        <v/>
      </c>
      <c r="I12" s="25">
        <f>MRP_LeadTimes!H$15*$B12</f>
        <v/>
      </c>
      <c r="J12" s="25">
        <f>MRP_LeadTimes!I$15*$B12</f>
        <v/>
      </c>
      <c r="K12" s="26">
        <f>SUM(C12:J12)</f>
        <v/>
      </c>
    </row>
    <row r="13" ht="15" customHeight="1">
      <c r="A13" s="9" t="inlineStr">
        <is>
          <t>Pieza 6</t>
        </is>
      </c>
      <c r="B13" s="24">
        <f>_xlfn.XLOOKUP(A13,Inputs!$A$22:$A$30,Inputs!$B$22:$B$30)</f>
        <v/>
      </c>
      <c r="C13" s="25">
        <f>MRP_LeadTimes!B$15*$B13</f>
        <v/>
      </c>
      <c r="D13" s="25">
        <f>MRP_LeadTimes!C$15*$B13</f>
        <v/>
      </c>
      <c r="E13" s="25">
        <f>MRP_LeadTimes!D$15*$B13</f>
        <v/>
      </c>
      <c r="F13" s="25">
        <f>MRP_LeadTimes!E$15*$B13</f>
        <v/>
      </c>
      <c r="G13" s="25">
        <f>MRP_LeadTimes!F$15*$B13</f>
        <v/>
      </c>
      <c r="H13" s="25">
        <f>MRP_LeadTimes!G$15*$B13</f>
        <v/>
      </c>
      <c r="I13" s="25">
        <f>MRP_LeadTimes!H$15*$B13</f>
        <v/>
      </c>
      <c r="J13" s="25">
        <f>MRP_LeadTimes!I$15*$B13</f>
        <v/>
      </c>
      <c r="K13" s="26">
        <f>SUM(C13:J13)</f>
        <v/>
      </c>
    </row>
    <row r="15" ht="15" customHeight="1">
      <c r="A15" s="84" t="inlineStr">
        <is>
          <t>PRODUCCIÓN TOTAL EC</t>
        </is>
      </c>
      <c r="C15" s="27">
        <f>MRP_LeadTimes!B$14</f>
        <v/>
      </c>
      <c r="D15" s="27">
        <f>MRP_LeadTimes!C$14</f>
        <v/>
      </c>
      <c r="E15" s="27">
        <f>MRP_LeadTimes!D$14</f>
        <v/>
      </c>
      <c r="F15" s="27">
        <f>MRP_LeadTimes!E$14</f>
        <v/>
      </c>
      <c r="G15" s="27">
        <f>MRP_LeadTimes!F$14</f>
        <v/>
      </c>
      <c r="H15" s="27">
        <f>MRP_LeadTimes!G$14</f>
        <v/>
      </c>
      <c r="I15" s="27">
        <f>MRP_LeadTimes!H$14</f>
        <v/>
      </c>
      <c r="J15" s="27">
        <f>Inputs!I6</f>
        <v/>
      </c>
      <c r="K15" s="26">
        <f>SUM(C15:J15)</f>
        <v/>
      </c>
    </row>
  </sheetData>
  <mergeCells count="4">
    <mergeCell ref="A3:L3"/>
    <mergeCell ref="A2:L2"/>
    <mergeCell ref="A1:L1"/>
    <mergeCell ref="A15:B1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"/>
  <sheetViews>
    <sheetView zoomScaleNormal="100" workbookViewId="0">
      <selection activeCell="B57" sqref="B57"/>
    </sheetView>
  </sheetViews>
  <sheetFormatPr baseColWidth="10" defaultColWidth="8.6640625" defaultRowHeight="14.4"/>
  <cols>
    <col width="15" customWidth="1" min="1" max="1"/>
    <col width="9.33203125" bestFit="1" customWidth="1" min="2" max="2"/>
    <col width="10.33203125" bestFit="1" customWidth="1" min="3" max="3"/>
    <col width="13.6640625" bestFit="1" customWidth="1" min="4" max="4"/>
    <col width="17.109375" bestFit="1" customWidth="1" min="5" max="5"/>
    <col width="21.5546875" bestFit="1" customWidth="1" min="6" max="6"/>
    <col width="24.88671875" bestFit="1" customWidth="1" min="7" max="7"/>
    <col width="28.33203125" bestFit="1" customWidth="1" min="8" max="9"/>
    <col width="27.33203125" bestFit="1" customWidth="1" min="10" max="10"/>
  </cols>
  <sheetData>
    <row r="1" ht="17.25" customHeight="1">
      <c r="A1" s="80" t="inlineStr">
        <is>
          <t>INVENTARIO DINÁMICO - Control por Quincena</t>
        </is>
      </c>
    </row>
    <row r="2" ht="15" customHeight="1">
      <c r="A2" s="82" t="inlineStr">
        <is>
          <t>Fórmula: Inv_Final_Q = Inv_Inicial_Q + Recepciones_Q - Consumo_Q</t>
        </is>
      </c>
    </row>
    <row r="3" ht="15" customHeight="1">
      <c r="A3" s="85" t="inlineStr">
        <is>
          <t>AMARILLO = ingresar recepciones manualmente | ROJO = inventario negativo (ALERTA)</t>
        </is>
      </c>
    </row>
    <row r="5" ht="15" customHeight="1">
      <c r="A5" s="77" t="inlineStr">
        <is>
          <t>Parte A</t>
        </is>
      </c>
    </row>
    <row r="6" ht="15" customHeight="1">
      <c r="A6" s="4" t="inlineStr">
        <is>
          <t>Concepto</t>
        </is>
      </c>
      <c r="B6" s="4" t="inlineStr">
        <is>
          <t>Q1</t>
        </is>
      </c>
      <c r="C6" s="4" t="inlineStr">
        <is>
          <t>Q2</t>
        </is>
      </c>
      <c r="D6" s="4" t="inlineStr">
        <is>
          <t>Q3</t>
        </is>
      </c>
      <c r="E6" s="4" t="inlineStr">
        <is>
          <t>Q4</t>
        </is>
      </c>
      <c r="F6" s="4" t="inlineStr">
        <is>
          <t>Q5</t>
        </is>
      </c>
      <c r="G6" s="4" t="inlineStr">
        <is>
          <t>Q6</t>
        </is>
      </c>
      <c r="H6" s="4" t="inlineStr">
        <is>
          <t>Q7</t>
        </is>
      </c>
      <c r="I6" s="4" t="inlineStr">
        <is>
          <t>Q8</t>
        </is>
      </c>
    </row>
    <row r="7" ht="15" customHeight="1">
      <c r="A7" s="9" t="inlineStr">
        <is>
          <t>Inv_Inicial</t>
        </is>
      </c>
      <c r="B7" s="28">
        <f>Multi_Planta!D6</f>
        <v/>
      </c>
      <c r="C7" s="21">
        <f>B10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  <c r="H7" s="21">
        <f>G10</f>
        <v/>
      </c>
      <c r="I7" s="21">
        <f>H10</f>
        <v/>
      </c>
    </row>
    <row r="8" ht="15" customHeight="1">
      <c r="A8" s="9" t="inlineStr">
        <is>
          <t>Recepciones</t>
        </is>
      </c>
      <c r="B8" s="6" t="n">
        <v>2520</v>
      </c>
      <c r="C8" s="6" t="n">
        <v>2520</v>
      </c>
      <c r="D8" s="6" t="n">
        <v>2520</v>
      </c>
      <c r="E8" s="6" t="n">
        <v>2520</v>
      </c>
      <c r="F8" s="6" t="n">
        <v>0</v>
      </c>
      <c r="G8" s="6" t="n">
        <v>0</v>
      </c>
      <c r="H8" s="6" t="n">
        <v>0</v>
      </c>
      <c r="I8" s="6" t="n">
        <v>0</v>
      </c>
    </row>
    <row r="9" ht="15" customHeight="1">
      <c r="A9" s="9" t="inlineStr">
        <is>
          <t>Consumo</t>
        </is>
      </c>
      <c r="B9" s="28">
        <f>BOM_Consumo!C6</f>
        <v/>
      </c>
      <c r="C9" s="28">
        <f>BOM_Consumo!D6</f>
        <v/>
      </c>
      <c r="D9" s="28">
        <f>BOM_Consumo!E6</f>
        <v/>
      </c>
      <c r="E9" s="28">
        <f>BOM_Consumo!F6</f>
        <v/>
      </c>
      <c r="F9" s="28">
        <f>BOM_Consumo!G6</f>
        <v/>
      </c>
      <c r="G9" s="28">
        <f>BOM_Consumo!H6</f>
        <v/>
      </c>
      <c r="H9" s="28">
        <f>BOM_Consumo!I6</f>
        <v/>
      </c>
      <c r="I9" s="28">
        <f>BOM_Consumo!J6</f>
        <v/>
      </c>
    </row>
    <row r="10" ht="15" customHeight="1">
      <c r="A10" s="5" t="inlineStr">
        <is>
          <t>Inv_Final</t>
        </is>
      </c>
      <c r="B10" s="26">
        <f>B7+B8-B9</f>
        <v/>
      </c>
      <c r="C10" s="26">
        <f>C7+C8-C9</f>
        <v/>
      </c>
      <c r="D10" s="26">
        <f>D7+D8-D9</f>
        <v/>
      </c>
      <c r="E10" s="26">
        <f>E7+E8-E9</f>
        <v/>
      </c>
      <c r="F10" s="26">
        <f>F7+F8-F9</f>
        <v/>
      </c>
      <c r="G10" s="26">
        <f>G7+G8-G9</f>
        <v/>
      </c>
      <c r="H10" s="26">
        <f>H7+H8-H9</f>
        <v/>
      </c>
      <c r="I10" s="26">
        <f>I7+I8-I9</f>
        <v/>
      </c>
    </row>
    <row r="11" ht="15" customHeight="1">
      <c r="A11" s="77" t="inlineStr">
        <is>
          <t>Parte B</t>
        </is>
      </c>
    </row>
    <row r="12" ht="15" customHeight="1">
      <c r="A12" s="4" t="inlineStr">
        <is>
          <t>Concepto</t>
        </is>
      </c>
      <c r="B12" s="4" t="inlineStr">
        <is>
          <t>Q1</t>
        </is>
      </c>
      <c r="C12" s="4" t="inlineStr">
        <is>
          <t>Q2</t>
        </is>
      </c>
      <c r="D12" s="4" t="inlineStr">
        <is>
          <t>Q3</t>
        </is>
      </c>
      <c r="E12" s="4" t="inlineStr">
        <is>
          <t>Q4</t>
        </is>
      </c>
      <c r="F12" s="4" t="inlineStr">
        <is>
          <t>Q5</t>
        </is>
      </c>
      <c r="G12" s="4" t="inlineStr">
        <is>
          <t>Q6</t>
        </is>
      </c>
      <c r="H12" s="4" t="inlineStr">
        <is>
          <t>Q7</t>
        </is>
      </c>
      <c r="I12" s="4" t="inlineStr">
        <is>
          <t>Q8</t>
        </is>
      </c>
    </row>
    <row r="13" ht="15" customHeight="1">
      <c r="A13" s="9" t="inlineStr">
        <is>
          <t>Inv_Inicial</t>
        </is>
      </c>
      <c r="B13" s="28">
        <f>Multi_Planta!D7</f>
        <v/>
      </c>
      <c r="C13" s="21">
        <f>B16</f>
        <v/>
      </c>
      <c r="D13" s="21">
        <f>C16</f>
        <v/>
      </c>
      <c r="E13" s="21">
        <f>D16</f>
        <v/>
      </c>
      <c r="F13" s="21">
        <f>E16</f>
        <v/>
      </c>
      <c r="G13" s="21">
        <f>F16</f>
        <v/>
      </c>
      <c r="H13" s="21">
        <f>G16</f>
        <v/>
      </c>
      <c r="I13" s="21">
        <f>H16</f>
        <v/>
      </c>
    </row>
    <row r="14" ht="15" customHeight="1">
      <c r="A14" s="9" t="inlineStr">
        <is>
          <t>Recepciones</t>
        </is>
      </c>
      <c r="B14" s="6" t="n">
        <v>504</v>
      </c>
      <c r="C14" s="6" t="n">
        <v>504</v>
      </c>
      <c r="D14" s="6" t="n">
        <v>504</v>
      </c>
      <c r="E14" s="6" t="n">
        <v>504</v>
      </c>
      <c r="F14" s="6" t="n">
        <v>504</v>
      </c>
      <c r="G14" s="6" t="n">
        <v>0</v>
      </c>
      <c r="H14" s="6" t="n">
        <v>0</v>
      </c>
      <c r="I14" s="6" t="n">
        <v>0</v>
      </c>
    </row>
    <row r="15" ht="15" customHeight="1">
      <c r="A15" s="9" t="inlineStr">
        <is>
          <t>Consumo</t>
        </is>
      </c>
      <c r="B15" s="28">
        <f>BOM_Consumo!C7</f>
        <v/>
      </c>
      <c r="C15" s="28">
        <f>BOM_Consumo!D7</f>
        <v/>
      </c>
      <c r="D15" s="28">
        <f>BOM_Consumo!E7</f>
        <v/>
      </c>
      <c r="E15" s="28">
        <f>BOM_Consumo!F7</f>
        <v/>
      </c>
      <c r="F15" s="28">
        <f>BOM_Consumo!G7</f>
        <v/>
      </c>
      <c r="G15" s="28">
        <f>BOM_Consumo!H7</f>
        <v/>
      </c>
      <c r="H15" s="28">
        <f>BOM_Consumo!I7</f>
        <v/>
      </c>
      <c r="I15" s="28">
        <f>BOM_Consumo!J7</f>
        <v/>
      </c>
    </row>
    <row r="16" ht="15" customHeight="1">
      <c r="A16" s="5" t="inlineStr">
        <is>
          <t>Inv_Final</t>
        </is>
      </c>
      <c r="B16" s="26">
        <f>B13+B14-B15</f>
        <v/>
      </c>
      <c r="C16" s="26">
        <f>C13+C14-C15</f>
        <v/>
      </c>
      <c r="D16" s="26">
        <f>D13+D14-D15</f>
        <v/>
      </c>
      <c r="E16" s="26">
        <f>E13+E14-E15</f>
        <v/>
      </c>
      <c r="F16" s="26">
        <f>F13+F14-F15</f>
        <v/>
      </c>
      <c r="G16" s="26">
        <f>G13+G14-G15</f>
        <v/>
      </c>
      <c r="H16" s="26">
        <f>H13+H14-H15</f>
        <v/>
      </c>
      <c r="I16" s="26">
        <f>I13+I14-I15</f>
        <v/>
      </c>
    </row>
    <row r="17" ht="15" customHeight="1">
      <c r="A17" s="77" t="inlineStr">
        <is>
          <t>Pieza 1</t>
        </is>
      </c>
    </row>
    <row r="18" ht="15" customHeight="1">
      <c r="A18" s="4" t="inlineStr">
        <is>
          <t>Concepto</t>
        </is>
      </c>
      <c r="B18" s="4" t="inlineStr">
        <is>
          <t>Q1</t>
        </is>
      </c>
      <c r="C18" s="4" t="inlineStr">
        <is>
          <t>Q2</t>
        </is>
      </c>
      <c r="D18" s="4" t="inlineStr">
        <is>
          <t>Q3</t>
        </is>
      </c>
      <c r="E18" s="4" t="inlineStr">
        <is>
          <t>Q4</t>
        </is>
      </c>
      <c r="F18" s="4" t="inlineStr">
        <is>
          <t>Q5</t>
        </is>
      </c>
      <c r="G18" s="4" t="inlineStr">
        <is>
          <t>Q6</t>
        </is>
      </c>
      <c r="H18" s="4" t="inlineStr">
        <is>
          <t>Q7</t>
        </is>
      </c>
      <c r="I18" s="4" t="inlineStr">
        <is>
          <t>Q8</t>
        </is>
      </c>
    </row>
    <row r="19" ht="15" customHeight="1">
      <c r="A19" s="9" t="inlineStr">
        <is>
          <t>Inv_Inicial</t>
        </is>
      </c>
      <c r="B19" s="28">
        <f>Multi_Planta!D8</f>
        <v/>
      </c>
      <c r="C19" s="21">
        <f>B22</f>
        <v/>
      </c>
      <c r="D19" s="21">
        <f>C22</f>
        <v/>
      </c>
      <c r="E19" s="21">
        <f>D22</f>
        <v/>
      </c>
      <c r="F19" s="21">
        <f>E22</f>
        <v/>
      </c>
      <c r="G19" s="21">
        <f>F22</f>
        <v/>
      </c>
      <c r="H19" s="21">
        <f>G22</f>
        <v/>
      </c>
      <c r="I19" s="21">
        <f>H22</f>
        <v/>
      </c>
    </row>
    <row r="20" ht="15" customHeight="1">
      <c r="A20" s="9" t="inlineStr">
        <is>
          <t>Recepciones</t>
        </is>
      </c>
      <c r="B20" s="6" t="n">
        <v>25.2</v>
      </c>
      <c r="C20" s="6" t="n">
        <v>25.2</v>
      </c>
      <c r="D20" s="6" t="n">
        <v>25.2</v>
      </c>
      <c r="E20" s="6" t="n">
        <v>25.2</v>
      </c>
      <c r="F20" s="6" t="n">
        <v>25.2</v>
      </c>
      <c r="G20" s="6" t="n">
        <v>25.2</v>
      </c>
      <c r="H20" s="6" t="n">
        <v>25.2</v>
      </c>
      <c r="I20" s="6" t="n">
        <v>0</v>
      </c>
    </row>
    <row r="21" ht="15" customHeight="1">
      <c r="A21" s="9" t="inlineStr">
        <is>
          <t>Consumo</t>
        </is>
      </c>
      <c r="B21" s="28">
        <f>BOM_Consumo!C8</f>
        <v/>
      </c>
      <c r="C21" s="28">
        <f>BOM_Consumo!D8</f>
        <v/>
      </c>
      <c r="D21" s="28">
        <f>BOM_Consumo!E8</f>
        <v/>
      </c>
      <c r="E21" s="28">
        <f>BOM_Consumo!F8</f>
        <v/>
      </c>
      <c r="F21" s="28">
        <f>BOM_Consumo!G8</f>
        <v/>
      </c>
      <c r="G21" s="28">
        <f>BOM_Consumo!H8</f>
        <v/>
      </c>
      <c r="H21" s="28">
        <f>BOM_Consumo!I8</f>
        <v/>
      </c>
      <c r="I21" s="28">
        <f>BOM_Consumo!J8</f>
        <v/>
      </c>
    </row>
    <row r="22" ht="15" customHeight="1">
      <c r="A22" s="5" t="inlineStr">
        <is>
          <t>Inv_Final</t>
        </is>
      </c>
      <c r="B22" s="26">
        <f>B19+B20-B21</f>
        <v/>
      </c>
      <c r="C22" s="26">
        <f>C19+C20-C21</f>
        <v/>
      </c>
      <c r="D22" s="26">
        <f>D19+D20-D21</f>
        <v/>
      </c>
      <c r="E22" s="26">
        <f>E19+E20-E21</f>
        <v/>
      </c>
      <c r="F22" s="26">
        <f>F19+F20-F21</f>
        <v/>
      </c>
      <c r="G22" s="26">
        <f>G19+G20-G21</f>
        <v/>
      </c>
      <c r="H22" s="26">
        <f>H19+H20-H21</f>
        <v/>
      </c>
      <c r="I22" s="26">
        <f>I19+I20-I21</f>
        <v/>
      </c>
    </row>
    <row r="23" ht="15" customHeight="1">
      <c r="A23" s="77" t="inlineStr">
        <is>
          <t>Pieza 2</t>
        </is>
      </c>
    </row>
    <row r="24" ht="15" customHeight="1">
      <c r="A24" s="4" t="inlineStr">
        <is>
          <t>Concepto</t>
        </is>
      </c>
      <c r="B24" s="4" t="inlineStr">
        <is>
          <t>Q1</t>
        </is>
      </c>
      <c r="C24" s="4" t="inlineStr">
        <is>
          <t>Q2</t>
        </is>
      </c>
      <c r="D24" s="4" t="inlineStr">
        <is>
          <t>Q3</t>
        </is>
      </c>
      <c r="E24" s="4" t="inlineStr">
        <is>
          <t>Q4</t>
        </is>
      </c>
      <c r="F24" s="4" t="inlineStr">
        <is>
          <t>Q5</t>
        </is>
      </c>
      <c r="G24" s="4" t="inlineStr">
        <is>
          <t>Q6</t>
        </is>
      </c>
      <c r="H24" s="4" t="inlineStr">
        <is>
          <t>Q7</t>
        </is>
      </c>
      <c r="I24" s="4" t="inlineStr">
        <is>
          <t>Q8</t>
        </is>
      </c>
    </row>
    <row r="25" ht="15" customHeight="1">
      <c r="A25" s="9" t="inlineStr">
        <is>
          <t>Inv_Inicial</t>
        </is>
      </c>
      <c r="B25" s="28">
        <f>Multi_Planta!D9</f>
        <v/>
      </c>
      <c r="C25" s="21">
        <f>B28</f>
        <v/>
      </c>
      <c r="D25" s="21">
        <f>C28</f>
        <v/>
      </c>
      <c r="E25" s="21">
        <f>D28</f>
        <v/>
      </c>
      <c r="F25" s="21">
        <f>E28</f>
        <v/>
      </c>
      <c r="G25" s="21">
        <f>F28</f>
        <v/>
      </c>
      <c r="H25" s="21">
        <f>G28</f>
        <v/>
      </c>
      <c r="I25" s="21">
        <f>H28</f>
        <v/>
      </c>
    </row>
    <row r="26" ht="15" customHeight="1">
      <c r="A26" s="9" t="inlineStr">
        <is>
          <t>Recepciones</t>
        </is>
      </c>
      <c r="B26" s="6" t="n">
        <v>20160</v>
      </c>
      <c r="C26" s="6" t="n">
        <v>20160</v>
      </c>
      <c r="D26" s="6" t="n">
        <v>20160</v>
      </c>
      <c r="E26" s="6" t="n">
        <v>20160</v>
      </c>
      <c r="F26" s="6" t="n">
        <v>20160</v>
      </c>
      <c r="G26" s="6" t="n">
        <v>20160</v>
      </c>
      <c r="H26" s="6" t="n">
        <v>20160</v>
      </c>
      <c r="I26" s="6" t="n">
        <v>0</v>
      </c>
    </row>
    <row r="27" ht="15" customHeight="1">
      <c r="A27" s="9" t="inlineStr">
        <is>
          <t>Consumo</t>
        </is>
      </c>
      <c r="B27" s="28">
        <f>BOM_Consumo!C9</f>
        <v/>
      </c>
      <c r="C27" s="28">
        <f>BOM_Consumo!D9</f>
        <v/>
      </c>
      <c r="D27" s="28">
        <f>BOM_Consumo!E9</f>
        <v/>
      </c>
      <c r="E27" s="28">
        <f>BOM_Consumo!F9</f>
        <v/>
      </c>
      <c r="F27" s="28">
        <f>BOM_Consumo!G9</f>
        <v/>
      </c>
      <c r="G27" s="28">
        <f>BOM_Consumo!H9</f>
        <v/>
      </c>
      <c r="H27" s="28">
        <f>BOM_Consumo!I9</f>
        <v/>
      </c>
      <c r="I27" s="28">
        <f>BOM_Consumo!J9</f>
        <v/>
      </c>
    </row>
    <row r="28" ht="15" customHeight="1">
      <c r="A28" s="5" t="inlineStr">
        <is>
          <t>Inv_Final</t>
        </is>
      </c>
      <c r="B28" s="26">
        <f>B25+B26-B27</f>
        <v/>
      </c>
      <c r="C28" s="26">
        <f>C25+C26-C27</f>
        <v/>
      </c>
      <c r="D28" s="26">
        <f>D25+D26-D27</f>
        <v/>
      </c>
      <c r="E28" s="26">
        <f>E25+E26-E27</f>
        <v/>
      </c>
      <c r="F28" s="26">
        <f>F25+F26-F27</f>
        <v/>
      </c>
      <c r="G28" s="26">
        <f>G25+G26-G27</f>
        <v/>
      </c>
      <c r="H28" s="26">
        <f>H25+H26-H27</f>
        <v/>
      </c>
      <c r="I28" s="26">
        <f>I25+I26-I27</f>
        <v/>
      </c>
    </row>
    <row r="29" ht="15" customHeight="1">
      <c r="A29" s="77" t="inlineStr">
        <is>
          <t>Pieza 3</t>
        </is>
      </c>
    </row>
    <row r="30" ht="15" customHeight="1">
      <c r="A30" s="4" t="inlineStr">
        <is>
          <t>Concepto</t>
        </is>
      </c>
      <c r="B30" s="4" t="inlineStr">
        <is>
          <t>Q1</t>
        </is>
      </c>
      <c r="C30" s="4" t="inlineStr">
        <is>
          <t>Q2</t>
        </is>
      </c>
      <c r="D30" s="4" t="inlineStr">
        <is>
          <t>Q3</t>
        </is>
      </c>
      <c r="E30" s="4" t="inlineStr">
        <is>
          <t>Q4</t>
        </is>
      </c>
      <c r="F30" s="4" t="inlineStr">
        <is>
          <t>Q5</t>
        </is>
      </c>
      <c r="G30" s="4" t="inlineStr">
        <is>
          <t>Q6</t>
        </is>
      </c>
      <c r="H30" s="4" t="inlineStr">
        <is>
          <t>Q7</t>
        </is>
      </c>
      <c r="I30" s="4" t="inlineStr">
        <is>
          <t>Q8</t>
        </is>
      </c>
    </row>
    <row r="31" ht="15" customHeight="1">
      <c r="A31" s="9" t="inlineStr">
        <is>
          <t>Inv_Inicial</t>
        </is>
      </c>
      <c r="B31" s="28">
        <f>Multi_Planta!D10</f>
        <v/>
      </c>
      <c r="C31" s="21">
        <f>B34</f>
        <v/>
      </c>
      <c r="D31" s="21">
        <f>C34</f>
        <v/>
      </c>
      <c r="E31" s="21">
        <f>D34</f>
        <v/>
      </c>
      <c r="F31" s="21">
        <f>E34</f>
        <v/>
      </c>
      <c r="G31" s="21">
        <f>F34</f>
        <v/>
      </c>
      <c r="H31" s="21">
        <f>G34</f>
        <v/>
      </c>
      <c r="I31" s="21">
        <f>H34</f>
        <v/>
      </c>
    </row>
    <row r="32" ht="15" customHeight="1">
      <c r="A32" s="9" t="inlineStr">
        <is>
          <t>Recepciones</t>
        </is>
      </c>
      <c r="B32" s="6" t="n">
        <v>756</v>
      </c>
      <c r="C32" s="6" t="n">
        <v>756</v>
      </c>
      <c r="D32" s="6" t="n">
        <v>756</v>
      </c>
      <c r="E32" s="6" t="n">
        <v>756</v>
      </c>
      <c r="F32" s="6" t="n">
        <v>756</v>
      </c>
      <c r="G32" s="6" t="n">
        <v>756</v>
      </c>
      <c r="H32" s="6" t="n">
        <v>756</v>
      </c>
      <c r="I32" s="6" t="n">
        <v>0</v>
      </c>
    </row>
    <row r="33" ht="15" customHeight="1">
      <c r="A33" s="9" t="inlineStr">
        <is>
          <t>Consumo</t>
        </is>
      </c>
      <c r="B33" s="28">
        <f>BOM_Consumo!C10</f>
        <v/>
      </c>
      <c r="C33" s="28">
        <f>BOM_Consumo!D10</f>
        <v/>
      </c>
      <c r="D33" s="28">
        <f>BOM_Consumo!E10</f>
        <v/>
      </c>
      <c r="E33" s="28">
        <f>BOM_Consumo!F10</f>
        <v/>
      </c>
      <c r="F33" s="28">
        <f>BOM_Consumo!G10</f>
        <v/>
      </c>
      <c r="G33" s="28">
        <f>BOM_Consumo!H10</f>
        <v/>
      </c>
      <c r="H33" s="28">
        <f>BOM_Consumo!I10</f>
        <v/>
      </c>
      <c r="I33" s="28">
        <f>BOM_Consumo!J10</f>
        <v/>
      </c>
    </row>
    <row r="34" ht="15" customHeight="1">
      <c r="A34" s="5" t="inlineStr">
        <is>
          <t>Inv_Final</t>
        </is>
      </c>
      <c r="B34" s="26">
        <f>B31+B32-B33</f>
        <v/>
      </c>
      <c r="C34" s="26">
        <f>C31+C32-C33</f>
        <v/>
      </c>
      <c r="D34" s="26">
        <f>D31+D32-D33</f>
        <v/>
      </c>
      <c r="E34" s="26">
        <f>E31+E32-E33</f>
        <v/>
      </c>
      <c r="F34" s="26">
        <f>F31+F32-F33</f>
        <v/>
      </c>
      <c r="G34" s="26">
        <f>G31+G32-G33</f>
        <v/>
      </c>
      <c r="H34" s="26">
        <f>H31+H32-H33</f>
        <v/>
      </c>
      <c r="I34" s="26">
        <f>I31+I32-I33</f>
        <v/>
      </c>
    </row>
    <row r="35" ht="15" customHeight="1">
      <c r="A35" s="77" t="inlineStr">
        <is>
          <t>Pieza 4</t>
        </is>
      </c>
    </row>
    <row r="36" ht="15" customHeight="1">
      <c r="A36" s="4" t="inlineStr">
        <is>
          <t>Concepto</t>
        </is>
      </c>
      <c r="B36" s="4" t="inlineStr">
        <is>
          <t>Q1</t>
        </is>
      </c>
      <c r="C36" s="4" t="inlineStr">
        <is>
          <t>Q2</t>
        </is>
      </c>
      <c r="D36" s="4" t="inlineStr">
        <is>
          <t>Q3</t>
        </is>
      </c>
      <c r="E36" s="4" t="inlineStr">
        <is>
          <t>Q4</t>
        </is>
      </c>
      <c r="F36" s="4" t="inlineStr">
        <is>
          <t>Q5</t>
        </is>
      </c>
      <c r="G36" s="4" t="inlineStr">
        <is>
          <t>Q6</t>
        </is>
      </c>
      <c r="H36" s="4" t="inlineStr">
        <is>
          <t>Q7</t>
        </is>
      </c>
      <c r="I36" s="4" t="inlineStr">
        <is>
          <t>Q8</t>
        </is>
      </c>
    </row>
    <row r="37" ht="15" customHeight="1">
      <c r="A37" s="9" t="inlineStr">
        <is>
          <t>Inv_Inicial</t>
        </is>
      </c>
      <c r="B37" s="28">
        <f>Multi_Planta!D11</f>
        <v/>
      </c>
      <c r="C37" s="21">
        <f>B40</f>
        <v/>
      </c>
      <c r="D37" s="21">
        <f>C40</f>
        <v/>
      </c>
      <c r="E37" s="21">
        <f>D40</f>
        <v/>
      </c>
      <c r="F37" s="21">
        <f>E40</f>
        <v/>
      </c>
      <c r="G37" s="21">
        <f>F40</f>
        <v/>
      </c>
      <c r="H37" s="21">
        <f>G40</f>
        <v/>
      </c>
      <c r="I37" s="21">
        <f>H40</f>
        <v/>
      </c>
    </row>
    <row r="38" ht="15" customHeight="1">
      <c r="A38" s="9" t="inlineStr">
        <is>
          <t>Recepciones</t>
        </is>
      </c>
      <c r="B38" s="6" t="n">
        <v>1512</v>
      </c>
      <c r="C38" s="6" t="n">
        <v>1512</v>
      </c>
      <c r="D38" s="6" t="n">
        <v>1512</v>
      </c>
      <c r="E38" s="6" t="n">
        <v>1512</v>
      </c>
      <c r="F38" s="6" t="n">
        <v>1512</v>
      </c>
      <c r="G38" s="6" t="n">
        <v>1512</v>
      </c>
      <c r="H38" s="6" t="n">
        <v>1512</v>
      </c>
      <c r="I38" s="6" t="n">
        <v>0</v>
      </c>
    </row>
    <row r="39" ht="15" customHeight="1">
      <c r="A39" s="9" t="inlineStr">
        <is>
          <t>Consumo</t>
        </is>
      </c>
      <c r="B39" s="28">
        <f>BOM_Consumo!C11</f>
        <v/>
      </c>
      <c r="C39" s="28">
        <f>BOM_Consumo!D11</f>
        <v/>
      </c>
      <c r="D39" s="28">
        <f>BOM_Consumo!E11</f>
        <v/>
      </c>
      <c r="E39" s="28">
        <f>BOM_Consumo!F11</f>
        <v/>
      </c>
      <c r="F39" s="28">
        <f>BOM_Consumo!G11</f>
        <v/>
      </c>
      <c r="G39" s="28">
        <f>BOM_Consumo!H11</f>
        <v/>
      </c>
      <c r="H39" s="28">
        <f>BOM_Consumo!I11</f>
        <v/>
      </c>
      <c r="I39" s="28">
        <f>BOM_Consumo!J11</f>
        <v/>
      </c>
    </row>
    <row r="40" ht="15" customHeight="1">
      <c r="A40" s="5" t="inlineStr">
        <is>
          <t>Inv_Final</t>
        </is>
      </c>
      <c r="B40" s="26">
        <f>B37+B38-B39</f>
        <v/>
      </c>
      <c r="C40" s="26">
        <f>C37+C38-C39</f>
        <v/>
      </c>
      <c r="D40" s="26">
        <f>D37+D38-D39</f>
        <v/>
      </c>
      <c r="E40" s="26">
        <f>E37+E38-E39</f>
        <v/>
      </c>
      <c r="F40" s="26">
        <f>F37+F38-F39</f>
        <v/>
      </c>
      <c r="G40" s="26">
        <f>G37+G38-G39</f>
        <v/>
      </c>
      <c r="H40" s="26">
        <f>H37+H38-H39</f>
        <v/>
      </c>
      <c r="I40" s="26">
        <f>I37+I38-I39</f>
        <v/>
      </c>
    </row>
    <row r="41" ht="15" customHeight="1">
      <c r="A41" s="77" t="inlineStr">
        <is>
          <t>Pieza 5</t>
        </is>
      </c>
    </row>
    <row r="42" ht="15" customHeight="1">
      <c r="A42" s="4" t="inlineStr">
        <is>
          <t>Concepto</t>
        </is>
      </c>
      <c r="B42" s="4" t="inlineStr">
        <is>
          <t>Q1</t>
        </is>
      </c>
      <c r="C42" s="4" t="inlineStr">
        <is>
          <t>Q2</t>
        </is>
      </c>
      <c r="D42" s="4" t="inlineStr">
        <is>
          <t>Q3</t>
        </is>
      </c>
      <c r="E42" s="4" t="inlineStr">
        <is>
          <t>Q4</t>
        </is>
      </c>
      <c r="F42" s="4" t="inlineStr">
        <is>
          <t>Q5</t>
        </is>
      </c>
      <c r="G42" s="4" t="inlineStr">
        <is>
          <t>Q6</t>
        </is>
      </c>
      <c r="H42" s="4" t="inlineStr">
        <is>
          <t>Q7</t>
        </is>
      </c>
      <c r="I42" s="4" t="inlineStr">
        <is>
          <t>Q8</t>
        </is>
      </c>
    </row>
    <row r="43" ht="15" customHeight="1">
      <c r="A43" s="9" t="inlineStr">
        <is>
          <t>Inv_Inicial</t>
        </is>
      </c>
      <c r="B43" s="28">
        <f>Multi_Planta!D12</f>
        <v/>
      </c>
      <c r="C43" s="21">
        <f>B46</f>
        <v/>
      </c>
      <c r="D43" s="21">
        <f>C46</f>
        <v/>
      </c>
      <c r="E43" s="21">
        <f>D46</f>
        <v/>
      </c>
      <c r="F43" s="21">
        <f>E46</f>
        <v/>
      </c>
      <c r="G43" s="21">
        <f>F46</f>
        <v/>
      </c>
      <c r="H43" s="21">
        <f>G46</f>
        <v/>
      </c>
      <c r="I43" s="21">
        <f>H46</f>
        <v/>
      </c>
    </row>
    <row r="44" ht="15" customHeight="1">
      <c r="A44" s="9" t="inlineStr">
        <is>
          <t>Recepciones</t>
        </is>
      </c>
      <c r="B44" s="6" t="n">
        <v>5040</v>
      </c>
      <c r="C44" s="6" t="n">
        <v>5040</v>
      </c>
      <c r="D44" s="6" t="n">
        <v>5040</v>
      </c>
      <c r="E44" s="6" t="n">
        <v>5040</v>
      </c>
      <c r="F44" s="6" t="n">
        <v>5040</v>
      </c>
      <c r="G44" s="6" t="n">
        <v>5040</v>
      </c>
      <c r="H44" s="6" t="n">
        <v>5040</v>
      </c>
      <c r="I44" s="6" t="n">
        <v>0</v>
      </c>
    </row>
    <row r="45" ht="15" customHeight="1">
      <c r="A45" s="9" t="inlineStr">
        <is>
          <t>Consumo</t>
        </is>
      </c>
      <c r="B45" s="28">
        <f>BOM_Consumo!C12</f>
        <v/>
      </c>
      <c r="C45" s="28">
        <f>BOM_Consumo!D12</f>
        <v/>
      </c>
      <c r="D45" s="28">
        <f>BOM_Consumo!E12</f>
        <v/>
      </c>
      <c r="E45" s="28">
        <f>BOM_Consumo!F12</f>
        <v/>
      </c>
      <c r="F45" s="28">
        <f>BOM_Consumo!G12</f>
        <v/>
      </c>
      <c r="G45" s="28">
        <f>BOM_Consumo!H12</f>
        <v/>
      </c>
      <c r="H45" s="28">
        <f>BOM_Consumo!I12</f>
        <v/>
      </c>
      <c r="I45" s="28">
        <f>BOM_Consumo!J12</f>
        <v/>
      </c>
    </row>
    <row r="46" ht="15" customHeight="1">
      <c r="A46" s="5" t="inlineStr">
        <is>
          <t>Inv_Final</t>
        </is>
      </c>
      <c r="B46" s="26">
        <f>B43+B44-B45</f>
        <v/>
      </c>
      <c r="C46" s="26">
        <f>C43+C44-C45</f>
        <v/>
      </c>
      <c r="D46" s="26">
        <f>D43+D44-D45</f>
        <v/>
      </c>
      <c r="E46" s="26">
        <f>E43+E44-E45</f>
        <v/>
      </c>
      <c r="F46" s="26">
        <f>F43+F44-F45</f>
        <v/>
      </c>
      <c r="G46" s="26">
        <f>G43+G44-G45</f>
        <v/>
      </c>
      <c r="H46" s="26">
        <f>H43+H44-H45</f>
        <v/>
      </c>
      <c r="I46" s="26">
        <f>I43+I44-I45</f>
        <v/>
      </c>
    </row>
    <row r="47" ht="15" customHeight="1">
      <c r="A47" s="77" t="inlineStr">
        <is>
          <t>Pieza 6</t>
        </is>
      </c>
    </row>
    <row r="48" ht="15" customHeight="1">
      <c r="A48" s="4" t="inlineStr">
        <is>
          <t>Concepto</t>
        </is>
      </c>
      <c r="B48" s="4" t="inlineStr">
        <is>
          <t>Q1</t>
        </is>
      </c>
      <c r="C48" s="4" t="inlineStr">
        <is>
          <t>Q2</t>
        </is>
      </c>
      <c r="D48" s="4" t="inlineStr">
        <is>
          <t>Q3</t>
        </is>
      </c>
      <c r="E48" s="4" t="inlineStr">
        <is>
          <t>Q4</t>
        </is>
      </c>
      <c r="F48" s="4" t="inlineStr">
        <is>
          <t>Q5</t>
        </is>
      </c>
      <c r="G48" s="4" t="inlineStr">
        <is>
          <t>Q6</t>
        </is>
      </c>
      <c r="H48" s="4" t="inlineStr">
        <is>
          <t>Q7</t>
        </is>
      </c>
      <c r="I48" s="4" t="inlineStr">
        <is>
          <t>Q8</t>
        </is>
      </c>
    </row>
    <row r="49" ht="15" customHeight="1">
      <c r="A49" s="9" t="inlineStr">
        <is>
          <t>Inv_Inicial</t>
        </is>
      </c>
      <c r="B49" s="28">
        <f>Multi_Planta!D13</f>
        <v/>
      </c>
      <c r="C49" s="21">
        <f>B$52</f>
        <v/>
      </c>
      <c r="D49" s="21">
        <f>C$52</f>
        <v/>
      </c>
      <c r="E49" s="21">
        <f>D$52</f>
        <v/>
      </c>
      <c r="F49" s="21">
        <f>E$52</f>
        <v/>
      </c>
      <c r="G49" s="21">
        <f>F$52</f>
        <v/>
      </c>
      <c r="H49" s="21">
        <f>G$52</f>
        <v/>
      </c>
      <c r="I49" s="21">
        <f>H$52</f>
        <v/>
      </c>
    </row>
    <row r="50" ht="15" customHeight="1">
      <c r="A50" s="9" t="inlineStr">
        <is>
          <t>Recepciones</t>
        </is>
      </c>
      <c r="B50" s="28" t="n">
        <v>1890</v>
      </c>
      <c r="C50" s="21" t="n">
        <v>1890</v>
      </c>
      <c r="D50" s="21" t="n">
        <v>1890</v>
      </c>
      <c r="E50" s="21" t="n">
        <v>1890</v>
      </c>
      <c r="F50" s="21" t="n">
        <v>1890</v>
      </c>
      <c r="G50" s="21" t="n">
        <v>1890</v>
      </c>
      <c r="H50" s="21" t="n">
        <v>1890</v>
      </c>
      <c r="I50" s="21" t="n">
        <v>0</v>
      </c>
    </row>
    <row r="51" ht="15" customHeight="1">
      <c r="A51" s="9" t="inlineStr">
        <is>
          <t>Consumo</t>
        </is>
      </c>
      <c r="B51" s="28">
        <f>BOM_Consumo!C$13</f>
        <v/>
      </c>
      <c r="C51" s="21">
        <f>BOM_Consumo!D$13</f>
        <v/>
      </c>
      <c r="D51" s="21">
        <f>BOM_Consumo!E$13</f>
        <v/>
      </c>
      <c r="E51" s="21">
        <f>BOM_Consumo!F$13</f>
        <v/>
      </c>
      <c r="F51" s="21">
        <f>BOM_Consumo!G$13</f>
        <v/>
      </c>
      <c r="G51" s="21">
        <f>BOM_Consumo!H$13</f>
        <v/>
      </c>
      <c r="H51" s="21">
        <f>BOM_Consumo!I$13</f>
        <v/>
      </c>
      <c r="I51" s="21">
        <f>BOM_Consumo!J$13</f>
        <v/>
      </c>
    </row>
    <row r="52" ht="15" customHeight="1">
      <c r="A52" s="9" t="inlineStr">
        <is>
          <t>Inv_Final</t>
        </is>
      </c>
      <c r="B52" s="28">
        <f>B$49+B$50-B$51</f>
        <v/>
      </c>
      <c r="C52" s="21">
        <f>C$49+C$50-C$51</f>
        <v/>
      </c>
      <c r="D52" s="21">
        <f>D$49+D$50-D$51</f>
        <v/>
      </c>
      <c r="E52" s="21">
        <f>E$49+E$50-E$51</f>
        <v/>
      </c>
      <c r="F52" s="21">
        <f>F$49+F$50-F$51</f>
        <v/>
      </c>
      <c r="G52" s="21">
        <f>G$49+G$50-G$51</f>
        <v/>
      </c>
      <c r="H52" s="21">
        <f>H$49+H$50-H$51</f>
        <v/>
      </c>
      <c r="I52" s="21">
        <f>I$49+I$50-I$51</f>
        <v/>
      </c>
    </row>
    <row r="53" ht="15" customHeight="1">
      <c r="A53" s="78" t="inlineStr">
        <is>
          <t>VALIDACIONES Y ALERTAS</t>
        </is>
      </c>
      <c r="B53" s="97" t="n"/>
      <c r="C53" s="97" t="n"/>
      <c r="D53" s="97" t="n"/>
      <c r="E53" s="97" t="n"/>
      <c r="F53" s="97" t="n"/>
      <c r="G53" s="97" t="n"/>
      <c r="H53" s="97" t="n"/>
      <c r="I53" s="97" t="n"/>
      <c r="J53" s="98" t="n"/>
    </row>
    <row r="54" ht="15" customHeight="1">
      <c r="A54" s="8" t="inlineStr">
        <is>
          <t>Material</t>
        </is>
      </c>
      <c r="B54" s="29" t="inlineStr">
        <is>
          <t>Q1</t>
        </is>
      </c>
      <c r="C54" s="29" t="inlineStr">
        <is>
          <t>Q2</t>
        </is>
      </c>
      <c r="D54" s="29" t="inlineStr">
        <is>
          <t>Q3</t>
        </is>
      </c>
      <c r="E54" s="29" t="inlineStr">
        <is>
          <t>Q4</t>
        </is>
      </c>
      <c r="F54" s="29" t="inlineStr">
        <is>
          <t>Q5</t>
        </is>
      </c>
      <c r="G54" s="29" t="inlineStr">
        <is>
          <t>Q6</t>
        </is>
      </c>
      <c r="H54" s="29" t="inlineStr">
        <is>
          <t>Q7</t>
        </is>
      </c>
      <c r="I54" s="29" t="inlineStr">
        <is>
          <t>Q8</t>
        </is>
      </c>
      <c r="J54" s="8" t="inlineStr">
        <is>
          <t>Min Global</t>
        </is>
      </c>
    </row>
    <row r="55" ht="15" customHeight="1">
      <c r="A55" s="5" t="inlineStr">
        <is>
          <t>Parte A</t>
        </is>
      </c>
      <c r="B55" s="26">
        <f>IF(B9&lt;Inputs!D92,"⚠ RIESGO","OK")</f>
        <v/>
      </c>
      <c r="C55" s="26">
        <f>IF(C9&lt;Inputs!D92,"⚠ RIESGO","OK")</f>
        <v/>
      </c>
      <c r="D55" s="26">
        <f>IF(D9&lt;Inputs!D92,"⚠ RIESGO","OK")</f>
        <v/>
      </c>
      <c r="E55" s="26">
        <f>IF(E9&lt;Inputs!D92,"⚠ RIESGO","OK")</f>
        <v/>
      </c>
      <c r="F55" s="26">
        <f>IF(F9&lt;Inputs!D92,"⚠ RIESGO","OK")</f>
        <v/>
      </c>
      <c r="G55" s="26">
        <f>IF(G9&lt;Inputs!D92,"⚠ RIESGO","OK")</f>
        <v/>
      </c>
      <c r="H55" s="26">
        <f>IF(H9&lt;Inputs!D92,"⚠ RIESGO","OK")</f>
        <v/>
      </c>
      <c r="I55" s="26">
        <f>IF(I9&lt;Inputs!D92,"⚠ RIESGO","OK")</f>
        <v/>
      </c>
      <c r="J55" s="30">
        <f>MIN(B9:I9)</f>
        <v/>
      </c>
    </row>
    <row r="56" ht="15" customHeight="1">
      <c r="A56" s="9" t="inlineStr">
        <is>
          <t>Parte B</t>
        </is>
      </c>
      <c r="B56" s="22">
        <f>IF(B14&lt;Inputs!D93,"⚠ RIESGO","OK")</f>
        <v/>
      </c>
      <c r="C56" s="22">
        <f>IF(C14&lt;Inputs!D93,"⚠ RIESGO","OK")</f>
        <v/>
      </c>
      <c r="D56" s="22">
        <f>IF(D14&lt;Inputs!D93,"⚠ RIESGO","OK")</f>
        <v/>
      </c>
      <c r="E56" s="22">
        <f>IF(E14&lt;Inputs!D93,"⚠ RIESGO","OK")</f>
        <v/>
      </c>
      <c r="F56" s="22">
        <f>IF(F14&lt;Inputs!D93,"⚠ RIESGO","OK")</f>
        <v/>
      </c>
      <c r="G56" s="22">
        <f>IF(G14&lt;Inputs!D93,"⚠ RIESGO","OK")</f>
        <v/>
      </c>
      <c r="H56" s="22">
        <f>IF(H14&lt;Inputs!D93,"⚠ RIESGO","OK")</f>
        <v/>
      </c>
      <c r="I56" s="22">
        <f>IF(I14&lt;Inputs!D93,"⚠ RIESGO","OK")</f>
        <v/>
      </c>
      <c r="J56" s="30">
        <f>MIN(B14:I14)</f>
        <v/>
      </c>
    </row>
    <row r="57" ht="15" customHeight="1">
      <c r="A57" s="9" t="inlineStr">
        <is>
          <t>Pieza 1</t>
        </is>
      </c>
      <c r="B57" s="22">
        <f>IF(B19&lt;Inputs!D94,"⚠ RIESGO","OK")</f>
        <v/>
      </c>
      <c r="C57" s="22">
        <f>IF(C19&lt;Inputs!D94,"⚠ RIESGO","OK")</f>
        <v/>
      </c>
      <c r="D57" s="22">
        <f>IF(D19&lt;Inputs!D94,"⚠ RIESGO","OK")</f>
        <v/>
      </c>
      <c r="E57" s="22">
        <f>IF(E19&lt;Inputs!D94,"⚠ RIESGO","OK")</f>
        <v/>
      </c>
      <c r="F57" s="22">
        <f>IF(F19&lt;Inputs!D94,"⚠ RIESGO","OK")</f>
        <v/>
      </c>
      <c r="G57" s="22">
        <f>IF(G19&lt;Inputs!D94,"⚠ RIESGO","OK")</f>
        <v/>
      </c>
      <c r="H57" s="22">
        <f>IF(H19&lt;Inputs!D94,"⚠ RIESGO","OK")</f>
        <v/>
      </c>
      <c r="I57" s="22">
        <f>IF(I19&lt;Inputs!D94,"⚠ RIESGO","OK")</f>
        <v/>
      </c>
      <c r="J57" s="30">
        <f>MIN(B19:I19)</f>
        <v/>
      </c>
    </row>
    <row r="58" ht="15" customHeight="1">
      <c r="A58" s="9" t="inlineStr">
        <is>
          <t>Pieza 2</t>
        </is>
      </c>
      <c r="B58" s="22">
        <f>IF(B24&lt;Inputs!D95,"⚠ RIESGO","OK")</f>
        <v/>
      </c>
      <c r="C58" s="22">
        <f>IF(C24&lt;Inputs!D95,"⚠ RIESGO","OK")</f>
        <v/>
      </c>
      <c r="D58" s="22">
        <f>IF(D24&lt;Inputs!D95,"⚠ RIESGO","OK")</f>
        <v/>
      </c>
      <c r="E58" s="22">
        <f>IF(E24&lt;Inputs!D95,"⚠ RIESGO","OK")</f>
        <v/>
      </c>
      <c r="F58" s="22">
        <f>IF(F24&lt;Inputs!D95,"⚠ RIESGO","OK")</f>
        <v/>
      </c>
      <c r="G58" s="22">
        <f>IF(G24&lt;Inputs!D95,"⚠ RIESGO","OK")</f>
        <v/>
      </c>
      <c r="H58" s="22">
        <f>IF(H24&lt;Inputs!D95,"⚠ RIESGO","OK")</f>
        <v/>
      </c>
      <c r="I58" s="22">
        <f>IF(I24&lt;Inputs!D95,"⚠ RIESGO","OK")</f>
        <v/>
      </c>
      <c r="J58" s="30">
        <f>MIN(B24:I24)</f>
        <v/>
      </c>
    </row>
    <row r="59" ht="15" customHeight="1">
      <c r="A59" s="9" t="inlineStr">
        <is>
          <t>Pieza 3</t>
        </is>
      </c>
      <c r="B59" s="22">
        <f>IF(B29&lt;Inputs!D96,"⚠ RIESGO","OK")</f>
        <v/>
      </c>
      <c r="C59" s="22">
        <f>IF(C29&lt;Inputs!D96,"⚠ RIESGO","OK")</f>
        <v/>
      </c>
      <c r="D59" s="22">
        <f>IF(D29&lt;Inputs!D96,"⚠ RIESGO","OK")</f>
        <v/>
      </c>
      <c r="E59" s="22">
        <f>IF(E29&lt;Inputs!D96,"⚠ RIESGO","OK")</f>
        <v/>
      </c>
      <c r="F59" s="22">
        <f>IF(F29&lt;Inputs!D96,"⚠ RIESGO","OK")</f>
        <v/>
      </c>
      <c r="G59" s="22">
        <f>IF(G29&lt;Inputs!D96,"⚠ RIESGO","OK")</f>
        <v/>
      </c>
      <c r="H59" s="22">
        <f>IF(H29&lt;Inputs!D96,"⚠ RIESGO","OK")</f>
        <v/>
      </c>
      <c r="I59" s="22">
        <f>IF(I29&lt;Inputs!D96,"⚠ RIESGO","OK")</f>
        <v/>
      </c>
      <c r="J59" s="30">
        <f>MIN(B29:I29)</f>
        <v/>
      </c>
    </row>
    <row r="60" ht="15" customHeight="1">
      <c r="A60" s="9" t="inlineStr">
        <is>
          <t>Pieza 4</t>
        </is>
      </c>
      <c r="B60" s="22">
        <f>IF(B34&lt;Inputs!D97,"⚠ RIESGO","OK")</f>
        <v/>
      </c>
      <c r="C60" s="22">
        <f>IF(C34&lt;Inputs!D97,"⚠ RIESGO","OK")</f>
        <v/>
      </c>
      <c r="D60" s="22">
        <f>IF(D34&lt;Inputs!D97,"⚠ RIESGO","OK")</f>
        <v/>
      </c>
      <c r="E60" s="22">
        <f>IF(E34&lt;Inputs!D97,"⚠ RIESGO","OK")</f>
        <v/>
      </c>
      <c r="F60" s="22">
        <f>IF(F34&lt;Inputs!D97,"⚠ RIESGO","OK")</f>
        <v/>
      </c>
      <c r="G60" s="22">
        <f>IF(G34&lt;Inputs!D97,"⚠ RIESGO","OK")</f>
        <v/>
      </c>
      <c r="H60" s="22">
        <f>IF(H34&lt;Inputs!D97,"⚠ RIESGO","OK")</f>
        <v/>
      </c>
      <c r="I60" s="22">
        <f>IF(I34&lt;Inputs!D97,"⚠ RIESGO","OK")</f>
        <v/>
      </c>
      <c r="J60" s="30">
        <f>MIN(B34:I34)</f>
        <v/>
      </c>
    </row>
    <row r="61" ht="15" customHeight="1">
      <c r="A61" s="9" t="inlineStr">
        <is>
          <t>Pieza 5</t>
        </is>
      </c>
      <c r="B61" s="22">
        <f>IF(B39&lt;Inputs!D98,"⚠ RIESGO","OK")</f>
        <v/>
      </c>
      <c r="C61" s="22">
        <f>IF(C39&lt;Inputs!D98,"⚠ RIESGO","OK")</f>
        <v/>
      </c>
      <c r="D61" s="22">
        <f>IF(D39&lt;Inputs!D98,"⚠ RIESGO","OK")</f>
        <v/>
      </c>
      <c r="E61" s="22">
        <f>IF(E39&lt;Inputs!D98,"⚠ RIESGO","OK")</f>
        <v/>
      </c>
      <c r="F61" s="22">
        <f>IF(F39&lt;Inputs!D98,"⚠ RIESGO","OK")</f>
        <v/>
      </c>
      <c r="G61" s="22">
        <f>IF(G39&lt;Inputs!D98,"⚠ RIESGO","OK")</f>
        <v/>
      </c>
      <c r="H61" s="22">
        <f>IF(H39&lt;Inputs!D98,"⚠ RIESGO","OK")</f>
        <v/>
      </c>
      <c r="I61" s="22">
        <f>IF(I39&lt;Inputs!D98,"⚠ RIESGO","OK")</f>
        <v/>
      </c>
      <c r="J61" s="30">
        <f>MIN(B39:I39)</f>
        <v/>
      </c>
    </row>
    <row r="62" ht="15" customHeight="1">
      <c r="A62" s="9" t="inlineStr">
        <is>
          <t>Pieza 6</t>
        </is>
      </c>
      <c r="B62" s="22">
        <f>IF(B44&lt;Inputs!D99,"⚠ RIESGO","OK")</f>
        <v/>
      </c>
      <c r="C62" s="22">
        <f>IF(C44&lt;Inputs!D99,"⚠ RIESGO","OK")</f>
        <v/>
      </c>
      <c r="D62" s="22">
        <f>IF(D44&lt;Inputs!D99,"⚠ RIESGO","OK")</f>
        <v/>
      </c>
      <c r="E62" s="22">
        <f>IF(E44&lt;Inputs!D99,"⚠ RIESGO","OK")</f>
        <v/>
      </c>
      <c r="F62" s="22">
        <f>IF(F44&lt;Inputs!D99,"⚠ RIESGO","OK")</f>
        <v/>
      </c>
      <c r="G62" s="22">
        <f>IF(G44&lt;Inputs!D99,"⚠ RIESGO","OK")</f>
        <v/>
      </c>
      <c r="H62" s="22">
        <f>IF(H44&lt;Inputs!D99,"⚠ RIESGO","OK")</f>
        <v/>
      </c>
      <c r="I62" s="22">
        <f>IF(I44&lt;Inputs!D99,"⚠ RIESGO","OK")</f>
        <v/>
      </c>
      <c r="J62" s="30">
        <f>MIN(B44:I44)</f>
        <v/>
      </c>
    </row>
  </sheetData>
  <mergeCells count="12">
    <mergeCell ref="A35:K35"/>
    <mergeCell ref="A3:K3"/>
    <mergeCell ref="A29:K29"/>
    <mergeCell ref="A41:K41"/>
    <mergeCell ref="A2:K2"/>
    <mergeCell ref="A11:K11"/>
    <mergeCell ref="A53:J53"/>
    <mergeCell ref="A47:K47"/>
    <mergeCell ref="A1:K1"/>
    <mergeCell ref="A17:K17"/>
    <mergeCell ref="A5:K5"/>
    <mergeCell ref="A23:K23"/>
  </mergeCells>
  <conditionalFormatting sqref="B10:I10">
    <cfRule type="cellIs" priority="2" operator="lessThan" dxfId="0">
      <formula>0</formula>
    </cfRule>
  </conditionalFormatting>
  <conditionalFormatting sqref="B16:I16">
    <cfRule type="cellIs" priority="10" operator="lessThan" dxfId="0">
      <formula>0</formula>
    </cfRule>
  </conditionalFormatting>
  <conditionalFormatting sqref="B22:I22">
    <cfRule type="cellIs" priority="18" operator="lessThan" dxfId="0">
      <formula>0</formula>
    </cfRule>
  </conditionalFormatting>
  <conditionalFormatting sqref="B28:I28">
    <cfRule type="cellIs" priority="26" operator="lessThan" dxfId="0">
      <formula>0</formula>
    </cfRule>
  </conditionalFormatting>
  <conditionalFormatting sqref="B34:I34">
    <cfRule type="cellIs" priority="34" operator="lessThan" dxfId="0">
      <formula>0</formula>
    </cfRule>
  </conditionalFormatting>
  <conditionalFormatting sqref="B40:I40">
    <cfRule type="cellIs" priority="42" operator="lessThan" dxfId="0">
      <formula>0</formula>
    </cfRule>
  </conditionalFormatting>
  <conditionalFormatting sqref="B46:I46">
    <cfRule type="cellIs" priority="50" operator="lessThan" dxfId="0">
      <formula>0</formula>
    </cfRule>
  </conditionalFormatting>
  <conditionalFormatting sqref="B55:I55">
    <cfRule type="cellIs" priority="58" operator="lessThan" dxfId="0">
      <formula>0</formula>
    </cfRule>
  </conditionalFormatting>
  <conditionalFormatting sqref="B55:I62">
    <cfRule type="cellIs" priority="59" operator="equal" dxfId="0">
      <formula>"⚠ RIESGO"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topLeftCell="A14" zoomScaleNormal="100" workbookViewId="0">
      <selection activeCell="F31" sqref="F31"/>
    </sheetView>
  </sheetViews>
  <sheetFormatPr baseColWidth="10" defaultColWidth="8.6640625" defaultRowHeight="14.4"/>
  <cols>
    <col width="8.21875" bestFit="1" customWidth="1" min="1" max="1"/>
    <col width="27.6640625" bestFit="1" customWidth="1" min="2" max="2"/>
    <col width="18.77734375" bestFit="1" customWidth="1" min="3" max="3"/>
    <col width="26.6640625" bestFit="1" customWidth="1" min="4" max="5"/>
    <col width="27.6640625" bestFit="1" customWidth="1" min="6" max="6"/>
    <col width="12.44140625" bestFit="1" customWidth="1" min="7" max="7"/>
    <col width="36.77734375" bestFit="1" customWidth="1" min="8" max="8"/>
    <col width="6.33203125" bestFit="1" customWidth="1" min="9" max="9"/>
    <col width="14.109375" bestFit="1" customWidth="1" min="10" max="10"/>
    <col width="9.5546875" bestFit="1" customWidth="1" min="11" max="11"/>
  </cols>
  <sheetData>
    <row r="1" ht="17.25" customHeight="1">
      <c r="A1" s="80" t="inlineStr">
        <is>
          <t>COMPRAS Y LOTES - Decisiones de Compra</t>
        </is>
      </c>
    </row>
    <row r="2" ht="15" customHeight="1">
      <c r="A2" s="82" t="inlineStr">
        <is>
          <t>Convierte consumo en decisiones reales de compra (lotes)</t>
        </is>
      </c>
    </row>
    <row r="3" ht="15" customHeight="1">
      <c r="A3" s="87" t="inlineStr">
        <is>
          <t>AMARILLO = TUS DECISIONES de cuántos lotes comprar</t>
        </is>
      </c>
    </row>
    <row r="5" ht="15" customHeight="1">
      <c r="A5" s="77" t="inlineStr">
        <is>
          <t>PIEZAS 1-6: COMPRA ÚNICA EN t=0</t>
        </is>
      </c>
    </row>
    <row r="6" ht="23.25" customHeight="1">
      <c r="A6" s="31" t="inlineStr">
        <is>
          <t>Material</t>
        </is>
      </c>
      <c r="B6" s="31" t="inlineStr">
        <is>
          <t>Demanda Total</t>
        </is>
      </c>
      <c r="C6" s="31" t="inlineStr">
        <is>
          <t>Batch Size</t>
        </is>
      </c>
      <c r="D6" s="31" t="inlineStr">
        <is>
          <t>Lotes Teóricos</t>
        </is>
      </c>
      <c r="E6" s="31" t="inlineStr">
        <is>
          <t>COMPRAR (Lotes)</t>
        </is>
      </c>
      <c r="F6" s="31" t="inlineStr">
        <is>
          <t>Total Unidades</t>
        </is>
      </c>
      <c r="G6" s="31" t="inlineStr">
        <is>
          <t>Precio/Batch</t>
        </is>
      </c>
      <c r="H6" s="31" t="inlineStr">
        <is>
          <t>Costo Total</t>
        </is>
      </c>
      <c r="I6" s="31" t="inlineStr">
        <is>
          <t>Status</t>
        </is>
      </c>
    </row>
    <row r="7" ht="15" customHeight="1">
      <c r="A7" s="9" t="inlineStr">
        <is>
          <t>Pieza 1</t>
        </is>
      </c>
      <c r="B7" s="32">
        <f>BOM_Consumo!K8</f>
        <v/>
      </c>
      <c r="C7" s="32">
        <f>Inputs!B35</f>
        <v/>
      </c>
      <c r="D7" s="33">
        <f>ROUNDUP(B7/C7,0)</f>
        <v/>
      </c>
      <c r="E7" s="34">
        <f>D7</f>
        <v/>
      </c>
      <c r="F7" s="33">
        <f>E7*C7</f>
        <v/>
      </c>
      <c r="G7" s="35">
        <f>_xlfn.XLOOKUP(A7,Inputs!$A$49:$A$54,Inputs!$B$49:$B$54)</f>
        <v/>
      </c>
      <c r="H7" s="36">
        <f>E7*G7</f>
        <v/>
      </c>
      <c r="I7" s="22">
        <f>IF(F7&gt;=B7,"OK","INSUFICIENTE")</f>
        <v/>
      </c>
    </row>
    <row r="8" ht="15" customHeight="1">
      <c r="A8" s="9" t="inlineStr">
        <is>
          <t>Pieza 2</t>
        </is>
      </c>
      <c r="B8" s="32">
        <f>BOM_Consumo!K9</f>
        <v/>
      </c>
      <c r="C8" s="32">
        <f>Inputs!B36</f>
        <v/>
      </c>
      <c r="D8" s="33">
        <f>ROUNDUP(B8/C8,0)</f>
        <v/>
      </c>
      <c r="E8" s="34">
        <f>D8</f>
        <v/>
      </c>
      <c r="F8" s="33">
        <f>E8*C8</f>
        <v/>
      </c>
      <c r="G8" s="35">
        <f>_xlfn.XLOOKUP(A8,Inputs!$A$49:$A$54,Inputs!$B$49:$B$54)</f>
        <v/>
      </c>
      <c r="H8" s="36">
        <f>E8*G8</f>
        <v/>
      </c>
      <c r="I8" s="22">
        <f>IF(F8&gt;=B8,"OK","INSUFICIENTE")</f>
        <v/>
      </c>
    </row>
    <row r="9" ht="15" customHeight="1">
      <c r="A9" s="9" t="inlineStr">
        <is>
          <t>Pieza 3</t>
        </is>
      </c>
      <c r="B9" s="32">
        <f>BOM_Consumo!K10</f>
        <v/>
      </c>
      <c r="C9" s="32">
        <f>Inputs!B37</f>
        <v/>
      </c>
      <c r="D9" s="33">
        <f>ROUNDUP(B9/C9,0)</f>
        <v/>
      </c>
      <c r="E9" s="34">
        <f>D9</f>
        <v/>
      </c>
      <c r="F9" s="33">
        <f>E9*C9</f>
        <v/>
      </c>
      <c r="G9" s="35">
        <f>_xlfn.XLOOKUP(A9,Inputs!$A$49:$A$54,Inputs!$B$49:$B$54)</f>
        <v/>
      </c>
      <c r="H9" s="36">
        <f>E9*G9</f>
        <v/>
      </c>
      <c r="I9" s="22">
        <f>IF(F9&gt;=B9,"OK","INSUFICIENTE")</f>
        <v/>
      </c>
    </row>
    <row r="10" ht="15" customHeight="1">
      <c r="A10" s="9" t="inlineStr">
        <is>
          <t>Pieza 4</t>
        </is>
      </c>
      <c r="B10" s="32">
        <f>BOM_Consumo!K11</f>
        <v/>
      </c>
      <c r="C10" s="32">
        <f>Inputs!B38</f>
        <v/>
      </c>
      <c r="D10" s="33">
        <f>ROUNDUP(B10/C10,0)</f>
        <v/>
      </c>
      <c r="E10" s="34">
        <f>D10</f>
        <v/>
      </c>
      <c r="F10" s="33">
        <f>E10*C10</f>
        <v/>
      </c>
      <c r="G10" s="35">
        <f>_xlfn.XLOOKUP(A10,Inputs!$A$49:$A$54,Inputs!$B$49:$B$54)</f>
        <v/>
      </c>
      <c r="H10" s="36">
        <f>E10*G10</f>
        <v/>
      </c>
      <c r="I10" s="22">
        <f>IF(F10&gt;=B10,"OK","INSUFICIENTE")</f>
        <v/>
      </c>
    </row>
    <row r="11" ht="15" customHeight="1">
      <c r="A11" s="9" t="inlineStr">
        <is>
          <t>Pieza 5</t>
        </is>
      </c>
      <c r="B11" s="32">
        <f>BOM_Consumo!K12</f>
        <v/>
      </c>
      <c r="C11" s="32">
        <f>Inputs!B39</f>
        <v/>
      </c>
      <c r="D11" s="33">
        <f>ROUNDUP(B11/C11,0)</f>
        <v/>
      </c>
      <c r="E11" s="34">
        <f>D11</f>
        <v/>
      </c>
      <c r="F11" s="33">
        <f>E11*C11</f>
        <v/>
      </c>
      <c r="G11" s="35">
        <f>_xlfn.XLOOKUP(A11,Inputs!$A$49:$A$54,Inputs!$B$49:$B$54)</f>
        <v/>
      </c>
      <c r="H11" s="36">
        <f>E11*G11</f>
        <v/>
      </c>
      <c r="I11" s="22">
        <f>IF(F11&gt;=B11,"OK","INSUFICIENTE")</f>
        <v/>
      </c>
    </row>
    <row r="12" ht="15" customHeight="1">
      <c r="A12" s="9" t="inlineStr">
        <is>
          <t>Pieza 6</t>
        </is>
      </c>
      <c r="B12" s="32">
        <f>BOM_Consumo!K13</f>
        <v/>
      </c>
      <c r="C12" s="32">
        <f>Inputs!B40</f>
        <v/>
      </c>
      <c r="D12" s="33">
        <f>ROUNDUP(B12/C12,0)</f>
        <v/>
      </c>
      <c r="E12" s="34">
        <f>D12</f>
        <v/>
      </c>
      <c r="F12" s="33">
        <f>E12*C12</f>
        <v/>
      </c>
      <c r="G12" s="35">
        <f>_xlfn.XLOOKUP(A12,Inputs!$A$49:$A$54,Inputs!$B$49:$B$54)</f>
        <v/>
      </c>
      <c r="H12" s="36">
        <f>E12*G12</f>
        <v/>
      </c>
      <c r="I12" s="22">
        <f>IF(F12&gt;=B12,"OK","INSUFICIENTE")</f>
        <v/>
      </c>
    </row>
    <row r="13" ht="15" customHeight="1">
      <c r="A13" s="84" t="inlineStr">
        <is>
          <t>TOTAL PIEZAS</t>
        </is>
      </c>
      <c r="H13" s="37">
        <f>SUM(H7:H12)</f>
        <v/>
      </c>
    </row>
    <row r="16" ht="15" customHeight="1">
      <c r="A16" s="77" t="inlineStr">
        <is>
          <t>PARTES A y B: COMPRA POR QUINCENA</t>
        </is>
      </c>
    </row>
    <row r="17" ht="23.25" customHeight="1">
      <c r="A17" s="31" t="inlineStr">
        <is>
          <t>Material</t>
        </is>
      </c>
      <c r="B17" s="31" t="inlineStr">
        <is>
          <t>Quincena</t>
        </is>
      </c>
      <c r="C17" s="31" t="inlineStr">
        <is>
          <t>Demanda</t>
        </is>
      </c>
      <c r="D17" s="31" t="inlineStr">
        <is>
          <t>Batch Size</t>
        </is>
      </c>
      <c r="E17" s="31" t="inlineStr">
        <is>
          <t>Lotes Teóricos</t>
        </is>
      </c>
      <c r="F17" s="31" t="inlineStr">
        <is>
          <t>COMPRAR (Lotes)</t>
        </is>
      </c>
      <c r="G17" s="31" t="inlineStr">
        <is>
          <t>Unidades</t>
        </is>
      </c>
      <c r="H17" s="31" t="inlineStr">
        <is>
          <t>Precio/Batch</t>
        </is>
      </c>
      <c r="I17" s="31" t="inlineStr">
        <is>
          <t>Costo</t>
        </is>
      </c>
      <c r="J17" s="31" t="inlineStr">
        <is>
          <t>Términos Pago</t>
        </is>
      </c>
      <c r="K17" s="31" t="inlineStr">
        <is>
          <t>Pago en Q</t>
        </is>
      </c>
    </row>
    <row r="18" ht="15" customHeight="1">
      <c r="A18" s="86" t="inlineStr">
        <is>
          <t>Parte A</t>
        </is>
      </c>
      <c r="B18" s="10" t="inlineStr">
        <is>
          <t>Q1</t>
        </is>
      </c>
      <c r="C18" s="32">
        <f>BOM_Consumo!C6</f>
        <v/>
      </c>
      <c r="D18" s="32">
        <f>Inputs!B35</f>
        <v/>
      </c>
      <c r="E18" s="33">
        <f>IF(C18&gt;0,ROUNDUP(C18/D18,0),0)</f>
        <v/>
      </c>
      <c r="F18" s="34" t="n">
        <v>84</v>
      </c>
      <c r="G18" s="33">
        <f>F18*D18</f>
        <v/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/>
      </c>
      <c r="I18" s="36">
        <f>F18*H18</f>
        <v/>
      </c>
      <c r="J18" s="38">
        <f>_xlfn.XLOOKUP(Inputs!$B$69,Inputs!$A$66:$A$68,Inputs!$C$66:$C$68)</f>
        <v/>
      </c>
      <c r="K18" s="22">
        <f>IF(B18="","",IF(VALUE(MID(B18,2,2))+IF(ISNUMBER(SEARCH("+2",J18)),2,IF(ISNUMBER(SEARCH("+8",J18)),8,0))&gt;8,"Next period","Q"&amp;(VALUE(MID(B18,2,2))+IF(ISNUMBER(SEARCH("+2",J18)),2,IF(ISNUMBER(SEARCH("+8",J18)),8,0)))))</f>
        <v/>
      </c>
    </row>
    <row r="19" ht="15" customHeight="1">
      <c r="B19" s="10" t="inlineStr">
        <is>
          <t>Q2</t>
        </is>
      </c>
      <c r="C19" s="32">
        <f>BOM_Consumo!D6</f>
        <v/>
      </c>
      <c r="D19" s="32">
        <f>Inputs!B35</f>
        <v/>
      </c>
      <c r="E19" s="33">
        <f>IF(C19&gt;0,ROUNDUP(C19/D19,0),0)</f>
        <v/>
      </c>
      <c r="F19" s="34" t="n">
        <v>84</v>
      </c>
      <c r="G19" s="33">
        <f>F19*D19</f>
        <v/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/>
      </c>
      <c r="I19" s="36">
        <f>F19*H19</f>
        <v/>
      </c>
      <c r="J19" s="38">
        <f>_xlfn.XLOOKUP(Inputs!$B$69,Inputs!$A$66:$A$68,Inputs!$C$66:$C$68)</f>
        <v/>
      </c>
      <c r="K19" s="22">
        <f>IF(B19="","",IF(VALUE(MID(B19,2,2))+IF(ISNUMBER(SEARCH("+2",J19)),2,IF(ISNUMBER(SEARCH("+8",J19)),8,0))&gt;8,"Next period","Q"&amp;(VALUE(MID(B19,2,2))+IF(ISNUMBER(SEARCH("+2",J19)),2,IF(ISNUMBER(SEARCH("+8",J19)),8,0)))))</f>
        <v/>
      </c>
    </row>
    <row r="20" ht="15" customHeight="1">
      <c r="B20" s="10" t="inlineStr">
        <is>
          <t>Q3</t>
        </is>
      </c>
      <c r="C20" s="32">
        <f>BOM_Consumo!E6</f>
        <v/>
      </c>
      <c r="D20" s="32">
        <f>Inputs!B35</f>
        <v/>
      </c>
      <c r="E20" s="33">
        <f>IF(C20&gt;0,ROUNDUP(C20/D20,0),0)</f>
        <v/>
      </c>
      <c r="F20" s="34" t="n">
        <v>84</v>
      </c>
      <c r="G20" s="33">
        <f>F20*D20</f>
        <v/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/>
      </c>
      <c r="I20" s="36">
        <f>F20*H20</f>
        <v/>
      </c>
      <c r="J20" s="38">
        <f>_xlfn.XLOOKUP(Inputs!$B$69,Inputs!$A$66:$A$68,Inputs!$C$66:$C$68)</f>
        <v/>
      </c>
      <c r="K20" s="22">
        <f>IF(B20="","",IF(VALUE(MID(B20,2,2))+IF(ISNUMBER(SEARCH("+2",J20)),2,IF(ISNUMBER(SEARCH("+8",J20)),8,0))&gt;8,"Next period","Q"&amp;(VALUE(MID(B20,2,2))+IF(ISNUMBER(SEARCH("+2",J20)),2,IF(ISNUMBER(SEARCH("+8",J20)),8,0)))))</f>
        <v/>
      </c>
    </row>
    <row r="21" ht="15" customHeight="1">
      <c r="B21" s="10" t="inlineStr">
        <is>
          <t>Q4</t>
        </is>
      </c>
      <c r="C21" s="32">
        <f>BOM_Consumo!F6</f>
        <v/>
      </c>
      <c r="D21" s="32">
        <f>Inputs!B35</f>
        <v/>
      </c>
      <c r="E21" s="33">
        <f>IF(C21&gt;0,ROUNDUP(C21/D21,0),0)</f>
        <v/>
      </c>
      <c r="F21" s="34" t="n">
        <v>84</v>
      </c>
      <c r="G21" s="33">
        <f>F21*D21</f>
        <v/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/>
      </c>
      <c r="I21" s="36">
        <f>F21*H21</f>
        <v/>
      </c>
      <c r="J21" s="38">
        <f>_xlfn.XLOOKUP(Inputs!$B$69,Inputs!$A$66:$A$68,Inputs!$C$66:$C$68)</f>
        <v/>
      </c>
      <c r="K21" s="22">
        <f>IF(B21="","",IF(VALUE(MID(B21,2,2))+IF(ISNUMBER(SEARCH("+2",J21)),2,IF(ISNUMBER(SEARCH("+8",J21)),8,0))&gt;8,"Next period","Q"&amp;(VALUE(MID(B21,2,2))+IF(ISNUMBER(SEARCH("+2",J21)),2,IF(ISNUMBER(SEARCH("+8",J21)),8,0)))))</f>
        <v/>
      </c>
    </row>
    <row r="22" ht="15" customHeight="1">
      <c r="B22" s="10" t="inlineStr">
        <is>
          <t>Q5</t>
        </is>
      </c>
      <c r="C22" s="32">
        <f>BOM_Consumo!G6</f>
        <v/>
      </c>
      <c r="D22" s="32">
        <f>Inputs!B35</f>
        <v/>
      </c>
      <c r="E22" s="33">
        <f>IF(C22&gt;0,ROUNDUP(C22/D22,0),0)</f>
        <v/>
      </c>
      <c r="F22" s="34" t="n">
        <v>0</v>
      </c>
      <c r="G22" s="33">
        <f>F22*D22</f>
        <v/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/>
      </c>
      <c r="I22" s="36">
        <f>F22*H22</f>
        <v/>
      </c>
      <c r="J22" s="38">
        <f>_xlfn.XLOOKUP(Inputs!$B$69,Inputs!$A$66:$A$68,Inputs!$C$66:$C$68)</f>
        <v/>
      </c>
      <c r="K22" s="22">
        <f>IF(B22="","",IF(VALUE(MID(B22,2,2))+IF(ISNUMBER(SEARCH("+2",J22)),2,IF(ISNUMBER(SEARCH("+8",J22)),8,0))&gt;8,"Next period","Q"&amp;(VALUE(MID(B22,2,2))+IF(ISNUMBER(SEARCH("+2",J22)),2,IF(ISNUMBER(SEARCH("+8",J22)),8,0)))))</f>
        <v/>
      </c>
    </row>
    <row r="23" ht="15" customHeight="1">
      <c r="B23" s="10" t="inlineStr">
        <is>
          <t>Q6</t>
        </is>
      </c>
      <c r="C23" s="32">
        <f>BOM_Consumo!H6</f>
        <v/>
      </c>
      <c r="D23" s="32">
        <f>Inputs!B35</f>
        <v/>
      </c>
      <c r="E23" s="33">
        <f>IF(C23&gt;0,ROUNDUP(C23/D23,0),0)</f>
        <v/>
      </c>
      <c r="F23" s="34" t="n">
        <v>0</v>
      </c>
      <c r="G23" s="33">
        <f>F23*D23</f>
        <v/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/>
      </c>
      <c r="I23" s="36">
        <f>F23*H23</f>
        <v/>
      </c>
      <c r="J23" s="38">
        <f>_xlfn.XLOOKUP(Inputs!$B$69,Inputs!$A$66:$A$68,Inputs!$C$66:$C$68)</f>
        <v/>
      </c>
      <c r="K23" s="22">
        <f>IF(B23="","",IF(VALUE(MID(B23,2,2))+IF(ISNUMBER(SEARCH("+2",J23)),2,IF(ISNUMBER(SEARCH("+8",J23)),8,0))&gt;8,"Next period","Q"&amp;(VALUE(MID(B23,2,2))+IF(ISNUMBER(SEARCH("+2",J23)),2,IF(ISNUMBER(SEARCH("+8",J23)),8,0)))))</f>
        <v/>
      </c>
    </row>
    <row r="24" ht="15" customHeight="1">
      <c r="B24" s="10" t="inlineStr">
        <is>
          <t>Q7</t>
        </is>
      </c>
      <c r="C24" s="32">
        <f>BOM_Consumo!I6</f>
        <v/>
      </c>
      <c r="D24" s="32">
        <f>Inputs!B35</f>
        <v/>
      </c>
      <c r="E24" s="33">
        <f>IF(C24&gt;0,ROUNDUP(C24/D24,0),0)</f>
        <v/>
      </c>
      <c r="F24" s="34" t="n">
        <v>0</v>
      </c>
      <c r="G24" s="33">
        <f>F24*D24</f>
        <v/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/>
      </c>
      <c r="I24" s="36">
        <f>F24*H24</f>
        <v/>
      </c>
      <c r="J24" s="38">
        <f>_xlfn.XLOOKUP(Inputs!$B$69,Inputs!$A$66:$A$68,Inputs!$C$66:$C$68)</f>
        <v/>
      </c>
      <c r="K24" s="22">
        <f>IF(B24="","",IF(VALUE(MID(B24,2,2))+IF(ISNUMBER(SEARCH("+2",J24)),2,IF(ISNUMBER(SEARCH("+8",J24)),8,0))&gt;8,"Next period","Q"&amp;(VALUE(MID(B24,2,2))+IF(ISNUMBER(SEARCH("+2",J24)),2,IF(ISNUMBER(SEARCH("+8",J24)),8,0)))))</f>
        <v/>
      </c>
    </row>
    <row r="25" ht="15" customHeight="1">
      <c r="B25" s="10" t="inlineStr">
        <is>
          <t>Q8</t>
        </is>
      </c>
      <c r="C25" s="32">
        <f>BOM_Consumo!J6</f>
        <v/>
      </c>
      <c r="D25" s="32">
        <f>Inputs!B35</f>
        <v/>
      </c>
      <c r="E25" s="33">
        <f>IF(C25&gt;0,ROUNDUP(C25/D25,0),0)</f>
        <v/>
      </c>
      <c r="F25" s="34" t="n">
        <v>0</v>
      </c>
      <c r="G25" s="33">
        <f>F25*D25</f>
        <v/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/>
      </c>
      <c r="I25" s="36">
        <f>F25*H25</f>
        <v/>
      </c>
      <c r="J25" s="38">
        <f>_xlfn.XLOOKUP(Inputs!$B$69,Inputs!$A$66:$A$68,Inputs!$C$66:$C$68)</f>
        <v/>
      </c>
      <c r="K25" s="22">
        <f>IF(B25="","",IF(VALUE(MID(B25,2,2))+IF(ISNUMBER(SEARCH("+2",J25)),2,IF(ISNUMBER(SEARCH("+8",J25)),8,0))&gt;8,"Next period","Q"&amp;(VALUE(MID(B25,2,2))+IF(ISNUMBER(SEARCH("+2",J25)),2,IF(ISNUMBER(SEARCH("+8",J25)),8,0)))))</f>
        <v/>
      </c>
    </row>
    <row r="26" ht="15" customHeight="1">
      <c r="A26" s="86" t="inlineStr">
        <is>
          <t>Parte B</t>
        </is>
      </c>
      <c r="B26" s="10" t="inlineStr">
        <is>
          <t>Q1</t>
        </is>
      </c>
      <c r="C26" s="32">
        <f>BOM_Consumo!C7</f>
        <v/>
      </c>
      <c r="D26" s="32">
        <f>Inputs!B36</f>
        <v/>
      </c>
      <c r="E26" s="33">
        <f>IF(C26&gt;0,ROUNDUP(C26/D26,0),0)</f>
        <v/>
      </c>
      <c r="F26" s="34" t="n">
        <v>42</v>
      </c>
      <c r="G26" s="33">
        <f>F26*D26</f>
        <v/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/>
      </c>
      <c r="I26" s="36">
        <f>F26*H26</f>
        <v/>
      </c>
      <c r="J26" s="38">
        <f>_xlfn.XLOOKUP(Inputs!$B$77,Inputs!$A$74:$A$76,Inputs!$C$74:$C$76)</f>
        <v/>
      </c>
      <c r="K26" s="22">
        <f>IF(B26="","",IF(VALUE(MID(B26,2,2))+IF(ISNUMBER(SEARCH("+2",J26)),2,IF(ISNUMBER(SEARCH("+8",J26)),8,0))&gt;8,"Next period","Q"&amp;(VALUE(MID(B26,2,2))+IF(ISNUMBER(SEARCH("+2",J26)),2,IF(ISNUMBER(SEARCH("+8",J26)),8,0)))))</f>
        <v/>
      </c>
    </row>
    <row r="27" ht="15" customHeight="1">
      <c r="B27" s="10" t="inlineStr">
        <is>
          <t>Q2</t>
        </is>
      </c>
      <c r="C27" s="32">
        <f>BOM_Consumo!D7</f>
        <v/>
      </c>
      <c r="D27" s="32">
        <f>Inputs!B36</f>
        <v/>
      </c>
      <c r="E27" s="33">
        <f>IF(C27&gt;0,ROUNDUP(C27/D27,0),0)</f>
        <v/>
      </c>
      <c r="F27" s="34" t="n">
        <v>42</v>
      </c>
      <c r="G27" s="33">
        <f>F27*D27</f>
        <v/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/>
      </c>
      <c r="I27" s="36">
        <f>F27*H27</f>
        <v/>
      </c>
      <c r="J27" s="38">
        <f>_xlfn.XLOOKUP(Inputs!$B$77,Inputs!$A$74:$A$76,Inputs!$C$74:$C$76)</f>
        <v/>
      </c>
      <c r="K27" s="22">
        <f>IF(B27="","",IF(VALUE(MID(B27,2,2))+IF(ISNUMBER(SEARCH("+2",J27)),2,IF(ISNUMBER(SEARCH("+8",J27)),8,0))&gt;8,"Next period","Q"&amp;(VALUE(MID(B27,2,2))+IF(ISNUMBER(SEARCH("+2",J27)),2,IF(ISNUMBER(SEARCH("+8",J27)),8,0)))))</f>
        <v/>
      </c>
    </row>
    <row r="28" ht="15" customHeight="1">
      <c r="B28" s="10" t="inlineStr">
        <is>
          <t>Q3</t>
        </is>
      </c>
      <c r="C28" s="32">
        <f>BOM_Consumo!E7</f>
        <v/>
      </c>
      <c r="D28" s="32">
        <f>Inputs!B36</f>
        <v/>
      </c>
      <c r="E28" s="33">
        <f>IF(C28&gt;0,ROUNDUP(C28/D28,0),0)</f>
        <v/>
      </c>
      <c r="F28" s="34" t="n">
        <v>42</v>
      </c>
      <c r="G28" s="33">
        <f>F28*D28</f>
        <v/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/>
      </c>
      <c r="I28" s="36">
        <f>F28*H28</f>
        <v/>
      </c>
      <c r="J28" s="38">
        <f>_xlfn.XLOOKUP(Inputs!$B$77,Inputs!$A$74:$A$76,Inputs!$C$74:$C$76)</f>
        <v/>
      </c>
      <c r="K28" s="22">
        <f>IF(B28="","",IF(VALUE(MID(B28,2,2))+IF(ISNUMBER(SEARCH("+2",J28)),2,IF(ISNUMBER(SEARCH("+8",J28)),8,0))&gt;8,"Next period","Q"&amp;(VALUE(MID(B28,2,2))+IF(ISNUMBER(SEARCH("+2",J28)),2,IF(ISNUMBER(SEARCH("+8",J28)),8,0)))))</f>
        <v/>
      </c>
    </row>
    <row r="29" ht="15" customHeight="1">
      <c r="B29" s="10" t="inlineStr">
        <is>
          <t>Q4</t>
        </is>
      </c>
      <c r="C29" s="32">
        <f>BOM_Consumo!F7</f>
        <v/>
      </c>
      <c r="D29" s="32">
        <f>Inputs!B36</f>
        <v/>
      </c>
      <c r="E29" s="33">
        <f>IF(C29&gt;0,ROUNDUP(C29/D29,0),0)</f>
        <v/>
      </c>
      <c r="F29" s="34" t="n">
        <v>42</v>
      </c>
      <c r="G29" s="33">
        <f>F29*D29</f>
        <v/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/>
      </c>
      <c r="I29" s="36">
        <f>F29*H29</f>
        <v/>
      </c>
      <c r="J29" s="38">
        <f>_xlfn.XLOOKUP(Inputs!$B$77,Inputs!$A$74:$A$76,Inputs!$C$74:$C$76)</f>
        <v/>
      </c>
      <c r="K29" s="22">
        <f>IF(B29="","",IF(VALUE(MID(B29,2,2))+IF(ISNUMBER(SEARCH("+2",J29)),2,IF(ISNUMBER(SEARCH("+8",J29)),8,0))&gt;8,"Next period","Q"&amp;(VALUE(MID(B29,2,2))+IF(ISNUMBER(SEARCH("+2",J29)),2,IF(ISNUMBER(SEARCH("+8",J29)),8,0)))))</f>
        <v/>
      </c>
    </row>
    <row r="30" ht="15" customHeight="1">
      <c r="B30" s="10" t="inlineStr">
        <is>
          <t>Q5</t>
        </is>
      </c>
      <c r="C30" s="32">
        <f>BOM_Consumo!G7</f>
        <v/>
      </c>
      <c r="D30" s="32">
        <f>Inputs!B36</f>
        <v/>
      </c>
      <c r="E30" s="33">
        <f>IF(C30&gt;0,ROUNDUP(C30/D30,0),0)</f>
        <v/>
      </c>
      <c r="F30" s="34" t="n">
        <v>42</v>
      </c>
      <c r="G30" s="33">
        <f>F30*D30</f>
        <v/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/>
      </c>
      <c r="I30" s="36">
        <f>F30*H30</f>
        <v/>
      </c>
      <c r="J30" s="38">
        <f>_xlfn.XLOOKUP(Inputs!$B$77,Inputs!$A$74:$A$76,Inputs!$C$74:$C$76)</f>
        <v/>
      </c>
      <c r="K30" s="22">
        <f>IF(B30="","",IF(VALUE(MID(B30,2,2))+IF(ISNUMBER(SEARCH("+2",J30)),2,IF(ISNUMBER(SEARCH("+8",J30)),8,0))&gt;8,"Next period","Q"&amp;(VALUE(MID(B30,2,2))+IF(ISNUMBER(SEARCH("+2",J30)),2,IF(ISNUMBER(SEARCH("+8",J30)),8,0)))))</f>
        <v/>
      </c>
    </row>
    <row r="31" ht="15" customHeight="1">
      <c r="B31" s="10" t="inlineStr">
        <is>
          <t>Q6</t>
        </is>
      </c>
      <c r="C31" s="32">
        <f>BOM_Consumo!H7</f>
        <v/>
      </c>
      <c r="D31" s="32">
        <f>Inputs!B36</f>
        <v/>
      </c>
      <c r="E31" s="33">
        <f>IF(C31&gt;0,ROUNDUP(C31/D31,0),0)</f>
        <v/>
      </c>
      <c r="F31" s="34" t="n">
        <v>0</v>
      </c>
      <c r="G31" s="33">
        <f>F31*D31</f>
        <v/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/>
      </c>
      <c r="I31" s="36">
        <f>F31*H31</f>
        <v/>
      </c>
      <c r="J31" s="38">
        <f>_xlfn.XLOOKUP(Inputs!$B$77,Inputs!$A$74:$A$76,Inputs!$C$74:$C$76)</f>
        <v/>
      </c>
      <c r="K31" s="22">
        <f>IF(B31="","",IF(VALUE(MID(B31,2,2))+IF(ISNUMBER(SEARCH("+2",J31)),2,IF(ISNUMBER(SEARCH("+8",J31)),8,0))&gt;8,"Next period","Q"&amp;(VALUE(MID(B31,2,2))+IF(ISNUMBER(SEARCH("+2",J31)),2,IF(ISNUMBER(SEARCH("+8",J31)),8,0)))))</f>
        <v/>
      </c>
    </row>
    <row r="32" ht="15" customHeight="1">
      <c r="B32" s="10" t="inlineStr">
        <is>
          <t>Q7</t>
        </is>
      </c>
      <c r="C32" s="32">
        <f>BOM_Consumo!I7</f>
        <v/>
      </c>
      <c r="D32" s="32">
        <f>Inputs!B36</f>
        <v/>
      </c>
      <c r="E32" s="33">
        <f>IF(C32&gt;0,ROUNDUP(C32/D32,0),0)</f>
        <v/>
      </c>
      <c r="F32" s="34" t="n">
        <v>0</v>
      </c>
      <c r="G32" s="33">
        <f>F32*D32</f>
        <v/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/>
      </c>
      <c r="I32" s="36">
        <f>F32*H32</f>
        <v/>
      </c>
      <c r="J32" s="38">
        <f>_xlfn.XLOOKUP(Inputs!$B$77,Inputs!$A$74:$A$76,Inputs!$C$74:$C$76)</f>
        <v/>
      </c>
      <c r="K32" s="22">
        <f>IF(B32="","",IF(VALUE(MID(B32,2,2))+IF(ISNUMBER(SEARCH("+2",J32)),2,IF(ISNUMBER(SEARCH("+8",J32)),8,0))&gt;8,"Next period","Q"&amp;(VALUE(MID(B32,2,2))+IF(ISNUMBER(SEARCH("+2",J32)),2,IF(ISNUMBER(SEARCH("+8",J32)),8,0)))))</f>
        <v/>
      </c>
    </row>
    <row r="33" ht="15" customHeight="1">
      <c r="B33" s="10" t="inlineStr">
        <is>
          <t>Q8</t>
        </is>
      </c>
      <c r="C33" s="32">
        <f>BOM_Consumo!J7</f>
        <v/>
      </c>
      <c r="D33" s="32">
        <f>Inputs!B36</f>
        <v/>
      </c>
      <c r="E33" s="33">
        <f>IF(C33&gt;0,ROUNDUP(C33/D33,0),0)</f>
        <v/>
      </c>
      <c r="F33" s="34" t="n">
        <v>0</v>
      </c>
      <c r="G33" s="33">
        <f>F33*D33</f>
        <v/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/>
      </c>
      <c r="I33" s="36">
        <f>F33*H33</f>
        <v/>
      </c>
      <c r="J33" s="38">
        <f>_xlfn.XLOOKUP(Inputs!$B$77,Inputs!$A$74:$A$76,Inputs!$C$74:$C$76)</f>
        <v/>
      </c>
      <c r="K33" s="22">
        <f>IF(B33="","",IF(VALUE(MID(B33,2,2))+IF(ISNUMBER(SEARCH("+2",J33)),2,IF(ISNUMBER(SEARCH("+8",J33)),8,0))&gt;8,"Next period","Q"&amp;(VALUE(MID(B33,2,2))+IF(ISNUMBER(SEARCH("+2",J33)),2,IF(ISNUMBER(SEARCH("+8",J33)),8,0)))))</f>
        <v/>
      </c>
    </row>
  </sheetData>
  <mergeCells count="8">
    <mergeCell ref="A13:G13"/>
    <mergeCell ref="A16:L16"/>
    <mergeCell ref="A2:L2"/>
    <mergeCell ref="A5:J5"/>
    <mergeCell ref="A26:A33"/>
    <mergeCell ref="A1:L1"/>
    <mergeCell ref="A3:L3"/>
    <mergeCell ref="A18:A2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E11" sqref="E11"/>
    </sheetView>
  </sheetViews>
  <sheetFormatPr baseColWidth="10" defaultColWidth="8.6640625" defaultRowHeight="14.4"/>
  <cols>
    <col width="13.44140625" bestFit="1" customWidth="1" min="1" max="1"/>
    <col width="36.77734375" bestFit="1" customWidth="1" min="2" max="2"/>
    <col width="10.109375" bestFit="1" customWidth="1" min="3" max="3"/>
    <col width="13.77734375" bestFit="1" customWidth="1" min="4" max="4"/>
    <col width="26" bestFit="1" customWidth="1" min="5" max="5"/>
    <col width="36.77734375" bestFit="1" customWidth="1" min="6" max="6"/>
  </cols>
  <sheetData>
    <row r="1" ht="17.25" customHeight="1">
      <c r="A1" s="80" t="inlineStr">
        <is>
          <t>COSTOS - Análisis Completo</t>
        </is>
      </c>
    </row>
    <row r="2" ht="15" customHeight="1">
      <c r="A2" s="82" t="inlineStr">
        <is>
          <t>Costo Total = Costo de Compra + Ordering Cost + Holding Cost</t>
        </is>
      </c>
    </row>
    <row r="4" ht="15" customHeight="1">
      <c r="A4" s="39" t="inlineStr">
        <is>
          <t>Material</t>
        </is>
      </c>
      <c r="B4" s="39" t="inlineStr">
        <is>
          <t>Costo Compra</t>
        </is>
      </c>
      <c r="C4" s="39" t="inlineStr">
        <is>
          <t># Pedidos</t>
        </is>
      </c>
      <c r="D4" s="39" t="inlineStr">
        <is>
          <t>Ordering Cost</t>
        </is>
      </c>
      <c r="E4" s="39" t="inlineStr">
        <is>
          <t>Holding Cost</t>
        </is>
      </c>
      <c r="F4" s="39" t="inlineStr">
        <is>
          <t>Costo Total</t>
        </is>
      </c>
    </row>
    <row r="5" ht="15" customHeight="1">
      <c r="A5" s="9" t="inlineStr">
        <is>
          <t>Pieza 1</t>
        </is>
      </c>
      <c r="B5" s="35">
        <f>Compras_y_Lotes!H7</f>
        <v/>
      </c>
      <c r="C5" s="40" t="n">
        <v>1</v>
      </c>
      <c r="D5" s="36" t="n">
        <v>0</v>
      </c>
      <c r="E5" s="36" t="n">
        <v>0</v>
      </c>
      <c r="F5" s="36">
        <f>B5+D5+E5</f>
        <v/>
      </c>
    </row>
    <row r="6" ht="15" customHeight="1">
      <c r="A6" s="9" t="inlineStr">
        <is>
          <t>Pieza 2</t>
        </is>
      </c>
      <c r="B6" s="35">
        <f>Compras_y_Lotes!H8</f>
        <v/>
      </c>
      <c r="C6" s="40" t="n">
        <v>1</v>
      </c>
      <c r="D6" s="36" t="n">
        <v>0</v>
      </c>
      <c r="E6" s="36" t="n">
        <v>0</v>
      </c>
      <c r="F6" s="36">
        <f>B6+D6+E6</f>
        <v/>
      </c>
    </row>
    <row r="7" ht="15" customHeight="1">
      <c r="A7" s="9" t="inlineStr">
        <is>
          <t>Pieza 3</t>
        </is>
      </c>
      <c r="B7" s="35">
        <f>Compras_y_Lotes!H9</f>
        <v/>
      </c>
      <c r="C7" s="40" t="n">
        <v>1</v>
      </c>
      <c r="D7" s="36" t="n">
        <v>0</v>
      </c>
      <c r="E7" s="36" t="n">
        <v>0</v>
      </c>
      <c r="F7" s="36">
        <f>B7+D7+E7</f>
        <v/>
      </c>
    </row>
    <row r="8" ht="15" customHeight="1">
      <c r="A8" s="9" t="inlineStr">
        <is>
          <t>Pieza 4</t>
        </is>
      </c>
      <c r="B8" s="35">
        <f>Compras_y_Lotes!H10</f>
        <v/>
      </c>
      <c r="C8" s="40" t="n">
        <v>1</v>
      </c>
      <c r="D8" s="36" t="n">
        <v>0</v>
      </c>
      <c r="E8" s="36" t="n">
        <v>0</v>
      </c>
      <c r="F8" s="36">
        <f>B8+D8+E8</f>
        <v/>
      </c>
    </row>
    <row r="9" ht="15" customHeight="1">
      <c r="A9" s="9" t="inlineStr">
        <is>
          <t>Pieza 5</t>
        </is>
      </c>
      <c r="B9" s="35">
        <f>Compras_y_Lotes!H11</f>
        <v/>
      </c>
      <c r="C9" s="40" t="n">
        <v>1</v>
      </c>
      <c r="D9" s="36" t="n">
        <v>0</v>
      </c>
      <c r="E9" s="36" t="n">
        <v>0</v>
      </c>
      <c r="F9" s="36">
        <f>B9+D9+E9</f>
        <v/>
      </c>
    </row>
    <row r="10" ht="15" customHeight="1">
      <c r="A10" s="9" t="inlineStr">
        <is>
          <t>Pieza 6</t>
        </is>
      </c>
      <c r="B10" s="35">
        <f>Compras_y_Lotes!H12</f>
        <v/>
      </c>
      <c r="C10" s="40" t="n">
        <v>1</v>
      </c>
      <c r="D10" s="36" t="n">
        <v>0</v>
      </c>
      <c r="E10" s="36" t="n">
        <v>0</v>
      </c>
      <c r="F10" s="36">
        <f>B10+D10+E10</f>
        <v/>
      </c>
    </row>
    <row r="11" ht="15" customHeight="1">
      <c r="A11" s="9" t="inlineStr">
        <is>
          <t>Parte A</t>
        </is>
      </c>
      <c r="B11" s="35">
        <f>SUM(Compras_y_Lotes!I18:I25)</f>
        <v/>
      </c>
      <c r="C11" s="41">
        <f>COUNTIF(Compras_y_Lotes!F18:F25,"&gt;0")</f>
        <v/>
      </c>
      <c r="D11" s="36">
        <f>C11*Inputs!B59</f>
        <v/>
      </c>
      <c r="E11" s="42">
        <f>SUMPRODUCT((Inventario_Dinamico!B7:I7+Inventario_Dinamico!B10:I10)/2)*Inputs!C59</f>
        <v/>
      </c>
      <c r="F11" s="36">
        <f>B11+D11+E11</f>
        <v/>
      </c>
    </row>
    <row r="12" ht="15" customHeight="1">
      <c r="A12" s="9" t="inlineStr">
        <is>
          <t>Parte B</t>
        </is>
      </c>
      <c r="B12" s="35">
        <f>SUM(Compras_y_Lotes!I26:I33)</f>
        <v/>
      </c>
      <c r="C12" s="41">
        <f>COUNTIF(Compras_y_Lotes!F26:F33,"&gt;0")</f>
        <v/>
      </c>
      <c r="D12" s="36">
        <f>C12*Inputs!B60</f>
        <v/>
      </c>
      <c r="E12" s="42">
        <f>SUMPRODUCT((Inventario_Dinamico!B13:I13+Inventario_Dinamico!B16:I16)/2)*Inputs!C60</f>
        <v/>
      </c>
      <c r="F12" s="36">
        <f>B12+D12+E12</f>
        <v/>
      </c>
    </row>
    <row r="13" ht="15" customHeight="1">
      <c r="A13" s="84" t="inlineStr">
        <is>
          <t>COSTO TOTAL</t>
        </is>
      </c>
      <c r="B13" s="37">
        <f>SUM(B5:B12)</f>
        <v/>
      </c>
      <c r="C13" s="43">
        <f>SUM(C5:C12)</f>
        <v/>
      </c>
      <c r="D13" s="37">
        <f>SUM(D5:D12)</f>
        <v/>
      </c>
      <c r="E13" s="37">
        <f>SUM(E5:E12)</f>
        <v/>
      </c>
      <c r="F13" s="37">
        <f>SUM(F5:F12)</f>
        <v/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zoomScaleNormal="100" workbookViewId="0">
      <selection activeCell="K15" sqref="K15"/>
    </sheetView>
  </sheetViews>
  <sheetFormatPr baseColWidth="10" defaultColWidth="8.6640625" defaultRowHeight="14.4"/>
  <cols>
    <col width="14.6640625" bestFit="1" customWidth="1" min="1" max="1"/>
    <col width="10.88671875" customWidth="1" min="2" max="2"/>
    <col width="3.6640625" bestFit="1" customWidth="1" min="3" max="9"/>
    <col width="9.88671875" bestFit="1" customWidth="1" min="10" max="10"/>
  </cols>
  <sheetData>
    <row r="1" ht="17.25" customHeight="1">
      <c r="A1" s="80" t="inlineStr">
        <is>
          <t>CASHFLOW - Pagos por Quincena</t>
        </is>
      </c>
    </row>
    <row r="2" ht="15" customHeight="1">
      <c r="A2" s="82" t="inlineStr">
        <is>
          <t>Proyección de pagos según términos de cada proveedor</t>
        </is>
      </c>
    </row>
    <row r="3" ht="15" customHeight="1">
      <c r="A3" s="85" t="inlineStr">
        <is>
          <t>IMPORTANTE: Coordinar con Finanzas para asegurar liquidez</t>
        </is>
      </c>
    </row>
    <row r="5" ht="15" customHeight="1">
      <c r="A5" s="23" t="inlineStr">
        <is>
          <t>Concepto</t>
        </is>
      </c>
      <c r="B5" s="23" t="inlineStr">
        <is>
          <t>Q1</t>
        </is>
      </c>
      <c r="C5" s="23" t="inlineStr">
        <is>
          <t>Q2</t>
        </is>
      </c>
      <c r="D5" s="23" t="inlineStr">
        <is>
          <t>Q3</t>
        </is>
      </c>
      <c r="E5" s="23" t="inlineStr">
        <is>
          <t>Q4</t>
        </is>
      </c>
      <c r="F5" s="23" t="inlineStr">
        <is>
          <t>Q5</t>
        </is>
      </c>
      <c r="G5" s="23" t="inlineStr">
        <is>
          <t>Q6</t>
        </is>
      </c>
      <c r="H5" s="23" t="inlineStr">
        <is>
          <t>Q7</t>
        </is>
      </c>
      <c r="I5" s="23" t="inlineStr">
        <is>
          <t>Q8</t>
        </is>
      </c>
      <c r="J5" s="23" t="inlineStr">
        <is>
          <t>TOTAL</t>
        </is>
      </c>
    </row>
    <row r="6" ht="15" customHeight="1">
      <c r="A6" s="5" t="inlineStr">
        <is>
          <t>Piezas 1-6 (t=0)</t>
        </is>
      </c>
      <c r="B6" s="35">
        <f>Compras_y_Lotes!H13</f>
        <v/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0</v>
      </c>
      <c r="H6" s="44" t="n">
        <v>0</v>
      </c>
      <c r="I6" s="44" t="n">
        <v>0</v>
      </c>
      <c r="J6" s="36">
        <f>SUM(B6:I6)</f>
        <v/>
      </c>
    </row>
    <row r="7" ht="15" customHeight="1">
      <c r="A7" s="9" t="inlineStr">
        <is>
          <t>Parte A</t>
        </is>
      </c>
      <c r="B7" s="42" t="n">
        <v>0</v>
      </c>
      <c r="C7" s="42" t="n">
        <v>0</v>
      </c>
      <c r="D7" s="42" t="n">
        <v>0</v>
      </c>
      <c r="E7" s="42" t="n">
        <v>0</v>
      </c>
      <c r="F7" s="42" t="n">
        <v>0</v>
      </c>
      <c r="G7" s="42" t="n">
        <v>0</v>
      </c>
      <c r="H7" s="42" t="n">
        <v>0</v>
      </c>
      <c r="I7" s="42" t="n">
        <v>0</v>
      </c>
      <c r="J7" s="36">
        <f>SUM(B7:I7)</f>
        <v/>
      </c>
    </row>
    <row r="8" ht="15" customHeight="1">
      <c r="A8" s="9" t="inlineStr">
        <is>
          <t>Parte B</t>
        </is>
      </c>
      <c r="B8" s="42" t="n">
        <v>0</v>
      </c>
      <c r="C8" s="42" t="n">
        <v>0</v>
      </c>
      <c r="D8" s="42" t="n">
        <v>0</v>
      </c>
      <c r="E8" s="42" t="n">
        <v>0</v>
      </c>
      <c r="F8" s="42" t="n">
        <v>0</v>
      </c>
      <c r="G8" s="42" t="n">
        <v>0</v>
      </c>
      <c r="H8" s="42" t="n">
        <v>0</v>
      </c>
      <c r="I8" s="42" t="n">
        <v>0</v>
      </c>
      <c r="J8" s="36">
        <f>SUM(B8:I8)</f>
        <v/>
      </c>
    </row>
    <row r="9" ht="15" customHeight="1">
      <c r="A9" s="5" t="inlineStr">
        <is>
          <t>TOTAL PAGOS</t>
        </is>
      </c>
      <c r="B9" s="37">
        <f>SUM(B6:B8)</f>
        <v/>
      </c>
      <c r="C9" s="37">
        <f>SUM(C6:C8)</f>
        <v/>
      </c>
      <c r="D9" s="37">
        <f>SUM(D6:D8)</f>
        <v/>
      </c>
      <c r="E9" s="37">
        <f>SUM(E6:E8)</f>
        <v/>
      </c>
      <c r="F9" s="37">
        <f>SUM(F6:F8)</f>
        <v/>
      </c>
      <c r="G9" s="37">
        <f>SUM(G6:G8)</f>
        <v/>
      </c>
      <c r="H9" s="37">
        <f>SUM(H6:H8)</f>
        <v/>
      </c>
      <c r="I9" s="37">
        <f>SUM(I6:I8)</f>
        <v/>
      </c>
      <c r="J9" s="37">
        <f>SUM(B9:I9)</f>
        <v/>
      </c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zoomScaleNormal="100" workbookViewId="0">
      <selection activeCell="D10" sqref="D10"/>
    </sheetView>
  </sheetViews>
  <sheetFormatPr baseColWidth="10" defaultColWidth="22.109375" defaultRowHeight="14.4"/>
  <cols>
    <col width="24.5546875" bestFit="1" customWidth="1" min="1" max="1"/>
    <col width="30" bestFit="1" customWidth="1" min="2" max="4"/>
    <col width="36.77734375" bestFit="1" customWidth="1" min="5" max="5"/>
    <col width="28.6640625" bestFit="1" customWidth="1" min="6" max="6"/>
  </cols>
  <sheetData>
    <row r="1" ht="17.25" customHeight="1">
      <c r="A1" s="80" t="inlineStr">
        <is>
          <t>ESCENARIOS - Análisis Comparativo</t>
        </is>
      </c>
    </row>
    <row r="2" ht="15" customHeight="1">
      <c r="A2" s="82" t="inlineStr">
        <is>
          <t>Compara 3 estrategias: Conservador / Base / Agresivo</t>
        </is>
      </c>
    </row>
    <row r="4" ht="15" customHeight="1">
      <c r="A4" s="84" t="inlineStr">
        <is>
          <t>SELECCIONAR ESCENARIO:</t>
        </is>
      </c>
      <c r="B4" s="45" t="inlineStr">
        <is>
          <t>Base</t>
        </is>
      </c>
    </row>
    <row r="6" ht="15" customHeight="1">
      <c r="A6" s="78" t="inlineStr">
        <is>
          <t>Parámetro</t>
        </is>
      </c>
      <c r="B6" s="78" t="inlineStr">
        <is>
          <t>Conservador</t>
        </is>
      </c>
      <c r="C6" s="78" t="inlineStr">
        <is>
          <t>Base</t>
        </is>
      </c>
      <c r="D6" s="78" t="inlineStr">
        <is>
          <t>Agresivo</t>
        </is>
      </c>
      <c r="E6" s="78" t="inlineStr">
        <is>
          <t>Descripción</t>
        </is>
      </c>
    </row>
    <row r="7" ht="15" customHeight="1">
      <c r="A7" s="5" t="inlineStr">
        <is>
          <t>Safety Stock</t>
        </is>
      </c>
      <c r="B7" s="9" t="inlineStr">
        <is>
          <t>20%</t>
        </is>
      </c>
      <c r="C7" s="9" t="inlineStr">
        <is>
          <t>10%</t>
        </is>
      </c>
      <c r="D7" s="9" t="inlineStr">
        <is>
          <t>5%</t>
        </is>
      </c>
      <c r="E7" s="9" t="inlineStr">
        <is>
          <t>% sobre consumo promedio</t>
        </is>
      </c>
    </row>
    <row r="8" ht="15" customHeight="1">
      <c r="A8" s="5" t="inlineStr">
        <is>
          <t>Proveedor Parte A</t>
        </is>
      </c>
      <c r="B8" s="9" t="inlineStr">
        <is>
          <t>A (seguro)</t>
        </is>
      </c>
      <c r="C8" s="9" t="inlineStr">
        <is>
          <t>A</t>
        </is>
      </c>
      <c r="D8" s="9" t="inlineStr">
        <is>
          <t>B (descuento)</t>
        </is>
      </c>
      <c r="E8" s="9" t="inlineStr">
        <is>
          <t>Estrategia de proveedor</t>
        </is>
      </c>
    </row>
    <row r="9" ht="15" customHeight="1">
      <c r="A9" s="5" t="inlineStr">
        <is>
          <t>Proveedor Parte B</t>
        </is>
      </c>
      <c r="B9" s="9" t="inlineStr">
        <is>
          <t>A (seguro)</t>
        </is>
      </c>
      <c r="C9" s="9" t="inlineStr">
        <is>
          <t>A</t>
        </is>
      </c>
      <c r="D9" s="9" t="inlineStr">
        <is>
          <t>B (descuento)</t>
        </is>
      </c>
      <c r="E9" s="9" t="inlineStr">
        <is>
          <t>Estrategia de proveedor</t>
        </is>
      </c>
    </row>
    <row r="10" ht="15" customHeight="1">
      <c r="A10" s="5" t="inlineStr">
        <is>
          <t>Frecuencia Pedidos</t>
        </is>
      </c>
      <c r="B10" s="9" t="inlineStr">
        <is>
          <t>Cada 4Q</t>
        </is>
      </c>
      <c r="C10" s="9" t="inlineStr">
        <is>
          <t>Cada 2Q</t>
        </is>
      </c>
      <c r="D10" s="9" t="inlineStr">
        <is>
          <t>Cada Q</t>
        </is>
      </c>
      <c r="E10" s="9" t="inlineStr">
        <is>
          <t>Frecuencia de compra</t>
        </is>
      </c>
    </row>
    <row r="11" ht="15" customHeight="1">
      <c r="A11" s="46" t="n"/>
      <c r="B11" s="9" t="n"/>
      <c r="C11" s="9" t="n"/>
      <c r="D11" s="9" t="n"/>
      <c r="E11" s="9" t="n"/>
    </row>
    <row r="12" ht="15" customHeight="1">
      <c r="A12" s="5" t="inlineStr">
        <is>
          <t>RESULTADOS ESTIMADOS</t>
        </is>
      </c>
      <c r="B12" s="9" t="n"/>
      <c r="C12" s="9" t="n"/>
      <c r="D12" s="9" t="n"/>
      <c r="E12" s="9" t="n"/>
    </row>
    <row r="13" ht="15" customHeight="1">
      <c r="A13" s="5" t="inlineStr">
        <is>
          <t>Costo Total</t>
        </is>
      </c>
      <c r="B13" s="9" t="inlineStr">
        <is>
          <t>Alto</t>
        </is>
      </c>
      <c r="C13" s="9" t="inlineStr">
        <is>
          <t>Medio</t>
        </is>
      </c>
      <c r="D13" s="9" t="inlineStr">
        <is>
          <t>Bajo</t>
        </is>
      </c>
      <c r="E13" s="9" t="inlineStr">
        <is>
          <t>Costo de compras + inventario</t>
        </is>
      </c>
    </row>
    <row r="14" ht="15" customHeight="1">
      <c r="A14" s="5" t="inlineStr">
        <is>
          <t>Riesgo Stockout</t>
        </is>
      </c>
      <c r="B14" s="9" t="inlineStr">
        <is>
          <t>Muy Bajo</t>
        </is>
      </c>
      <c r="C14" s="9" t="inlineStr">
        <is>
          <t>Bajo</t>
        </is>
      </c>
      <c r="D14" s="9" t="inlineStr">
        <is>
          <t>Medio</t>
        </is>
      </c>
      <c r="E14" s="9" t="inlineStr">
        <is>
          <t>Probabilidad de quedarse sin stock</t>
        </is>
      </c>
    </row>
    <row r="15" ht="15" customHeight="1">
      <c r="A15" s="5" t="inlineStr">
        <is>
          <t>Capital Inmovilizado</t>
        </is>
      </c>
      <c r="B15" s="9" t="inlineStr">
        <is>
          <t>Alto</t>
        </is>
      </c>
      <c r="C15" s="9" t="inlineStr">
        <is>
          <t>Medio</t>
        </is>
      </c>
      <c r="D15" s="9" t="inlineStr">
        <is>
          <t>Bajo</t>
        </is>
      </c>
      <c r="E15" s="9" t="inlineStr">
        <is>
          <t>Inventario promedio</t>
        </is>
      </c>
    </row>
    <row r="16" ht="15" customHeight="1">
      <c r="A16" s="5" t="inlineStr">
        <is>
          <t>Cashflow Peak</t>
        </is>
      </c>
      <c r="B16" s="9" t="inlineStr">
        <is>
          <t>Distribuido</t>
        </is>
      </c>
      <c r="C16" s="9" t="inlineStr">
        <is>
          <t>Medio</t>
        </is>
      </c>
      <c r="D16" s="9" t="inlineStr">
        <is>
          <t>Concentrado</t>
        </is>
      </c>
      <c r="E16" s="9" t="inlineStr">
        <is>
          <t>Pago máximo en una Q</t>
        </is>
      </c>
    </row>
    <row r="20" ht="15" customHeight="1">
      <c r="A20" s="77" t="inlineStr">
        <is>
          <t>COMPARACIÓN LADO A LADO - KPIs POR ESCENARIO</t>
        </is>
      </c>
    </row>
    <row r="21" ht="15" customHeight="1">
      <c r="A21" s="8" t="inlineStr">
        <is>
          <t>KPI</t>
        </is>
      </c>
      <c r="B21" s="8" t="inlineStr">
        <is>
          <t>Conservador</t>
        </is>
      </c>
      <c r="C21" s="8" t="inlineStr">
        <is>
          <t>Base</t>
        </is>
      </c>
      <c r="D21" s="8" t="inlineStr">
        <is>
          <t>Agresivo</t>
        </is>
      </c>
      <c r="E21" s="8" t="inlineStr">
        <is>
          <t>Mejor</t>
        </is>
      </c>
      <c r="F21" s="8" t="inlineStr">
        <is>
          <t>Diferencia</t>
        </is>
      </c>
    </row>
    <row r="22" ht="15" customHeight="1">
      <c r="A22" s="5" t="inlineStr">
        <is>
          <t>Costo Total Compras</t>
        </is>
      </c>
      <c r="B22" s="36">
        <f>Costos!F13</f>
        <v/>
      </c>
      <c r="C22" s="36">
        <f>Costos!F13</f>
        <v/>
      </c>
      <c r="D22" s="36">
        <f>Costos!F13*0.9</f>
        <v/>
      </c>
      <c r="E22" s="47">
        <f>MIN(B22:D22)</f>
        <v/>
      </c>
      <c r="F22" s="36">
        <f>MAX(B22:D22)-MIN(B22:D22)</f>
        <v/>
      </c>
    </row>
    <row r="23" ht="15" customHeight="1">
      <c r="A23" s="5" t="inlineStr">
        <is>
          <t>Total Pagos</t>
        </is>
      </c>
      <c r="B23" s="36">
        <f>Cashflow_Integrado!J33</f>
        <v/>
      </c>
      <c r="C23" s="36">
        <f>Cashflow_Integrado!J33</f>
        <v/>
      </c>
      <c r="D23" s="36">
        <f>Cashflow_Integrado!J33*0.92</f>
        <v/>
      </c>
      <c r="E23" s="47">
        <f>MIN(B23:D23)</f>
        <v/>
      </c>
      <c r="F23" s="36">
        <f>MAX(B23:D23)-MIN(B23:D23)</f>
        <v/>
      </c>
    </row>
    <row r="24" ht="15" customHeight="1">
      <c r="A24" s="5" t="inlineStr">
        <is>
          <t>Pago Peak</t>
        </is>
      </c>
      <c r="B24" s="36">
        <f>Cashflow_Integrado!B37</f>
        <v/>
      </c>
      <c r="C24" s="36">
        <f>Cashflow_Integrado!B37</f>
        <v/>
      </c>
      <c r="D24" s="36">
        <f>Cashflow_Integrado!B37*1.15</f>
        <v/>
      </c>
      <c r="E24" s="47">
        <f>MIN(B24:D24)</f>
        <v/>
      </c>
      <c r="F24" s="36">
        <f>MAX(B24:D24)-MIN(B24:D24)</f>
        <v/>
      </c>
    </row>
    <row r="25" ht="15" customHeight="1">
      <c r="A25" s="5" t="inlineStr">
        <is>
          <t># Stockouts Esperados</t>
        </is>
      </c>
      <c r="B25" s="9" t="n">
        <v>0</v>
      </c>
      <c r="C25" s="9" t="n">
        <v>1</v>
      </c>
      <c r="D25" s="9" t="n">
        <v>3</v>
      </c>
      <c r="E25" s="48">
        <f>MIN(B25:D25)</f>
        <v/>
      </c>
      <c r="F25" s="22">
        <f>MAX(B25:D25)-MIN(B25:D25)</f>
        <v/>
      </c>
    </row>
    <row r="26" ht="15" customHeight="1">
      <c r="A26" s="5" t="inlineStr">
        <is>
          <t>Valor Esperado Pérdida</t>
        </is>
      </c>
      <c r="B26" s="36">
        <f>Riesgo_Proveedor_B!I14</f>
        <v/>
      </c>
      <c r="C26" s="36">
        <f>Riesgo_Proveedor_B!I14</f>
        <v/>
      </c>
      <c r="D26" s="36">
        <f>Riesgo_Proveedor_B!I14*2.5</f>
        <v/>
      </c>
      <c r="E26" s="47">
        <f>MIN(B26:D26)</f>
        <v/>
      </c>
      <c r="F26" s="36">
        <f>MAX(B26:D26)-MIN(B26:D26)</f>
        <v/>
      </c>
    </row>
    <row r="27" ht="15" customHeight="1">
      <c r="A27" s="5" t="inlineStr">
        <is>
          <t>Buffer Promedio (Q)</t>
        </is>
      </c>
      <c r="B27" s="9" t="n">
        <v>1.5</v>
      </c>
      <c r="C27" s="9" t="n">
        <v>1</v>
      </c>
      <c r="D27" s="9" t="n">
        <v>0.5</v>
      </c>
      <c r="E27" s="48">
        <f>MAX(B27:D27)</f>
        <v/>
      </c>
      <c r="F27" s="22">
        <f>MAX(B27:D27)-MIN(B27:D27)</f>
        <v/>
      </c>
    </row>
    <row r="29">
      <c r="A29" t="inlineStr">
        <is>
          <t>SENSIBILIDAD DEMANDA</t>
        </is>
      </c>
      <c r="D29" t="inlineStr">
        <is>
          <t>Factor Base</t>
        </is>
      </c>
      <c r="E29" t="n">
        <v>1</v>
      </c>
    </row>
    <row r="30">
      <c r="A30" t="inlineStr">
        <is>
          <t>Factor</t>
        </is>
      </c>
      <c r="B30" t="inlineStr">
        <is>
          <t>Costo Total</t>
        </is>
      </c>
      <c r="C30" t="inlineStr">
        <is>
          <t>Pago Peak</t>
        </is>
      </c>
    </row>
    <row r="31">
      <c r="B31">
        <f>Costos!F13</f>
        <v/>
      </c>
      <c r="C31">
        <f>Cashflow_Integrado!B30</f>
        <v/>
      </c>
    </row>
    <row r="32">
      <c r="A32" t="n">
        <v>0.9</v>
      </c>
      <c r="B32">
        <f t="dataTable" ref="B32:C34" dt2D="0" dtr="0" r1="E29"/>
        <v/>
      </c>
      <c r="C32" t="n">
        <v>324487.8</v>
      </c>
    </row>
    <row r="33">
      <c r="A33" t="n">
        <v>1</v>
      </c>
      <c r="B33" t="n">
        <v>516620.8</v>
      </c>
      <c r="C33" t="n">
        <v>355978.6</v>
      </c>
    </row>
    <row r="34">
      <c r="A34" t="n">
        <v>1.1</v>
      </c>
      <c r="B34" t="n">
        <v>540361.4</v>
      </c>
      <c r="C34" t="n">
        <v>387619.4</v>
      </c>
    </row>
  </sheetData>
  <mergeCells count="3">
    <mergeCell ref="A20:F20"/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Normal="100" workbookViewId="0">
      <selection activeCell="B5" sqref="B5"/>
    </sheetView>
  </sheetViews>
  <sheetFormatPr baseColWidth="10" defaultColWidth="8.6640625" defaultRowHeight="14.4"/>
  <cols>
    <col width="25.88671875" bestFit="1" customWidth="1" min="1" max="1"/>
    <col width="11.109375" bestFit="1" customWidth="1" min="2" max="2"/>
    <col width="10.109375" bestFit="1" customWidth="1" min="3" max="3"/>
    <col width="10.21875" bestFit="1" customWidth="1" min="4" max="4"/>
    <col width="11.21875" bestFit="1" customWidth="1" min="5" max="5"/>
    <col width="13.21875" bestFit="1" customWidth="1" min="6" max="6"/>
    <col width="14.109375" bestFit="1" customWidth="1" min="7" max="7"/>
    <col width="6.77734375" bestFit="1" customWidth="1" min="8" max="8"/>
    <col width="14" bestFit="1" customWidth="1" min="9" max="9"/>
    <col width="8.109375" bestFit="1" customWidth="1" min="10" max="10"/>
  </cols>
  <sheetData>
    <row r="1" ht="17.25" customHeight="1">
      <c r="A1" s="80" t="inlineStr">
        <is>
          <t>ANÁLISIS DE PROVEEDORES - Herramienta de Decisión</t>
        </is>
      </c>
    </row>
    <row r="2" ht="15" customHeight="1">
      <c r="A2" s="82" t="inlineStr">
        <is>
          <t>Compara costo total por proveedor según volumen y términos</t>
        </is>
      </c>
    </row>
    <row r="4" ht="15" customHeight="1">
      <c r="A4" s="77" t="inlineStr">
        <is>
          <t>PARTE A - Análisis Comparativo</t>
        </is>
      </c>
    </row>
    <row r="5" ht="15" customHeight="1">
      <c r="A5" t="inlineStr">
        <is>
          <t>Volumen a Comprar (batches):</t>
        </is>
      </c>
      <c r="B5" s="49">
        <f>SUM(Compras_y_Lotes!F18:F25)</f>
        <v/>
      </c>
    </row>
    <row r="7" ht="15" customHeight="1">
      <c r="A7" s="31" t="inlineStr">
        <is>
          <t>Proveedor</t>
        </is>
      </c>
      <c r="B7" s="31" t="inlineStr">
        <is>
          <t>Precio Base</t>
        </is>
      </c>
      <c r="C7" s="31" t="inlineStr">
        <is>
          <t>Descuento</t>
        </is>
      </c>
      <c r="D7" s="31" t="inlineStr">
        <is>
          <t>Discount Threshold (batches)</t>
        </is>
      </c>
      <c r="E7" s="31" t="inlineStr">
        <is>
          <t>Precio Final</t>
        </is>
      </c>
      <c r="F7" s="31" t="inlineStr">
        <is>
          <t>Costo Compra</t>
        </is>
      </c>
      <c r="G7" s="31" t="inlineStr">
        <is>
          <t>Términos Pago</t>
        </is>
      </c>
      <c r="H7" s="31" t="inlineStr">
        <is>
          <t>Riesgo</t>
        </is>
      </c>
      <c r="I7" s="31" t="inlineStr">
        <is>
          <t>Costo Ajustado</t>
        </is>
      </c>
      <c r="J7" s="31" t="inlineStr">
        <is>
          <t>Ranking</t>
        </is>
      </c>
    </row>
    <row r="8" ht="15" customHeight="1">
      <c r="A8" s="9" t="inlineStr">
        <is>
          <t>A</t>
        </is>
      </c>
      <c r="B8" s="44">
        <f>_xlfn.XLOOKUP(A8,Inputs!$A$66:$A$68,Inputs!$B$66:$B$68)</f>
        <v/>
      </c>
      <c r="C8" s="50">
        <f>IF(A8="B",IFERROR(VALUE(SUBSTITUTE(LEFT(Inputs!$D$67,FIND("%",Inputs!$D$67)-1),"%",""))/100,0),0)</f>
        <v/>
      </c>
      <c r="D8" s="9">
        <f>IF(A8="B",Inputs!$E$67,0)</f>
        <v/>
      </c>
      <c r="E8" s="36">
        <f>B8</f>
        <v/>
      </c>
      <c r="F8" s="36">
        <f>B5*E8</f>
        <v/>
      </c>
      <c r="G8" s="9">
        <f>_xlfn.XLOOKUP(A8,Inputs!$A$66:$A$68,Inputs!$C$66:$C$68)</f>
        <v/>
      </c>
      <c r="H8" s="9">
        <f>1-_xlfn.XLOOKUP(A8,Inputs!$A$66:$A$68,Inputs!$F$66:$F$68)</f>
        <v/>
      </c>
      <c r="I8" s="36">
        <f>F8</f>
        <v/>
      </c>
      <c r="J8" s="9" t="n">
        <v>0</v>
      </c>
    </row>
    <row r="9" ht="15" customHeight="1">
      <c r="A9" s="9" t="inlineStr">
        <is>
          <t>B</t>
        </is>
      </c>
      <c r="B9" s="44">
        <f>_xlfn.XLOOKUP(A9,Inputs!$A$66:$A$68,Inputs!$B$66:$B$68)</f>
        <v/>
      </c>
      <c r="C9" s="50">
        <f>IF(A9="B",IFERROR(VALUE(SUBSTITUTE(LEFT(Inputs!$D$67,FIND("%",Inputs!$D$67)-1),"%",""))/100,0),0)</f>
        <v/>
      </c>
      <c r="D9" s="9">
        <f>IF(A9="B",Inputs!$E$67,0)</f>
        <v/>
      </c>
      <c r="E9" s="36">
        <f>IF(B5&gt;0,F9/B5,B9)</f>
        <v/>
      </c>
      <c r="F9" s="36">
        <f>SUMPRODUCT(Compras_y_Lotes!F18:F25*(B9*(1-C9*(Compras_y_Lotes!F18:F25&gt;=D9))))</f>
        <v/>
      </c>
      <c r="G9" s="9">
        <f>_xlfn.XLOOKUP(A9,Inputs!$A$66:$A$68,Inputs!$C$66:$C$68)</f>
        <v/>
      </c>
      <c r="H9" s="9">
        <f>1-_xlfn.XLOOKUP(A9,Inputs!$A$66:$A$68,Inputs!$F$66:$F$68)</f>
        <v/>
      </c>
      <c r="I9" s="36">
        <f>F9*1.05</f>
        <v/>
      </c>
      <c r="J9" s="9" t="n">
        <v>0</v>
      </c>
    </row>
    <row r="10" ht="15" customHeight="1">
      <c r="A10" s="9" t="inlineStr">
        <is>
          <t>C</t>
        </is>
      </c>
      <c r="B10" s="44">
        <f>_xlfn.XLOOKUP(A10,Inputs!$A$66:$A$68,Inputs!$B$66:$B$68)</f>
        <v/>
      </c>
      <c r="C10" s="50">
        <f>IF(A10="B",IFERROR(VALUE(SUBSTITUTE(LEFT(Inputs!$D$67,FIND("%",Inputs!$D$67)-1),"%",""))/100,0),0)</f>
        <v/>
      </c>
      <c r="D10" s="9">
        <f>IF(A10="B",Inputs!$E$67,0)</f>
        <v/>
      </c>
      <c r="E10" s="36">
        <f>B10</f>
        <v/>
      </c>
      <c r="F10" s="36">
        <f>B5*E10</f>
        <v/>
      </c>
      <c r="G10" s="9">
        <f>_xlfn.XLOOKUP(A10,Inputs!$A$66:$A$68,Inputs!$C$66:$C$68)</f>
        <v/>
      </c>
      <c r="H10" s="9">
        <f>1-_xlfn.XLOOKUP(A10,Inputs!$A$66:$A$68,Inputs!$F$66:$F$68)</f>
        <v/>
      </c>
      <c r="I10" s="36">
        <f>F10*0.97</f>
        <v/>
      </c>
      <c r="J10" s="9" t="n">
        <v>0</v>
      </c>
    </row>
    <row r="11" ht="15" customHeight="1">
      <c r="A11" s="84" t="inlineStr">
        <is>
          <t>RECOMENDACIÓN:</t>
        </is>
      </c>
      <c r="B11" s="51">
        <f>INDEX(A8:A10,MATCH(MIN(I8:I10),I8:I10,0))</f>
        <v/>
      </c>
    </row>
    <row r="14" ht="15" customHeight="1">
      <c r="A14" s="77" t="inlineStr">
        <is>
          <t>PARTE B - Análisis Comparativo</t>
        </is>
      </c>
    </row>
    <row r="15" ht="15" customHeight="1">
      <c r="A15" t="inlineStr">
        <is>
          <t>Volumen a Comprar (batches):</t>
        </is>
      </c>
      <c r="B15" s="49">
        <f>SUM(Compras_y_Lotes!F26:F33)</f>
        <v/>
      </c>
    </row>
    <row r="17" ht="15" customHeight="1">
      <c r="A17" s="8" t="inlineStr">
        <is>
          <t>Proveedor</t>
        </is>
      </c>
      <c r="B17" s="8" t="inlineStr">
        <is>
          <t>Precio Base</t>
        </is>
      </c>
      <c r="C17" s="8" t="inlineStr">
        <is>
          <t>Descuento</t>
        </is>
      </c>
      <c r="D17" s="8" t="inlineStr">
        <is>
          <t>Discount Threshold (batches)</t>
        </is>
      </c>
      <c r="E17" s="8" t="inlineStr">
        <is>
          <t>Precio Final</t>
        </is>
      </c>
      <c r="F17" s="8" t="inlineStr">
        <is>
          <t>Costo Compra</t>
        </is>
      </c>
      <c r="G17" s="8" t="inlineStr">
        <is>
          <t>Términos Pago</t>
        </is>
      </c>
      <c r="H17" s="8" t="inlineStr">
        <is>
          <t>Riesgo</t>
        </is>
      </c>
      <c r="I17" s="8" t="inlineStr">
        <is>
          <t>Costo Ajustado</t>
        </is>
      </c>
      <c r="J17" s="8" t="inlineStr">
        <is>
          <t>Ranking</t>
        </is>
      </c>
    </row>
    <row r="18" ht="15" customHeight="1">
      <c r="A18" s="9" t="inlineStr">
        <is>
          <t>A</t>
        </is>
      </c>
      <c r="B18" s="44">
        <f>_xlfn.XLOOKUP(A18,Inputs!$A$74:$A$76,Inputs!$B$74:$B$76)</f>
        <v/>
      </c>
      <c r="C18" s="50">
        <f>IF(A18="B",IFERROR(VALUE(SUBSTITUTE(LEFT(Inputs!$D$75,FIND("%",Inputs!$D$75)-1),"%",""))/100,0),0)</f>
        <v/>
      </c>
      <c r="D18" s="9">
        <f>IF(A18="B",Inputs!$E$75,0)</f>
        <v/>
      </c>
      <c r="E18" s="36">
        <f>B18</f>
        <v/>
      </c>
      <c r="F18" s="36">
        <f>B15*E18</f>
        <v/>
      </c>
      <c r="G18" s="9">
        <f>_xlfn.XLOOKUP(A18,Inputs!$A$74:$A$76,Inputs!$C$74:$C$76)</f>
        <v/>
      </c>
      <c r="H18" s="9">
        <f>1-_xlfn.XLOOKUP(A18,Inputs!$A$74:$A$76,Inputs!$F$74:$F$76)</f>
        <v/>
      </c>
      <c r="I18" s="36">
        <f>F18</f>
        <v/>
      </c>
      <c r="J18" s="9" t="n">
        <v>0</v>
      </c>
    </row>
    <row r="19" ht="15" customHeight="1">
      <c r="A19" s="9" t="inlineStr">
        <is>
          <t>B</t>
        </is>
      </c>
      <c r="B19" s="44">
        <f>_xlfn.XLOOKUP(A19,Inputs!$A$74:$A$76,Inputs!$B$74:$B$76)</f>
        <v/>
      </c>
      <c r="C19" s="50">
        <f>IF(A19="B",IFERROR(VALUE(SUBSTITUTE(LEFT(Inputs!$D$75,FIND("%",Inputs!$D$75)-1),"%",""))/100,0),0)</f>
        <v/>
      </c>
      <c r="D19" s="9">
        <f>IF(A19="B",Inputs!$E$75,0)</f>
        <v/>
      </c>
      <c r="E19" s="36">
        <f>IF(B15&gt;0,F19/B15,B19)</f>
        <v/>
      </c>
      <c r="F19" s="36">
        <f>SUMPRODUCT(Compras_y_Lotes!F26:F33*(B19*(1-C19*(Compras_y_Lotes!F26:F33&gt;=D19))))</f>
        <v/>
      </c>
      <c r="G19" s="9">
        <f>_xlfn.XLOOKUP(A19,Inputs!$A$74:$A$76,Inputs!$C$74:$C$76)</f>
        <v/>
      </c>
      <c r="H19" s="9">
        <f>1-_xlfn.XLOOKUP(A19,Inputs!$A$74:$A$76,Inputs!$F$74:$F$76)</f>
        <v/>
      </c>
      <c r="I19" s="36">
        <f>F19*1.05</f>
        <v/>
      </c>
      <c r="J19" s="9" t="n">
        <v>0</v>
      </c>
    </row>
    <row r="20" ht="15" customHeight="1">
      <c r="A20" s="9" t="inlineStr">
        <is>
          <t>C</t>
        </is>
      </c>
      <c r="B20" s="44">
        <f>_xlfn.XLOOKUP(A20,Inputs!$A$74:$A$76,Inputs!$B$74:$B$76)</f>
        <v/>
      </c>
      <c r="C20" s="50">
        <f>IF(A20="B",IFERROR(VALUE(SUBSTITUTE(LEFT(Inputs!$D$75,FIND("%",Inputs!$D$75)-1),"%",""))/100,0),0)</f>
        <v/>
      </c>
      <c r="D20" s="9">
        <f>IF(A20="B",Inputs!$E$75,0)</f>
        <v/>
      </c>
      <c r="E20" s="36">
        <f>B20</f>
        <v/>
      </c>
      <c r="F20" s="36">
        <f>B15*E20</f>
        <v/>
      </c>
      <c r="G20" s="9">
        <f>_xlfn.XLOOKUP(A20,Inputs!$A$74:$A$76,Inputs!$C$74:$C$76)</f>
        <v/>
      </c>
      <c r="H20" s="9">
        <f>1-_xlfn.XLOOKUP(A20,Inputs!$A$74:$A$76,Inputs!$F$74:$F$76)</f>
        <v/>
      </c>
      <c r="I20" s="36">
        <f>F20*0.97</f>
        <v/>
      </c>
      <c r="J20" s="9" t="n">
        <v>0</v>
      </c>
    </row>
    <row r="21" ht="15" customHeight="1">
      <c r="A21" s="84" t="inlineStr">
        <is>
          <t>RECOMENDACIÓN:</t>
        </is>
      </c>
      <c r="B21" s="52">
        <f>INDEX(A18:A20,MATCH(MIN(I18:I20),I18:I20,0))</f>
        <v/>
      </c>
    </row>
  </sheetData>
  <mergeCells count="4">
    <mergeCell ref="A1:J1"/>
    <mergeCell ref="A4:J4"/>
    <mergeCell ref="A14:J14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zoomScaleNormal="100" workbookViewId="0">
      <selection activeCell="F16" sqref="F16"/>
    </sheetView>
  </sheetViews>
  <sheetFormatPr baseColWidth="10" defaultColWidth="8.6640625" defaultRowHeight="14.4"/>
  <cols>
    <col width="25.21875" bestFit="1" customWidth="1" min="1" max="1"/>
    <col width="30" bestFit="1" customWidth="1" min="2" max="2"/>
  </cols>
  <sheetData>
    <row r="1" ht="24.75" customHeight="1">
      <c r="A1" s="88" t="inlineStr">
        <is>
          <t>DASHBOARD - Purchasing Manager</t>
        </is>
      </c>
    </row>
    <row r="3" ht="15" customHeight="1">
      <c r="A3" s="77" t="inlineStr">
        <is>
          <t>INDICADORES CLAVE (KPIs)</t>
        </is>
      </c>
    </row>
    <row r="5" ht="15" customHeight="1">
      <c r="A5" s="53" t="inlineStr">
        <is>
          <t>Costo Total de Compras:</t>
        </is>
      </c>
      <c r="B5" s="54">
        <f>Costos!F13</f>
        <v/>
      </c>
    </row>
    <row r="6" ht="15" customHeight="1">
      <c r="A6" s="53" t="inlineStr">
        <is>
          <t>Total Pagos Periodo:</t>
        </is>
      </c>
      <c r="B6" s="54">
        <f>Cashflow_Compras!J9</f>
        <v/>
      </c>
    </row>
    <row r="7" ht="15" customHeight="1">
      <c r="A7" s="53" t="inlineStr">
        <is>
          <t># Pedidos Totales:</t>
        </is>
      </c>
      <c r="B7" s="7">
        <f>SUM(Costos!C5:C12)</f>
        <v/>
      </c>
      <c r="C7" s="82" t="inlineStr">
        <is>
          <t>pedidos</t>
        </is>
      </c>
    </row>
    <row r="8" ht="15" customHeight="1">
      <c r="A8" s="53" t="inlineStr">
        <is>
          <t>Pago Pico (Max en una Q):</t>
        </is>
      </c>
      <c r="B8" s="54">
        <f>MAX(Cashflow_Compras!B9:I9)</f>
        <v/>
      </c>
    </row>
    <row r="9" ht="15" customHeight="1">
      <c r="A9" s="53" t="n"/>
    </row>
    <row r="10" ht="15" customHeight="1">
      <c r="A10" s="53" t="inlineStr">
        <is>
          <t>Inventario Negativo:</t>
        </is>
      </c>
      <c r="B10" s="55" t="inlineStr">
        <is>
          <t>TBD</t>
        </is>
      </c>
      <c r="C10" s="82" t="inlineStr">
        <is>
          <t>materiales</t>
        </is>
      </c>
    </row>
    <row r="11" ht="15" customHeight="1">
      <c r="A11" s="53" t="inlineStr">
        <is>
          <t>Stock &lt; Safety:</t>
        </is>
      </c>
      <c r="B11" s="55" t="inlineStr">
        <is>
          <t>TBD</t>
        </is>
      </c>
      <c r="C11" s="82" t="inlineStr">
        <is>
          <t>materiales</t>
        </is>
      </c>
    </row>
    <row r="14" ht="15" customHeight="1">
      <c r="A14" s="77" t="inlineStr">
        <is>
          <t>ESTRATEGIA ACTUAL</t>
        </is>
      </c>
    </row>
    <row r="16" ht="15" customHeight="1">
      <c r="A16" s="53" t="inlineStr">
        <is>
          <t>Proveedor Parte A:</t>
        </is>
      </c>
      <c r="B16" s="56">
        <f>Inputs!B58</f>
        <v/>
      </c>
    </row>
    <row r="17" ht="15" customHeight="1">
      <c r="A17" s="53" t="inlineStr">
        <is>
          <t>Proveedor Parte B:</t>
        </is>
      </c>
      <c r="B17" s="56">
        <f>Inputs!B69</f>
        <v/>
      </c>
    </row>
    <row r="18" ht="15" customHeight="1">
      <c r="A18" s="53" t="inlineStr">
        <is>
          <t>Escenario:</t>
        </is>
      </c>
      <c r="B18" s="56">
        <f>Escenarios!B4</f>
        <v/>
      </c>
    </row>
    <row r="25" ht="15" customHeight="1">
      <c r="A25" s="89" t="inlineStr">
        <is>
          <t>⚠️ ALERTAS CRÍTICAS</t>
        </is>
      </c>
    </row>
    <row r="27" ht="15" customHeight="1">
      <c r="A27" s="53" t="inlineStr">
        <is>
          <t>Materiales con Inv &lt; Buffer:</t>
        </is>
      </c>
      <c r="B27" s="57">
        <f>COUNTIF(Inventario_Dinamico!J55:J62,"&lt;0")</f>
        <v/>
      </c>
      <c r="C27" s="82" t="inlineStr">
        <is>
          <t>materiales</t>
        </is>
      </c>
    </row>
    <row r="28" ht="15" customHeight="1">
      <c r="A28" s="53" t="inlineStr">
        <is>
          <t>Riesgo por Proveedor B:</t>
        </is>
      </c>
      <c r="B28" s="57">
        <f>IF(OR(Inputs!B58="B",Inputs!B69="B"),"SÍ - REVISAR","NO")</f>
        <v/>
      </c>
    </row>
    <row r="29" ht="15" customHeight="1">
      <c r="A29" s="53" t="inlineStr">
        <is>
          <t>Cashflow Peak &gt; $100k:</t>
        </is>
      </c>
      <c r="B29" s="57">
        <f>IF(Cashflow_Integrado!B37&gt;100000,"SÍ - ALERTA","NO")</f>
        <v/>
      </c>
    </row>
  </sheetData>
  <mergeCells count="4">
    <mergeCell ref="A3:H3"/>
    <mergeCell ref="A14:H14"/>
    <mergeCell ref="A25:F25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3"/>
  <sheetViews>
    <sheetView zoomScaleNormal="100" workbookViewId="0">
      <selection activeCell="E6" sqref="E6"/>
    </sheetView>
  </sheetViews>
  <sheetFormatPr baseColWidth="10" defaultColWidth="8.6640625" defaultRowHeight="14.4"/>
  <cols>
    <col width="30" bestFit="1" customWidth="1" min="1" max="1"/>
    <col width="17.21875" bestFit="1" customWidth="1" min="2" max="2"/>
    <col width="14.6640625" bestFit="1" customWidth="1" min="3" max="3"/>
    <col width="12" bestFit="1" customWidth="1" min="4" max="4"/>
    <col width="24.33203125" bestFit="1" customWidth="1" min="5" max="5"/>
    <col width="21.88671875" bestFit="1" customWidth="1" min="6" max="6"/>
    <col width="18.6640625" bestFit="1" customWidth="1" min="7" max="7"/>
    <col width="21.33203125" bestFit="1" customWidth="1" min="8" max="8"/>
    <col width="21.88671875" bestFit="1" customWidth="1" min="9" max="9"/>
  </cols>
  <sheetData>
    <row r="1" ht="17.25" customHeight="1">
      <c r="A1" s="91" t="inlineStr">
        <is>
          <t>ANÁLISIS DE RIESGO - PROVEEDOR B</t>
        </is>
      </c>
    </row>
    <row r="2" ht="15" customHeight="1">
      <c r="A2" s="92" t="inlineStr">
        <is>
          <t>CRÍTICO: Proveedor B tiene 20% probabilidad de NO ENTREGAR (sin pago, pero SIN producción)</t>
        </is>
      </c>
    </row>
    <row r="4" ht="15" customHeight="1">
      <c r="A4" s="77" t="inlineStr">
        <is>
          <t>PARÁMETROS DE RIESGO</t>
        </is>
      </c>
    </row>
    <row r="6" ht="15" customHeight="1">
      <c r="A6" s="8" t="inlineStr">
        <is>
          <t>Parámetro</t>
        </is>
      </c>
      <c r="B6" s="8" t="inlineStr">
        <is>
          <t>Valor</t>
        </is>
      </c>
      <c r="C6" s="8" t="inlineStr">
        <is>
          <t>Fuente</t>
        </is>
      </c>
    </row>
    <row r="7" ht="15" customHeight="1">
      <c r="A7" s="9" t="inlineStr">
        <is>
          <t>Prob. Incumplimiento Prov. B</t>
        </is>
      </c>
      <c r="B7" s="58" t="n">
        <v>0.2</v>
      </c>
      <c r="C7" s="9" t="inlineStr">
        <is>
          <t>EXSIM Rules</t>
        </is>
      </c>
    </row>
    <row r="8" ht="15" customHeight="1">
      <c r="A8" s="9" t="inlineStr">
        <is>
          <t>Costo Oportunidad ($/EC perdido)</t>
        </is>
      </c>
      <c r="B8" s="34" t="n">
        <v>150</v>
      </c>
      <c r="C8" s="9" t="inlineStr">
        <is>
          <t>Margin estimado</t>
        </is>
      </c>
    </row>
    <row r="9" ht="15" customHeight="1">
      <c r="A9" s="9" t="inlineStr">
        <is>
          <t>Lead time recuperación (Q)</t>
        </is>
      </c>
      <c r="B9" s="34" t="n">
        <v>1</v>
      </c>
      <c r="C9" s="9" t="inlineStr">
        <is>
          <t>Assumption</t>
        </is>
      </c>
    </row>
    <row r="12" ht="15" customHeight="1">
      <c r="A12" s="77" t="inlineStr">
        <is>
          <t>ANÁLISIS DE IMPACTO POR MATERIAL (si usas Proveedor B)</t>
        </is>
      </c>
    </row>
    <row r="13" ht="23.25" customHeight="1">
      <c r="A13" s="31" t="inlineStr">
        <is>
          <t>Material</t>
        </is>
      </c>
      <c r="B13" s="31" t="inlineStr">
        <is>
          <t>Proveedor Elegido</t>
        </is>
      </c>
      <c r="C13" s="31" t="inlineStr">
        <is>
          <t>Total Lotes P7</t>
        </is>
      </c>
      <c r="D13" s="31" t="inlineStr">
        <is>
          <t>Prob. Falla</t>
        </is>
      </c>
      <c r="E13" s="31" t="inlineStr">
        <is>
          <t>Lotes Perdidos (Esperado)</t>
        </is>
      </c>
      <c r="F13" s="31" t="inlineStr">
        <is>
          <t>Unidades Perdidas</t>
        </is>
      </c>
      <c r="G13" s="31" t="inlineStr">
        <is>
          <t>EC Sin Producir</t>
        </is>
      </c>
      <c r="H13" s="31" t="inlineStr">
        <is>
          <t>Costo Oportunidad</t>
        </is>
      </c>
      <c r="I13" s="31" t="inlineStr">
        <is>
          <t>Valor Esperado Pérdida</t>
        </is>
      </c>
    </row>
    <row r="14" ht="15" customHeight="1">
      <c r="A14" s="9" t="inlineStr">
        <is>
          <t>Parte A</t>
        </is>
      </c>
      <c r="B14" s="59">
        <f>Inputs!B69</f>
        <v/>
      </c>
      <c r="C14" s="32">
        <f>SUM(Compras_y_Lotes!F18:F25)</f>
        <v/>
      </c>
      <c r="D14" s="60">
        <f>IF(B14="B",$B$7,0)</f>
        <v/>
      </c>
      <c r="E14" s="61">
        <f>C14*D14</f>
        <v/>
      </c>
      <c r="F14" s="33">
        <f>E14*Inputs!B35</f>
        <v/>
      </c>
      <c r="G14" s="62">
        <f>F14/Inputs!B23</f>
        <v/>
      </c>
      <c r="H14" s="36">
        <f>G14*$B$8</f>
        <v/>
      </c>
      <c r="I14" s="63">
        <f>H14</f>
        <v/>
      </c>
    </row>
    <row r="15" ht="15" customHeight="1">
      <c r="A15" s="9" t="inlineStr">
        <is>
          <t>Parte B</t>
        </is>
      </c>
      <c r="B15" s="59">
        <f>Inputs!B77</f>
        <v/>
      </c>
      <c r="C15" s="32">
        <f>SUM(Compras_y_Lotes!F26:F33)</f>
        <v/>
      </c>
      <c r="D15" s="60">
        <f>IF(B15="B",$B$7,0)</f>
        <v/>
      </c>
      <c r="E15" s="61">
        <f>C15*D15</f>
        <v/>
      </c>
      <c r="F15" s="33">
        <f>E15*Inputs!B36</f>
        <v/>
      </c>
      <c r="G15" s="62">
        <f>F15/Inputs!B24</f>
        <v/>
      </c>
      <c r="H15" s="36">
        <f>G15*$B$8</f>
        <v/>
      </c>
      <c r="I15" s="63">
        <f>H15</f>
        <v/>
      </c>
    </row>
    <row r="18" ht="15" customHeight="1">
      <c r="A18" s="77" t="inlineStr">
        <is>
          <t>DECISIÓN: PROVEEDOR A vs B (Análisis Ajustado por Riesgo)</t>
        </is>
      </c>
    </row>
    <row r="19" ht="15" customHeight="1">
      <c r="A19" s="8" t="inlineStr">
        <is>
          <t>Material</t>
        </is>
      </c>
      <c r="B19" s="8" t="inlineStr">
        <is>
          <t>Proveedor</t>
        </is>
      </c>
      <c r="C19" s="8" t="inlineStr">
        <is>
          <t>Costo Compra</t>
        </is>
      </c>
      <c r="D19" s="8" t="inlineStr">
        <is>
          <t>Descuento</t>
        </is>
      </c>
      <c r="E19" s="8" t="inlineStr">
        <is>
          <t>Ahorro</t>
        </is>
      </c>
      <c r="F19" s="8" t="inlineStr">
        <is>
          <t>Valor Esperado Pérdida</t>
        </is>
      </c>
      <c r="G19" s="8" t="inlineStr">
        <is>
          <t>Costo Neto Ajustado</t>
        </is>
      </c>
      <c r="H19" s="8" t="inlineStr">
        <is>
          <t>Decisión Recomendada</t>
        </is>
      </c>
    </row>
    <row r="20" ht="15" customHeight="1">
      <c r="A20" s="9" t="inlineStr">
        <is>
          <t>Parte A</t>
        </is>
      </c>
      <c r="B20" s="10" t="inlineStr">
        <is>
          <t>A</t>
        </is>
      </c>
      <c r="C20" s="36">
        <f>SUM(Compras_y_Lotes!I18:I25)</f>
        <v/>
      </c>
      <c r="D20" s="50" t="n">
        <v>0</v>
      </c>
      <c r="E20" s="44" t="n">
        <v>0</v>
      </c>
      <c r="F20" s="44" t="n">
        <v>0</v>
      </c>
      <c r="G20" s="36">
        <f>C20+F20</f>
        <v/>
      </c>
      <c r="H20" s="90" t="n"/>
    </row>
    <row r="21" ht="15" customHeight="1">
      <c r="A21" s="9" t="n"/>
      <c r="B21" s="10" t="inlineStr">
        <is>
          <t>B</t>
        </is>
      </c>
      <c r="C21" s="36">
        <f>IF(SUM(Compras_y_Lotes!F18:F25)&gt;=150,C20*(1-0.16),C20)</f>
        <v/>
      </c>
      <c r="D21" s="50" t="n">
        <v>0.16</v>
      </c>
      <c r="E21" s="64">
        <f>C20-C21</f>
        <v/>
      </c>
      <c r="F21" s="65">
        <f>I14</f>
        <v/>
      </c>
      <c r="G21" s="36">
        <f>C21+F21</f>
        <v/>
      </c>
      <c r="H21" s="99" t="n"/>
    </row>
    <row r="22" ht="15" customHeight="1">
      <c r="A22" s="9" t="inlineStr">
        <is>
          <t>Parte B</t>
        </is>
      </c>
      <c r="B22" s="10" t="inlineStr">
        <is>
          <t>A</t>
        </is>
      </c>
      <c r="C22" s="36">
        <f>SUM(Compras_y_Lotes!I26:I33)</f>
        <v/>
      </c>
      <c r="D22" s="50" t="n">
        <v>0</v>
      </c>
      <c r="E22" s="44" t="n">
        <v>0</v>
      </c>
      <c r="F22" s="44" t="n">
        <v>0</v>
      </c>
      <c r="G22" s="36">
        <f>C22+F22</f>
        <v/>
      </c>
      <c r="H22" s="90" t="n"/>
    </row>
    <row r="23" ht="15" customHeight="1">
      <c r="A23" s="9" t="n"/>
      <c r="B23" s="10" t="inlineStr">
        <is>
          <t>B</t>
        </is>
      </c>
      <c r="C23" s="36">
        <f>IF(SUM(Compras_y_Lotes!F26:F33)&gt;=80,C22*(1-0.2),C22)</f>
        <v/>
      </c>
      <c r="D23" s="50" t="n">
        <v>0.2</v>
      </c>
      <c r="E23" s="64">
        <f>C22-C23</f>
        <v/>
      </c>
      <c r="F23" s="65">
        <f>I15</f>
        <v/>
      </c>
      <c r="G23" s="36">
        <f>C23+F23</f>
        <v/>
      </c>
      <c r="H23" s="99" t="n"/>
    </row>
    <row r="25">
      <c r="A25" t="inlineStr">
        <is>
          <t>MONTE CARLO - COSTO ESPERADO</t>
        </is>
      </c>
    </row>
    <row r="26">
      <c r="A26" t="inlineStr">
        <is>
          <t>Costo Base</t>
        </is>
      </c>
      <c r="B26">
        <f>Costos!F13</f>
        <v/>
      </c>
    </row>
    <row r="27">
      <c r="A27" t="inlineStr">
        <is>
          <t>Stockout si falla A</t>
        </is>
      </c>
      <c r="B27">
        <f>IF(B14="B",SUM(Compras_y_Lotes!F18:F25)*Inputs!B35/Inputs!B23*$B$8,0)</f>
        <v/>
      </c>
    </row>
    <row r="28">
      <c r="A28" t="inlineStr">
        <is>
          <t>Stockout si falla B</t>
        </is>
      </c>
      <c r="B28">
        <f>IF(B15="B",SUM(Compras_y_Lotes!F26:F33)*Inputs!B36/Inputs!B24*$B$8,0)</f>
        <v/>
      </c>
    </row>
    <row r="29">
      <c r="A29" t="inlineStr">
        <is>
          <t>Simulacion (100 corridas)</t>
        </is>
      </c>
    </row>
    <row r="30">
      <c r="A30" t="inlineStr">
        <is>
          <t>Corrida</t>
        </is>
      </c>
      <c r="B30" t="inlineStr">
        <is>
          <t>Falla A</t>
        </is>
      </c>
      <c r="C30" t="inlineStr">
        <is>
          <t>Falla B</t>
        </is>
      </c>
      <c r="D30" t="inlineStr">
        <is>
          <t>Costo Total</t>
        </is>
      </c>
    </row>
    <row r="31">
      <c r="A31">
        <f>ROW()-30</f>
        <v/>
      </c>
      <c r="B31">
        <f>IF($B$14="B",--(RAND()&lt;=$B$7),0)</f>
        <v/>
      </c>
      <c r="C31">
        <f>IF($B$15="B",--(RAND()&lt;=$B$7),0)</f>
        <v/>
      </c>
      <c r="D31">
        <f>$B$26+B31*$B$27+C31*$B$28</f>
        <v/>
      </c>
    </row>
    <row r="32">
      <c r="A32">
        <f>ROW()-30</f>
        <v/>
      </c>
      <c r="B32">
        <f>IF($B$14="B",--(RAND()&lt;=$B$7),0)</f>
        <v/>
      </c>
      <c r="C32">
        <f>IF($B$15="B",--(RAND()&lt;=$B$7),0)</f>
        <v/>
      </c>
      <c r="D32">
        <f>$B$26+B32*$B$27+C32*$B$28</f>
        <v/>
      </c>
    </row>
    <row r="33">
      <c r="A33">
        <f>ROW()-30</f>
        <v/>
      </c>
      <c r="B33">
        <f>IF($B$14="B",--(RAND()&lt;=$B$7),0)</f>
        <v/>
      </c>
      <c r="C33">
        <f>IF($B$15="B",--(RAND()&lt;=$B$7),0)</f>
        <v/>
      </c>
      <c r="D33">
        <f>$B$26+B33*$B$27+C33*$B$28</f>
        <v/>
      </c>
    </row>
    <row r="34">
      <c r="A34">
        <f>ROW()-30</f>
        <v/>
      </c>
      <c r="B34">
        <f>IF($B$14="B",--(RAND()&lt;=$B$7),0)</f>
        <v/>
      </c>
      <c r="C34">
        <f>IF($B$15="B",--(RAND()&lt;=$B$7),0)</f>
        <v/>
      </c>
      <c r="D34">
        <f>$B$26+B34*$B$27+C34*$B$28</f>
        <v/>
      </c>
    </row>
    <row r="35">
      <c r="A35">
        <f>ROW()-30</f>
        <v/>
      </c>
      <c r="B35">
        <f>IF($B$14="B",--(RAND()&lt;=$B$7),0)</f>
        <v/>
      </c>
      <c r="C35">
        <f>IF($B$15="B",--(RAND()&lt;=$B$7),0)</f>
        <v/>
      </c>
      <c r="D35">
        <f>$B$26+B35*$B$27+C35*$B$28</f>
        <v/>
      </c>
    </row>
    <row r="36">
      <c r="A36">
        <f>ROW()-30</f>
        <v/>
      </c>
      <c r="B36">
        <f>IF($B$14="B",--(RAND()&lt;=$B$7),0)</f>
        <v/>
      </c>
      <c r="C36">
        <f>IF($B$15="B",--(RAND()&lt;=$B$7),0)</f>
        <v/>
      </c>
      <c r="D36">
        <f>$B$26+B36*$B$27+C36*$B$28</f>
        <v/>
      </c>
    </row>
    <row r="37">
      <c r="A37">
        <f>ROW()-30</f>
        <v/>
      </c>
      <c r="B37">
        <f>IF($B$14="B",--(RAND()&lt;=$B$7),0)</f>
        <v/>
      </c>
      <c r="C37">
        <f>IF($B$15="B",--(RAND()&lt;=$B$7),0)</f>
        <v/>
      </c>
      <c r="D37">
        <f>$B$26+B37*$B$27+C37*$B$28</f>
        <v/>
      </c>
    </row>
    <row r="38">
      <c r="A38">
        <f>ROW()-30</f>
        <v/>
      </c>
      <c r="B38">
        <f>IF($B$14="B",--(RAND()&lt;=$B$7),0)</f>
        <v/>
      </c>
      <c r="C38">
        <f>IF($B$15="B",--(RAND()&lt;=$B$7),0)</f>
        <v/>
      </c>
      <c r="D38">
        <f>$B$26+B38*$B$27+C38*$B$28</f>
        <v/>
      </c>
    </row>
    <row r="39">
      <c r="A39">
        <f>ROW()-30</f>
        <v/>
      </c>
      <c r="B39">
        <f>IF($B$14="B",--(RAND()&lt;=$B$7),0)</f>
        <v/>
      </c>
      <c r="C39">
        <f>IF($B$15="B",--(RAND()&lt;=$B$7),0)</f>
        <v/>
      </c>
      <c r="D39">
        <f>$B$26+B39*$B$27+C39*$B$28</f>
        <v/>
      </c>
    </row>
    <row r="40">
      <c r="A40">
        <f>ROW()-30</f>
        <v/>
      </c>
      <c r="B40">
        <f>IF($B$14="B",--(RAND()&lt;=$B$7),0)</f>
        <v/>
      </c>
      <c r="C40">
        <f>IF($B$15="B",--(RAND()&lt;=$B$7),0)</f>
        <v/>
      </c>
      <c r="D40">
        <f>$B$26+B40*$B$27+C40*$B$28</f>
        <v/>
      </c>
    </row>
    <row r="41">
      <c r="A41">
        <f>ROW()-30</f>
        <v/>
      </c>
      <c r="B41">
        <f>IF($B$14="B",--(RAND()&lt;=$B$7),0)</f>
        <v/>
      </c>
      <c r="C41">
        <f>IF($B$15="B",--(RAND()&lt;=$B$7),0)</f>
        <v/>
      </c>
      <c r="D41">
        <f>$B$26+B41*$B$27+C41*$B$28</f>
        <v/>
      </c>
    </row>
    <row r="42">
      <c r="A42">
        <f>ROW()-30</f>
        <v/>
      </c>
      <c r="B42">
        <f>IF($B$14="B",--(RAND()&lt;=$B$7),0)</f>
        <v/>
      </c>
      <c r="C42">
        <f>IF($B$15="B",--(RAND()&lt;=$B$7),0)</f>
        <v/>
      </c>
      <c r="D42">
        <f>$B$26+B42*$B$27+C42*$B$28</f>
        <v/>
      </c>
    </row>
    <row r="43">
      <c r="A43">
        <f>ROW()-30</f>
        <v/>
      </c>
      <c r="B43">
        <f>IF($B$14="B",--(RAND()&lt;=$B$7),0)</f>
        <v/>
      </c>
      <c r="C43">
        <f>IF($B$15="B",--(RAND()&lt;=$B$7),0)</f>
        <v/>
      </c>
      <c r="D43">
        <f>$B$26+B43*$B$27+C43*$B$28</f>
        <v/>
      </c>
    </row>
    <row r="44">
      <c r="A44">
        <f>ROW()-30</f>
        <v/>
      </c>
      <c r="B44">
        <f>IF($B$14="B",--(RAND()&lt;=$B$7),0)</f>
        <v/>
      </c>
      <c r="C44">
        <f>IF($B$15="B",--(RAND()&lt;=$B$7),0)</f>
        <v/>
      </c>
      <c r="D44">
        <f>$B$26+B44*$B$27+C44*$B$28</f>
        <v/>
      </c>
    </row>
    <row r="45">
      <c r="A45">
        <f>ROW()-30</f>
        <v/>
      </c>
      <c r="B45">
        <f>IF($B$14="B",--(RAND()&lt;=$B$7),0)</f>
        <v/>
      </c>
      <c r="C45">
        <f>IF($B$15="B",--(RAND()&lt;=$B$7),0)</f>
        <v/>
      </c>
      <c r="D45">
        <f>$B$26+B45*$B$27+C45*$B$28</f>
        <v/>
      </c>
    </row>
    <row r="46">
      <c r="A46">
        <f>ROW()-30</f>
        <v/>
      </c>
      <c r="B46">
        <f>IF($B$14="B",--(RAND()&lt;=$B$7),0)</f>
        <v/>
      </c>
      <c r="C46">
        <f>IF($B$15="B",--(RAND()&lt;=$B$7),0)</f>
        <v/>
      </c>
      <c r="D46">
        <f>$B$26+B46*$B$27+C46*$B$28</f>
        <v/>
      </c>
    </row>
    <row r="47">
      <c r="A47">
        <f>ROW()-30</f>
        <v/>
      </c>
      <c r="B47">
        <f>IF($B$14="B",--(RAND()&lt;=$B$7),0)</f>
        <v/>
      </c>
      <c r="C47">
        <f>IF($B$15="B",--(RAND()&lt;=$B$7),0)</f>
        <v/>
      </c>
      <c r="D47">
        <f>$B$26+B47*$B$27+C47*$B$28</f>
        <v/>
      </c>
    </row>
    <row r="48">
      <c r="A48">
        <f>ROW()-30</f>
        <v/>
      </c>
      <c r="B48">
        <f>IF($B$14="B",--(RAND()&lt;=$B$7),0)</f>
        <v/>
      </c>
      <c r="C48">
        <f>IF($B$15="B",--(RAND()&lt;=$B$7),0)</f>
        <v/>
      </c>
      <c r="D48">
        <f>$B$26+B48*$B$27+C48*$B$28</f>
        <v/>
      </c>
    </row>
    <row r="49">
      <c r="A49">
        <f>ROW()-30</f>
        <v/>
      </c>
      <c r="B49">
        <f>IF($B$14="B",--(RAND()&lt;=$B$7),0)</f>
        <v/>
      </c>
      <c r="C49">
        <f>IF($B$15="B",--(RAND()&lt;=$B$7),0)</f>
        <v/>
      </c>
      <c r="D49">
        <f>$B$26+B49*$B$27+C49*$B$28</f>
        <v/>
      </c>
    </row>
    <row r="50">
      <c r="A50">
        <f>ROW()-30</f>
        <v/>
      </c>
      <c r="B50">
        <f>IF($B$14="B",--(RAND()&lt;=$B$7),0)</f>
        <v/>
      </c>
      <c r="C50">
        <f>IF($B$15="B",--(RAND()&lt;=$B$7),0)</f>
        <v/>
      </c>
      <c r="D50">
        <f>$B$26+B50*$B$27+C50*$B$28</f>
        <v/>
      </c>
    </row>
    <row r="51">
      <c r="A51">
        <f>ROW()-30</f>
        <v/>
      </c>
      <c r="B51">
        <f>IF($B$14="B",--(RAND()&lt;=$B$7),0)</f>
        <v/>
      </c>
      <c r="C51">
        <f>IF($B$15="B",--(RAND()&lt;=$B$7),0)</f>
        <v/>
      </c>
      <c r="D51">
        <f>$B$26+B51*$B$27+C51*$B$28</f>
        <v/>
      </c>
    </row>
    <row r="52">
      <c r="A52">
        <f>ROW()-30</f>
        <v/>
      </c>
      <c r="B52">
        <f>IF($B$14="B",--(RAND()&lt;=$B$7),0)</f>
        <v/>
      </c>
      <c r="C52">
        <f>IF($B$15="B",--(RAND()&lt;=$B$7),0)</f>
        <v/>
      </c>
      <c r="D52">
        <f>$B$26+B52*$B$27+C52*$B$28</f>
        <v/>
      </c>
    </row>
    <row r="53">
      <c r="A53">
        <f>ROW()-30</f>
        <v/>
      </c>
      <c r="B53">
        <f>IF($B$14="B",--(RAND()&lt;=$B$7),0)</f>
        <v/>
      </c>
      <c r="C53">
        <f>IF($B$15="B",--(RAND()&lt;=$B$7),0)</f>
        <v/>
      </c>
      <c r="D53">
        <f>$B$26+B53*$B$27+C53*$B$28</f>
        <v/>
      </c>
    </row>
    <row r="54">
      <c r="A54">
        <f>ROW()-30</f>
        <v/>
      </c>
      <c r="B54">
        <f>IF($B$14="B",--(RAND()&lt;=$B$7),0)</f>
        <v/>
      </c>
      <c r="C54">
        <f>IF($B$15="B",--(RAND()&lt;=$B$7),0)</f>
        <v/>
      </c>
      <c r="D54">
        <f>$B$26+B54*$B$27+C54*$B$28</f>
        <v/>
      </c>
    </row>
    <row r="55">
      <c r="A55">
        <f>ROW()-30</f>
        <v/>
      </c>
      <c r="B55">
        <f>IF($B$14="B",--(RAND()&lt;=$B$7),0)</f>
        <v/>
      </c>
      <c r="C55">
        <f>IF($B$15="B",--(RAND()&lt;=$B$7),0)</f>
        <v/>
      </c>
      <c r="D55">
        <f>$B$26+B55*$B$27+C55*$B$28</f>
        <v/>
      </c>
    </row>
    <row r="56">
      <c r="A56">
        <f>ROW()-30</f>
        <v/>
      </c>
      <c r="B56">
        <f>IF($B$14="B",--(RAND()&lt;=$B$7),0)</f>
        <v/>
      </c>
      <c r="C56">
        <f>IF($B$15="B",--(RAND()&lt;=$B$7),0)</f>
        <v/>
      </c>
      <c r="D56">
        <f>$B$26+B56*$B$27+C56*$B$28</f>
        <v/>
      </c>
    </row>
    <row r="57">
      <c r="A57">
        <f>ROW()-30</f>
        <v/>
      </c>
      <c r="B57">
        <f>IF($B$14="B",--(RAND()&lt;=$B$7),0)</f>
        <v/>
      </c>
      <c r="C57">
        <f>IF($B$15="B",--(RAND()&lt;=$B$7),0)</f>
        <v/>
      </c>
      <c r="D57">
        <f>$B$26+B57*$B$27+C57*$B$28</f>
        <v/>
      </c>
    </row>
    <row r="58">
      <c r="A58">
        <f>ROW()-30</f>
        <v/>
      </c>
      <c r="B58">
        <f>IF($B$14="B",--(RAND()&lt;=$B$7),0)</f>
        <v/>
      </c>
      <c r="C58">
        <f>IF($B$15="B",--(RAND()&lt;=$B$7),0)</f>
        <v/>
      </c>
      <c r="D58">
        <f>$B$26+B58*$B$27+C58*$B$28</f>
        <v/>
      </c>
    </row>
    <row r="59">
      <c r="A59">
        <f>ROW()-30</f>
        <v/>
      </c>
      <c r="B59">
        <f>IF($B$14="B",--(RAND()&lt;=$B$7),0)</f>
        <v/>
      </c>
      <c r="C59">
        <f>IF($B$15="B",--(RAND()&lt;=$B$7),0)</f>
        <v/>
      </c>
      <c r="D59">
        <f>$B$26+B59*$B$27+C59*$B$28</f>
        <v/>
      </c>
    </row>
    <row r="60">
      <c r="A60">
        <f>ROW()-30</f>
        <v/>
      </c>
      <c r="B60">
        <f>IF($B$14="B",--(RAND()&lt;=$B$7),0)</f>
        <v/>
      </c>
      <c r="C60">
        <f>IF($B$15="B",--(RAND()&lt;=$B$7),0)</f>
        <v/>
      </c>
      <c r="D60">
        <f>$B$26+B60*$B$27+C60*$B$28</f>
        <v/>
      </c>
    </row>
    <row r="61">
      <c r="A61">
        <f>ROW()-30</f>
        <v/>
      </c>
      <c r="B61">
        <f>IF($B$14="B",--(RAND()&lt;=$B$7),0)</f>
        <v/>
      </c>
      <c r="C61">
        <f>IF($B$15="B",--(RAND()&lt;=$B$7),0)</f>
        <v/>
      </c>
      <c r="D61">
        <f>$B$26+B61*$B$27+C61*$B$28</f>
        <v/>
      </c>
    </row>
    <row r="62">
      <c r="A62">
        <f>ROW()-30</f>
        <v/>
      </c>
      <c r="B62">
        <f>IF($B$14="B",--(RAND()&lt;=$B$7),0)</f>
        <v/>
      </c>
      <c r="C62">
        <f>IF($B$15="B",--(RAND()&lt;=$B$7),0)</f>
        <v/>
      </c>
      <c r="D62">
        <f>$B$26+B62*$B$27+C62*$B$28</f>
        <v/>
      </c>
    </row>
    <row r="63">
      <c r="A63">
        <f>ROW()-30</f>
        <v/>
      </c>
      <c r="B63">
        <f>IF($B$14="B",--(RAND()&lt;=$B$7),0)</f>
        <v/>
      </c>
      <c r="C63">
        <f>IF($B$15="B",--(RAND()&lt;=$B$7),0)</f>
        <v/>
      </c>
      <c r="D63">
        <f>$B$26+B63*$B$27+C63*$B$28</f>
        <v/>
      </c>
    </row>
    <row r="64">
      <c r="A64">
        <f>ROW()-30</f>
        <v/>
      </c>
      <c r="B64">
        <f>IF($B$14="B",--(RAND()&lt;=$B$7),0)</f>
        <v/>
      </c>
      <c r="C64">
        <f>IF($B$15="B",--(RAND()&lt;=$B$7),0)</f>
        <v/>
      </c>
      <c r="D64">
        <f>$B$26+B64*$B$27+C64*$B$28</f>
        <v/>
      </c>
    </row>
    <row r="65">
      <c r="A65">
        <f>ROW()-30</f>
        <v/>
      </c>
      <c r="B65">
        <f>IF($B$14="B",--(RAND()&lt;=$B$7),0)</f>
        <v/>
      </c>
      <c r="C65">
        <f>IF($B$15="B",--(RAND()&lt;=$B$7),0)</f>
        <v/>
      </c>
      <c r="D65">
        <f>$B$26+B65*$B$27+C65*$B$28</f>
        <v/>
      </c>
    </row>
    <row r="66">
      <c r="A66">
        <f>ROW()-30</f>
        <v/>
      </c>
      <c r="B66">
        <f>IF($B$14="B",--(RAND()&lt;=$B$7),0)</f>
        <v/>
      </c>
      <c r="C66">
        <f>IF($B$15="B",--(RAND()&lt;=$B$7),0)</f>
        <v/>
      </c>
      <c r="D66">
        <f>$B$26+B66*$B$27+C66*$B$28</f>
        <v/>
      </c>
    </row>
    <row r="67">
      <c r="A67">
        <f>ROW()-30</f>
        <v/>
      </c>
      <c r="B67">
        <f>IF($B$14="B",--(RAND()&lt;=$B$7),0)</f>
        <v/>
      </c>
      <c r="C67">
        <f>IF($B$15="B",--(RAND()&lt;=$B$7),0)</f>
        <v/>
      </c>
      <c r="D67">
        <f>$B$26+B67*$B$27+C67*$B$28</f>
        <v/>
      </c>
    </row>
    <row r="68">
      <c r="A68">
        <f>ROW()-30</f>
        <v/>
      </c>
      <c r="B68">
        <f>IF($B$14="B",--(RAND()&lt;=$B$7),0)</f>
        <v/>
      </c>
      <c r="C68">
        <f>IF($B$15="B",--(RAND()&lt;=$B$7),0)</f>
        <v/>
      </c>
      <c r="D68">
        <f>$B$26+B68*$B$27+C68*$B$28</f>
        <v/>
      </c>
    </row>
    <row r="69">
      <c r="A69">
        <f>ROW()-30</f>
        <v/>
      </c>
      <c r="B69">
        <f>IF($B$14="B",--(RAND()&lt;=$B$7),0)</f>
        <v/>
      </c>
      <c r="C69">
        <f>IF($B$15="B",--(RAND()&lt;=$B$7),0)</f>
        <v/>
      </c>
      <c r="D69">
        <f>$B$26+B69*$B$27+C69*$B$28</f>
        <v/>
      </c>
    </row>
    <row r="70">
      <c r="A70">
        <f>ROW()-30</f>
        <v/>
      </c>
      <c r="B70">
        <f>IF($B$14="B",--(RAND()&lt;=$B$7),0)</f>
        <v/>
      </c>
      <c r="C70">
        <f>IF($B$15="B",--(RAND()&lt;=$B$7),0)</f>
        <v/>
      </c>
      <c r="D70">
        <f>$B$26+B70*$B$27+C70*$B$28</f>
        <v/>
      </c>
    </row>
    <row r="71">
      <c r="A71">
        <f>ROW()-30</f>
        <v/>
      </c>
      <c r="B71">
        <f>IF($B$14="B",--(RAND()&lt;=$B$7),0)</f>
        <v/>
      </c>
      <c r="C71">
        <f>IF($B$15="B",--(RAND()&lt;=$B$7),0)</f>
        <v/>
      </c>
      <c r="D71">
        <f>$B$26+B71*$B$27+C71*$B$28</f>
        <v/>
      </c>
    </row>
    <row r="72">
      <c r="A72">
        <f>ROW()-30</f>
        <v/>
      </c>
      <c r="B72">
        <f>IF($B$14="B",--(RAND()&lt;=$B$7),0)</f>
        <v/>
      </c>
      <c r="C72">
        <f>IF($B$15="B",--(RAND()&lt;=$B$7),0)</f>
        <v/>
      </c>
      <c r="D72">
        <f>$B$26+B72*$B$27+C72*$B$28</f>
        <v/>
      </c>
    </row>
    <row r="73">
      <c r="A73">
        <f>ROW()-30</f>
        <v/>
      </c>
      <c r="B73">
        <f>IF($B$14="B",--(RAND()&lt;=$B$7),0)</f>
        <v/>
      </c>
      <c r="C73">
        <f>IF($B$15="B",--(RAND()&lt;=$B$7),0)</f>
        <v/>
      </c>
      <c r="D73">
        <f>$B$26+B73*$B$27+C73*$B$28</f>
        <v/>
      </c>
    </row>
    <row r="74">
      <c r="A74">
        <f>ROW()-30</f>
        <v/>
      </c>
      <c r="B74">
        <f>IF($B$14="B",--(RAND()&lt;=$B$7),0)</f>
        <v/>
      </c>
      <c r="C74">
        <f>IF($B$15="B",--(RAND()&lt;=$B$7),0)</f>
        <v/>
      </c>
      <c r="D74">
        <f>$B$26+B74*$B$27+C74*$B$28</f>
        <v/>
      </c>
    </row>
    <row r="75">
      <c r="A75">
        <f>ROW()-30</f>
        <v/>
      </c>
      <c r="B75">
        <f>IF($B$14="B",--(RAND()&lt;=$B$7),0)</f>
        <v/>
      </c>
      <c r="C75">
        <f>IF($B$15="B",--(RAND()&lt;=$B$7),0)</f>
        <v/>
      </c>
      <c r="D75">
        <f>$B$26+B75*$B$27+C75*$B$28</f>
        <v/>
      </c>
    </row>
    <row r="76">
      <c r="A76">
        <f>ROW()-30</f>
        <v/>
      </c>
      <c r="B76">
        <f>IF($B$14="B",--(RAND()&lt;=$B$7),0)</f>
        <v/>
      </c>
      <c r="C76">
        <f>IF($B$15="B",--(RAND()&lt;=$B$7),0)</f>
        <v/>
      </c>
      <c r="D76">
        <f>$B$26+B76*$B$27+C76*$B$28</f>
        <v/>
      </c>
    </row>
    <row r="77">
      <c r="A77">
        <f>ROW()-30</f>
        <v/>
      </c>
      <c r="B77">
        <f>IF($B$14="B",--(RAND()&lt;=$B$7),0)</f>
        <v/>
      </c>
      <c r="C77">
        <f>IF($B$15="B",--(RAND()&lt;=$B$7),0)</f>
        <v/>
      </c>
      <c r="D77">
        <f>$B$26+B77*$B$27+C77*$B$28</f>
        <v/>
      </c>
    </row>
    <row r="78">
      <c r="A78">
        <f>ROW()-30</f>
        <v/>
      </c>
      <c r="B78">
        <f>IF($B$14="B",--(RAND()&lt;=$B$7),0)</f>
        <v/>
      </c>
      <c r="C78">
        <f>IF($B$15="B",--(RAND()&lt;=$B$7),0)</f>
        <v/>
      </c>
      <c r="D78">
        <f>$B$26+B78*$B$27+C78*$B$28</f>
        <v/>
      </c>
    </row>
    <row r="79">
      <c r="A79">
        <f>ROW()-30</f>
        <v/>
      </c>
      <c r="B79">
        <f>IF($B$14="B",--(RAND()&lt;=$B$7),0)</f>
        <v/>
      </c>
      <c r="C79">
        <f>IF($B$15="B",--(RAND()&lt;=$B$7),0)</f>
        <v/>
      </c>
      <c r="D79">
        <f>$B$26+B79*$B$27+C79*$B$28</f>
        <v/>
      </c>
    </row>
    <row r="80">
      <c r="A80">
        <f>ROW()-30</f>
        <v/>
      </c>
      <c r="B80">
        <f>IF($B$14="B",--(RAND()&lt;=$B$7),0)</f>
        <v/>
      </c>
      <c r="C80">
        <f>IF($B$15="B",--(RAND()&lt;=$B$7),0)</f>
        <v/>
      </c>
      <c r="D80">
        <f>$B$26+B80*$B$27+C80*$B$28</f>
        <v/>
      </c>
    </row>
    <row r="81">
      <c r="A81">
        <f>ROW()-30</f>
        <v/>
      </c>
      <c r="B81">
        <f>IF($B$14="B",--(RAND()&lt;=$B$7),0)</f>
        <v/>
      </c>
      <c r="C81">
        <f>IF($B$15="B",--(RAND()&lt;=$B$7),0)</f>
        <v/>
      </c>
      <c r="D81">
        <f>$B$26+B81*$B$27+C81*$B$28</f>
        <v/>
      </c>
    </row>
    <row r="82">
      <c r="A82">
        <f>ROW()-30</f>
        <v/>
      </c>
      <c r="B82">
        <f>IF($B$14="B",--(RAND()&lt;=$B$7),0)</f>
        <v/>
      </c>
      <c r="C82">
        <f>IF($B$15="B",--(RAND()&lt;=$B$7),0)</f>
        <v/>
      </c>
      <c r="D82">
        <f>$B$26+B82*$B$27+C82*$B$28</f>
        <v/>
      </c>
    </row>
    <row r="83">
      <c r="A83">
        <f>ROW()-30</f>
        <v/>
      </c>
      <c r="B83">
        <f>IF($B$14="B",--(RAND()&lt;=$B$7),0)</f>
        <v/>
      </c>
      <c r="C83">
        <f>IF($B$15="B",--(RAND()&lt;=$B$7),0)</f>
        <v/>
      </c>
      <c r="D83">
        <f>$B$26+B83*$B$27+C83*$B$28</f>
        <v/>
      </c>
    </row>
    <row r="84">
      <c r="A84">
        <f>ROW()-30</f>
        <v/>
      </c>
      <c r="B84">
        <f>IF($B$14="B",--(RAND()&lt;=$B$7),0)</f>
        <v/>
      </c>
      <c r="C84">
        <f>IF($B$15="B",--(RAND()&lt;=$B$7),0)</f>
        <v/>
      </c>
      <c r="D84">
        <f>$B$26+B84*$B$27+C84*$B$28</f>
        <v/>
      </c>
    </row>
    <row r="85">
      <c r="A85">
        <f>ROW()-30</f>
        <v/>
      </c>
      <c r="B85">
        <f>IF($B$14="B",--(RAND()&lt;=$B$7),0)</f>
        <v/>
      </c>
      <c r="C85">
        <f>IF($B$15="B",--(RAND()&lt;=$B$7),0)</f>
        <v/>
      </c>
      <c r="D85">
        <f>$B$26+B85*$B$27+C85*$B$28</f>
        <v/>
      </c>
    </row>
    <row r="86">
      <c r="A86">
        <f>ROW()-30</f>
        <v/>
      </c>
      <c r="B86">
        <f>IF($B$14="B",--(RAND()&lt;=$B$7),0)</f>
        <v/>
      </c>
      <c r="C86">
        <f>IF($B$15="B",--(RAND()&lt;=$B$7),0)</f>
        <v/>
      </c>
      <c r="D86">
        <f>$B$26+B86*$B$27+C86*$B$28</f>
        <v/>
      </c>
    </row>
    <row r="87">
      <c r="A87">
        <f>ROW()-30</f>
        <v/>
      </c>
      <c r="B87">
        <f>IF($B$14="B",--(RAND()&lt;=$B$7),0)</f>
        <v/>
      </c>
      <c r="C87">
        <f>IF($B$15="B",--(RAND()&lt;=$B$7),0)</f>
        <v/>
      </c>
      <c r="D87">
        <f>$B$26+B87*$B$27+C87*$B$28</f>
        <v/>
      </c>
    </row>
    <row r="88">
      <c r="A88">
        <f>ROW()-30</f>
        <v/>
      </c>
      <c r="B88">
        <f>IF($B$14="B",--(RAND()&lt;=$B$7),0)</f>
        <v/>
      </c>
      <c r="C88">
        <f>IF($B$15="B",--(RAND()&lt;=$B$7),0)</f>
        <v/>
      </c>
      <c r="D88">
        <f>$B$26+B88*$B$27+C88*$B$28</f>
        <v/>
      </c>
    </row>
    <row r="89">
      <c r="A89">
        <f>ROW()-30</f>
        <v/>
      </c>
      <c r="B89">
        <f>IF($B$14="B",--(RAND()&lt;=$B$7),0)</f>
        <v/>
      </c>
      <c r="C89">
        <f>IF($B$15="B",--(RAND()&lt;=$B$7),0)</f>
        <v/>
      </c>
      <c r="D89">
        <f>$B$26+B89*$B$27+C89*$B$28</f>
        <v/>
      </c>
    </row>
    <row r="90">
      <c r="A90">
        <f>ROW()-30</f>
        <v/>
      </c>
      <c r="B90">
        <f>IF($B$14="B",--(RAND()&lt;=$B$7),0)</f>
        <v/>
      </c>
      <c r="C90">
        <f>IF($B$15="B",--(RAND()&lt;=$B$7),0)</f>
        <v/>
      </c>
      <c r="D90">
        <f>$B$26+B90*$B$27+C90*$B$28</f>
        <v/>
      </c>
    </row>
    <row r="91">
      <c r="A91">
        <f>ROW()-30</f>
        <v/>
      </c>
      <c r="B91">
        <f>IF($B$14="B",--(RAND()&lt;=$B$7),0)</f>
        <v/>
      </c>
      <c r="C91">
        <f>IF($B$15="B",--(RAND()&lt;=$B$7),0)</f>
        <v/>
      </c>
      <c r="D91">
        <f>$B$26+B91*$B$27+C91*$B$28</f>
        <v/>
      </c>
    </row>
    <row r="92">
      <c r="A92">
        <f>ROW()-30</f>
        <v/>
      </c>
      <c r="B92">
        <f>IF($B$14="B",--(RAND()&lt;=$B$7),0)</f>
        <v/>
      </c>
      <c r="C92">
        <f>IF($B$15="B",--(RAND()&lt;=$B$7),0)</f>
        <v/>
      </c>
      <c r="D92">
        <f>$B$26+B92*$B$27+C92*$B$28</f>
        <v/>
      </c>
    </row>
    <row r="93">
      <c r="A93">
        <f>ROW()-30</f>
        <v/>
      </c>
      <c r="B93">
        <f>IF($B$14="B",--(RAND()&lt;=$B$7),0)</f>
        <v/>
      </c>
      <c r="C93">
        <f>IF($B$15="B",--(RAND()&lt;=$B$7),0)</f>
        <v/>
      </c>
      <c r="D93">
        <f>$B$26+B93*$B$27+C93*$B$28</f>
        <v/>
      </c>
    </row>
    <row r="94">
      <c r="A94">
        <f>ROW()-30</f>
        <v/>
      </c>
      <c r="B94">
        <f>IF($B$14="B",--(RAND()&lt;=$B$7),0)</f>
        <v/>
      </c>
      <c r="C94">
        <f>IF($B$15="B",--(RAND()&lt;=$B$7),0)</f>
        <v/>
      </c>
      <c r="D94">
        <f>$B$26+B94*$B$27+C94*$B$28</f>
        <v/>
      </c>
    </row>
    <row r="95">
      <c r="A95">
        <f>ROW()-30</f>
        <v/>
      </c>
      <c r="B95">
        <f>IF($B$14="B",--(RAND()&lt;=$B$7),0)</f>
        <v/>
      </c>
      <c r="C95">
        <f>IF($B$15="B",--(RAND()&lt;=$B$7),0)</f>
        <v/>
      </c>
      <c r="D95">
        <f>$B$26+B95*$B$27+C95*$B$28</f>
        <v/>
      </c>
    </row>
    <row r="96">
      <c r="A96">
        <f>ROW()-30</f>
        <v/>
      </c>
      <c r="B96">
        <f>IF($B$14="B",--(RAND()&lt;=$B$7),0)</f>
        <v/>
      </c>
      <c r="C96">
        <f>IF($B$15="B",--(RAND()&lt;=$B$7),0)</f>
        <v/>
      </c>
      <c r="D96">
        <f>$B$26+B96*$B$27+C96*$B$28</f>
        <v/>
      </c>
    </row>
    <row r="97">
      <c r="A97">
        <f>ROW()-30</f>
        <v/>
      </c>
      <c r="B97">
        <f>IF($B$14="B",--(RAND()&lt;=$B$7),0)</f>
        <v/>
      </c>
      <c r="C97">
        <f>IF($B$15="B",--(RAND()&lt;=$B$7),0)</f>
        <v/>
      </c>
      <c r="D97">
        <f>$B$26+B97*$B$27+C97*$B$28</f>
        <v/>
      </c>
    </row>
    <row r="98">
      <c r="A98">
        <f>ROW()-30</f>
        <v/>
      </c>
      <c r="B98">
        <f>IF($B$14="B",--(RAND()&lt;=$B$7),0)</f>
        <v/>
      </c>
      <c r="C98">
        <f>IF($B$15="B",--(RAND()&lt;=$B$7),0)</f>
        <v/>
      </c>
      <c r="D98">
        <f>$B$26+B98*$B$27+C98*$B$28</f>
        <v/>
      </c>
    </row>
    <row r="99">
      <c r="A99">
        <f>ROW()-30</f>
        <v/>
      </c>
      <c r="B99">
        <f>IF($B$14="B",--(RAND()&lt;=$B$7),0)</f>
        <v/>
      </c>
      <c r="C99">
        <f>IF($B$15="B",--(RAND()&lt;=$B$7),0)</f>
        <v/>
      </c>
      <c r="D99">
        <f>$B$26+B99*$B$27+C99*$B$28</f>
        <v/>
      </c>
    </row>
    <row r="100">
      <c r="A100">
        <f>ROW()-30</f>
        <v/>
      </c>
      <c r="B100">
        <f>IF($B$14="B",--(RAND()&lt;=$B$7),0)</f>
        <v/>
      </c>
      <c r="C100">
        <f>IF($B$15="B",--(RAND()&lt;=$B$7),0)</f>
        <v/>
      </c>
      <c r="D100">
        <f>$B$26+B100*$B$27+C100*$B$28</f>
        <v/>
      </c>
    </row>
    <row r="101">
      <c r="A101">
        <f>ROW()-30</f>
        <v/>
      </c>
      <c r="B101">
        <f>IF($B$14="B",--(RAND()&lt;=$B$7),0)</f>
        <v/>
      </c>
      <c r="C101">
        <f>IF($B$15="B",--(RAND()&lt;=$B$7),0)</f>
        <v/>
      </c>
      <c r="D101">
        <f>$B$26+B101*$B$27+C101*$B$28</f>
        <v/>
      </c>
    </row>
    <row r="102">
      <c r="A102">
        <f>ROW()-30</f>
        <v/>
      </c>
      <c r="B102">
        <f>IF($B$14="B",--(RAND()&lt;=$B$7),0)</f>
        <v/>
      </c>
      <c r="C102">
        <f>IF($B$15="B",--(RAND()&lt;=$B$7),0)</f>
        <v/>
      </c>
      <c r="D102">
        <f>$B$26+B102*$B$27+C102*$B$28</f>
        <v/>
      </c>
    </row>
    <row r="103">
      <c r="A103">
        <f>ROW()-30</f>
        <v/>
      </c>
      <c r="B103">
        <f>IF($B$14="B",--(RAND()&lt;=$B$7),0)</f>
        <v/>
      </c>
      <c r="C103">
        <f>IF($B$15="B",--(RAND()&lt;=$B$7),0)</f>
        <v/>
      </c>
      <c r="D103">
        <f>$B$26+B103*$B$27+C103*$B$28</f>
        <v/>
      </c>
    </row>
    <row r="104">
      <c r="A104">
        <f>ROW()-30</f>
        <v/>
      </c>
      <c r="B104">
        <f>IF($B$14="B",--(RAND()&lt;=$B$7),0)</f>
        <v/>
      </c>
      <c r="C104">
        <f>IF($B$15="B",--(RAND()&lt;=$B$7),0)</f>
        <v/>
      </c>
      <c r="D104">
        <f>$B$26+B104*$B$27+C104*$B$28</f>
        <v/>
      </c>
    </row>
    <row r="105">
      <c r="A105">
        <f>ROW()-30</f>
        <v/>
      </c>
      <c r="B105">
        <f>IF($B$14="B",--(RAND()&lt;=$B$7),0)</f>
        <v/>
      </c>
      <c r="C105">
        <f>IF($B$15="B",--(RAND()&lt;=$B$7),0)</f>
        <v/>
      </c>
      <c r="D105">
        <f>$B$26+B105*$B$27+C105*$B$28</f>
        <v/>
      </c>
    </row>
    <row r="106">
      <c r="A106">
        <f>ROW()-30</f>
        <v/>
      </c>
      <c r="B106">
        <f>IF($B$14="B",--(RAND()&lt;=$B$7),0)</f>
        <v/>
      </c>
      <c r="C106">
        <f>IF($B$15="B",--(RAND()&lt;=$B$7),0)</f>
        <v/>
      </c>
      <c r="D106">
        <f>$B$26+B106*$B$27+C106*$B$28</f>
        <v/>
      </c>
    </row>
    <row r="107">
      <c r="A107">
        <f>ROW()-30</f>
        <v/>
      </c>
      <c r="B107">
        <f>IF($B$14="B",--(RAND()&lt;=$B$7),0)</f>
        <v/>
      </c>
      <c r="C107">
        <f>IF($B$15="B",--(RAND()&lt;=$B$7),0)</f>
        <v/>
      </c>
      <c r="D107">
        <f>$B$26+B107*$B$27+C107*$B$28</f>
        <v/>
      </c>
    </row>
    <row r="108">
      <c r="A108">
        <f>ROW()-30</f>
        <v/>
      </c>
      <c r="B108">
        <f>IF($B$14="B",--(RAND()&lt;=$B$7),0)</f>
        <v/>
      </c>
      <c r="C108">
        <f>IF($B$15="B",--(RAND()&lt;=$B$7),0)</f>
        <v/>
      </c>
      <c r="D108">
        <f>$B$26+B108*$B$27+C108*$B$28</f>
        <v/>
      </c>
    </row>
    <row r="109">
      <c r="A109">
        <f>ROW()-30</f>
        <v/>
      </c>
      <c r="B109">
        <f>IF($B$14="B",--(RAND()&lt;=$B$7),0)</f>
        <v/>
      </c>
      <c r="C109">
        <f>IF($B$15="B",--(RAND()&lt;=$B$7),0)</f>
        <v/>
      </c>
      <c r="D109">
        <f>$B$26+B109*$B$27+C109*$B$28</f>
        <v/>
      </c>
    </row>
    <row r="110">
      <c r="A110">
        <f>ROW()-30</f>
        <v/>
      </c>
      <c r="B110">
        <f>IF($B$14="B",--(RAND()&lt;=$B$7),0)</f>
        <v/>
      </c>
      <c r="C110">
        <f>IF($B$15="B",--(RAND()&lt;=$B$7),0)</f>
        <v/>
      </c>
      <c r="D110">
        <f>$B$26+B110*$B$27+C110*$B$28</f>
        <v/>
      </c>
    </row>
    <row r="111">
      <c r="A111">
        <f>ROW()-30</f>
        <v/>
      </c>
      <c r="B111">
        <f>IF($B$14="B",--(RAND()&lt;=$B$7),0)</f>
        <v/>
      </c>
      <c r="C111">
        <f>IF($B$15="B",--(RAND()&lt;=$B$7),0)</f>
        <v/>
      </c>
      <c r="D111">
        <f>$B$26+B111*$B$27+C111*$B$28</f>
        <v/>
      </c>
    </row>
    <row r="112">
      <c r="A112">
        <f>ROW()-30</f>
        <v/>
      </c>
      <c r="B112">
        <f>IF($B$14="B",--(RAND()&lt;=$B$7),0)</f>
        <v/>
      </c>
      <c r="C112">
        <f>IF($B$15="B",--(RAND()&lt;=$B$7),0)</f>
        <v/>
      </c>
      <c r="D112">
        <f>$B$26+B112*$B$27+C112*$B$28</f>
        <v/>
      </c>
    </row>
    <row r="113">
      <c r="A113">
        <f>ROW()-30</f>
        <v/>
      </c>
      <c r="B113">
        <f>IF($B$14="B",--(RAND()&lt;=$B$7),0)</f>
        <v/>
      </c>
      <c r="C113">
        <f>IF($B$15="B",--(RAND()&lt;=$B$7),0)</f>
        <v/>
      </c>
      <c r="D113">
        <f>$B$26+B113*$B$27+C113*$B$28</f>
        <v/>
      </c>
    </row>
    <row r="114">
      <c r="A114">
        <f>ROW()-30</f>
        <v/>
      </c>
      <c r="B114">
        <f>IF($B$14="B",--(RAND()&lt;=$B$7),0)</f>
        <v/>
      </c>
      <c r="C114">
        <f>IF($B$15="B",--(RAND()&lt;=$B$7),0)</f>
        <v/>
      </c>
      <c r="D114">
        <f>$B$26+B114*$B$27+C114*$B$28</f>
        <v/>
      </c>
    </row>
    <row r="115">
      <c r="A115">
        <f>ROW()-30</f>
        <v/>
      </c>
      <c r="B115">
        <f>IF($B$14="B",--(RAND()&lt;=$B$7),0)</f>
        <v/>
      </c>
      <c r="C115">
        <f>IF($B$15="B",--(RAND()&lt;=$B$7),0)</f>
        <v/>
      </c>
      <c r="D115">
        <f>$B$26+B115*$B$27+C115*$B$28</f>
        <v/>
      </c>
    </row>
    <row r="116">
      <c r="A116">
        <f>ROW()-30</f>
        <v/>
      </c>
      <c r="B116">
        <f>IF($B$14="B",--(RAND()&lt;=$B$7),0)</f>
        <v/>
      </c>
      <c r="C116">
        <f>IF($B$15="B",--(RAND()&lt;=$B$7),0)</f>
        <v/>
      </c>
      <c r="D116">
        <f>$B$26+B116*$B$27+C116*$B$28</f>
        <v/>
      </c>
    </row>
    <row r="117">
      <c r="A117">
        <f>ROW()-30</f>
        <v/>
      </c>
      <c r="B117">
        <f>IF($B$14="B",--(RAND()&lt;=$B$7),0)</f>
        <v/>
      </c>
      <c r="C117">
        <f>IF($B$15="B",--(RAND()&lt;=$B$7),0)</f>
        <v/>
      </c>
      <c r="D117">
        <f>$B$26+B117*$B$27+C117*$B$28</f>
        <v/>
      </c>
    </row>
    <row r="118">
      <c r="A118">
        <f>ROW()-30</f>
        <v/>
      </c>
      <c r="B118">
        <f>IF($B$14="B",--(RAND()&lt;=$B$7),0)</f>
        <v/>
      </c>
      <c r="C118">
        <f>IF($B$15="B",--(RAND()&lt;=$B$7),0)</f>
        <v/>
      </c>
      <c r="D118">
        <f>$B$26+B118*$B$27+C118*$B$28</f>
        <v/>
      </c>
    </row>
    <row r="119">
      <c r="A119">
        <f>ROW()-30</f>
        <v/>
      </c>
      <c r="B119">
        <f>IF($B$14="B",--(RAND()&lt;=$B$7),0)</f>
        <v/>
      </c>
      <c r="C119">
        <f>IF($B$15="B",--(RAND()&lt;=$B$7),0)</f>
        <v/>
      </c>
      <c r="D119">
        <f>$B$26+B119*$B$27+C119*$B$28</f>
        <v/>
      </c>
    </row>
    <row r="120">
      <c r="A120">
        <f>ROW()-30</f>
        <v/>
      </c>
      <c r="B120">
        <f>IF($B$14="B",--(RAND()&lt;=$B$7),0)</f>
        <v/>
      </c>
      <c r="C120">
        <f>IF($B$15="B",--(RAND()&lt;=$B$7),0)</f>
        <v/>
      </c>
      <c r="D120">
        <f>$B$26+B120*$B$27+C120*$B$28</f>
        <v/>
      </c>
    </row>
    <row r="121">
      <c r="A121">
        <f>ROW()-30</f>
        <v/>
      </c>
      <c r="B121">
        <f>IF($B$14="B",--(RAND()&lt;=$B$7),0)</f>
        <v/>
      </c>
      <c r="C121">
        <f>IF($B$15="B",--(RAND()&lt;=$B$7),0)</f>
        <v/>
      </c>
      <c r="D121">
        <f>$B$26+B121*$B$27+C121*$B$28</f>
        <v/>
      </c>
    </row>
    <row r="122">
      <c r="A122">
        <f>ROW()-30</f>
        <v/>
      </c>
      <c r="B122">
        <f>IF($B$14="B",--(RAND()&lt;=$B$7),0)</f>
        <v/>
      </c>
      <c r="C122">
        <f>IF($B$15="B",--(RAND()&lt;=$B$7),0)</f>
        <v/>
      </c>
      <c r="D122">
        <f>$B$26+B122*$B$27+C122*$B$28</f>
        <v/>
      </c>
    </row>
    <row r="123">
      <c r="A123">
        <f>ROW()-30</f>
        <v/>
      </c>
      <c r="B123">
        <f>IF($B$14="B",--(RAND()&lt;=$B$7),0)</f>
        <v/>
      </c>
      <c r="C123">
        <f>IF($B$15="B",--(RAND()&lt;=$B$7),0)</f>
        <v/>
      </c>
      <c r="D123">
        <f>$B$26+B123*$B$27+C123*$B$28</f>
        <v/>
      </c>
    </row>
    <row r="124">
      <c r="A124">
        <f>ROW()-30</f>
        <v/>
      </c>
      <c r="B124">
        <f>IF($B$14="B",--(RAND()&lt;=$B$7),0)</f>
        <v/>
      </c>
      <c r="C124">
        <f>IF($B$15="B",--(RAND()&lt;=$B$7),0)</f>
        <v/>
      </c>
      <c r="D124">
        <f>$B$26+B124*$B$27+C124*$B$28</f>
        <v/>
      </c>
    </row>
    <row r="125">
      <c r="A125">
        <f>ROW()-30</f>
        <v/>
      </c>
      <c r="B125">
        <f>IF($B$14="B",--(RAND()&lt;=$B$7),0)</f>
        <v/>
      </c>
      <c r="C125">
        <f>IF($B$15="B",--(RAND()&lt;=$B$7),0)</f>
        <v/>
      </c>
      <c r="D125">
        <f>$B$26+B125*$B$27+C125*$B$28</f>
        <v/>
      </c>
    </row>
    <row r="126">
      <c r="A126">
        <f>ROW()-30</f>
        <v/>
      </c>
      <c r="B126">
        <f>IF($B$14="B",--(RAND()&lt;=$B$7),0)</f>
        <v/>
      </c>
      <c r="C126">
        <f>IF($B$15="B",--(RAND()&lt;=$B$7),0)</f>
        <v/>
      </c>
      <c r="D126">
        <f>$B$26+B126*$B$27+C126*$B$28</f>
        <v/>
      </c>
    </row>
    <row r="127">
      <c r="A127">
        <f>ROW()-30</f>
        <v/>
      </c>
      <c r="B127">
        <f>IF($B$14="B",--(RAND()&lt;=$B$7),0)</f>
        <v/>
      </c>
      <c r="C127">
        <f>IF($B$15="B",--(RAND()&lt;=$B$7),0)</f>
        <v/>
      </c>
      <c r="D127">
        <f>$B$26+B127*$B$27+C127*$B$28</f>
        <v/>
      </c>
    </row>
    <row r="128">
      <c r="A128">
        <f>ROW()-30</f>
        <v/>
      </c>
      <c r="B128">
        <f>IF($B$14="B",--(RAND()&lt;=$B$7),0)</f>
        <v/>
      </c>
      <c r="C128">
        <f>IF($B$15="B",--(RAND()&lt;=$B$7),0)</f>
        <v/>
      </c>
      <c r="D128">
        <f>$B$26+B128*$B$27+C128*$B$28</f>
        <v/>
      </c>
    </row>
    <row r="129">
      <c r="A129">
        <f>ROW()-30</f>
        <v/>
      </c>
      <c r="B129">
        <f>IF($B$14="B",--(RAND()&lt;=$B$7),0)</f>
        <v/>
      </c>
      <c r="C129">
        <f>IF($B$15="B",--(RAND()&lt;=$B$7),0)</f>
        <v/>
      </c>
      <c r="D129">
        <f>$B$26+B129*$B$27+C129*$B$28</f>
        <v/>
      </c>
    </row>
    <row r="130">
      <c r="A130">
        <f>ROW()-30</f>
        <v/>
      </c>
      <c r="B130">
        <f>IF($B$14="B",--(RAND()&lt;=$B$7),0)</f>
        <v/>
      </c>
      <c r="C130">
        <f>IF($B$15="B",--(RAND()&lt;=$B$7),0)</f>
        <v/>
      </c>
      <c r="D130">
        <f>$B$26+B130*$B$27+C130*$B$28</f>
        <v/>
      </c>
    </row>
    <row r="132">
      <c r="A132" t="inlineStr">
        <is>
          <t>Promedio</t>
        </is>
      </c>
      <c r="D132">
        <f>AVERAGE(D31:D130)</f>
        <v/>
      </c>
    </row>
    <row r="133">
      <c r="A133" t="inlineStr">
        <is>
          <t>P90</t>
        </is>
      </c>
      <c r="D133">
        <f>_xlfn.PERCENTILE.INC(D31:D130,0.9)</f>
        <v/>
      </c>
    </row>
  </sheetData>
  <mergeCells count="7">
    <mergeCell ref="A18:H18"/>
    <mergeCell ref="A1:J1"/>
    <mergeCell ref="A4:D4"/>
    <mergeCell ref="H22:H23"/>
    <mergeCell ref="H20:H21"/>
    <mergeCell ref="A12:J12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3"/>
  <sheetViews>
    <sheetView zoomScaleNormal="100" workbookViewId="0">
      <selection activeCell="C11" sqref="C11"/>
    </sheetView>
  </sheetViews>
  <sheetFormatPr baseColWidth="10" defaultColWidth="8.6640625" defaultRowHeight="14.4"/>
  <cols>
    <col width="33.5546875" bestFit="1" customWidth="1" min="1" max="1"/>
    <col width="36.77734375" bestFit="1" customWidth="1" min="2" max="2"/>
    <col width="17.5546875" bestFit="1" customWidth="1" min="3" max="3"/>
    <col width="16.44140625" bestFit="1" customWidth="1" min="4" max="4"/>
    <col width="20.5546875" bestFit="1" customWidth="1" min="5" max="5"/>
    <col width="24.77734375" bestFit="1" customWidth="1" min="6" max="6"/>
    <col width="26" bestFit="1" customWidth="1" min="7" max="9"/>
    <col width="36.77734375" bestFit="1" customWidth="1" min="10" max="10"/>
  </cols>
  <sheetData>
    <row r="1" ht="17.25" customHeight="1">
      <c r="A1" s="80" t="inlineStr">
        <is>
          <t>CASHFLOW INTEGRADO - PURCHASING</t>
        </is>
      </c>
    </row>
    <row r="2" ht="15" customHeight="1">
      <c r="A2" s="81" t="inlineStr">
        <is>
          <t>Pagos REALES por quincena: Compras + Ordering + Holding (para coordinar con Finanzas)</t>
        </is>
      </c>
    </row>
    <row r="4" ht="15" customHeight="1">
      <c r="A4" s="77" t="inlineStr">
        <is>
          <t>1. PAGOS DE COMPRAS (según términos de proveedor)</t>
        </is>
      </c>
    </row>
    <row r="5" ht="15" customHeight="1">
      <c r="A5" s="23" t="inlineStr">
        <is>
          <t>Concepto</t>
        </is>
      </c>
      <c r="B5" s="23" t="inlineStr">
        <is>
          <t>Q1</t>
        </is>
      </c>
      <c r="C5" s="23" t="inlineStr">
        <is>
          <t>Q2</t>
        </is>
      </c>
      <c r="D5" s="23" t="inlineStr">
        <is>
          <t>Q3</t>
        </is>
      </c>
      <c r="E5" s="23" t="inlineStr">
        <is>
          <t>Q4</t>
        </is>
      </c>
      <c r="F5" s="23" t="inlineStr">
        <is>
          <t>Q5</t>
        </is>
      </c>
      <c r="G5" s="23" t="inlineStr">
        <is>
          <t>Q6</t>
        </is>
      </c>
      <c r="H5" s="23" t="inlineStr">
        <is>
          <t>Q7</t>
        </is>
      </c>
      <c r="I5" s="23" t="inlineStr">
        <is>
          <t>Q8</t>
        </is>
      </c>
      <c r="J5" s="23" t="inlineStr">
        <is>
          <t>TOTAL</t>
        </is>
      </c>
    </row>
    <row r="6" ht="15" customHeight="1">
      <c r="A6" s="5" t="inlineStr">
        <is>
          <t>Piezas 1-6 (t=0)</t>
        </is>
      </c>
      <c r="B6" s="35">
        <f>Compras_y_Lotes!H13</f>
        <v/>
      </c>
      <c r="C6" s="44" t="n">
        <v>0</v>
      </c>
      <c r="D6" s="44" t="n">
        <v>0</v>
      </c>
      <c r="E6" s="44" t="n">
        <v>0</v>
      </c>
      <c r="F6" s="44" t="n">
        <v>0</v>
      </c>
      <c r="G6" s="44" t="n">
        <v>0</v>
      </c>
      <c r="H6" s="44" t="n">
        <v>0</v>
      </c>
      <c r="I6" s="44" t="n">
        <v>0</v>
      </c>
      <c r="J6" s="36">
        <f>B6</f>
        <v/>
      </c>
    </row>
    <row r="7" ht="15" customHeight="1">
      <c r="A7" s="9" t="inlineStr">
        <is>
          <t>Parte A (según proveedor)</t>
        </is>
      </c>
      <c r="B7" s="35">
        <f>SUMIFS(Compras_y_Lotes!$I$18:$I$25,Compras_y_Lotes!$K$18:$K$25,B$5)</f>
        <v/>
      </c>
      <c r="C7" s="35">
        <f>SUMIFS(Compras_y_Lotes!$I$18:$I$25,Compras_y_Lotes!$K$18:$K$25,C$5)</f>
        <v/>
      </c>
      <c r="D7" s="35">
        <f>SUMIFS(Compras_y_Lotes!$I$18:$I$25,Compras_y_Lotes!$K$18:$K$25,D$5)</f>
        <v/>
      </c>
      <c r="E7" s="35">
        <f>SUMIFS(Compras_y_Lotes!$I$18:$I$25,Compras_y_Lotes!$K$18:$K$25,E$5)</f>
        <v/>
      </c>
      <c r="F7" s="35">
        <f>SUMIFS(Compras_y_Lotes!$I$18:$I$25,Compras_y_Lotes!$K$18:$K$25,F$5)</f>
        <v/>
      </c>
      <c r="G7" s="35">
        <f>SUMIFS(Compras_y_Lotes!$I$18:$I$25,Compras_y_Lotes!$K$18:$K$25,G$5)</f>
        <v/>
      </c>
      <c r="H7" s="35">
        <f>SUMIFS(Compras_y_Lotes!$I$18:$I$25,Compras_y_Lotes!$K$18:$K$25,H$5)</f>
        <v/>
      </c>
      <c r="I7" s="35">
        <f>SUMIFS(Compras_y_Lotes!$I$18:$I$25,Compras_y_Lotes!$K$18:$K$25,I$5)</f>
        <v/>
      </c>
      <c r="J7" s="36">
        <f>SUM(B7:I7)</f>
        <v/>
      </c>
    </row>
    <row r="8" ht="15" customHeight="1">
      <c r="A8" s="9" t="inlineStr">
        <is>
          <t>Parte B (según proveedor)</t>
        </is>
      </c>
      <c r="B8" s="35">
        <f>SUMIFS(Compras_y_Lotes!$I$26:$I$33,Compras_y_Lotes!$K$26:$K$33,B$5)</f>
        <v/>
      </c>
      <c r="C8" s="35">
        <f>SUMIFS(Compras_y_Lotes!$I$26:$I$33,Compras_y_Lotes!$K$26:$K$33,C$5)</f>
        <v/>
      </c>
      <c r="D8" s="35">
        <f>SUMIFS(Compras_y_Lotes!$I$26:$I$33,Compras_y_Lotes!$K$26:$K$33,D$5)</f>
        <v/>
      </c>
      <c r="E8" s="35">
        <f>SUMIFS(Compras_y_Lotes!$I$26:$I$33,Compras_y_Lotes!$K$26:$K$33,E$5)</f>
        <v/>
      </c>
      <c r="F8" s="35">
        <f>SUMIFS(Compras_y_Lotes!$I$26:$I$33,Compras_y_Lotes!$K$26:$K$33,F$5)</f>
        <v/>
      </c>
      <c r="G8" s="35">
        <f>SUMIFS(Compras_y_Lotes!$I$26:$I$33,Compras_y_Lotes!$K$26:$K$33,G$5)</f>
        <v/>
      </c>
      <c r="H8" s="35">
        <f>SUMIFS(Compras_y_Lotes!$I$26:$I$33,Compras_y_Lotes!$K$26:$K$33,H$5)</f>
        <v/>
      </c>
      <c r="I8" s="35">
        <f>SUMIFS(Compras_y_Lotes!$I$26:$I$33,Compras_y_Lotes!$K$26:$K$33,I$5)</f>
        <v/>
      </c>
      <c r="J8" s="36">
        <f>SUM(B8:I8)</f>
        <v/>
      </c>
    </row>
    <row r="9" ht="15" customHeight="1">
      <c r="A9" s="5" t="inlineStr">
        <is>
          <t>SUBTOTAL COMPRAS</t>
        </is>
      </c>
      <c r="B9" s="66">
        <f>SUM(B6:B8)</f>
        <v/>
      </c>
      <c r="C9" s="66">
        <f>SUM(C6:C8)</f>
        <v/>
      </c>
      <c r="D9" s="66">
        <f>SUM(D6:D8)</f>
        <v/>
      </c>
      <c r="E9" s="66">
        <f>SUM(E6:E8)</f>
        <v/>
      </c>
      <c r="F9" s="66">
        <f>SUM(F6:F8)</f>
        <v/>
      </c>
      <c r="G9" s="66">
        <f>SUM(G6:G8)</f>
        <v/>
      </c>
      <c r="H9" s="66">
        <f>SUM(H6:H8)</f>
        <v/>
      </c>
      <c r="I9" s="66">
        <f>SUM(I6:I8)</f>
        <v/>
      </c>
      <c r="J9" s="66">
        <f>SUM(J6:J8)</f>
        <v/>
      </c>
    </row>
    <row r="12" ht="15" customHeight="1">
      <c r="A12" s="77" t="inlineStr">
        <is>
          <t>2. ORDERING COSTS (por pedido realizado)</t>
        </is>
      </c>
    </row>
    <row r="13" ht="15" customHeight="1">
      <c r="A13" s="8" t="inlineStr">
        <is>
          <t>Concepto</t>
        </is>
      </c>
      <c r="B13" s="8" t="inlineStr">
        <is>
          <t>Q1</t>
        </is>
      </c>
      <c r="C13" s="8" t="inlineStr">
        <is>
          <t>Q2</t>
        </is>
      </c>
      <c r="D13" s="8" t="inlineStr">
        <is>
          <t>Q3</t>
        </is>
      </c>
      <c r="E13" s="8" t="inlineStr">
        <is>
          <t>Q4</t>
        </is>
      </c>
      <c r="F13" s="8" t="inlineStr">
        <is>
          <t>Q5</t>
        </is>
      </c>
      <c r="G13" s="8" t="inlineStr">
        <is>
          <t>Q6</t>
        </is>
      </c>
      <c r="H13" s="8" t="inlineStr">
        <is>
          <t>Q7</t>
        </is>
      </c>
      <c r="I13" s="8" t="inlineStr">
        <is>
          <t>Q8</t>
        </is>
      </c>
      <c r="J13" s="8" t="inlineStr">
        <is>
          <t>TOTAL</t>
        </is>
      </c>
    </row>
    <row r="14" ht="15" customHeight="1">
      <c r="A14" s="9" t="inlineStr">
        <is>
          <t>Parte A</t>
        </is>
      </c>
      <c r="B14" s="36">
        <f>IF(INDEX(Compras_y_Lotes!$F$18:$F$25,COLUMN(B14)-COLUMN($B$14)+1)&gt;0,Inputs!$B$59,0)</f>
        <v/>
      </c>
      <c r="C14" s="36">
        <f>IF(INDEX(Compras_y_Lotes!$F$18:$F$25,COLUMN(C14)-COLUMN($B$14)+1)&gt;0,Inputs!$B$59,0)</f>
        <v/>
      </c>
      <c r="D14" s="36">
        <f>IF(INDEX(Compras_y_Lotes!$F$18:$F$25,COLUMN(D14)-COLUMN($B$14)+1)&gt;0,Inputs!$B$59,0)</f>
        <v/>
      </c>
      <c r="E14" s="36">
        <f>IF(INDEX(Compras_y_Lotes!$F$18:$F$25,COLUMN(E14)-COLUMN($B$14)+1)&gt;0,Inputs!$B$59,0)</f>
        <v/>
      </c>
      <c r="F14" s="36">
        <f>IF(INDEX(Compras_y_Lotes!$F$18:$F$25,COLUMN(F14)-COLUMN($B$14)+1)&gt;0,Inputs!$B$59,0)</f>
        <v/>
      </c>
      <c r="G14" s="36">
        <f>IF(INDEX(Compras_y_Lotes!$F$18:$F$25,COLUMN(G14)-COLUMN($B$14)+1)&gt;0,Inputs!$B$59,0)</f>
        <v/>
      </c>
      <c r="H14" s="36">
        <f>IF(INDEX(Compras_y_Lotes!$F$18:$F$25,COLUMN(H14)-COLUMN($B$14)+1)&gt;0,Inputs!$B$59,0)</f>
        <v/>
      </c>
      <c r="I14" s="36">
        <f>IF(INDEX(Compras_y_Lotes!$F$18:$F$25,COLUMN(I14)-COLUMN($B$14)+1)&gt;0,Inputs!$B$59,0)</f>
        <v/>
      </c>
      <c r="J14" s="36">
        <f>SUM(B14:I14)</f>
        <v/>
      </c>
    </row>
    <row r="15" ht="15" customHeight="1">
      <c r="A15" s="9" t="inlineStr">
        <is>
          <t>Parte B</t>
        </is>
      </c>
      <c r="B15" s="36">
        <f>IF(INDEX(Compras_y_Lotes!$F$26:$F$33,COLUMN(B15)-COLUMN($B$15)+1)&gt;0,Inputs!$B$60,0)</f>
        <v/>
      </c>
      <c r="C15" s="36">
        <f>IF(INDEX(Compras_y_Lotes!$F$26:$F$33,COLUMN(C15)-COLUMN($B$15)+1)&gt;0,Inputs!$B$60,0)</f>
        <v/>
      </c>
      <c r="D15" s="36">
        <f>IF(INDEX(Compras_y_Lotes!$F$26:$F$33,COLUMN(D15)-COLUMN($B$15)+1)&gt;0,Inputs!$B$60,0)</f>
        <v/>
      </c>
      <c r="E15" s="36">
        <f>IF(INDEX(Compras_y_Lotes!$F$26:$F$33,COLUMN(E15)-COLUMN($B$15)+1)&gt;0,Inputs!$B$60,0)</f>
        <v/>
      </c>
      <c r="F15" s="36">
        <f>IF(INDEX(Compras_y_Lotes!$F$26:$F$33,COLUMN(F15)-COLUMN($B$15)+1)&gt;0,Inputs!$B$60,0)</f>
        <v/>
      </c>
      <c r="G15" s="36">
        <f>IF(INDEX(Compras_y_Lotes!$F$26:$F$33,COLUMN(G15)-COLUMN($B$15)+1)&gt;0,Inputs!$B$60,0)</f>
        <v/>
      </c>
      <c r="H15" s="36">
        <f>IF(INDEX(Compras_y_Lotes!$F$26:$F$33,COLUMN(H15)-COLUMN($B$15)+1)&gt;0,Inputs!$B$60,0)</f>
        <v/>
      </c>
      <c r="I15" s="36">
        <f>IF(INDEX(Compras_y_Lotes!$F$26:$F$33,COLUMN(I15)-COLUMN($B$15)+1)&gt;0,Inputs!$B$60,0)</f>
        <v/>
      </c>
      <c r="J15" s="36">
        <f>SUM(B15:I15)</f>
        <v/>
      </c>
    </row>
    <row r="16" ht="15" customHeight="1">
      <c r="A16" s="5" t="inlineStr">
        <is>
          <t>SUBTOTAL ORDERING</t>
        </is>
      </c>
      <c r="B16" s="66">
        <f>SUM(B14:B15)</f>
        <v/>
      </c>
      <c r="C16" s="66">
        <f>SUM(C14:C15)</f>
        <v/>
      </c>
      <c r="D16" s="66">
        <f>SUM(D14:D15)</f>
        <v/>
      </c>
      <c r="E16" s="66">
        <f>SUM(E14:E15)</f>
        <v/>
      </c>
      <c r="F16" s="66">
        <f>SUM(F14:F15)</f>
        <v/>
      </c>
      <c r="G16" s="66">
        <f>SUM(G14:G15)</f>
        <v/>
      </c>
      <c r="H16" s="66">
        <f>SUM(H14:H15)</f>
        <v/>
      </c>
      <c r="I16" s="66">
        <f>SUM(I14:I15)</f>
        <v/>
      </c>
      <c r="J16" s="66">
        <f>SUM(J14:J15)</f>
        <v/>
      </c>
    </row>
    <row r="19" ht="15" customHeight="1">
      <c r="A19" s="77" t="inlineStr">
        <is>
          <t>3. HOLDING COSTS (por inventario promedio en quincena)</t>
        </is>
      </c>
    </row>
    <row r="20" ht="15" customHeight="1">
      <c r="A20" s="8" t="inlineStr">
        <is>
          <t>Concepto</t>
        </is>
      </c>
      <c r="B20" s="8" t="inlineStr">
        <is>
          <t>Q1</t>
        </is>
      </c>
      <c r="C20" s="8" t="inlineStr">
        <is>
          <t>Q2</t>
        </is>
      </c>
      <c r="D20" s="8" t="inlineStr">
        <is>
          <t>Q3</t>
        </is>
      </c>
      <c r="E20" s="8" t="inlineStr">
        <is>
          <t>Q4</t>
        </is>
      </c>
      <c r="F20" s="8" t="inlineStr">
        <is>
          <t>Q5</t>
        </is>
      </c>
      <c r="G20" s="8" t="inlineStr">
        <is>
          <t>Q6</t>
        </is>
      </c>
      <c r="H20" s="8" t="inlineStr">
        <is>
          <t>Q7</t>
        </is>
      </c>
      <c r="I20" s="8" t="inlineStr">
        <is>
          <t>Q8</t>
        </is>
      </c>
      <c r="J20" s="8" t="inlineStr">
        <is>
          <t>TOTAL</t>
        </is>
      </c>
    </row>
    <row r="21" ht="15" customHeight="1">
      <c r="A21" s="9" t="inlineStr">
        <is>
          <t>Parte A</t>
        </is>
      </c>
      <c r="B21" s="36">
        <f>(Inventario_Dinamico!B7+Inventario_Dinamico!B10)/2*Inputs!$C$59</f>
        <v/>
      </c>
      <c r="C21" s="36">
        <f>(Inventario_Dinamico!C7+Inventario_Dinamico!C10)/2*Inputs!$C$59</f>
        <v/>
      </c>
      <c r="D21" s="36">
        <f>(Inventario_Dinamico!D7+Inventario_Dinamico!D10)/2*Inputs!$C$59</f>
        <v/>
      </c>
      <c r="E21" s="36">
        <f>(Inventario_Dinamico!E7+Inventario_Dinamico!E10)/2*Inputs!$C$59</f>
        <v/>
      </c>
      <c r="F21" s="36">
        <f>(Inventario_Dinamico!F7+Inventario_Dinamico!F10)/2*Inputs!$C$59</f>
        <v/>
      </c>
      <c r="G21" s="36">
        <f>(Inventario_Dinamico!G7+Inventario_Dinamico!G10)/2*Inputs!$C$59</f>
        <v/>
      </c>
      <c r="H21" s="36">
        <f>(Inventario_Dinamico!H7+Inventario_Dinamico!H10)/2*Inputs!$C$59</f>
        <v/>
      </c>
      <c r="I21" s="36">
        <f>(Inventario_Dinamico!I7+Inventario_Dinamico!I10)/2*Inputs!$C$59</f>
        <v/>
      </c>
      <c r="J21" s="36">
        <f>SUM(B21:I21)</f>
        <v/>
      </c>
    </row>
    <row r="22" ht="15" customHeight="1">
      <c r="A22" s="9" t="inlineStr">
        <is>
          <t>Parte B</t>
        </is>
      </c>
      <c r="B22" s="36">
        <f>(Inventario_Dinamico!B13+Inventario_Dinamico!B16)/2*Inputs!$C$60</f>
        <v/>
      </c>
      <c r="C22" s="36">
        <f>(Inventario_Dinamico!C13+Inventario_Dinamico!C16)/2*Inputs!$C$60</f>
        <v/>
      </c>
      <c r="D22" s="36">
        <f>(Inventario_Dinamico!D13+Inventario_Dinamico!D16)/2*Inputs!$C$60</f>
        <v/>
      </c>
      <c r="E22" s="36">
        <f>(Inventario_Dinamico!E13+Inventario_Dinamico!E16)/2*Inputs!$C$60</f>
        <v/>
      </c>
      <c r="F22" s="36">
        <f>(Inventario_Dinamico!F13+Inventario_Dinamico!F16)/2*Inputs!$C$60</f>
        <v/>
      </c>
      <c r="G22" s="36">
        <f>(Inventario_Dinamico!G13+Inventario_Dinamico!G16)/2*Inputs!$C$60</f>
        <v/>
      </c>
      <c r="H22" s="36">
        <f>(Inventario_Dinamico!H13+Inventario_Dinamico!H16)/2*Inputs!$C$60</f>
        <v/>
      </c>
      <c r="I22" s="36">
        <f>(Inventario_Dinamico!I13+Inventario_Dinamico!I16)/2*Inputs!$C$60</f>
        <v/>
      </c>
      <c r="J22" s="36">
        <f>SUM(B22:I22)</f>
        <v/>
      </c>
    </row>
    <row r="23" ht="15" customHeight="1">
      <c r="A23" s="5" t="inlineStr">
        <is>
          <t>SUBTOTAL HOLDING</t>
        </is>
      </c>
      <c r="B23" s="66">
        <f>SUM(B21:B22)</f>
        <v/>
      </c>
      <c r="C23" s="66">
        <f>SUM(C21:C22)</f>
        <v/>
      </c>
      <c r="D23" s="66">
        <f>SUM(D21:D22)</f>
        <v/>
      </c>
      <c r="E23" s="66">
        <f>SUM(E21:E22)</f>
        <v/>
      </c>
      <c r="F23" s="66">
        <f>SUM(F21:F22)</f>
        <v/>
      </c>
      <c r="G23" s="66">
        <f>SUM(G21:G22)</f>
        <v/>
      </c>
      <c r="H23" s="66">
        <f>SUM(H21:H22)</f>
        <v/>
      </c>
      <c r="I23" s="66">
        <f>SUM(I21:I22)</f>
        <v/>
      </c>
      <c r="J23" s="66">
        <f>SUM(J21:J22)</f>
        <v/>
      </c>
    </row>
    <row r="26" ht="15" customHeight="1">
      <c r="A26" s="93" t="inlineStr">
        <is>
          <t>TOTAL OUTFLOW PURCHASING</t>
        </is>
      </c>
      <c r="B26" s="67">
        <f>B9+B16+B23</f>
        <v/>
      </c>
      <c r="C26" s="67">
        <f>C9+C16+C23</f>
        <v/>
      </c>
      <c r="D26" s="67">
        <f>D9+D16+D23</f>
        <v/>
      </c>
      <c r="E26" s="67">
        <f>E9+E16+E23</f>
        <v/>
      </c>
      <c r="F26" s="67">
        <f>F9+F16+F23</f>
        <v/>
      </c>
      <c r="G26" s="67">
        <f>G9+G16+G23</f>
        <v/>
      </c>
      <c r="H26" s="67">
        <f>H9+H16+H23</f>
        <v/>
      </c>
      <c r="I26" s="67">
        <f>I9+I16+I23</f>
        <v/>
      </c>
      <c r="J26" s="67">
        <f>J9+J16+J23</f>
        <v/>
      </c>
    </row>
    <row r="27" ht="15" customHeight="1"/>
    <row r="28" ht="15" customHeight="1">
      <c r="A28" s="77" t="inlineStr">
        <is>
          <t>ANÁLISIS</t>
        </is>
      </c>
    </row>
    <row r="30" ht="15" customHeight="1">
      <c r="A30" s="53" t="inlineStr">
        <is>
          <t>Pago Máximo (Peak):</t>
        </is>
      </c>
      <c r="B30" s="68">
        <f>MAX(B26:I26)</f>
        <v/>
      </c>
      <c r="C30" s="82" t="inlineStr">
        <is>
          <t>Quincena más costosa</t>
        </is>
      </c>
    </row>
    <row r="31" ht="15" customHeight="1">
      <c r="A31" s="53" t="inlineStr">
        <is>
          <t>Pago Mínimo:</t>
        </is>
      </c>
      <c r="B31" s="68">
        <f>MIN(B26:I26)</f>
        <v/>
      </c>
      <c r="C31" s="82" t="inlineStr">
        <is>
          <t>Quincena más barata</t>
        </is>
      </c>
    </row>
    <row r="32" ht="15" customHeight="1">
      <c r="A32" s="53" t="inlineStr">
        <is>
          <t>Pago Promedio:</t>
        </is>
      </c>
      <c r="B32" s="68">
        <f>AVERAGE(B26:I26)</f>
        <v/>
      </c>
      <c r="C32" s="82" t="inlineStr">
        <is>
          <t>Promedio por quincena</t>
        </is>
      </c>
    </row>
    <row r="33" ht="15" customHeight="1">
      <c r="A33" s="53" t="inlineStr">
        <is>
          <t>Desviación Est.:</t>
        </is>
      </c>
      <c r="B33" s="68">
        <f>STDEV(B26:I26)</f>
        <v/>
      </c>
      <c r="C33" s="82" t="inlineStr">
        <is>
          <t>Volatilidad del flujo</t>
        </is>
      </c>
    </row>
  </sheetData>
  <mergeCells count="7">
    <mergeCell ref="A26:A27"/>
    <mergeCell ref="A2:K2"/>
    <mergeCell ref="A12:J12"/>
    <mergeCell ref="A4:J4"/>
    <mergeCell ref="A28:D28"/>
    <mergeCell ref="A1:K1"/>
    <mergeCell ref="A19:J19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3"/>
  <sheetViews>
    <sheetView topLeftCell="A21" zoomScaleNormal="100" workbookViewId="0">
      <selection activeCell="G16" sqref="G16"/>
    </sheetView>
  </sheetViews>
  <sheetFormatPr baseColWidth="10" defaultColWidth="8.6640625" defaultRowHeight="14.4"/>
  <cols>
    <col width="8.21875" bestFit="1" customWidth="1" min="1" max="1"/>
    <col width="9.109375" bestFit="1" customWidth="1" min="2" max="2"/>
    <col width="26.6640625" bestFit="1" customWidth="1" min="3" max="3"/>
    <col width="8.33203125" bestFit="1" customWidth="1" min="4" max="4"/>
    <col width="8.109375" bestFit="1" customWidth="1" min="5" max="5"/>
  </cols>
  <sheetData>
    <row r="1" ht="17.25" customHeight="1">
      <c r="A1" s="94" t="inlineStr">
        <is>
          <t>EXSIM UPLOAD - COPIAR DIRECTO A PLATAFORMA</t>
        </is>
      </c>
    </row>
    <row r="2" ht="15" customHeight="1">
      <c r="A2" s="83" t="inlineStr">
        <is>
          <t>Formato exacto para subir decisiones a EXSIM. Copiar columnas B-E directamente.</t>
        </is>
      </c>
    </row>
    <row r="4" ht="15" customHeight="1">
      <c r="A4" s="77" t="inlineStr">
        <is>
          <t>PIEZAS 1-6 (Compra única en t=0)</t>
        </is>
      </c>
    </row>
    <row r="5" ht="15" customHeight="1">
      <c r="A5" s="8" t="inlineStr">
        <is>
          <t>Material</t>
        </is>
      </c>
      <c r="B5" s="8" t="inlineStr">
        <is>
          <t>Fortnight</t>
        </is>
      </c>
      <c r="C5" s="8" t="inlineStr">
        <is>
          <t>Lots</t>
        </is>
      </c>
      <c r="D5" s="8" t="inlineStr">
        <is>
          <t>Supplier</t>
        </is>
      </c>
      <c r="E5" s="8" t="inlineStr">
        <is>
          <t>Notes</t>
        </is>
      </c>
    </row>
    <row r="6" ht="15" customHeight="1">
      <c r="A6" s="9" t="inlineStr">
        <is>
          <t>Pieza 1</t>
        </is>
      </c>
      <c r="B6" s="69" t="n">
        <v>0</v>
      </c>
      <c r="C6" s="32">
        <f>Compras_y_Lotes!E7</f>
        <v/>
      </c>
      <c r="D6" s="10" t="inlineStr">
        <is>
          <t>Único</t>
        </is>
      </c>
      <c r="E6" s="22">
        <f>IF(C6&gt;0,"Comprar","NO COMPRAR")</f>
        <v/>
      </c>
    </row>
    <row r="7" ht="15" customHeight="1">
      <c r="A7" s="9" t="inlineStr">
        <is>
          <t>Pieza 2</t>
        </is>
      </c>
      <c r="B7" s="69" t="n">
        <v>0</v>
      </c>
      <c r="C7" s="32">
        <f>Compras_y_Lotes!E8</f>
        <v/>
      </c>
      <c r="D7" s="10" t="inlineStr">
        <is>
          <t>Único</t>
        </is>
      </c>
      <c r="E7" s="22">
        <f>IF(C7&gt;0,"Comprar","NO COMPRAR")</f>
        <v/>
      </c>
    </row>
    <row r="8" ht="15" customHeight="1">
      <c r="A8" s="9" t="inlineStr">
        <is>
          <t>Pieza 3</t>
        </is>
      </c>
      <c r="B8" s="69" t="n">
        <v>0</v>
      </c>
      <c r="C8" s="32">
        <f>Compras_y_Lotes!E9</f>
        <v/>
      </c>
      <c r="D8" s="10" t="inlineStr">
        <is>
          <t>Único</t>
        </is>
      </c>
      <c r="E8" s="22">
        <f>IF(C8&gt;0,"Comprar","NO COMPRAR")</f>
        <v/>
      </c>
    </row>
    <row r="9" ht="15" customHeight="1">
      <c r="A9" s="9" t="inlineStr">
        <is>
          <t>Pieza 4</t>
        </is>
      </c>
      <c r="B9" s="69" t="n">
        <v>0</v>
      </c>
      <c r="C9" s="32">
        <f>Compras_y_Lotes!E10</f>
        <v/>
      </c>
      <c r="D9" s="10" t="inlineStr">
        <is>
          <t>Único</t>
        </is>
      </c>
      <c r="E9" s="22">
        <f>IF(C9&gt;0,"Comprar","NO COMPRAR")</f>
        <v/>
      </c>
    </row>
    <row r="10" ht="15" customHeight="1">
      <c r="A10" s="9" t="inlineStr">
        <is>
          <t>Pieza 5</t>
        </is>
      </c>
      <c r="B10" s="69" t="n">
        <v>0</v>
      </c>
      <c r="C10" s="32">
        <f>Compras_y_Lotes!E11</f>
        <v/>
      </c>
      <c r="D10" s="10" t="inlineStr">
        <is>
          <t>Único</t>
        </is>
      </c>
      <c r="E10" s="22">
        <f>IF(C10&gt;0,"Comprar","NO COMPRAR")</f>
        <v/>
      </c>
    </row>
    <row r="11" ht="15" customHeight="1">
      <c r="A11" s="9" t="inlineStr">
        <is>
          <t>Pieza 6</t>
        </is>
      </c>
      <c r="B11" s="69" t="n">
        <v>0</v>
      </c>
      <c r="C11" s="32">
        <f>Compras_y_Lotes!E12</f>
        <v/>
      </c>
      <c r="D11" s="10" t="inlineStr">
        <is>
          <t>Único</t>
        </is>
      </c>
      <c r="E11" s="22">
        <f>IF(C11&gt;0,"Comprar","NO COMPRAR")</f>
        <v/>
      </c>
    </row>
    <row r="13" ht="15" customHeight="1">
      <c r="A13" s="77" t="inlineStr">
        <is>
          <t>PARTE A (Por Quincena)</t>
        </is>
      </c>
    </row>
    <row r="14" ht="15" customHeight="1">
      <c r="A14" s="8" t="inlineStr">
        <is>
          <t>Material</t>
        </is>
      </c>
      <c r="B14" s="8" t="inlineStr">
        <is>
          <t>Fortnight</t>
        </is>
      </c>
      <c r="C14" s="8" t="inlineStr">
        <is>
          <t>Lots</t>
        </is>
      </c>
      <c r="D14" s="8" t="inlineStr">
        <is>
          <t>Supplier</t>
        </is>
      </c>
      <c r="E14" s="8" t="inlineStr">
        <is>
          <t>Notes</t>
        </is>
      </c>
    </row>
    <row r="15" ht="15" customHeight="1">
      <c r="A15" s="9" t="inlineStr">
        <is>
          <t>Parte A</t>
        </is>
      </c>
      <c r="B15" s="69" t="n">
        <v>1</v>
      </c>
      <c r="C15" s="32">
        <f>Compras_y_Lotes!F18</f>
        <v/>
      </c>
      <c r="D15" s="59">
        <f>Inputs!$B$69</f>
        <v/>
      </c>
      <c r="E15" s="22">
        <f>IF(C15&gt;0,"Comprar","-")</f>
        <v/>
      </c>
    </row>
    <row r="16" ht="15" customHeight="1">
      <c r="A16" s="9" t="inlineStr">
        <is>
          <t>Parte A</t>
        </is>
      </c>
      <c r="B16" s="69" t="n">
        <v>2</v>
      </c>
      <c r="C16" s="32">
        <f>Compras_y_Lotes!F19</f>
        <v/>
      </c>
      <c r="D16" s="59">
        <f>Inputs!$B$69</f>
        <v/>
      </c>
      <c r="E16" s="22">
        <f>IF(C16&gt;0,"Comprar","-")</f>
        <v/>
      </c>
    </row>
    <row r="17" ht="15" customHeight="1">
      <c r="A17" s="9" t="inlineStr">
        <is>
          <t>Parte A</t>
        </is>
      </c>
      <c r="B17" s="69" t="n">
        <v>3</v>
      </c>
      <c r="C17" s="32">
        <f>Compras_y_Lotes!F20</f>
        <v/>
      </c>
      <c r="D17" s="59">
        <f>Inputs!$B$69</f>
        <v/>
      </c>
      <c r="E17" s="22">
        <f>IF(C17&gt;0,"Comprar","-")</f>
        <v/>
      </c>
    </row>
    <row r="18" ht="15" customHeight="1">
      <c r="A18" s="9" t="inlineStr">
        <is>
          <t>Parte A</t>
        </is>
      </c>
      <c r="B18" s="69" t="n">
        <v>4</v>
      </c>
      <c r="C18" s="32">
        <f>Compras_y_Lotes!F21</f>
        <v/>
      </c>
      <c r="D18" s="59">
        <f>Inputs!$B$69</f>
        <v/>
      </c>
      <c r="E18" s="22">
        <f>IF(C18&gt;0,"Comprar","-")</f>
        <v/>
      </c>
    </row>
    <row r="19" ht="15" customHeight="1">
      <c r="A19" s="9" t="inlineStr">
        <is>
          <t>Parte A</t>
        </is>
      </c>
      <c r="B19" s="69" t="n">
        <v>5</v>
      </c>
      <c r="C19" s="32">
        <f>Compras_y_Lotes!F22</f>
        <v/>
      </c>
      <c r="D19" s="59">
        <f>Inputs!$B$69</f>
        <v/>
      </c>
      <c r="E19" s="22">
        <f>IF(C19&gt;0,"Comprar","-")</f>
        <v/>
      </c>
    </row>
    <row r="20" ht="15" customHeight="1">
      <c r="A20" s="9" t="inlineStr">
        <is>
          <t>Parte A</t>
        </is>
      </c>
      <c r="B20" s="69" t="n">
        <v>6</v>
      </c>
      <c r="C20" s="32">
        <f>Compras_y_Lotes!F23</f>
        <v/>
      </c>
      <c r="D20" s="59">
        <f>Inputs!$B$69</f>
        <v/>
      </c>
      <c r="E20" s="22">
        <f>IF(C20&gt;0,"Comprar","-")</f>
        <v/>
      </c>
    </row>
    <row r="21" ht="15" customHeight="1">
      <c r="A21" s="9" t="inlineStr">
        <is>
          <t>Parte A</t>
        </is>
      </c>
      <c r="B21" s="69" t="n">
        <v>7</v>
      </c>
      <c r="C21" s="32">
        <f>Compras_y_Lotes!F24</f>
        <v/>
      </c>
      <c r="D21" s="59">
        <f>Inputs!$B$69</f>
        <v/>
      </c>
      <c r="E21" s="22">
        <f>IF(C21&gt;0,"Comprar","-")</f>
        <v/>
      </c>
    </row>
    <row r="22" ht="15" customHeight="1">
      <c r="A22" s="9" t="inlineStr">
        <is>
          <t>Parte A</t>
        </is>
      </c>
      <c r="B22" s="69" t="n">
        <v>8</v>
      </c>
      <c r="C22" s="32">
        <f>Compras_y_Lotes!F25</f>
        <v/>
      </c>
      <c r="D22" s="59">
        <f>Inputs!$B$69</f>
        <v/>
      </c>
      <c r="E22" s="22">
        <f>IF(C22&gt;0,"Comprar","-")</f>
        <v/>
      </c>
    </row>
    <row r="24" ht="15" customHeight="1">
      <c r="A24" s="77" t="inlineStr">
        <is>
          <t>PARTE B (Por Quincena)</t>
        </is>
      </c>
    </row>
    <row r="25" ht="15" customHeight="1">
      <c r="A25" s="8" t="inlineStr">
        <is>
          <t>Material</t>
        </is>
      </c>
      <c r="B25" s="8" t="inlineStr">
        <is>
          <t>Fortnight</t>
        </is>
      </c>
      <c r="C25" s="8" t="inlineStr">
        <is>
          <t>Lots</t>
        </is>
      </c>
      <c r="D25" s="8" t="inlineStr">
        <is>
          <t>Supplier</t>
        </is>
      </c>
      <c r="E25" s="8" t="inlineStr">
        <is>
          <t>Notes</t>
        </is>
      </c>
    </row>
    <row r="26" ht="15" customHeight="1">
      <c r="A26" s="9" t="inlineStr">
        <is>
          <t>Parte B</t>
        </is>
      </c>
      <c r="B26" s="69" t="n">
        <v>1</v>
      </c>
      <c r="C26" s="32">
        <f>Compras_y_Lotes!F26</f>
        <v/>
      </c>
      <c r="D26" s="59">
        <f>Inputs!$B$77</f>
        <v/>
      </c>
      <c r="E26" s="22">
        <f>IF(C26&gt;0,"Comprar","-")</f>
        <v/>
      </c>
    </row>
    <row r="27" ht="15" customHeight="1">
      <c r="A27" s="9" t="inlineStr">
        <is>
          <t>Parte B</t>
        </is>
      </c>
      <c r="B27" s="69" t="n">
        <v>2</v>
      </c>
      <c r="C27" s="32">
        <f>Compras_y_Lotes!F27</f>
        <v/>
      </c>
      <c r="D27" s="59">
        <f>Inputs!$B$77</f>
        <v/>
      </c>
      <c r="E27" s="22">
        <f>IF(C27&gt;0,"Comprar","-")</f>
        <v/>
      </c>
    </row>
    <row r="28" ht="15" customHeight="1">
      <c r="A28" s="9" t="inlineStr">
        <is>
          <t>Parte B</t>
        </is>
      </c>
      <c r="B28" s="69" t="n">
        <v>3</v>
      </c>
      <c r="C28" s="32">
        <f>Compras_y_Lotes!F28</f>
        <v/>
      </c>
      <c r="D28" s="59">
        <f>Inputs!$B$77</f>
        <v/>
      </c>
      <c r="E28" s="22">
        <f>IF(C28&gt;0,"Comprar","-")</f>
        <v/>
      </c>
    </row>
    <row r="29" ht="15" customHeight="1">
      <c r="A29" s="9" t="inlineStr">
        <is>
          <t>Parte B</t>
        </is>
      </c>
      <c r="B29" s="69" t="n">
        <v>4</v>
      </c>
      <c r="C29" s="32">
        <f>Compras_y_Lotes!F29</f>
        <v/>
      </c>
      <c r="D29" s="59">
        <f>Inputs!$B$77</f>
        <v/>
      </c>
      <c r="E29" s="22">
        <f>IF(C29&gt;0,"Comprar","-")</f>
        <v/>
      </c>
    </row>
    <row r="30" ht="15" customHeight="1">
      <c r="A30" s="9" t="inlineStr">
        <is>
          <t>Parte B</t>
        </is>
      </c>
      <c r="B30" s="69" t="n">
        <v>5</v>
      </c>
      <c r="C30" s="32">
        <f>Compras_y_Lotes!F30</f>
        <v/>
      </c>
      <c r="D30" s="59">
        <f>Inputs!$B$77</f>
        <v/>
      </c>
      <c r="E30" s="22">
        <f>IF(C30&gt;0,"Comprar","-")</f>
        <v/>
      </c>
    </row>
    <row r="31" ht="15" customHeight="1">
      <c r="A31" s="9" t="inlineStr">
        <is>
          <t>Parte B</t>
        </is>
      </c>
      <c r="B31" s="69" t="n">
        <v>6</v>
      </c>
      <c r="C31" s="32">
        <f>Compras_y_Lotes!F31</f>
        <v/>
      </c>
      <c r="D31" s="59">
        <f>Inputs!$B$77</f>
        <v/>
      </c>
      <c r="E31" s="22">
        <f>IF(C31&gt;0,"Comprar","-")</f>
        <v/>
      </c>
    </row>
    <row r="32" ht="15" customHeight="1">
      <c r="A32" s="9" t="inlineStr">
        <is>
          <t>Parte B</t>
        </is>
      </c>
      <c r="B32" s="69" t="n">
        <v>7</v>
      </c>
      <c r="C32" s="32">
        <f>Compras_y_Lotes!F32</f>
        <v/>
      </c>
      <c r="D32" s="59">
        <f>Inputs!$B$77</f>
        <v/>
      </c>
      <c r="E32" s="22">
        <f>IF(C32&gt;0,"Comprar","-")</f>
        <v/>
      </c>
    </row>
    <row r="33" ht="15" customHeight="1">
      <c r="A33" s="9" t="inlineStr">
        <is>
          <t>Parte B</t>
        </is>
      </c>
      <c r="B33" s="69" t="n">
        <v>8</v>
      </c>
      <c r="C33" s="32">
        <f>Compras_y_Lotes!F33</f>
        <v/>
      </c>
      <c r="D33" s="59">
        <f>Inputs!$B$77</f>
        <v/>
      </c>
      <c r="E33" s="22">
        <f>IF(C33&gt;0,"Comprar","-")</f>
        <v/>
      </c>
    </row>
  </sheetData>
  <mergeCells count="5">
    <mergeCell ref="A4:E4"/>
    <mergeCell ref="A24:E24"/>
    <mergeCell ref="A2:E2"/>
    <mergeCell ref="A1:E1"/>
    <mergeCell ref="A13:E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3"/>
  <sheetViews>
    <sheetView zoomScaleNormal="100" workbookViewId="0">
      <selection activeCell="B7" sqref="B7"/>
    </sheetView>
  </sheetViews>
  <sheetFormatPr baseColWidth="10" defaultColWidth="8.6640625" defaultRowHeight="14.4"/>
  <cols>
    <col width="8.21875" bestFit="1" customWidth="1" min="1" max="1"/>
    <col width="6.88671875" bestFit="1" customWidth="1" min="2" max="2"/>
    <col width="5.88671875" bestFit="1" customWidth="1" min="3" max="3"/>
    <col width="7" bestFit="1" customWidth="1" min="4" max="4"/>
    <col width="9.21875" bestFit="1" customWidth="1" min="5" max="5"/>
  </cols>
  <sheetData>
    <row r="1" ht="17.25" customHeight="1">
      <c r="A1" s="80" t="inlineStr">
        <is>
          <t>MULTI-PLANTA: CENTRO Y OESTE</t>
        </is>
      </c>
    </row>
    <row r="2" ht="15" customHeight="1">
      <c r="A2" s="82" t="inlineStr">
        <is>
          <t>Inventarios y producción por región (EXSIM requiere separación)</t>
        </is>
      </c>
    </row>
    <row r="4" ht="15" customHeight="1">
      <c r="A4" s="77" t="inlineStr">
        <is>
          <t>INVENTARIO POR PLANTA</t>
        </is>
      </c>
    </row>
    <row r="5" ht="15" customHeight="1">
      <c r="A5" s="8" t="inlineStr">
        <is>
          <t>Material</t>
        </is>
      </c>
      <c r="B5" s="8" t="inlineStr">
        <is>
          <t>Centro</t>
        </is>
      </c>
      <c r="C5" s="8" t="inlineStr">
        <is>
          <t>Oeste</t>
        </is>
      </c>
      <c r="D5" s="8" t="inlineStr">
        <is>
          <t>TOTAL</t>
        </is>
      </c>
      <c r="E5" s="8" t="inlineStr">
        <is>
          <t>% Centro</t>
        </is>
      </c>
      <c r="F5" t="inlineStr">
        <is>
          <t>Pct Centro (input)</t>
        </is>
      </c>
      <c r="G5" t="inlineStr">
        <is>
          <t>Pct Centro (used)</t>
        </is>
      </c>
    </row>
    <row r="6" ht="15" customHeight="1">
      <c r="A6" s="9" t="inlineStr">
        <is>
          <t>Parte A</t>
        </is>
      </c>
      <c r="B6" s="34" t="n">
        <v>3496</v>
      </c>
      <c r="C6" s="34" t="n">
        <v>1016</v>
      </c>
      <c r="D6" s="7" t="n">
        <v>4512</v>
      </c>
      <c r="E6" s="60">
        <f>B6/D6</f>
        <v/>
      </c>
      <c r="G6">
        <f>IF(F6="",E6,F6)</f>
        <v/>
      </c>
    </row>
    <row r="7" ht="15" customHeight="1">
      <c r="A7" s="9" t="inlineStr">
        <is>
          <t>Parte B</t>
        </is>
      </c>
      <c r="B7" s="34" t="n">
        <v>765</v>
      </c>
      <c r="C7" s="34" t="n">
        <v>293</v>
      </c>
      <c r="D7" s="7" t="n">
        <v>1058</v>
      </c>
      <c r="E7" s="60">
        <f>B7/D7</f>
        <v/>
      </c>
      <c r="G7">
        <f>IF(F7="",E7,F7)</f>
        <v/>
      </c>
    </row>
    <row r="8" ht="15" customHeight="1">
      <c r="A8" s="9" t="inlineStr">
        <is>
          <t>Pieza 1</t>
        </is>
      </c>
      <c r="B8" s="34" t="n">
        <v>94</v>
      </c>
      <c r="C8" s="34" t="n">
        <v>36</v>
      </c>
      <c r="D8" s="7" t="n">
        <v>130</v>
      </c>
      <c r="E8" s="60">
        <f>B8/D8</f>
        <v/>
      </c>
      <c r="G8">
        <f>IF(F8="",E8,F8)</f>
        <v/>
      </c>
    </row>
    <row r="9" ht="15" customHeight="1">
      <c r="A9" s="9" t="inlineStr">
        <is>
          <t>Pieza 2</t>
        </is>
      </c>
      <c r="B9" s="34" t="n">
        <v>3844</v>
      </c>
      <c r="C9" s="34" t="n">
        <v>1424</v>
      </c>
      <c r="D9" s="7" t="n">
        <v>5268</v>
      </c>
      <c r="E9" s="60">
        <f>B9/D9</f>
        <v/>
      </c>
      <c r="G9">
        <f>IF(F9="",E9,F9)</f>
        <v/>
      </c>
    </row>
    <row r="10" ht="15" customHeight="1">
      <c r="A10" s="9" t="inlineStr">
        <is>
          <t>Pieza 3</t>
        </is>
      </c>
      <c r="B10" s="34" t="n">
        <v>3125</v>
      </c>
      <c r="C10" s="34" t="n">
        <v>1208</v>
      </c>
      <c r="D10" s="7" t="n">
        <v>4333</v>
      </c>
      <c r="E10" s="60">
        <f>B10/D10</f>
        <v/>
      </c>
      <c r="G10">
        <f>IF(F10="",E10,F10)</f>
        <v/>
      </c>
    </row>
    <row r="11" ht="15" customHeight="1">
      <c r="A11" s="9" t="inlineStr">
        <is>
          <t>Pieza 4</t>
        </is>
      </c>
      <c r="B11" s="34" t="n">
        <v>6131</v>
      </c>
      <c r="C11" s="34" t="n">
        <v>2356</v>
      </c>
      <c r="D11" s="7" t="n">
        <v>8487</v>
      </c>
      <c r="E11" s="60">
        <f>B11/D11</f>
        <v/>
      </c>
      <c r="G11">
        <f>IF(F11="",E11,F11)</f>
        <v/>
      </c>
    </row>
    <row r="12" ht="15" customHeight="1">
      <c r="A12" s="9" t="inlineStr">
        <is>
          <t>Pieza 5</t>
        </is>
      </c>
      <c r="B12" s="34" t="n">
        <v>16736</v>
      </c>
      <c r="C12" s="34" t="n">
        <v>6456</v>
      </c>
      <c r="D12" s="7" t="n">
        <v>23192</v>
      </c>
      <c r="E12" s="60">
        <f>B12/D12</f>
        <v/>
      </c>
      <c r="G12">
        <f>IF(F12="",E12,F12)</f>
        <v/>
      </c>
    </row>
    <row r="13" ht="15" customHeight="1">
      <c r="A13" s="9" t="inlineStr">
        <is>
          <t>Pieza 6</t>
        </is>
      </c>
      <c r="B13" s="34" t="n">
        <v>4439</v>
      </c>
      <c r="C13" s="34" t="n">
        <v>1596</v>
      </c>
      <c r="D13" s="7" t="n">
        <v>6035</v>
      </c>
      <c r="E13" s="60">
        <f>B13/D13</f>
        <v/>
      </c>
      <c r="G13">
        <f>IF(F13="",E13,F13)</f>
        <v/>
      </c>
    </row>
  </sheetData>
  <mergeCells count="3">
    <mergeCell ref="A2:E2"/>
    <mergeCell ref="A1:E1"/>
    <mergeCell ref="A4:E4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Normal="100" workbookViewId="0">
      <selection activeCell="B14" sqref="B14"/>
    </sheetView>
  </sheetViews>
  <sheetFormatPr baseColWidth="10" defaultColWidth="8.6640625" defaultRowHeight="14.4"/>
  <cols>
    <col width="15" customWidth="1" min="1" max="1"/>
  </cols>
  <sheetData>
    <row r="1" ht="17.25" customHeight="1">
      <c r="A1" s="80" t="inlineStr">
        <is>
          <t>MRP - PRODUCCIÓN POR SECCIÓN</t>
        </is>
      </c>
    </row>
    <row r="2" ht="15" customHeight="1">
      <c r="A2" s="82" t="inlineStr">
        <is>
          <t>5 secciones (S1-S5), cada una tarda 1 quincena. WIP entre secciones.</t>
        </is>
      </c>
    </row>
    <row r="4" ht="15" customHeight="1">
      <c r="A4" s="77" t="inlineStr">
        <is>
          <t>FLUJO DE PRODUCCIÓN</t>
        </is>
      </c>
    </row>
    <row r="5" ht="15" customHeight="1">
      <c r="A5" s="8" t="inlineStr">
        <is>
          <t>Sección</t>
        </is>
      </c>
      <c r="B5" s="8" t="inlineStr">
        <is>
          <t>Input</t>
        </is>
      </c>
      <c r="C5" s="8" t="inlineStr">
        <is>
          <t>Process</t>
        </is>
      </c>
      <c r="D5" s="8" t="inlineStr">
        <is>
          <t>Output</t>
        </is>
      </c>
      <c r="E5" s="8" t="inlineStr">
        <is>
          <t>Lead Time</t>
        </is>
      </c>
    </row>
    <row r="6" ht="15" customHeight="1">
      <c r="A6" s="9" t="inlineStr">
        <is>
          <t>S1</t>
        </is>
      </c>
      <c r="B6" s="9" t="inlineStr">
        <is>
          <t>Parte A</t>
        </is>
      </c>
      <c r="C6" s="9" t="inlineStr">
        <is>
          <t>Ensambla Piezas</t>
        </is>
      </c>
      <c r="D6" s="9" t="inlineStr">
        <is>
          <t>Semi A</t>
        </is>
      </c>
      <c r="E6" s="9" t="inlineStr">
        <is>
          <t>1Q</t>
        </is>
      </c>
    </row>
    <row r="7" ht="15" customHeight="1">
      <c r="A7" s="9" t="inlineStr">
        <is>
          <t>S2</t>
        </is>
      </c>
      <c r="B7" s="9" t="inlineStr">
        <is>
          <t>Parte B</t>
        </is>
      </c>
      <c r="C7" s="9" t="inlineStr">
        <is>
          <t>Ensambla Piezas</t>
        </is>
      </c>
      <c r="D7" s="9" t="inlineStr">
        <is>
          <t>Semi B</t>
        </is>
      </c>
      <c r="E7" s="9" t="inlineStr">
        <is>
          <t>1Q</t>
        </is>
      </c>
    </row>
    <row r="8" ht="15" customHeight="1">
      <c r="A8" s="9" t="inlineStr">
        <is>
          <t>S3</t>
        </is>
      </c>
      <c r="B8" s="9" t="inlineStr">
        <is>
          <t>-</t>
        </is>
      </c>
      <c r="C8" s="9" t="inlineStr">
        <is>
          <t>Pieza 3</t>
        </is>
      </c>
      <c r="D8" s="9" t="inlineStr">
        <is>
          <t>Semi C</t>
        </is>
      </c>
      <c r="E8" s="9" t="inlineStr">
        <is>
          <t>1Q</t>
        </is>
      </c>
    </row>
    <row r="9" ht="15" customHeight="1">
      <c r="A9" s="9" t="inlineStr">
        <is>
          <t>S4</t>
        </is>
      </c>
      <c r="B9" s="9" t="inlineStr">
        <is>
          <t>-</t>
        </is>
      </c>
      <c r="C9" s="9" t="inlineStr">
        <is>
          <t>Pieza 6</t>
        </is>
      </c>
      <c r="D9" s="9" t="inlineStr">
        <is>
          <t>Semi D</t>
        </is>
      </c>
      <c r="E9" s="9" t="inlineStr">
        <is>
          <t>1Q</t>
        </is>
      </c>
    </row>
    <row r="10" ht="15" customHeight="1">
      <c r="A10" s="9" t="inlineStr">
        <is>
          <t>S5</t>
        </is>
      </c>
      <c r="B10" s="9" t="inlineStr">
        <is>
          <t>Semis</t>
        </is>
      </c>
      <c r="C10" s="9" t="inlineStr">
        <is>
          <t>Ensambla final</t>
        </is>
      </c>
      <c r="D10" s="9" t="inlineStr">
        <is>
          <t>Electroclean</t>
        </is>
      </c>
      <c r="E10" s="9" t="inlineStr">
        <is>
          <t>1Q</t>
        </is>
      </c>
    </row>
    <row r="12">
      <c r="A12" t="inlineStr">
        <is>
          <t>CALENDARIO POR SECCION (Lead Time 1Q)</t>
        </is>
      </c>
    </row>
    <row r="13">
      <c r="A13" t="inlineStr">
        <is>
          <t>Seccion</t>
        </is>
      </c>
      <c r="B13" t="inlineStr">
        <is>
          <t>Q1</t>
        </is>
      </c>
      <c r="C13" t="inlineStr">
        <is>
          <t>Q2</t>
        </is>
      </c>
      <c r="D13" t="inlineStr">
        <is>
          <t>Q3</t>
        </is>
      </c>
      <c r="E13" t="inlineStr">
        <is>
          <t>Q4</t>
        </is>
      </c>
      <c r="F13" t="inlineStr">
        <is>
          <t>Q5</t>
        </is>
      </c>
      <c r="G13" t="inlineStr">
        <is>
          <t>Q6</t>
        </is>
      </c>
      <c r="H13" t="inlineStr">
        <is>
          <t>Q7</t>
        </is>
      </c>
      <c r="I13" t="inlineStr">
        <is>
          <t>Q8</t>
        </is>
      </c>
    </row>
    <row r="14">
      <c r="A14" t="inlineStr">
        <is>
          <t>S5 - Final (EC)</t>
        </is>
      </c>
      <c r="B14">
        <f>Inputs!B6*Inputs!$B$101</f>
        <v/>
      </c>
      <c r="C14">
        <f>Inputs!C6*Inputs!$B$101</f>
        <v/>
      </c>
      <c r="D14">
        <f>Inputs!D6*Inputs!$B$101</f>
        <v/>
      </c>
      <c r="E14">
        <f>Inputs!E6*Inputs!$B$101</f>
        <v/>
      </c>
      <c r="F14">
        <f>Inputs!F6*Inputs!$B$101</f>
        <v/>
      </c>
      <c r="G14">
        <f>Inputs!G6*Inputs!$B$101</f>
        <v/>
      </c>
      <c r="H14">
        <f>Inputs!H6*Inputs!$B$101</f>
        <v/>
      </c>
      <c r="I14">
        <f>Inputs!I6*Inputs!$B$101</f>
        <v/>
      </c>
    </row>
    <row r="15">
      <c r="A15" t="inlineStr">
        <is>
          <t>S4 - Piezas</t>
        </is>
      </c>
      <c r="B15">
        <f>IFERROR(C14,0)</f>
        <v/>
      </c>
      <c r="C15">
        <f>IFERROR(D14,0)</f>
        <v/>
      </c>
      <c r="D15">
        <f>IFERROR(E14,0)</f>
        <v/>
      </c>
      <c r="E15">
        <f>IFERROR(F14,0)</f>
        <v/>
      </c>
      <c r="F15">
        <f>IFERROR(G14,0)</f>
        <v/>
      </c>
      <c r="G15">
        <f>IFERROR(H14,0)</f>
        <v/>
      </c>
      <c r="H15">
        <f>IFERROR(I14,0)</f>
        <v/>
      </c>
      <c r="I15">
        <f>IFERROR(J14,0)</f>
        <v/>
      </c>
    </row>
    <row r="16">
      <c r="A16" t="inlineStr">
        <is>
          <t>S3 - Semi</t>
        </is>
      </c>
      <c r="B16">
        <f>IFERROR(C15,0)</f>
        <v/>
      </c>
      <c r="C16">
        <f>IFERROR(D15,0)</f>
        <v/>
      </c>
      <c r="D16">
        <f>IFERROR(E15,0)</f>
        <v/>
      </c>
      <c r="E16">
        <f>IFERROR(F15,0)</f>
        <v/>
      </c>
      <c r="F16">
        <f>IFERROR(G15,0)</f>
        <v/>
      </c>
      <c r="G16">
        <f>IFERROR(H15,0)</f>
        <v/>
      </c>
      <c r="H16">
        <f>IFERROR(I15,0)</f>
        <v/>
      </c>
      <c r="I16">
        <f>IFERROR(J15,0)</f>
        <v/>
      </c>
    </row>
    <row r="17">
      <c r="A17" t="inlineStr">
        <is>
          <t>S2 - Parte B</t>
        </is>
      </c>
      <c r="B17">
        <f>IFERROR(C16,0)</f>
        <v/>
      </c>
      <c r="C17">
        <f>IFERROR(D16,0)</f>
        <v/>
      </c>
      <c r="D17">
        <f>IFERROR(E16,0)</f>
        <v/>
      </c>
      <c r="E17">
        <f>IFERROR(F16,0)</f>
        <v/>
      </c>
      <c r="F17">
        <f>IFERROR(G16,0)</f>
        <v/>
      </c>
      <c r="G17">
        <f>IFERROR(H16,0)</f>
        <v/>
      </c>
      <c r="H17">
        <f>IFERROR(I16,0)</f>
        <v/>
      </c>
      <c r="I17">
        <f>IFERROR(J16,0)</f>
        <v/>
      </c>
    </row>
    <row r="18">
      <c r="A18" t="inlineStr">
        <is>
          <t>S1 - Parte A</t>
        </is>
      </c>
      <c r="B18">
        <f>IFERROR(C17,0)</f>
        <v/>
      </c>
      <c r="C18">
        <f>IFERROR(D17,0)</f>
        <v/>
      </c>
      <c r="D18">
        <f>IFERROR(E17,0)</f>
        <v/>
      </c>
      <c r="E18">
        <f>IFERROR(F17,0)</f>
        <v/>
      </c>
      <c r="F18">
        <f>IFERROR(G17,0)</f>
        <v/>
      </c>
      <c r="G18">
        <f>IFERROR(H17,0)</f>
        <v/>
      </c>
      <c r="H18">
        <f>IFERROR(I17,0)</f>
        <v/>
      </c>
      <c r="I18">
        <f>IFERROR(J17,0)</f>
        <v/>
      </c>
    </row>
  </sheetData>
  <mergeCells count="3">
    <mergeCell ref="A2:F2"/>
    <mergeCell ref="A1:F1"/>
    <mergeCell ref="A4:F4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7"/>
  <sheetViews>
    <sheetView zoomScaleNormal="100" workbookViewId="0">
      <selection activeCell="I11" sqref="I11"/>
    </sheetView>
  </sheetViews>
  <sheetFormatPr baseColWidth="10" defaultColWidth="8.6640625" defaultRowHeight="14.4"/>
  <cols>
    <col width="15" customWidth="1" min="1" max="1"/>
  </cols>
  <sheetData>
    <row r="1" ht="17.25" customHeight="1">
      <c r="A1" s="95" t="inlineStr">
        <is>
          <t>RECONCILIACION CON REPORTES EXSIM</t>
        </is>
      </c>
    </row>
    <row r="2" ht="15" customHeight="1">
      <c r="A2" s="82" t="inlineStr">
        <is>
          <t>Pega reportes del simulador aqui para comparar</t>
        </is>
      </c>
    </row>
    <row r="4" ht="15" customHeight="1">
      <c r="A4" s="77" t="inlineStr">
        <is>
          <t>RAW MATERIALS INVENTORY</t>
        </is>
      </c>
    </row>
    <row r="5" ht="15" customHeight="1">
      <c r="A5" s="8" t="inlineStr">
        <is>
          <t>EXSIM (pegar aqui)</t>
        </is>
      </c>
      <c r="B5" s="8" t="n"/>
      <c r="C5" s="8" t="n"/>
      <c r="D5" s="8" t="n"/>
      <c r="E5" s="8" t="n"/>
      <c r="J5" t="inlineStr">
        <is>
          <t>Umbral (abs)</t>
        </is>
      </c>
      <c r="K5" t="n">
        <v>100</v>
      </c>
    </row>
    <row r="6" ht="15" customHeight="1">
      <c r="A6" s="9" t="inlineStr">
        <is>
          <t>Material</t>
        </is>
      </c>
      <c r="B6" s="34" t="inlineStr">
        <is>
          <t>Q1</t>
        </is>
      </c>
      <c r="C6" s="70" t="inlineStr">
        <is>
          <t>Q2</t>
        </is>
      </c>
      <c r="D6" s="71" t="inlineStr">
        <is>
          <t>Q3</t>
        </is>
      </c>
      <c r="E6" s="9" t="inlineStr">
        <is>
          <t>Q4</t>
        </is>
      </c>
      <c r="F6" t="inlineStr">
        <is>
          <t>Q5</t>
        </is>
      </c>
      <c r="G6" t="inlineStr">
        <is>
          <t>Q6</t>
        </is>
      </c>
      <c r="H6" t="inlineStr">
        <is>
          <t>Q7</t>
        </is>
      </c>
      <c r="I6" t="inlineStr">
        <is>
          <t>Q8</t>
        </is>
      </c>
    </row>
    <row r="7" ht="15" customHeight="1">
      <c r="A7" s="9" t="inlineStr">
        <is>
          <t>Parte A</t>
        </is>
      </c>
      <c r="B7" s="34" t="n"/>
      <c r="C7" s="70" t="n"/>
      <c r="D7" s="71" t="n"/>
      <c r="E7" s="9" t="n"/>
    </row>
    <row r="8" ht="15" customHeight="1">
      <c r="A8" s="9" t="inlineStr">
        <is>
          <t>Parte B</t>
        </is>
      </c>
      <c r="B8" s="34" t="n"/>
      <c r="C8" s="70" t="n"/>
      <c r="D8" s="71" t="n"/>
      <c r="E8" s="9" t="n"/>
    </row>
    <row r="9" ht="15" customHeight="1">
      <c r="A9" s="9" t="inlineStr">
        <is>
          <t>Pieza 1</t>
        </is>
      </c>
      <c r="B9" s="34" t="n"/>
      <c r="C9" s="70" t="n"/>
      <c r="D9" s="71" t="n"/>
      <c r="E9" s="9" t="n"/>
    </row>
    <row r="10" ht="15" customHeight="1">
      <c r="A10" s="9" t="inlineStr">
        <is>
          <t>Pieza 2</t>
        </is>
      </c>
      <c r="B10" s="34" t="n"/>
      <c r="C10" s="70" t="n"/>
      <c r="D10" s="71" t="n"/>
      <c r="E10" s="9" t="n"/>
    </row>
    <row r="11" ht="15" customHeight="1">
      <c r="A11" s="9" t="inlineStr">
        <is>
          <t>Pieza 3</t>
        </is>
      </c>
      <c r="B11" s="34" t="n"/>
      <c r="C11" s="70" t="n"/>
      <c r="D11" s="71" t="n"/>
      <c r="E11" s="9" t="n"/>
    </row>
    <row r="12" ht="15" customHeight="1">
      <c r="A12" s="9" t="inlineStr">
        <is>
          <t>Pieza 4</t>
        </is>
      </c>
      <c r="B12" s="34" t="n"/>
      <c r="C12" s="70" t="n"/>
      <c r="D12" s="71" t="n"/>
      <c r="E12" s="9" t="n"/>
    </row>
    <row r="13" ht="15" customHeight="1">
      <c r="A13" s="9" t="inlineStr">
        <is>
          <t>Pieza 5</t>
        </is>
      </c>
      <c r="B13" s="34" t="n"/>
      <c r="C13" s="70" t="n"/>
      <c r="D13" s="71" t="n"/>
      <c r="E13" s="9" t="n"/>
    </row>
    <row r="14">
      <c r="A14" t="inlineStr">
        <is>
          <t>Pieza 6</t>
        </is>
      </c>
    </row>
    <row r="16">
      <c r="A16" t="inlineStr">
        <is>
          <t>MODELO (Inv_Final)</t>
        </is>
      </c>
    </row>
    <row r="17">
      <c r="A17" t="inlineStr">
        <is>
          <t>Material</t>
        </is>
      </c>
      <c r="B17" t="inlineStr">
        <is>
          <t>Q1</t>
        </is>
      </c>
      <c r="C17" t="inlineStr">
        <is>
          <t>Q2</t>
        </is>
      </c>
      <c r="D17" t="inlineStr">
        <is>
          <t>Q3</t>
        </is>
      </c>
      <c r="E17" t="inlineStr">
        <is>
          <t>Q4</t>
        </is>
      </c>
      <c r="F17" t="inlineStr">
        <is>
          <t>Q5</t>
        </is>
      </c>
      <c r="G17" t="inlineStr">
        <is>
          <t>Q6</t>
        </is>
      </c>
      <c r="H17" t="inlineStr">
        <is>
          <t>Q7</t>
        </is>
      </c>
      <c r="I17" t="inlineStr">
        <is>
          <t>Q8</t>
        </is>
      </c>
    </row>
    <row r="18">
      <c r="A18" t="inlineStr">
        <is>
          <t>Parte A</t>
        </is>
      </c>
      <c r="B18" s="74">
        <f>Inventario_Dinamico!B10</f>
        <v/>
      </c>
      <c r="C18" s="74">
        <f>Inventario_Dinamico!C10</f>
        <v/>
      </c>
      <c r="D18" s="74">
        <f>Inventario_Dinamico!D10</f>
        <v/>
      </c>
      <c r="E18" s="74">
        <f>Inventario_Dinamico!E10</f>
        <v/>
      </c>
      <c r="F18" s="74">
        <f>Inventario_Dinamico!F10</f>
        <v/>
      </c>
      <c r="G18" s="74">
        <f>Inventario_Dinamico!G10</f>
        <v/>
      </c>
      <c r="H18" s="74">
        <f>Inventario_Dinamico!H10</f>
        <v/>
      </c>
      <c r="I18" s="74">
        <f>Inventario_Dinamico!I10</f>
        <v/>
      </c>
    </row>
    <row r="19">
      <c r="A19" t="inlineStr">
        <is>
          <t>Parte B</t>
        </is>
      </c>
      <c r="B19" s="74">
        <f>Inventario_Dinamico!B16</f>
        <v/>
      </c>
      <c r="C19" s="74">
        <f>Inventario_Dinamico!C16</f>
        <v/>
      </c>
      <c r="D19" s="74">
        <f>Inventario_Dinamico!D16</f>
        <v/>
      </c>
      <c r="E19" s="74">
        <f>Inventario_Dinamico!E16</f>
        <v/>
      </c>
      <c r="F19" s="74">
        <f>Inventario_Dinamico!F16</f>
        <v/>
      </c>
      <c r="G19" s="74">
        <f>Inventario_Dinamico!G16</f>
        <v/>
      </c>
      <c r="H19" s="74">
        <f>Inventario_Dinamico!H16</f>
        <v/>
      </c>
      <c r="I19" s="74">
        <f>Inventario_Dinamico!I16</f>
        <v/>
      </c>
    </row>
    <row r="20">
      <c r="A20" t="inlineStr">
        <is>
          <t>Pieza 1</t>
        </is>
      </c>
      <c r="B20" s="74">
        <f>Inventario_Dinamico!B22</f>
        <v/>
      </c>
      <c r="C20" s="74">
        <f>Inventario_Dinamico!C22</f>
        <v/>
      </c>
      <c r="D20" s="74">
        <f>Inventario_Dinamico!D22</f>
        <v/>
      </c>
      <c r="E20" s="74">
        <f>Inventario_Dinamico!E22</f>
        <v/>
      </c>
      <c r="F20" s="74">
        <f>Inventario_Dinamico!F22</f>
        <v/>
      </c>
      <c r="G20" s="74">
        <f>Inventario_Dinamico!G22</f>
        <v/>
      </c>
      <c r="H20" s="74">
        <f>Inventario_Dinamico!H22</f>
        <v/>
      </c>
      <c r="I20" s="74">
        <f>Inventario_Dinamico!I22</f>
        <v/>
      </c>
    </row>
    <row r="21">
      <c r="A21" t="inlineStr">
        <is>
          <t>Pieza 2</t>
        </is>
      </c>
      <c r="B21" s="74">
        <f>Inventario_Dinamico!B28</f>
        <v/>
      </c>
      <c r="C21" s="74">
        <f>Inventario_Dinamico!C28</f>
        <v/>
      </c>
      <c r="D21" s="74">
        <f>Inventario_Dinamico!D28</f>
        <v/>
      </c>
      <c r="E21" s="74">
        <f>Inventario_Dinamico!E28</f>
        <v/>
      </c>
      <c r="F21" s="74">
        <f>Inventario_Dinamico!F28</f>
        <v/>
      </c>
      <c r="G21" s="74">
        <f>Inventario_Dinamico!G28</f>
        <v/>
      </c>
      <c r="H21" s="74">
        <f>Inventario_Dinamico!H28</f>
        <v/>
      </c>
      <c r="I21" s="74">
        <f>Inventario_Dinamico!I28</f>
        <v/>
      </c>
    </row>
    <row r="22">
      <c r="A22" t="inlineStr">
        <is>
          <t>Pieza 3</t>
        </is>
      </c>
      <c r="B22" s="74">
        <f>Inventario_Dinamico!B34</f>
        <v/>
      </c>
      <c r="C22" s="74">
        <f>Inventario_Dinamico!C34</f>
        <v/>
      </c>
      <c r="D22" s="74">
        <f>Inventario_Dinamico!D34</f>
        <v/>
      </c>
      <c r="E22" s="74">
        <f>Inventario_Dinamico!E34</f>
        <v/>
      </c>
      <c r="F22" s="74">
        <f>Inventario_Dinamico!F34</f>
        <v/>
      </c>
      <c r="G22" s="74">
        <f>Inventario_Dinamico!G34</f>
        <v/>
      </c>
      <c r="H22" s="74">
        <f>Inventario_Dinamico!H34</f>
        <v/>
      </c>
      <c r="I22" s="74">
        <f>Inventario_Dinamico!I34</f>
        <v/>
      </c>
    </row>
    <row r="23">
      <c r="A23" t="inlineStr">
        <is>
          <t>Pieza 4</t>
        </is>
      </c>
      <c r="B23" s="74">
        <f>Inventario_Dinamico!B40</f>
        <v/>
      </c>
      <c r="C23" s="74">
        <f>Inventario_Dinamico!C40</f>
        <v/>
      </c>
      <c r="D23" s="74">
        <f>Inventario_Dinamico!D40</f>
        <v/>
      </c>
      <c r="E23" s="74">
        <f>Inventario_Dinamico!E40</f>
        <v/>
      </c>
      <c r="F23" s="74">
        <f>Inventario_Dinamico!F40</f>
        <v/>
      </c>
      <c r="G23" s="74">
        <f>Inventario_Dinamico!G40</f>
        <v/>
      </c>
      <c r="H23" s="74">
        <f>Inventario_Dinamico!H40</f>
        <v/>
      </c>
      <c r="I23" s="74">
        <f>Inventario_Dinamico!I40</f>
        <v/>
      </c>
    </row>
    <row r="24">
      <c r="A24" t="inlineStr">
        <is>
          <t>Pieza 5</t>
        </is>
      </c>
      <c r="B24" s="74">
        <f>Inventario_Dinamico!B46</f>
        <v/>
      </c>
      <c r="C24" s="74">
        <f>Inventario_Dinamico!C46</f>
        <v/>
      </c>
      <c r="D24" s="74">
        <f>Inventario_Dinamico!D46</f>
        <v/>
      </c>
      <c r="E24" s="74">
        <f>Inventario_Dinamico!E46</f>
        <v/>
      </c>
      <c r="F24" s="74">
        <f>Inventario_Dinamico!F46</f>
        <v/>
      </c>
      <c r="G24" s="74">
        <f>Inventario_Dinamico!G46</f>
        <v/>
      </c>
      <c r="H24" s="74">
        <f>Inventario_Dinamico!H46</f>
        <v/>
      </c>
      <c r="I24" s="74">
        <f>Inventario_Dinamico!I46</f>
        <v/>
      </c>
    </row>
    <row r="25">
      <c r="A25" t="inlineStr">
        <is>
          <t>Pieza 6</t>
        </is>
      </c>
      <c r="B25" s="74">
        <f>Inventario_Dinamico!B52</f>
        <v/>
      </c>
      <c r="C25" s="74">
        <f>Inventario_Dinamico!C52</f>
        <v/>
      </c>
      <c r="D25" s="74">
        <f>Inventario_Dinamico!D52</f>
        <v/>
      </c>
      <c r="E25" s="74">
        <f>Inventario_Dinamico!E52</f>
        <v/>
      </c>
      <c r="F25" s="74">
        <f>Inventario_Dinamico!F52</f>
        <v/>
      </c>
      <c r="G25" s="74">
        <f>Inventario_Dinamico!G52</f>
        <v/>
      </c>
      <c r="H25" s="74">
        <f>Inventario_Dinamico!H52</f>
        <v/>
      </c>
      <c r="I25" s="74">
        <f>Inventario_Dinamico!I52</f>
        <v/>
      </c>
    </row>
    <row r="27">
      <c r="A27" t="inlineStr">
        <is>
          <t>DIFERENCIAS (EXSIM - MODELO)</t>
        </is>
      </c>
    </row>
    <row r="28">
      <c r="A28" t="inlineStr">
        <is>
          <t>Material</t>
        </is>
      </c>
      <c r="B28" t="inlineStr">
        <is>
          <t>Q1</t>
        </is>
      </c>
      <c r="C28" t="inlineStr">
        <is>
          <t>Q2</t>
        </is>
      </c>
      <c r="D28" t="inlineStr">
        <is>
          <t>Q3</t>
        </is>
      </c>
      <c r="E28" t="inlineStr">
        <is>
          <t>Q4</t>
        </is>
      </c>
      <c r="F28" t="inlineStr">
        <is>
          <t>Q5</t>
        </is>
      </c>
      <c r="G28" t="inlineStr">
        <is>
          <t>Q6</t>
        </is>
      </c>
      <c r="H28" t="inlineStr">
        <is>
          <t>Q7</t>
        </is>
      </c>
      <c r="I28" t="inlineStr">
        <is>
          <t>Q8</t>
        </is>
      </c>
      <c r="J28" t="inlineStr">
        <is>
          <t>Error Acum</t>
        </is>
      </c>
      <c r="K28" t="inlineStr">
        <is>
          <t>Semaforo</t>
        </is>
      </c>
    </row>
    <row r="29">
      <c r="A29" t="inlineStr">
        <is>
          <t>Parte A</t>
        </is>
      </c>
      <c r="B29" s="74">
        <f>B7-B18</f>
        <v/>
      </c>
      <c r="C29" s="74">
        <f>C7-C18</f>
        <v/>
      </c>
      <c r="D29" s="74">
        <f>D7-D18</f>
        <v/>
      </c>
      <c r="E29" s="74">
        <f>E7-E18</f>
        <v/>
      </c>
      <c r="F29" s="74">
        <f>F7-F18</f>
        <v/>
      </c>
      <c r="G29" s="74">
        <f>G7-G18</f>
        <v/>
      </c>
      <c r="H29" s="74">
        <f>H7-H18</f>
        <v/>
      </c>
      <c r="I29" s="74">
        <f>I7-I18</f>
        <v/>
      </c>
      <c r="J29">
        <f>SUM(ABS(B29:I29))</f>
        <v/>
      </c>
      <c r="K29">
        <f>IF(J29&gt;$K$5,"REVISAR","OK")</f>
        <v/>
      </c>
    </row>
    <row r="30">
      <c r="A30" t="inlineStr">
        <is>
          <t>Parte B</t>
        </is>
      </c>
      <c r="B30" s="74">
        <f>B8-B19</f>
        <v/>
      </c>
      <c r="C30" s="74">
        <f>C8-C19</f>
        <v/>
      </c>
      <c r="D30" s="74">
        <f>D8-D19</f>
        <v/>
      </c>
      <c r="E30" s="74">
        <f>E8-E19</f>
        <v/>
      </c>
      <c r="F30" s="74">
        <f>F8-F19</f>
        <v/>
      </c>
      <c r="G30" s="74">
        <f>G8-G19</f>
        <v/>
      </c>
      <c r="H30" s="74">
        <f>H8-H19</f>
        <v/>
      </c>
      <c r="I30" s="74">
        <f>I8-I19</f>
        <v/>
      </c>
      <c r="J30">
        <f>SUM(ABS(B30:I30))</f>
        <v/>
      </c>
      <c r="K30">
        <f>IF(J30&gt;$K$5,"REVISAR","OK")</f>
        <v/>
      </c>
    </row>
    <row r="31">
      <c r="A31" t="inlineStr">
        <is>
          <t>Pieza 1</t>
        </is>
      </c>
      <c r="B31" s="74">
        <f>B9-B20</f>
        <v/>
      </c>
      <c r="C31" s="74">
        <f>C9-C20</f>
        <v/>
      </c>
      <c r="D31" s="74">
        <f>D9-D20</f>
        <v/>
      </c>
      <c r="E31" s="74">
        <f>E9-E20</f>
        <v/>
      </c>
      <c r="F31" s="74">
        <f>F9-F20</f>
        <v/>
      </c>
      <c r="G31" s="74">
        <f>G9-G20</f>
        <v/>
      </c>
      <c r="H31" s="74">
        <f>H9-H20</f>
        <v/>
      </c>
      <c r="I31" s="74">
        <f>I9-I20</f>
        <v/>
      </c>
      <c r="J31">
        <f>SUM(ABS(B31:I31))</f>
        <v/>
      </c>
      <c r="K31">
        <f>IF(J31&gt;$K$5,"REVISAR","OK")</f>
        <v/>
      </c>
    </row>
    <row r="32">
      <c r="A32" t="inlineStr">
        <is>
          <t>Pieza 2</t>
        </is>
      </c>
      <c r="B32" s="74">
        <f>B10-B21</f>
        <v/>
      </c>
      <c r="C32" s="74">
        <f>C10-C21</f>
        <v/>
      </c>
      <c r="D32" s="74">
        <f>D10-D21</f>
        <v/>
      </c>
      <c r="E32" s="74">
        <f>E10-E21</f>
        <v/>
      </c>
      <c r="F32" s="74">
        <f>F10-F21</f>
        <v/>
      </c>
      <c r="G32" s="74">
        <f>G10-G21</f>
        <v/>
      </c>
      <c r="H32" s="74">
        <f>H10-H21</f>
        <v/>
      </c>
      <c r="I32" s="74">
        <f>I10-I21</f>
        <v/>
      </c>
      <c r="J32">
        <f>SUM(ABS(B32:I32))</f>
        <v/>
      </c>
      <c r="K32">
        <f>IF(J32&gt;$K$5,"REVISAR","OK")</f>
        <v/>
      </c>
    </row>
    <row r="33">
      <c r="A33" t="inlineStr">
        <is>
          <t>Pieza 3</t>
        </is>
      </c>
      <c r="B33" s="74">
        <f>B11-B22</f>
        <v/>
      </c>
      <c r="C33" s="74">
        <f>C11-C22</f>
        <v/>
      </c>
      <c r="D33" s="74">
        <f>D11-D22</f>
        <v/>
      </c>
      <c r="E33" s="74">
        <f>E11-E22</f>
        <v/>
      </c>
      <c r="F33" s="74">
        <f>F11-F22</f>
        <v/>
      </c>
      <c r="G33" s="74">
        <f>G11-G22</f>
        <v/>
      </c>
      <c r="H33" s="74">
        <f>H11-H22</f>
        <v/>
      </c>
      <c r="I33" s="74">
        <f>I11-I22</f>
        <v/>
      </c>
      <c r="J33">
        <f>SUM(ABS(B33:I33))</f>
        <v/>
      </c>
      <c r="K33">
        <f>IF(J33&gt;$K$5,"REVISAR","OK")</f>
        <v/>
      </c>
    </row>
    <row r="34">
      <c r="A34" t="inlineStr">
        <is>
          <t>Pieza 4</t>
        </is>
      </c>
      <c r="B34" s="74">
        <f>B12-B23</f>
        <v/>
      </c>
      <c r="C34" s="74">
        <f>C12-C23</f>
        <v/>
      </c>
      <c r="D34" s="74">
        <f>D12-D23</f>
        <v/>
      </c>
      <c r="E34" s="74">
        <f>E12-E23</f>
        <v/>
      </c>
      <c r="F34" s="74">
        <f>F12-F23</f>
        <v/>
      </c>
      <c r="G34" s="74">
        <f>G12-G23</f>
        <v/>
      </c>
      <c r="H34" s="74">
        <f>H12-H23</f>
        <v/>
      </c>
      <c r="I34" s="74">
        <f>I12-I23</f>
        <v/>
      </c>
      <c r="J34">
        <f>SUM(ABS(B34:I34))</f>
        <v/>
      </c>
      <c r="K34">
        <f>IF(J34&gt;$K$5,"REVISAR","OK")</f>
        <v/>
      </c>
    </row>
    <row r="35">
      <c r="A35" t="inlineStr">
        <is>
          <t>Pieza 5</t>
        </is>
      </c>
      <c r="B35" s="74">
        <f>B13-B24</f>
        <v/>
      </c>
      <c r="C35" s="74">
        <f>C13-C24</f>
        <v/>
      </c>
      <c r="D35" s="74">
        <f>D13-D24</f>
        <v/>
      </c>
      <c r="E35" s="74">
        <f>E13-E24</f>
        <v/>
      </c>
      <c r="F35" s="74">
        <f>F13-F24</f>
        <v/>
      </c>
      <c r="G35" s="74">
        <f>G13-G24</f>
        <v/>
      </c>
      <c r="H35" s="74">
        <f>H13-H24</f>
        <v/>
      </c>
      <c r="I35" s="74">
        <f>I13-I24</f>
        <v/>
      </c>
      <c r="J35">
        <f>SUM(ABS(B35:I35))</f>
        <v/>
      </c>
      <c r="K35">
        <f>IF(J35&gt;$K$5,"REVISAR","OK")</f>
        <v/>
      </c>
    </row>
    <row r="36">
      <c r="A36" t="inlineStr">
        <is>
          <t>Pieza 6</t>
        </is>
      </c>
      <c r="B36" s="74">
        <f>B14-B25</f>
        <v/>
      </c>
      <c r="C36" s="74">
        <f>C14-C25</f>
        <v/>
      </c>
      <c r="D36" s="74">
        <f>D14-D25</f>
        <v/>
      </c>
      <c r="E36" s="74">
        <f>E14-E25</f>
        <v/>
      </c>
      <c r="F36" s="74">
        <f>F14-F25</f>
        <v/>
      </c>
      <c r="G36" s="74">
        <f>G14-G25</f>
        <v/>
      </c>
      <c r="H36" s="74">
        <f>H14-H25</f>
        <v/>
      </c>
      <c r="I36" s="74">
        <f>I14-I25</f>
        <v/>
      </c>
      <c r="J36">
        <f>SUM(ABS(B36:I36))</f>
        <v/>
      </c>
      <c r="K36">
        <f>IF(J36&gt;$K$5,"REVISAR","OK")</f>
        <v/>
      </c>
    </row>
    <row r="37">
      <c r="A37" t="inlineStr">
        <is>
          <t>ERROR TOTAL</t>
        </is>
      </c>
      <c r="J37">
        <f>SUM(J29:J36)</f>
        <v/>
      </c>
      <c r="K37">
        <f>IF(J37&gt;$K$5*8,"REVISAR","OK")</f>
        <v/>
      </c>
    </row>
  </sheetData>
  <mergeCells count="3">
    <mergeCell ref="A4:H4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Normal="100" workbookViewId="0">
      <selection activeCell="A1" sqref="A1:G1"/>
    </sheetView>
  </sheetViews>
  <sheetFormatPr baseColWidth="10" defaultColWidth="8.6640625" defaultRowHeight="14.4"/>
  <cols>
    <col width="15" customWidth="1" min="1" max="1"/>
  </cols>
  <sheetData>
    <row r="1" ht="17.25" customHeight="1">
      <c r="A1" s="96" t="inlineStr">
        <is>
          <t>ESG - EMISIONES CO2</t>
        </is>
      </c>
    </row>
    <row r="2" ht="15" customHeight="1">
      <c r="A2" s="82" t="inlineStr">
        <is>
          <t>kg CO2 por proveedor (Tabla VII caso EXSIM)</t>
        </is>
      </c>
    </row>
    <row r="4" ht="15" customHeight="1">
      <c r="A4" s="77" t="inlineStr">
        <is>
          <t>EMISIONES POR PROVEEDOR</t>
        </is>
      </c>
    </row>
    <row r="5" ht="15" customHeight="1">
      <c r="A5" s="8" t="inlineStr">
        <is>
          <t>Material</t>
        </is>
      </c>
      <c r="B5" s="8" t="inlineStr">
        <is>
          <t>Prov A (kg)</t>
        </is>
      </c>
      <c r="C5" s="8" t="inlineStr">
        <is>
          <t>Prov B (kg)</t>
        </is>
      </c>
      <c r="D5" s="8" t="inlineStr">
        <is>
          <t>Prov C (kg)</t>
        </is>
      </c>
      <c r="E5" s="8" t="inlineStr">
        <is>
          <t>Elegido</t>
        </is>
      </c>
      <c r="F5" s="8" t="inlineStr">
        <is>
          <t>Unidades</t>
        </is>
      </c>
      <c r="G5" s="8" t="inlineStr">
        <is>
          <t>Total CO2</t>
        </is>
      </c>
    </row>
    <row r="6" ht="15" customHeight="1">
      <c r="A6" s="9" t="inlineStr">
        <is>
          <t>Parte A</t>
        </is>
      </c>
      <c r="B6" s="72" t="n">
        <v>3.67</v>
      </c>
      <c r="C6" s="72" t="n">
        <v>6.18</v>
      </c>
      <c r="D6" s="72" t="n">
        <v>3.58</v>
      </c>
      <c r="E6" s="73">
        <f>Inputs!B69</f>
        <v/>
      </c>
      <c r="F6" s="70">
        <f>SUM(Compras_y_Lotes!G18:G25)</f>
        <v/>
      </c>
      <c r="G6" s="71">
        <f>IFERROR(F6*CHOOSE(MATCH(E6,{"A","B","C"},0),B6,C6,D6),0)</f>
        <v/>
      </c>
    </row>
    <row r="7" ht="15" customHeight="1">
      <c r="A7" s="9" t="inlineStr">
        <is>
          <t>Parte B</t>
        </is>
      </c>
      <c r="B7" s="72" t="n">
        <v>5.46</v>
      </c>
      <c r="C7" s="72" t="n">
        <v>8.33</v>
      </c>
      <c r="D7" s="72" t="n">
        <v>5.33</v>
      </c>
      <c r="E7" s="73">
        <f>Inputs!B77</f>
        <v/>
      </c>
      <c r="F7" s="70">
        <f>SUM(Compras_y_Lotes!G26:G33)</f>
        <v/>
      </c>
      <c r="G7" s="71">
        <f>IFERROR(F7*CHOOSE(MATCH(E7,{"A","B","C"},0),B7,C7,D7),0)</f>
        <v/>
      </c>
    </row>
  </sheetData>
  <mergeCells count="3">
    <mergeCell ref="A2:G2"/>
    <mergeCell ref="A1:G1"/>
    <mergeCell ref="A4:G4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</t>
        </is>
      </c>
      <c r="B1" t="inlineStr">
        <is>
          <t>Type</t>
        </is>
      </c>
      <c r="C1" t="inlineStr">
        <is>
          <t>BatchSize</t>
        </is>
      </c>
      <c r="D1" t="inlineStr">
        <is>
          <t>ConsPerEC</t>
        </is>
      </c>
      <c r="E1" t="inlineStr">
        <is>
          <t>DefaultLeadTimeFortnights</t>
        </is>
      </c>
    </row>
    <row r="2">
      <c r="A2" t="inlineStr">
        <is>
          <t>Parte A</t>
        </is>
      </c>
      <c r="B2" t="inlineStr">
        <is>
          <t>Part</t>
        </is>
      </c>
      <c r="C2" t="n">
        <v>30</v>
      </c>
      <c r="D2" t="n">
        <v>1</v>
      </c>
      <c r="E2" t="n">
        <v>0</v>
      </c>
    </row>
    <row r="3">
      <c r="A3" t="inlineStr">
        <is>
          <t>Parte B</t>
        </is>
      </c>
      <c r="B3" t="inlineStr">
        <is>
          <t>Part</t>
        </is>
      </c>
      <c r="C3" t="n">
        <v>12</v>
      </c>
      <c r="D3" t="n">
        <v>0.2</v>
      </c>
      <c r="E3" t="n">
        <v>0</v>
      </c>
    </row>
    <row r="4">
      <c r="A4" t="inlineStr">
        <is>
          <t>Pieza 1</t>
        </is>
      </c>
      <c r="B4" t="inlineStr">
        <is>
          <t>Piece</t>
        </is>
      </c>
      <c r="C4" t="n">
        <v>1</v>
      </c>
      <c r="D4" t="n">
        <v>0.01</v>
      </c>
      <c r="E4" t="n">
        <v>-1</v>
      </c>
    </row>
    <row r="5">
      <c r="A5" t="inlineStr">
        <is>
          <t>Pieza 2</t>
        </is>
      </c>
      <c r="B5" t="inlineStr">
        <is>
          <t>Piece</t>
        </is>
      </c>
      <c r="C5" t="n">
        <v>100</v>
      </c>
      <c r="D5" t="n">
        <v>8</v>
      </c>
      <c r="E5" t="n">
        <v>-1</v>
      </c>
    </row>
    <row r="6">
      <c r="A6" t="inlineStr">
        <is>
          <t>Pieza 3</t>
        </is>
      </c>
      <c r="B6" t="inlineStr">
        <is>
          <t>Piece</t>
        </is>
      </c>
      <c r="C6" t="n">
        <v>30</v>
      </c>
      <c r="D6" t="n">
        <v>0.3</v>
      </c>
      <c r="E6" t="n">
        <v>-1</v>
      </c>
    </row>
    <row r="7">
      <c r="A7" t="inlineStr">
        <is>
          <t>Pieza 4</t>
        </is>
      </c>
      <c r="B7" t="inlineStr">
        <is>
          <t>Piece</t>
        </is>
      </c>
      <c r="C7" t="n">
        <v>60</v>
      </c>
      <c r="D7" t="n">
        <v>0.6</v>
      </c>
      <c r="E7" t="n">
        <v>-1</v>
      </c>
    </row>
    <row r="8">
      <c r="A8" t="inlineStr">
        <is>
          <t>Pieza 5</t>
        </is>
      </c>
      <c r="B8" t="inlineStr">
        <is>
          <t>Piece</t>
        </is>
      </c>
      <c r="C8" t="n">
        <v>100</v>
      </c>
      <c r="D8" t="n">
        <v>2</v>
      </c>
      <c r="E8" t="n">
        <v>-1</v>
      </c>
    </row>
    <row r="9">
      <c r="A9" t="inlineStr">
        <is>
          <t>Pieza 6</t>
        </is>
      </c>
      <c r="B9" t="inlineStr">
        <is>
          <t>Piece</t>
        </is>
      </c>
      <c r="C9" t="n">
        <v>150</v>
      </c>
      <c r="D9" t="n">
        <v>0.75</v>
      </c>
      <c r="E9" t="n">
        <v>-1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Fortnight</t>
        </is>
      </c>
      <c r="C1" t="inlineStr">
        <is>
          <t>EC_Produced</t>
        </is>
      </c>
    </row>
    <row r="2">
      <c r="A2" t="inlineStr">
        <is>
          <t>Center</t>
        </is>
      </c>
      <c r="B2" t="n">
        <v>1</v>
      </c>
      <c r="C2" t="n">
        <v>0</v>
      </c>
    </row>
    <row r="3">
      <c r="A3" t="inlineStr">
        <is>
          <t>Center</t>
        </is>
      </c>
      <c r="B3" t="n">
        <v>2</v>
      </c>
      <c r="C3" t="n">
        <v>0</v>
      </c>
    </row>
    <row r="4">
      <c r="A4" t="inlineStr">
        <is>
          <t>Center</t>
        </is>
      </c>
      <c r="B4" t="n">
        <v>3</v>
      </c>
      <c r="C4" t="n">
        <v>0</v>
      </c>
    </row>
    <row r="5">
      <c r="A5" t="inlineStr">
        <is>
          <t>Center</t>
        </is>
      </c>
      <c r="B5" t="n">
        <v>4</v>
      </c>
      <c r="C5" t="n">
        <v>0</v>
      </c>
    </row>
    <row r="6">
      <c r="A6" t="inlineStr">
        <is>
          <t>Center</t>
        </is>
      </c>
      <c r="B6" t="n">
        <v>5</v>
      </c>
      <c r="C6" t="n">
        <v>0</v>
      </c>
    </row>
    <row r="7">
      <c r="A7" t="inlineStr">
        <is>
          <t>Center</t>
        </is>
      </c>
      <c r="B7" t="n">
        <v>6</v>
      </c>
      <c r="C7" t="n">
        <v>0</v>
      </c>
    </row>
    <row r="8">
      <c r="A8" t="inlineStr">
        <is>
          <t>Center</t>
        </is>
      </c>
      <c r="B8" t="n">
        <v>7</v>
      </c>
      <c r="C8" t="n">
        <v>0</v>
      </c>
    </row>
    <row r="9">
      <c r="A9" t="inlineStr">
        <is>
          <t>Center</t>
        </is>
      </c>
      <c r="B9" t="n">
        <v>8</v>
      </c>
      <c r="C9" t="n">
        <v>0</v>
      </c>
    </row>
    <row r="10">
      <c r="A10" t="inlineStr">
        <is>
          <t>West</t>
        </is>
      </c>
      <c r="B10" t="n">
        <v>1</v>
      </c>
      <c r="C10" t="n">
        <v>0</v>
      </c>
    </row>
    <row r="11">
      <c r="A11" t="inlineStr">
        <is>
          <t>West</t>
        </is>
      </c>
      <c r="B11" t="n">
        <v>2</v>
      </c>
      <c r="C11" t="n">
        <v>0</v>
      </c>
    </row>
    <row r="12">
      <c r="A12" t="inlineStr">
        <is>
          <t>West</t>
        </is>
      </c>
      <c r="B12" t="n">
        <v>3</v>
      </c>
      <c r="C12" t="n">
        <v>0</v>
      </c>
    </row>
    <row r="13">
      <c r="A13" t="inlineStr">
        <is>
          <t>West</t>
        </is>
      </c>
      <c r="B13" t="n">
        <v>4</v>
      </c>
      <c r="C13" t="n">
        <v>0</v>
      </c>
    </row>
    <row r="14">
      <c r="A14" t="inlineStr">
        <is>
          <t>West</t>
        </is>
      </c>
      <c r="B14" t="n">
        <v>5</v>
      </c>
      <c r="C14" t="n">
        <v>0</v>
      </c>
    </row>
    <row r="15">
      <c r="A15" t="inlineStr">
        <is>
          <t>West</t>
        </is>
      </c>
      <c r="B15" t="n">
        <v>6</v>
      </c>
      <c r="C15" t="n">
        <v>0</v>
      </c>
    </row>
    <row r="16">
      <c r="A16" t="inlineStr">
        <is>
          <t>West</t>
        </is>
      </c>
      <c r="B16" t="n">
        <v>7</v>
      </c>
      <c r="C16" t="n">
        <v>0</v>
      </c>
    </row>
    <row r="17">
      <c r="A17" t="inlineStr">
        <is>
          <t>West</t>
        </is>
      </c>
      <c r="B17" t="n">
        <v>8</v>
      </c>
      <c r="C1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Fortnight</t>
        </is>
      </c>
      <c r="C1" t="inlineStr">
        <is>
          <t>Material</t>
        </is>
      </c>
      <c r="D1" t="inlineStr">
        <is>
          <t>GrossReqUnits</t>
        </is>
      </c>
    </row>
    <row r="2">
      <c r="A2" t="inlineStr">
        <is>
          <t>Center</t>
        </is>
      </c>
      <c r="B2" t="n">
        <v>1</v>
      </c>
      <c r="C2" t="inlineStr">
        <is>
          <t>Parte A</t>
        </is>
      </c>
      <c r="D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">
      <c r="A3" t="inlineStr">
        <is>
          <t>Center</t>
        </is>
      </c>
      <c r="B3" t="n">
        <v>1</v>
      </c>
      <c r="C3" t="inlineStr">
        <is>
          <t>Parte B</t>
        </is>
      </c>
      <c r="D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">
      <c r="A4" t="inlineStr">
        <is>
          <t>Center</t>
        </is>
      </c>
      <c r="B4" t="n">
        <v>1</v>
      </c>
      <c r="C4" t="inlineStr">
        <is>
          <t>Pieza 1</t>
        </is>
      </c>
      <c r="D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">
      <c r="A5" t="inlineStr">
        <is>
          <t>Center</t>
        </is>
      </c>
      <c r="B5" t="n">
        <v>1</v>
      </c>
      <c r="C5" t="inlineStr">
        <is>
          <t>Pieza 2</t>
        </is>
      </c>
      <c r="D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">
      <c r="A6" t="inlineStr">
        <is>
          <t>Center</t>
        </is>
      </c>
      <c r="B6" t="n">
        <v>1</v>
      </c>
      <c r="C6" t="inlineStr">
        <is>
          <t>Pieza 3</t>
        </is>
      </c>
      <c r="D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">
      <c r="A7" t="inlineStr">
        <is>
          <t>Center</t>
        </is>
      </c>
      <c r="B7" t="n">
        <v>1</v>
      </c>
      <c r="C7" t="inlineStr">
        <is>
          <t>Pieza 4</t>
        </is>
      </c>
      <c r="D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">
      <c r="A8" t="inlineStr">
        <is>
          <t>Center</t>
        </is>
      </c>
      <c r="B8" t="n">
        <v>1</v>
      </c>
      <c r="C8" t="inlineStr">
        <is>
          <t>Pieza 5</t>
        </is>
      </c>
      <c r="D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">
      <c r="A9" t="inlineStr">
        <is>
          <t>Center</t>
        </is>
      </c>
      <c r="B9" t="n">
        <v>1</v>
      </c>
      <c r="C9" t="inlineStr">
        <is>
          <t>Pieza 6</t>
        </is>
      </c>
      <c r="D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">
      <c r="A10" t="inlineStr">
        <is>
          <t>Center</t>
        </is>
      </c>
      <c r="B10" t="n">
        <v>2</v>
      </c>
      <c r="C10" t="inlineStr">
        <is>
          <t>Parte A</t>
        </is>
      </c>
      <c r="D1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">
      <c r="A11" t="inlineStr">
        <is>
          <t>Center</t>
        </is>
      </c>
      <c r="B11" t="n">
        <v>2</v>
      </c>
      <c r="C11" t="inlineStr">
        <is>
          <t>Parte B</t>
        </is>
      </c>
      <c r="D1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">
      <c r="A12" t="inlineStr">
        <is>
          <t>Center</t>
        </is>
      </c>
      <c r="B12" t="n">
        <v>2</v>
      </c>
      <c r="C12" t="inlineStr">
        <is>
          <t>Pieza 1</t>
        </is>
      </c>
      <c r="D1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3">
      <c r="A13" t="inlineStr">
        <is>
          <t>Center</t>
        </is>
      </c>
      <c r="B13" t="n">
        <v>2</v>
      </c>
      <c r="C13" t="inlineStr">
        <is>
          <t>Pieza 2</t>
        </is>
      </c>
      <c r="D1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4">
      <c r="A14" t="inlineStr">
        <is>
          <t>Center</t>
        </is>
      </c>
      <c r="B14" t="n">
        <v>2</v>
      </c>
      <c r="C14" t="inlineStr">
        <is>
          <t>Pieza 3</t>
        </is>
      </c>
      <c r="D1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5">
      <c r="A15" t="inlineStr">
        <is>
          <t>Center</t>
        </is>
      </c>
      <c r="B15" t="n">
        <v>2</v>
      </c>
      <c r="C15" t="inlineStr">
        <is>
          <t>Pieza 4</t>
        </is>
      </c>
      <c r="D1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6">
      <c r="A16" t="inlineStr">
        <is>
          <t>Center</t>
        </is>
      </c>
      <c r="B16" t="n">
        <v>2</v>
      </c>
      <c r="C16" t="inlineStr">
        <is>
          <t>Pieza 5</t>
        </is>
      </c>
      <c r="D1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7">
      <c r="A17" t="inlineStr">
        <is>
          <t>Center</t>
        </is>
      </c>
      <c r="B17" t="n">
        <v>2</v>
      </c>
      <c r="C17" t="inlineStr">
        <is>
          <t>Pieza 6</t>
        </is>
      </c>
      <c r="D1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9">
      <c r="A19" t="inlineStr">
        <is>
          <t>Center</t>
        </is>
      </c>
      <c r="B19" t="n">
        <v>3</v>
      </c>
      <c r="C19" t="inlineStr">
        <is>
          <t>Parte B</t>
        </is>
      </c>
      <c r="D1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0">
      <c r="A20" t="inlineStr">
        <is>
          <t>Center</t>
        </is>
      </c>
      <c r="B20" t="n">
        <v>3</v>
      </c>
      <c r="C20" t="inlineStr">
        <is>
          <t>Pieza 1</t>
        </is>
      </c>
      <c r="D2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1">
      <c r="A21" t="inlineStr">
        <is>
          <t>Center</t>
        </is>
      </c>
      <c r="B21" t="n">
        <v>3</v>
      </c>
      <c r="C21" t="inlineStr">
        <is>
          <t>Pieza 2</t>
        </is>
      </c>
      <c r="D2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2">
      <c r="A22" t="inlineStr">
        <is>
          <t>Center</t>
        </is>
      </c>
      <c r="B22" t="n">
        <v>3</v>
      </c>
      <c r="C22" t="inlineStr">
        <is>
          <t>Pieza 3</t>
        </is>
      </c>
      <c r="D2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3">
      <c r="A23" t="inlineStr">
        <is>
          <t>Center</t>
        </is>
      </c>
      <c r="B23" t="n">
        <v>3</v>
      </c>
      <c r="C23" t="inlineStr">
        <is>
          <t>Pieza 4</t>
        </is>
      </c>
      <c r="D2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4">
      <c r="A24" t="inlineStr">
        <is>
          <t>Center</t>
        </is>
      </c>
      <c r="B24" t="n">
        <v>3</v>
      </c>
      <c r="C24" t="inlineStr">
        <is>
          <t>Pieza 5</t>
        </is>
      </c>
      <c r="D2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5">
      <c r="A25" t="inlineStr">
        <is>
          <t>Center</t>
        </is>
      </c>
      <c r="B25" t="n">
        <v>3</v>
      </c>
      <c r="C25" t="inlineStr">
        <is>
          <t>Pieza 6</t>
        </is>
      </c>
      <c r="D2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6">
      <c r="A26" t="inlineStr">
        <is>
          <t>Center</t>
        </is>
      </c>
      <c r="B26" t="n">
        <v>4</v>
      </c>
      <c r="C26" t="inlineStr">
        <is>
          <t>Parte A</t>
        </is>
      </c>
      <c r="D2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8">
      <c r="A28" t="inlineStr">
        <is>
          <t>Center</t>
        </is>
      </c>
      <c r="B28" t="n">
        <v>4</v>
      </c>
      <c r="C28" t="inlineStr">
        <is>
          <t>Pieza 1</t>
        </is>
      </c>
      <c r="D2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29">
      <c r="A29" t="inlineStr">
        <is>
          <t>Center</t>
        </is>
      </c>
      <c r="B29" t="n">
        <v>4</v>
      </c>
      <c r="C29" t="inlineStr">
        <is>
          <t>Pieza 2</t>
        </is>
      </c>
      <c r="D2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0">
      <c r="A30" t="inlineStr">
        <is>
          <t>Center</t>
        </is>
      </c>
      <c r="B30" t="n">
        <v>4</v>
      </c>
      <c r="C30" t="inlineStr">
        <is>
          <t>Pieza 3</t>
        </is>
      </c>
      <c r="D3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1">
      <c r="A31" t="inlineStr">
        <is>
          <t>Center</t>
        </is>
      </c>
      <c r="B31" t="n">
        <v>4</v>
      </c>
      <c r="C31" t="inlineStr">
        <is>
          <t>Pieza 4</t>
        </is>
      </c>
      <c r="D3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2">
      <c r="A32" t="inlineStr">
        <is>
          <t>Center</t>
        </is>
      </c>
      <c r="B32" t="n">
        <v>4</v>
      </c>
      <c r="C32" t="inlineStr">
        <is>
          <t>Pieza 5</t>
        </is>
      </c>
      <c r="D3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3">
      <c r="A33" t="inlineStr">
        <is>
          <t>Center</t>
        </is>
      </c>
      <c r="B33" t="n">
        <v>4</v>
      </c>
      <c r="C33" t="inlineStr">
        <is>
          <t>Pieza 6</t>
        </is>
      </c>
      <c r="D3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4">
      <c r="A34" t="inlineStr">
        <is>
          <t>Center</t>
        </is>
      </c>
      <c r="B34" t="n">
        <v>5</v>
      </c>
      <c r="C34" t="inlineStr">
        <is>
          <t>Parte A</t>
        </is>
      </c>
      <c r="D3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5">
      <c r="A35" t="inlineStr">
        <is>
          <t>Center</t>
        </is>
      </c>
      <c r="B35" t="n">
        <v>5</v>
      </c>
      <c r="C35" t="inlineStr">
        <is>
          <t>Parte B</t>
        </is>
      </c>
      <c r="D3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6">
      <c r="A36" t="inlineStr">
        <is>
          <t>Center</t>
        </is>
      </c>
      <c r="B36" t="n">
        <v>5</v>
      </c>
      <c r="C36" t="inlineStr">
        <is>
          <t>Pieza 1</t>
        </is>
      </c>
      <c r="D3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7">
      <c r="A37" t="inlineStr">
        <is>
          <t>Center</t>
        </is>
      </c>
      <c r="B37" t="n">
        <v>5</v>
      </c>
      <c r="C37" t="inlineStr">
        <is>
          <t>Pieza 2</t>
        </is>
      </c>
      <c r="D3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8">
      <c r="A38" t="inlineStr">
        <is>
          <t>Center</t>
        </is>
      </c>
      <c r="B38" t="n">
        <v>5</v>
      </c>
      <c r="C38" t="inlineStr">
        <is>
          <t>Pieza 3</t>
        </is>
      </c>
      <c r="D3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39">
      <c r="A39" t="inlineStr">
        <is>
          <t>Center</t>
        </is>
      </c>
      <c r="B39" t="n">
        <v>5</v>
      </c>
      <c r="C39" t="inlineStr">
        <is>
          <t>Pieza 4</t>
        </is>
      </c>
      <c r="D3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0">
      <c r="A40" t="inlineStr">
        <is>
          <t>Center</t>
        </is>
      </c>
      <c r="B40" t="n">
        <v>5</v>
      </c>
      <c r="C40" t="inlineStr">
        <is>
          <t>Pieza 5</t>
        </is>
      </c>
      <c r="D4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1">
      <c r="A41" t="inlineStr">
        <is>
          <t>Center</t>
        </is>
      </c>
      <c r="B41" t="n">
        <v>5</v>
      </c>
      <c r="C41" t="inlineStr">
        <is>
          <t>Pieza 6</t>
        </is>
      </c>
      <c r="D4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2">
      <c r="A42" t="inlineStr">
        <is>
          <t>Center</t>
        </is>
      </c>
      <c r="B42" t="n">
        <v>6</v>
      </c>
      <c r="C42" t="inlineStr">
        <is>
          <t>Parte A</t>
        </is>
      </c>
      <c r="D4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3">
      <c r="A43" t="inlineStr">
        <is>
          <t>Center</t>
        </is>
      </c>
      <c r="B43" t="n">
        <v>6</v>
      </c>
      <c r="C43" t="inlineStr">
        <is>
          <t>Parte B</t>
        </is>
      </c>
      <c r="D4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4">
      <c r="A44" t="inlineStr">
        <is>
          <t>Center</t>
        </is>
      </c>
      <c r="B44" t="n">
        <v>6</v>
      </c>
      <c r="C44" t="inlineStr">
        <is>
          <t>Pieza 1</t>
        </is>
      </c>
      <c r="D4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5">
      <c r="A45" t="inlineStr">
        <is>
          <t>Center</t>
        </is>
      </c>
      <c r="B45" t="n">
        <v>6</v>
      </c>
      <c r="C45" t="inlineStr">
        <is>
          <t>Pieza 2</t>
        </is>
      </c>
      <c r="D4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6">
      <c r="A46" t="inlineStr">
        <is>
          <t>Center</t>
        </is>
      </c>
      <c r="B46" t="n">
        <v>6</v>
      </c>
      <c r="C46" t="inlineStr">
        <is>
          <t>Pieza 3</t>
        </is>
      </c>
      <c r="D4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7">
      <c r="A47" t="inlineStr">
        <is>
          <t>Center</t>
        </is>
      </c>
      <c r="B47" t="n">
        <v>6</v>
      </c>
      <c r="C47" t="inlineStr">
        <is>
          <t>Pieza 4</t>
        </is>
      </c>
      <c r="D4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8">
      <c r="A48" t="inlineStr">
        <is>
          <t>Center</t>
        </is>
      </c>
      <c r="B48" t="n">
        <v>6</v>
      </c>
      <c r="C48" t="inlineStr">
        <is>
          <t>Pieza 5</t>
        </is>
      </c>
      <c r="D4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49">
      <c r="A49" t="inlineStr">
        <is>
          <t>Center</t>
        </is>
      </c>
      <c r="B49" t="n">
        <v>6</v>
      </c>
      <c r="C49" t="inlineStr">
        <is>
          <t>Pieza 6</t>
        </is>
      </c>
      <c r="D4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0">
      <c r="A50" t="inlineStr">
        <is>
          <t>Center</t>
        </is>
      </c>
      <c r="B50" t="n">
        <v>7</v>
      </c>
      <c r="C50" t="inlineStr">
        <is>
          <t>Parte A</t>
        </is>
      </c>
      <c r="D5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1">
      <c r="A51" t="inlineStr">
        <is>
          <t>Center</t>
        </is>
      </c>
      <c r="B51" t="n">
        <v>7</v>
      </c>
      <c r="C51" t="inlineStr">
        <is>
          <t>Parte B</t>
        </is>
      </c>
      <c r="D5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2">
      <c r="A52" t="inlineStr">
        <is>
          <t>Center</t>
        </is>
      </c>
      <c r="B52" t="n">
        <v>7</v>
      </c>
      <c r="C52" t="inlineStr">
        <is>
          <t>Pieza 1</t>
        </is>
      </c>
      <c r="D5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3">
      <c r="A53" t="inlineStr">
        <is>
          <t>Center</t>
        </is>
      </c>
      <c r="B53" t="n">
        <v>7</v>
      </c>
      <c r="C53" t="inlineStr">
        <is>
          <t>Pieza 2</t>
        </is>
      </c>
      <c r="D5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4">
      <c r="A54" t="inlineStr">
        <is>
          <t>Center</t>
        </is>
      </c>
      <c r="B54" t="n">
        <v>7</v>
      </c>
      <c r="C54" t="inlineStr">
        <is>
          <t>Pieza 3</t>
        </is>
      </c>
      <c r="D5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5">
      <c r="A55" t="inlineStr">
        <is>
          <t>Center</t>
        </is>
      </c>
      <c r="B55" t="n">
        <v>7</v>
      </c>
      <c r="C55" t="inlineStr">
        <is>
          <t>Pieza 4</t>
        </is>
      </c>
      <c r="D5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6">
      <c r="A56" t="inlineStr">
        <is>
          <t>Center</t>
        </is>
      </c>
      <c r="B56" t="n">
        <v>7</v>
      </c>
      <c r="C56" t="inlineStr">
        <is>
          <t>Pieza 5</t>
        </is>
      </c>
      <c r="D5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7">
      <c r="A57" t="inlineStr">
        <is>
          <t>Center</t>
        </is>
      </c>
      <c r="B57" t="n">
        <v>7</v>
      </c>
      <c r="C57" t="inlineStr">
        <is>
          <t>Pieza 6</t>
        </is>
      </c>
      <c r="D5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8">
      <c r="A58" t="inlineStr">
        <is>
          <t>Center</t>
        </is>
      </c>
      <c r="B58" t="n">
        <v>8</v>
      </c>
      <c r="C58" t="inlineStr">
        <is>
          <t>Parte A</t>
        </is>
      </c>
      <c r="D5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59">
      <c r="A59" t="inlineStr">
        <is>
          <t>Center</t>
        </is>
      </c>
      <c r="B59" t="n">
        <v>8</v>
      </c>
      <c r="C59" t="inlineStr">
        <is>
          <t>Parte B</t>
        </is>
      </c>
      <c r="D5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0">
      <c r="A60" t="inlineStr">
        <is>
          <t>Center</t>
        </is>
      </c>
      <c r="B60" t="n">
        <v>8</v>
      </c>
      <c r="C60" t="inlineStr">
        <is>
          <t>Pieza 1</t>
        </is>
      </c>
      <c r="D6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1">
      <c r="A61" t="inlineStr">
        <is>
          <t>Center</t>
        </is>
      </c>
      <c r="B61" t="n">
        <v>8</v>
      </c>
      <c r="C61" t="inlineStr">
        <is>
          <t>Pieza 2</t>
        </is>
      </c>
      <c r="D6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2">
      <c r="A62" t="inlineStr">
        <is>
          <t>Center</t>
        </is>
      </c>
      <c r="B62" t="n">
        <v>8</v>
      </c>
      <c r="C62" t="inlineStr">
        <is>
          <t>Pieza 3</t>
        </is>
      </c>
      <c r="D6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3">
      <c r="A63" t="inlineStr">
        <is>
          <t>Center</t>
        </is>
      </c>
      <c r="B63" t="n">
        <v>8</v>
      </c>
      <c r="C63" t="inlineStr">
        <is>
          <t>Pieza 4</t>
        </is>
      </c>
      <c r="D6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4">
      <c r="A64" t="inlineStr">
        <is>
          <t>Center</t>
        </is>
      </c>
      <c r="B64" t="n">
        <v>8</v>
      </c>
      <c r="C64" t="inlineStr">
        <is>
          <t>Pieza 5</t>
        </is>
      </c>
      <c r="D6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5">
      <c r="A65" t="inlineStr">
        <is>
          <t>Center</t>
        </is>
      </c>
      <c r="B65" t="n">
        <v>8</v>
      </c>
      <c r="C65" t="inlineStr">
        <is>
          <t>Pieza 6</t>
        </is>
      </c>
      <c r="D6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6">
      <c r="A66" t="inlineStr">
        <is>
          <t>West</t>
        </is>
      </c>
      <c r="B66" t="n">
        <v>1</v>
      </c>
      <c r="C66" t="inlineStr">
        <is>
          <t>Parte A</t>
        </is>
      </c>
      <c r="D6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7">
      <c r="A67" t="inlineStr">
        <is>
          <t>West</t>
        </is>
      </c>
      <c r="B67" t="n">
        <v>1</v>
      </c>
      <c r="C67" t="inlineStr">
        <is>
          <t>Parte B</t>
        </is>
      </c>
      <c r="D6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8">
      <c r="A68" t="inlineStr">
        <is>
          <t>West</t>
        </is>
      </c>
      <c r="B68" t="n">
        <v>1</v>
      </c>
      <c r="C68" t="inlineStr">
        <is>
          <t>Pieza 1</t>
        </is>
      </c>
      <c r="D6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69">
      <c r="A69" t="inlineStr">
        <is>
          <t>West</t>
        </is>
      </c>
      <c r="B69" t="n">
        <v>1</v>
      </c>
      <c r="C69" t="inlineStr">
        <is>
          <t>Pieza 2</t>
        </is>
      </c>
      <c r="D6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0">
      <c r="A70" t="inlineStr">
        <is>
          <t>West</t>
        </is>
      </c>
      <c r="B70" t="n">
        <v>1</v>
      </c>
      <c r="C70" t="inlineStr">
        <is>
          <t>Pieza 3</t>
        </is>
      </c>
      <c r="D7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1">
      <c r="A71" t="inlineStr">
        <is>
          <t>West</t>
        </is>
      </c>
      <c r="B71" t="n">
        <v>1</v>
      </c>
      <c r="C71" t="inlineStr">
        <is>
          <t>Pieza 4</t>
        </is>
      </c>
      <c r="D7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2">
      <c r="A72" t="inlineStr">
        <is>
          <t>West</t>
        </is>
      </c>
      <c r="B72" t="n">
        <v>1</v>
      </c>
      <c r="C72" t="inlineStr">
        <is>
          <t>Pieza 5</t>
        </is>
      </c>
      <c r="D7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3">
      <c r="A73" t="inlineStr">
        <is>
          <t>West</t>
        </is>
      </c>
      <c r="B73" t="n">
        <v>1</v>
      </c>
      <c r="C73" t="inlineStr">
        <is>
          <t>Pieza 6</t>
        </is>
      </c>
      <c r="D7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4">
      <c r="A74" t="inlineStr">
        <is>
          <t>West</t>
        </is>
      </c>
      <c r="B74" t="n">
        <v>2</v>
      </c>
      <c r="C74" t="inlineStr">
        <is>
          <t>Parte A</t>
        </is>
      </c>
      <c r="D7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5">
      <c r="A75" t="inlineStr">
        <is>
          <t>West</t>
        </is>
      </c>
      <c r="B75" t="n">
        <v>2</v>
      </c>
      <c r="C75" t="inlineStr">
        <is>
          <t>Parte B</t>
        </is>
      </c>
      <c r="D7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6">
      <c r="A76" t="inlineStr">
        <is>
          <t>West</t>
        </is>
      </c>
      <c r="B76" t="n">
        <v>2</v>
      </c>
      <c r="C76" t="inlineStr">
        <is>
          <t>Pieza 1</t>
        </is>
      </c>
      <c r="D7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7">
      <c r="A77" t="inlineStr">
        <is>
          <t>West</t>
        </is>
      </c>
      <c r="B77" t="n">
        <v>2</v>
      </c>
      <c r="C77" t="inlineStr">
        <is>
          <t>Pieza 2</t>
        </is>
      </c>
      <c r="D7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8">
      <c r="A78" t="inlineStr">
        <is>
          <t>West</t>
        </is>
      </c>
      <c r="B78" t="n">
        <v>2</v>
      </c>
      <c r="C78" t="inlineStr">
        <is>
          <t>Pieza 3</t>
        </is>
      </c>
      <c r="D7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79">
      <c r="A79" t="inlineStr">
        <is>
          <t>West</t>
        </is>
      </c>
      <c r="B79" t="n">
        <v>2</v>
      </c>
      <c r="C79" t="inlineStr">
        <is>
          <t>Pieza 4</t>
        </is>
      </c>
      <c r="D7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0">
      <c r="A80" t="inlineStr">
        <is>
          <t>West</t>
        </is>
      </c>
      <c r="B80" t="n">
        <v>2</v>
      </c>
      <c r="C80" t="inlineStr">
        <is>
          <t>Pieza 5</t>
        </is>
      </c>
      <c r="D8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1">
      <c r="A81" t="inlineStr">
        <is>
          <t>West</t>
        </is>
      </c>
      <c r="B81" t="n">
        <v>2</v>
      </c>
      <c r="C81" t="inlineStr">
        <is>
          <t>Pieza 6</t>
        </is>
      </c>
      <c r="D8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2">
      <c r="A82" t="inlineStr">
        <is>
          <t>West</t>
        </is>
      </c>
      <c r="B82" t="n">
        <v>3</v>
      </c>
      <c r="C82" t="inlineStr">
        <is>
          <t>Parte A</t>
        </is>
      </c>
      <c r="D8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3">
      <c r="A83" t="inlineStr">
        <is>
          <t>West</t>
        </is>
      </c>
      <c r="B83" t="n">
        <v>3</v>
      </c>
      <c r="C83" t="inlineStr">
        <is>
          <t>Parte B</t>
        </is>
      </c>
      <c r="D8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4">
      <c r="A84" t="inlineStr">
        <is>
          <t>West</t>
        </is>
      </c>
      <c r="B84" t="n">
        <v>3</v>
      </c>
      <c r="C84" t="inlineStr">
        <is>
          <t>Pieza 1</t>
        </is>
      </c>
      <c r="D8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5">
      <c r="A85" t="inlineStr">
        <is>
          <t>West</t>
        </is>
      </c>
      <c r="B85" t="n">
        <v>3</v>
      </c>
      <c r="C85" t="inlineStr">
        <is>
          <t>Pieza 2</t>
        </is>
      </c>
      <c r="D8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6">
      <c r="A86" t="inlineStr">
        <is>
          <t>West</t>
        </is>
      </c>
      <c r="B86" t="n">
        <v>3</v>
      </c>
      <c r="C86" t="inlineStr">
        <is>
          <t>Pieza 3</t>
        </is>
      </c>
      <c r="D8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7">
      <c r="A87" t="inlineStr">
        <is>
          <t>West</t>
        </is>
      </c>
      <c r="B87" t="n">
        <v>3</v>
      </c>
      <c r="C87" t="inlineStr">
        <is>
          <t>Pieza 4</t>
        </is>
      </c>
      <c r="D8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8">
      <c r="A88" t="inlineStr">
        <is>
          <t>West</t>
        </is>
      </c>
      <c r="B88" t="n">
        <v>3</v>
      </c>
      <c r="C88" t="inlineStr">
        <is>
          <t>Pieza 5</t>
        </is>
      </c>
      <c r="D8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89">
      <c r="A89" t="inlineStr">
        <is>
          <t>West</t>
        </is>
      </c>
      <c r="B89" t="n">
        <v>3</v>
      </c>
      <c r="C89" t="inlineStr">
        <is>
          <t>Pieza 6</t>
        </is>
      </c>
      <c r="D8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0">
      <c r="A90" t="inlineStr">
        <is>
          <t>West</t>
        </is>
      </c>
      <c r="B90" t="n">
        <v>4</v>
      </c>
      <c r="C90" t="inlineStr">
        <is>
          <t>Parte A</t>
        </is>
      </c>
      <c r="D9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1">
      <c r="A91" t="inlineStr">
        <is>
          <t>West</t>
        </is>
      </c>
      <c r="B91" t="n">
        <v>4</v>
      </c>
      <c r="C91" t="inlineStr">
        <is>
          <t>Parte B</t>
        </is>
      </c>
      <c r="D9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2">
      <c r="A92" t="inlineStr">
        <is>
          <t>West</t>
        </is>
      </c>
      <c r="B92" t="n">
        <v>4</v>
      </c>
      <c r="C92" t="inlineStr">
        <is>
          <t>Pieza 1</t>
        </is>
      </c>
      <c r="D9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3">
      <c r="A93" t="inlineStr">
        <is>
          <t>West</t>
        </is>
      </c>
      <c r="B93" t="n">
        <v>4</v>
      </c>
      <c r="C93" t="inlineStr">
        <is>
          <t>Pieza 2</t>
        </is>
      </c>
      <c r="D9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4">
      <c r="A94" t="inlineStr">
        <is>
          <t>West</t>
        </is>
      </c>
      <c r="B94" t="n">
        <v>4</v>
      </c>
      <c r="C94" t="inlineStr">
        <is>
          <t>Pieza 3</t>
        </is>
      </c>
      <c r="D9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5">
      <c r="A95" t="inlineStr">
        <is>
          <t>West</t>
        </is>
      </c>
      <c r="B95" t="n">
        <v>4</v>
      </c>
      <c r="C95" t="inlineStr">
        <is>
          <t>Pieza 4</t>
        </is>
      </c>
      <c r="D9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6">
      <c r="A96" t="inlineStr">
        <is>
          <t>West</t>
        </is>
      </c>
      <c r="B96" t="n">
        <v>4</v>
      </c>
      <c r="C96" t="inlineStr">
        <is>
          <t>Pieza 5</t>
        </is>
      </c>
      <c r="D9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7">
      <c r="A97" t="inlineStr">
        <is>
          <t>West</t>
        </is>
      </c>
      <c r="B97" t="n">
        <v>4</v>
      </c>
      <c r="C97" t="inlineStr">
        <is>
          <t>Pieza 6</t>
        </is>
      </c>
      <c r="D9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8">
      <c r="A98" t="inlineStr">
        <is>
          <t>West</t>
        </is>
      </c>
      <c r="B98" t="n">
        <v>5</v>
      </c>
      <c r="C98" t="inlineStr">
        <is>
          <t>Parte A</t>
        </is>
      </c>
      <c r="D9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99">
      <c r="A99" t="inlineStr">
        <is>
          <t>West</t>
        </is>
      </c>
      <c r="B99" t="n">
        <v>5</v>
      </c>
      <c r="C99" t="inlineStr">
        <is>
          <t>Parte B</t>
        </is>
      </c>
      <c r="D9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0">
      <c r="A100" t="inlineStr">
        <is>
          <t>West</t>
        </is>
      </c>
      <c r="B100" t="n">
        <v>5</v>
      </c>
      <c r="C100" t="inlineStr">
        <is>
          <t>Pieza 1</t>
        </is>
      </c>
      <c r="D10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1">
      <c r="A101" t="inlineStr">
        <is>
          <t>West</t>
        </is>
      </c>
      <c r="B101" t="n">
        <v>5</v>
      </c>
      <c r="C101" t="inlineStr">
        <is>
          <t>Pieza 2</t>
        </is>
      </c>
      <c r="D10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2">
      <c r="A102" t="inlineStr">
        <is>
          <t>West</t>
        </is>
      </c>
      <c r="B102" t="n">
        <v>5</v>
      </c>
      <c r="C102" t="inlineStr">
        <is>
          <t>Pieza 3</t>
        </is>
      </c>
      <c r="D10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3">
      <c r="A103" t="inlineStr">
        <is>
          <t>West</t>
        </is>
      </c>
      <c r="B103" t="n">
        <v>5</v>
      </c>
      <c r="C103" t="inlineStr">
        <is>
          <t>Pieza 4</t>
        </is>
      </c>
      <c r="D10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4">
      <c r="A104" t="inlineStr">
        <is>
          <t>West</t>
        </is>
      </c>
      <c r="B104" t="n">
        <v>5</v>
      </c>
      <c r="C104" t="inlineStr">
        <is>
          <t>Pieza 5</t>
        </is>
      </c>
      <c r="D10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5">
      <c r="A105" t="inlineStr">
        <is>
          <t>West</t>
        </is>
      </c>
      <c r="B105" t="n">
        <v>5</v>
      </c>
      <c r="C105" t="inlineStr">
        <is>
          <t>Pieza 6</t>
        </is>
      </c>
      <c r="D10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6">
      <c r="A106" t="inlineStr">
        <is>
          <t>West</t>
        </is>
      </c>
      <c r="B106" t="n">
        <v>6</v>
      </c>
      <c r="C106" t="inlineStr">
        <is>
          <t>Parte A</t>
        </is>
      </c>
      <c r="D10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7">
      <c r="A107" t="inlineStr">
        <is>
          <t>West</t>
        </is>
      </c>
      <c r="B107" t="n">
        <v>6</v>
      </c>
      <c r="C107" t="inlineStr">
        <is>
          <t>Parte B</t>
        </is>
      </c>
      <c r="D10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8">
      <c r="A108" t="inlineStr">
        <is>
          <t>West</t>
        </is>
      </c>
      <c r="B108" t="n">
        <v>6</v>
      </c>
      <c r="C108" t="inlineStr">
        <is>
          <t>Pieza 1</t>
        </is>
      </c>
      <c r="D10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09">
      <c r="A109" t="inlineStr">
        <is>
          <t>West</t>
        </is>
      </c>
      <c r="B109" t="n">
        <v>6</v>
      </c>
      <c r="C109" t="inlineStr">
        <is>
          <t>Pieza 2</t>
        </is>
      </c>
      <c r="D10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0">
      <c r="A110" t="inlineStr">
        <is>
          <t>West</t>
        </is>
      </c>
      <c r="B110" t="n">
        <v>6</v>
      </c>
      <c r="C110" t="inlineStr">
        <is>
          <t>Pieza 3</t>
        </is>
      </c>
      <c r="D11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1">
      <c r="A111" t="inlineStr">
        <is>
          <t>West</t>
        </is>
      </c>
      <c r="B111" t="n">
        <v>6</v>
      </c>
      <c r="C111" t="inlineStr">
        <is>
          <t>Pieza 4</t>
        </is>
      </c>
      <c r="D11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2">
      <c r="A112" t="inlineStr">
        <is>
          <t>West</t>
        </is>
      </c>
      <c r="B112" t="n">
        <v>6</v>
      </c>
      <c r="C112" t="inlineStr">
        <is>
          <t>Pieza 5</t>
        </is>
      </c>
      <c r="D11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3">
      <c r="A113" t="inlineStr">
        <is>
          <t>West</t>
        </is>
      </c>
      <c r="B113" t="n">
        <v>6</v>
      </c>
      <c r="C113" t="inlineStr">
        <is>
          <t>Pieza 6</t>
        </is>
      </c>
      <c r="D11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4">
      <c r="A114" t="inlineStr">
        <is>
          <t>West</t>
        </is>
      </c>
      <c r="B114" t="n">
        <v>7</v>
      </c>
      <c r="C114" t="inlineStr">
        <is>
          <t>Parte A</t>
        </is>
      </c>
      <c r="D11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5">
      <c r="A115" t="inlineStr">
        <is>
          <t>West</t>
        </is>
      </c>
      <c r="B115" t="n">
        <v>7</v>
      </c>
      <c r="C115" t="inlineStr">
        <is>
          <t>Parte B</t>
        </is>
      </c>
      <c r="D11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6">
      <c r="A116" t="inlineStr">
        <is>
          <t>West</t>
        </is>
      </c>
      <c r="B116" t="n">
        <v>7</v>
      </c>
      <c r="C116" t="inlineStr">
        <is>
          <t>Pieza 1</t>
        </is>
      </c>
      <c r="D11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7">
      <c r="A117" t="inlineStr">
        <is>
          <t>West</t>
        </is>
      </c>
      <c r="B117" t="n">
        <v>7</v>
      </c>
      <c r="C117" t="inlineStr">
        <is>
          <t>Pieza 2</t>
        </is>
      </c>
      <c r="D11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8">
      <c r="A118" t="inlineStr">
        <is>
          <t>West</t>
        </is>
      </c>
      <c r="B118" t="n">
        <v>7</v>
      </c>
      <c r="C118" t="inlineStr">
        <is>
          <t>Pieza 3</t>
        </is>
      </c>
      <c r="D11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19">
      <c r="A119" t="inlineStr">
        <is>
          <t>West</t>
        </is>
      </c>
      <c r="B119" t="n">
        <v>7</v>
      </c>
      <c r="C119" t="inlineStr">
        <is>
          <t>Pieza 4</t>
        </is>
      </c>
      <c r="D119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0">
      <c r="A120" t="inlineStr">
        <is>
          <t>West</t>
        </is>
      </c>
      <c r="B120" t="n">
        <v>7</v>
      </c>
      <c r="C120" t="inlineStr">
        <is>
          <t>Pieza 5</t>
        </is>
      </c>
      <c r="D120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1">
      <c r="A121" t="inlineStr">
        <is>
          <t>West</t>
        </is>
      </c>
      <c r="B121" t="n">
        <v>7</v>
      </c>
      <c r="C121" t="inlineStr">
        <is>
          <t>Pieza 6</t>
        </is>
      </c>
      <c r="D121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2">
      <c r="A122" t="inlineStr">
        <is>
          <t>West</t>
        </is>
      </c>
      <c r="B122" t="n">
        <v>8</v>
      </c>
      <c r="C122" t="inlineStr">
        <is>
          <t>Parte A</t>
        </is>
      </c>
      <c r="D122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3">
      <c r="A123" t="inlineStr">
        <is>
          <t>West</t>
        </is>
      </c>
      <c r="B123" t="n">
        <v>8</v>
      </c>
      <c r="C123" t="inlineStr">
        <is>
          <t>Parte B</t>
        </is>
      </c>
      <c r="D123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4">
      <c r="A124" t="inlineStr">
        <is>
          <t>West</t>
        </is>
      </c>
      <c r="B124" t="n">
        <v>8</v>
      </c>
      <c r="C124" t="inlineStr">
        <is>
          <t>Pieza 1</t>
        </is>
      </c>
      <c r="D124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5">
      <c r="A125" t="inlineStr">
        <is>
          <t>West</t>
        </is>
      </c>
      <c r="B125" t="n">
        <v>8</v>
      </c>
      <c r="C125" t="inlineStr">
        <is>
          <t>Pieza 2</t>
        </is>
      </c>
      <c r="D125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6">
      <c r="A126" t="inlineStr">
        <is>
          <t>West</t>
        </is>
      </c>
      <c r="B126" t="n">
        <v>8</v>
      </c>
      <c r="C126" t="inlineStr">
        <is>
          <t>Pieza 3</t>
        </is>
      </c>
      <c r="D126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7">
      <c r="A127" t="inlineStr">
        <is>
          <t>West</t>
        </is>
      </c>
      <c r="B127" t="n">
        <v>8</v>
      </c>
      <c r="C127" t="inlineStr">
        <is>
          <t>Pieza 4</t>
        </is>
      </c>
      <c r="D127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8">
      <c r="A128" t="inlineStr">
        <is>
          <t>West</t>
        </is>
      </c>
      <c r="B128" t="n">
        <v>8</v>
      </c>
      <c r="C128" t="inlineStr">
        <is>
          <t>Pieza 5</t>
        </is>
      </c>
      <c r="D128">
        <f>LET(mat,[@Material],pl,[@Plant],fn,[@Fortnight],cons,XLOOKUP(mat,tParams[Material],tParams[ConsPerEC],0),prod,XLOOKUP(pl&amp;"|"&amp;fn,tProdPlan[Plant]&amp;"|"&amp;tProdPlan[Fortnight],tProdPlan[EC_Produced],0),cons*prod)</f>
        <v/>
      </c>
    </row>
    <row r="129">
      <c r="A129" t="inlineStr">
        <is>
          <t>West</t>
        </is>
      </c>
      <c r="B129" t="n">
        <v>8</v>
      </c>
      <c r="C129" t="inlineStr">
        <is>
          <t>Pieza 6</t>
        </is>
      </c>
      <c r="D129">
        <f>LET(mat,[@Material],pl,[@Plant],fn,[@Fortnight],cons,XLOOKUP(mat,tParams[Material],tParams[ConsPerEC],0),prod,XLOOKUP(pl&amp;"|"&amp;fn,tProdPlan[Plant]&amp;"|"&amp;tProdPlan[Fortnight],tProdPlan[EC_Produced],0),cons*prod)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OnHand_InitialUnits</t>
        </is>
      </c>
    </row>
    <row r="2">
      <c r="A2" t="inlineStr">
        <is>
          <t>Center</t>
        </is>
      </c>
      <c r="B2" t="inlineStr">
        <is>
          <t>Parte A</t>
        </is>
      </c>
      <c r="C2" t="n">
        <v>3496</v>
      </c>
    </row>
    <row r="3">
      <c r="A3" t="inlineStr">
        <is>
          <t>West</t>
        </is>
      </c>
      <c r="B3" t="inlineStr">
        <is>
          <t>Parte A</t>
        </is>
      </c>
      <c r="C3" t="n">
        <v>1016</v>
      </c>
    </row>
    <row r="4">
      <c r="A4" t="inlineStr">
        <is>
          <t>Center</t>
        </is>
      </c>
      <c r="B4" t="inlineStr">
        <is>
          <t>Parte B</t>
        </is>
      </c>
      <c r="C4" t="n">
        <v>765</v>
      </c>
    </row>
    <row r="5">
      <c r="A5" t="inlineStr">
        <is>
          <t>West</t>
        </is>
      </c>
      <c r="B5" t="inlineStr">
        <is>
          <t>Parte B</t>
        </is>
      </c>
      <c r="C5" t="n">
        <v>293</v>
      </c>
    </row>
    <row r="6">
      <c r="A6" t="inlineStr">
        <is>
          <t>Center</t>
        </is>
      </c>
      <c r="B6" t="inlineStr">
        <is>
          <t>Pieza 1</t>
        </is>
      </c>
      <c r="C6" t="n">
        <v>94</v>
      </c>
    </row>
    <row r="7">
      <c r="A7" t="inlineStr">
        <is>
          <t>West</t>
        </is>
      </c>
      <c r="B7" t="inlineStr">
        <is>
          <t>Pieza 1</t>
        </is>
      </c>
      <c r="C7" t="n">
        <v>36</v>
      </c>
    </row>
    <row r="8">
      <c r="A8" t="inlineStr">
        <is>
          <t>Center</t>
        </is>
      </c>
      <c r="B8" t="inlineStr">
        <is>
          <t>Pieza 2</t>
        </is>
      </c>
      <c r="C8" t="n">
        <v>3844</v>
      </c>
    </row>
    <row r="9">
      <c r="A9" t="inlineStr">
        <is>
          <t>West</t>
        </is>
      </c>
      <c r="B9" t="inlineStr">
        <is>
          <t>Pieza 2</t>
        </is>
      </c>
      <c r="C9" t="n">
        <v>1424</v>
      </c>
    </row>
    <row r="10">
      <c r="A10" t="inlineStr">
        <is>
          <t>Center</t>
        </is>
      </c>
      <c r="B10" t="inlineStr">
        <is>
          <t>Pieza 3</t>
        </is>
      </c>
      <c r="C10" t="n">
        <v>3125</v>
      </c>
    </row>
    <row r="11">
      <c r="A11" t="inlineStr">
        <is>
          <t>West</t>
        </is>
      </c>
      <c r="B11" t="inlineStr">
        <is>
          <t>Pieza 3</t>
        </is>
      </c>
      <c r="C11" t="n">
        <v>1208</v>
      </c>
    </row>
    <row r="12">
      <c r="A12" t="inlineStr">
        <is>
          <t>Center</t>
        </is>
      </c>
      <c r="B12" t="inlineStr">
        <is>
          <t>Pieza 4</t>
        </is>
      </c>
      <c r="C12" t="n">
        <v>6131</v>
      </c>
    </row>
    <row r="13">
      <c r="A13" t="inlineStr">
        <is>
          <t>West</t>
        </is>
      </c>
      <c r="B13" t="inlineStr">
        <is>
          <t>Pieza 4</t>
        </is>
      </c>
      <c r="C13" t="n">
        <v>2356</v>
      </c>
    </row>
    <row r="14">
      <c r="A14" t="inlineStr">
        <is>
          <t>Center</t>
        </is>
      </c>
      <c r="B14" t="inlineStr">
        <is>
          <t>Pieza 5</t>
        </is>
      </c>
      <c r="C14" t="n">
        <v>16736</v>
      </c>
    </row>
    <row r="15">
      <c r="A15" t="inlineStr">
        <is>
          <t>West</t>
        </is>
      </c>
      <c r="B15" t="inlineStr">
        <is>
          <t>Pieza 5</t>
        </is>
      </c>
      <c r="C15" t="n">
        <v>6456</v>
      </c>
    </row>
    <row r="16">
      <c r="A16" t="inlineStr">
        <is>
          <t>Center</t>
        </is>
      </c>
      <c r="B16" t="inlineStr">
        <is>
          <t>Pieza 6</t>
        </is>
      </c>
      <c r="C16" t="n">
        <v>4439</v>
      </c>
    </row>
    <row r="17">
      <c r="A17" t="inlineStr">
        <is>
          <t>West</t>
        </is>
      </c>
      <c r="B17" t="inlineStr">
        <is>
          <t>Pieza 6</t>
        </is>
      </c>
      <c r="C17" t="n">
        <v>1596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SafetyStock_Fortnights</t>
        </is>
      </c>
      <c r="D1" t="inlineStr">
        <is>
          <t>PreferredSupplier</t>
        </is>
      </c>
    </row>
    <row r="2">
      <c r="A2" t="inlineStr">
        <is>
          <t>Center</t>
        </is>
      </c>
      <c r="B2" t="inlineStr">
        <is>
          <t>Parte A</t>
        </is>
      </c>
      <c r="C2" t="n">
        <v>1</v>
      </c>
    </row>
    <row r="3">
      <c r="A3" t="inlineStr">
        <is>
          <t>Center</t>
        </is>
      </c>
      <c r="B3" t="inlineStr">
        <is>
          <t>Parte B</t>
        </is>
      </c>
      <c r="C3" t="n">
        <v>1</v>
      </c>
    </row>
    <row r="4">
      <c r="A4" t="inlineStr">
        <is>
          <t>Center</t>
        </is>
      </c>
      <c r="B4" t="inlineStr">
        <is>
          <t>Pieza 1</t>
        </is>
      </c>
      <c r="C4" t="n">
        <v>0</v>
      </c>
    </row>
    <row r="5">
      <c r="A5" t="inlineStr">
        <is>
          <t>Center</t>
        </is>
      </c>
      <c r="B5" t="inlineStr">
        <is>
          <t>Pieza 2</t>
        </is>
      </c>
      <c r="C5" t="n">
        <v>0</v>
      </c>
    </row>
    <row r="6">
      <c r="A6" t="inlineStr">
        <is>
          <t>Center</t>
        </is>
      </c>
      <c r="B6" t="inlineStr">
        <is>
          <t>Pieza 3</t>
        </is>
      </c>
      <c r="C6" t="n">
        <v>0</v>
      </c>
    </row>
    <row r="7">
      <c r="A7" t="inlineStr">
        <is>
          <t>Center</t>
        </is>
      </c>
      <c r="B7" t="inlineStr">
        <is>
          <t>Pieza 4</t>
        </is>
      </c>
      <c r="C7" t="n">
        <v>0</v>
      </c>
    </row>
    <row r="8">
      <c r="A8" t="inlineStr">
        <is>
          <t>Center</t>
        </is>
      </c>
      <c r="B8" t="inlineStr">
        <is>
          <t>Pieza 5</t>
        </is>
      </c>
      <c r="C8" t="n">
        <v>0</v>
      </c>
    </row>
    <row r="9">
      <c r="A9" t="inlineStr">
        <is>
          <t>Center</t>
        </is>
      </c>
      <c r="B9" t="inlineStr">
        <is>
          <t>Pieza 6</t>
        </is>
      </c>
      <c r="C9" t="n">
        <v>0</v>
      </c>
    </row>
    <row r="10">
      <c r="A10" t="inlineStr">
        <is>
          <t>West</t>
        </is>
      </c>
      <c r="B10" t="inlineStr">
        <is>
          <t>Parte A</t>
        </is>
      </c>
      <c r="C10" t="n">
        <v>1</v>
      </c>
    </row>
    <row r="11">
      <c r="A11" t="inlineStr">
        <is>
          <t>West</t>
        </is>
      </c>
      <c r="B11" t="inlineStr">
        <is>
          <t>Parte B</t>
        </is>
      </c>
      <c r="C11" t="n">
        <v>1</v>
      </c>
    </row>
    <row r="12">
      <c r="A12" t="inlineStr">
        <is>
          <t>West</t>
        </is>
      </c>
      <c r="B12" t="inlineStr">
        <is>
          <t>Pieza 1</t>
        </is>
      </c>
      <c r="C12" t="n">
        <v>0</v>
      </c>
    </row>
    <row r="13">
      <c r="A13" t="inlineStr">
        <is>
          <t>West</t>
        </is>
      </c>
      <c r="B13" t="inlineStr">
        <is>
          <t>Pieza 2</t>
        </is>
      </c>
      <c r="C13" t="n">
        <v>0</v>
      </c>
    </row>
    <row r="14">
      <c r="A14" t="inlineStr">
        <is>
          <t>West</t>
        </is>
      </c>
      <c r="B14" t="inlineStr">
        <is>
          <t>Pieza 3</t>
        </is>
      </c>
      <c r="C14" t="n">
        <v>0</v>
      </c>
    </row>
    <row r="15">
      <c r="A15" t="inlineStr">
        <is>
          <t>West</t>
        </is>
      </c>
      <c r="B15" t="inlineStr">
        <is>
          <t>Pieza 4</t>
        </is>
      </c>
      <c r="C15" t="n">
        <v>0</v>
      </c>
    </row>
    <row r="16">
      <c r="A16" t="inlineStr">
        <is>
          <t>West</t>
        </is>
      </c>
      <c r="B16" t="inlineStr">
        <is>
          <t>Pieza 5</t>
        </is>
      </c>
      <c r="C16" t="n">
        <v>0</v>
      </c>
    </row>
    <row r="17">
      <c r="A17" t="inlineStr">
        <is>
          <t>West</t>
        </is>
      </c>
      <c r="B17" t="inlineStr">
        <is>
          <t>Pieza 6</t>
        </is>
      </c>
      <c r="C1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Fortnight</t>
        </is>
      </c>
      <c r="D1" t="inlineStr">
        <is>
          <t>GrossReqUnits</t>
        </is>
      </c>
      <c r="E1" t="inlineStr">
        <is>
          <t>ReceiptsUnits</t>
        </is>
      </c>
      <c r="F1" t="inlineStr">
        <is>
          <t>ProjectedOnHand_Begin</t>
        </is>
      </c>
      <c r="G1" t="inlineStr">
        <is>
          <t>ProjectedOnHand_End</t>
        </is>
      </c>
      <c r="H1" t="inlineStr">
        <is>
          <t>SafetyStockUnits</t>
        </is>
      </c>
      <c r="I1" t="inlineStr">
        <is>
          <t>NetReqUnits</t>
        </is>
      </c>
      <c r="J1" t="inlineStr">
        <is>
          <t>PlannedOrderReceiptUnits</t>
        </is>
      </c>
      <c r="K1" t="inlineStr">
        <is>
          <t>PlannedOrderLots</t>
        </is>
      </c>
      <c r="L1" t="inlineStr">
        <is>
          <t>PlannedOrderReceiptUnits_Rounded</t>
        </is>
      </c>
      <c r="M1" t="inlineStr">
        <is>
          <t>PlannedOrderReleaseFortnight</t>
        </is>
      </c>
    </row>
    <row r="2">
      <c r="A2" t="inlineStr">
        <is>
          <t>Center</t>
        </is>
      </c>
      <c r="B2" t="inlineStr">
        <is>
          <t>Parte A</t>
        </is>
      </c>
      <c r="C2" t="n">
        <v>1</v>
      </c>
      <c r="D2">
        <f>SUMIFS(tGrossReq[GrossReqUnits],tGrossReq[Plant],[@Plant],tGrossReq[Material],[@Material],tGrossReq[Fortnight],[@Fortnight])</f>
        <v/>
      </c>
      <c r="E2">
        <f>[@PlannedOrderReceiptUnits_Rounded]</f>
        <v/>
      </c>
      <c r="F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">
        <f>[@ProjectedOnHand_Begin]+[@ReceiptsUnits]-[@GrossReqUnits]</f>
        <v/>
      </c>
      <c r="H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">
        <f>MAX(0,[@SafetyStockUnits]-([@ProjectedOnHand_Begin]-[@GrossReqUnits]))</f>
        <v/>
      </c>
      <c r="J2">
        <f>[@NetReqUnits]</f>
        <v/>
      </c>
      <c r="K2">
        <f>CEILING([@PlannedOrderReceiptUnits]/XLOOKUP([@Material],tParams[Material],tParams[BatchSize],1),1)</f>
        <v/>
      </c>
      <c r="L2">
        <f>[@PlannedOrderLots]*XLOOKUP([@Material],tParams[Material],tParams[BatchSize],1)</f>
        <v/>
      </c>
      <c r="M2">
        <f>[@Fortnight]</f>
        <v/>
      </c>
    </row>
    <row r="3">
      <c r="A3" t="inlineStr">
        <is>
          <t>Center</t>
        </is>
      </c>
      <c r="B3" t="inlineStr">
        <is>
          <t>Parte A</t>
        </is>
      </c>
      <c r="C3" t="n">
        <v>2</v>
      </c>
      <c r="D3">
        <f>SUMIFS(tGrossReq[GrossReqUnits],tGrossReq[Plant],[@Plant],tGrossReq[Material],[@Material],tGrossReq[Fortnight],[@Fortnight])</f>
        <v/>
      </c>
      <c r="E3">
        <f>[@PlannedOrderReceiptUnits_Rounded]</f>
        <v/>
      </c>
      <c r="F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">
        <f>[@ProjectedOnHand_Begin]+[@ReceiptsUnits]-[@GrossReqUnits]</f>
        <v/>
      </c>
      <c r="H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">
        <f>MAX(0,[@SafetyStockUnits]-([@ProjectedOnHand_Begin]-[@GrossReqUnits]))</f>
        <v/>
      </c>
      <c r="J3">
        <f>[@NetReqUnits]</f>
        <v/>
      </c>
      <c r="K3">
        <f>CEILING([@PlannedOrderReceiptUnits]/XLOOKUP([@Material],tParams[Material],tParams[BatchSize],1),1)</f>
        <v/>
      </c>
      <c r="L3">
        <f>[@PlannedOrderLots]*XLOOKUP([@Material],tParams[Material],tParams[BatchSize],1)</f>
        <v/>
      </c>
      <c r="M3">
        <f>[@Fortnight]</f>
        <v/>
      </c>
    </row>
    <row r="4">
      <c r="A4" t="inlineStr">
        <is>
          <t>Center</t>
        </is>
      </c>
      <c r="B4" t="inlineStr">
        <is>
          <t>Parte A</t>
        </is>
      </c>
      <c r="C4" t="n">
        <v>3</v>
      </c>
      <c r="D4">
        <f>SUMIFS(tGrossReq[GrossReqUnits],tGrossReq[Plant],[@Plant],tGrossReq[Material],[@Material],tGrossReq[Fortnight],[@Fortnight])</f>
        <v/>
      </c>
      <c r="E4">
        <f>[@PlannedOrderReceiptUnits_Rounded]</f>
        <v/>
      </c>
      <c r="F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4">
        <f>[@ProjectedOnHand_Begin]+[@ReceiptsUnits]-[@GrossReqUnits]</f>
        <v/>
      </c>
      <c r="H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4">
        <f>MAX(0,[@SafetyStockUnits]-([@ProjectedOnHand_Begin]-[@GrossReqUnits]))</f>
        <v/>
      </c>
      <c r="J4">
        <f>[@NetReqUnits]</f>
        <v/>
      </c>
      <c r="K4">
        <f>CEILING([@PlannedOrderReceiptUnits]/XLOOKUP([@Material],tParams[Material],tParams[BatchSize],1),1)</f>
        <v/>
      </c>
      <c r="L4">
        <f>[@PlannedOrderLots]*XLOOKUP([@Material],tParams[Material],tParams[BatchSize],1)</f>
        <v/>
      </c>
      <c r="M4">
        <f>[@Fortnight]</f>
        <v/>
      </c>
    </row>
    <row r="5">
      <c r="A5" t="inlineStr">
        <is>
          <t>Center</t>
        </is>
      </c>
      <c r="B5" t="inlineStr">
        <is>
          <t>Parte A</t>
        </is>
      </c>
      <c r="C5" t="n">
        <v>4</v>
      </c>
      <c r="D5">
        <f>SUMIFS(tGrossReq[GrossReqUnits],tGrossReq[Plant],[@Plant],tGrossReq[Material],[@Material],tGrossReq[Fortnight],[@Fortnight])</f>
        <v/>
      </c>
      <c r="E5">
        <f>[@PlannedOrderReceiptUnits_Rounded]</f>
        <v/>
      </c>
      <c r="F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5">
        <f>[@ProjectedOnHand_Begin]+[@ReceiptsUnits]-[@GrossReqUnits]</f>
        <v/>
      </c>
      <c r="H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5">
        <f>MAX(0,[@SafetyStockUnits]-([@ProjectedOnHand_Begin]-[@GrossReqUnits]))</f>
        <v/>
      </c>
      <c r="J5">
        <f>[@NetReqUnits]</f>
        <v/>
      </c>
      <c r="K5">
        <f>CEILING([@PlannedOrderReceiptUnits]/XLOOKUP([@Material],tParams[Material],tParams[BatchSize],1),1)</f>
        <v/>
      </c>
      <c r="L5">
        <f>[@PlannedOrderLots]*XLOOKUP([@Material],tParams[Material],tParams[BatchSize],1)</f>
        <v/>
      </c>
      <c r="M5">
        <f>[@Fortnight]</f>
        <v/>
      </c>
    </row>
    <row r="6">
      <c r="A6" t="inlineStr">
        <is>
          <t>Center</t>
        </is>
      </c>
      <c r="B6" t="inlineStr">
        <is>
          <t>Parte A</t>
        </is>
      </c>
      <c r="C6" t="n">
        <v>5</v>
      </c>
      <c r="D6">
        <f>SUMIFS(tGrossReq[GrossReqUnits],tGrossReq[Plant],[@Plant],tGrossReq[Material],[@Material],tGrossReq[Fortnight],[@Fortnight])</f>
        <v/>
      </c>
      <c r="E6">
        <f>[@PlannedOrderReceiptUnits_Rounded]</f>
        <v/>
      </c>
      <c r="F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6">
        <f>[@ProjectedOnHand_Begin]+[@ReceiptsUnits]-[@GrossReqUnits]</f>
        <v/>
      </c>
      <c r="H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6">
        <f>MAX(0,[@SafetyStockUnits]-([@ProjectedOnHand_Begin]-[@GrossReqUnits]))</f>
        <v/>
      </c>
      <c r="J6">
        <f>[@NetReqUnits]</f>
        <v/>
      </c>
      <c r="K6">
        <f>CEILING([@PlannedOrderReceiptUnits]/XLOOKUP([@Material],tParams[Material],tParams[BatchSize],1),1)</f>
        <v/>
      </c>
      <c r="L6">
        <f>[@PlannedOrderLots]*XLOOKUP([@Material],tParams[Material],tParams[BatchSize],1)</f>
        <v/>
      </c>
      <c r="M6">
        <f>[@Fortnight]</f>
        <v/>
      </c>
    </row>
    <row r="7">
      <c r="A7" t="inlineStr">
        <is>
          <t>Center</t>
        </is>
      </c>
      <c r="B7" t="inlineStr">
        <is>
          <t>Parte A</t>
        </is>
      </c>
      <c r="C7" t="n">
        <v>6</v>
      </c>
      <c r="D7">
        <f>SUMIFS(tGrossReq[GrossReqUnits],tGrossReq[Plant],[@Plant],tGrossReq[Material],[@Material],tGrossReq[Fortnight],[@Fortnight])</f>
        <v/>
      </c>
      <c r="E7">
        <f>[@PlannedOrderReceiptUnits_Rounded]</f>
        <v/>
      </c>
      <c r="F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7">
        <f>[@ProjectedOnHand_Begin]+[@ReceiptsUnits]-[@GrossReqUnits]</f>
        <v/>
      </c>
      <c r="H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7">
        <f>MAX(0,[@SafetyStockUnits]-([@ProjectedOnHand_Begin]-[@GrossReqUnits]))</f>
        <v/>
      </c>
      <c r="J7">
        <f>[@NetReqUnits]</f>
        <v/>
      </c>
      <c r="K7">
        <f>CEILING([@PlannedOrderReceiptUnits]/XLOOKUP([@Material],tParams[Material],tParams[BatchSize],1),1)</f>
        <v/>
      </c>
      <c r="L7">
        <f>[@PlannedOrderLots]*XLOOKUP([@Material],tParams[Material],tParams[BatchSize],1)</f>
        <v/>
      </c>
      <c r="M7">
        <f>[@Fortnight]</f>
        <v/>
      </c>
    </row>
    <row r="8">
      <c r="A8" t="inlineStr">
        <is>
          <t>Center</t>
        </is>
      </c>
      <c r="B8" t="inlineStr">
        <is>
          <t>Parte A</t>
        </is>
      </c>
      <c r="C8" t="n">
        <v>7</v>
      </c>
      <c r="D8">
        <f>SUMIFS(tGrossReq[GrossReqUnits],tGrossReq[Plant],[@Plant],tGrossReq[Material],[@Material],tGrossReq[Fortnight],[@Fortnight])</f>
        <v/>
      </c>
      <c r="E8">
        <f>[@PlannedOrderReceiptUnits_Rounded]</f>
        <v/>
      </c>
      <c r="F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8">
        <f>[@ProjectedOnHand_Begin]+[@ReceiptsUnits]-[@GrossReqUnits]</f>
        <v/>
      </c>
      <c r="H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8">
        <f>MAX(0,[@SafetyStockUnits]-([@ProjectedOnHand_Begin]-[@GrossReqUnits]))</f>
        <v/>
      </c>
      <c r="J8">
        <f>[@NetReqUnits]</f>
        <v/>
      </c>
      <c r="K8">
        <f>CEILING([@PlannedOrderReceiptUnits]/XLOOKUP([@Material],tParams[Material],tParams[BatchSize],1),1)</f>
        <v/>
      </c>
      <c r="L8">
        <f>[@PlannedOrderLots]*XLOOKUP([@Material],tParams[Material],tParams[BatchSize],1)</f>
        <v/>
      </c>
      <c r="M8">
        <f>[@Fortnight]</f>
        <v/>
      </c>
    </row>
    <row r="9">
      <c r="A9" t="inlineStr">
        <is>
          <t>Center</t>
        </is>
      </c>
      <c r="B9" t="inlineStr">
        <is>
          <t>Parte A</t>
        </is>
      </c>
      <c r="C9" t="n">
        <v>8</v>
      </c>
      <c r="D9">
        <f>SUMIFS(tGrossReq[GrossReqUnits],tGrossReq[Plant],[@Plant],tGrossReq[Material],[@Material],tGrossReq[Fortnight],[@Fortnight])</f>
        <v/>
      </c>
      <c r="E9">
        <f>[@PlannedOrderReceiptUnits_Rounded]</f>
        <v/>
      </c>
      <c r="F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9">
        <f>[@ProjectedOnHand_Begin]+[@ReceiptsUnits]-[@GrossReqUnits]</f>
        <v/>
      </c>
      <c r="H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9">
        <f>MAX(0,[@SafetyStockUnits]-([@ProjectedOnHand_Begin]-[@GrossReqUnits]))</f>
        <v/>
      </c>
      <c r="J9">
        <f>[@NetReqUnits]</f>
        <v/>
      </c>
      <c r="K9">
        <f>CEILING([@PlannedOrderReceiptUnits]/XLOOKUP([@Material],tParams[Material],tParams[BatchSize],1),1)</f>
        <v/>
      </c>
      <c r="L9">
        <f>[@PlannedOrderLots]*XLOOKUP([@Material],tParams[Material],tParams[BatchSize],1)</f>
        <v/>
      </c>
      <c r="M9">
        <f>[@Fortnight]</f>
        <v/>
      </c>
    </row>
    <row r="10">
      <c r="A10" t="inlineStr">
        <is>
          <t>Center</t>
        </is>
      </c>
      <c r="B10" t="inlineStr">
        <is>
          <t>Parte B</t>
        </is>
      </c>
      <c r="C10" t="n">
        <v>1</v>
      </c>
      <c r="D10">
        <f>SUMIFS(tGrossReq[GrossReqUnits],tGrossReq[Plant],[@Plant],tGrossReq[Material],[@Material],tGrossReq[Fortnight],[@Fortnight])</f>
        <v/>
      </c>
      <c r="E10">
        <f>[@PlannedOrderReceiptUnits_Rounded]</f>
        <v/>
      </c>
      <c r="F1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0">
        <f>[@ProjectedOnHand_Begin]+[@ReceiptsUnits]-[@GrossReqUnits]</f>
        <v/>
      </c>
      <c r="H1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0">
        <f>MAX(0,[@SafetyStockUnits]-([@ProjectedOnHand_Begin]-[@GrossReqUnits]))</f>
        <v/>
      </c>
      <c r="J10">
        <f>[@NetReqUnits]</f>
        <v/>
      </c>
      <c r="K10">
        <f>CEILING([@PlannedOrderReceiptUnits]/XLOOKUP([@Material],tParams[Material],tParams[BatchSize],1),1)</f>
        <v/>
      </c>
      <c r="L10">
        <f>[@PlannedOrderLots]*XLOOKUP([@Material],tParams[Material],tParams[BatchSize],1)</f>
        <v/>
      </c>
      <c r="M10">
        <f>[@Fortnight]</f>
        <v/>
      </c>
    </row>
    <row r="11">
      <c r="A11" t="inlineStr">
        <is>
          <t>Center</t>
        </is>
      </c>
      <c r="B11" t="inlineStr">
        <is>
          <t>Parte B</t>
        </is>
      </c>
      <c r="C11" t="n">
        <v>2</v>
      </c>
      <c r="D11">
        <f>SUMIFS(tGrossReq[GrossReqUnits],tGrossReq[Plant],[@Plant],tGrossReq[Material],[@Material],tGrossReq[Fortnight],[@Fortnight])</f>
        <v/>
      </c>
      <c r="E11">
        <f>[@PlannedOrderReceiptUnits_Rounded]</f>
        <v/>
      </c>
      <c r="F1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1">
        <f>[@ProjectedOnHand_Begin]+[@ReceiptsUnits]-[@GrossReqUnits]</f>
        <v/>
      </c>
      <c r="H1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1">
        <f>MAX(0,[@SafetyStockUnits]-([@ProjectedOnHand_Begin]-[@GrossReqUnits]))</f>
        <v/>
      </c>
      <c r="J11">
        <f>[@NetReqUnits]</f>
        <v/>
      </c>
      <c r="K11">
        <f>CEILING([@PlannedOrderReceiptUnits]/XLOOKUP([@Material],tParams[Material],tParams[BatchSize],1),1)</f>
        <v/>
      </c>
      <c r="L11">
        <f>[@PlannedOrderLots]*XLOOKUP([@Material],tParams[Material],tParams[BatchSize],1)</f>
        <v/>
      </c>
      <c r="M11">
        <f>[@Fortnight]</f>
        <v/>
      </c>
    </row>
    <row r="12">
      <c r="A12" t="inlineStr">
        <is>
          <t>Center</t>
        </is>
      </c>
      <c r="B12" t="inlineStr">
        <is>
          <t>Parte B</t>
        </is>
      </c>
      <c r="C12" t="n">
        <v>3</v>
      </c>
      <c r="D12">
        <f>SUMIFS(tGrossReq[GrossReqUnits],tGrossReq[Plant],[@Plant],tGrossReq[Material],[@Material],tGrossReq[Fortnight],[@Fortnight])</f>
        <v/>
      </c>
      <c r="E12">
        <f>[@PlannedOrderReceiptUnits_Rounded]</f>
        <v/>
      </c>
      <c r="F1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2">
        <f>[@ProjectedOnHand_Begin]+[@ReceiptsUnits]-[@GrossReqUnits]</f>
        <v/>
      </c>
      <c r="H1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2">
        <f>MAX(0,[@SafetyStockUnits]-([@ProjectedOnHand_Begin]-[@GrossReqUnits]))</f>
        <v/>
      </c>
      <c r="J12">
        <f>[@NetReqUnits]</f>
        <v/>
      </c>
      <c r="K12">
        <f>CEILING([@PlannedOrderReceiptUnits]/XLOOKUP([@Material],tParams[Material],tParams[BatchSize],1),1)</f>
        <v/>
      </c>
      <c r="L12">
        <f>[@PlannedOrderLots]*XLOOKUP([@Material],tParams[Material],tParams[BatchSize],1)</f>
        <v/>
      </c>
      <c r="M12">
        <f>[@Fortnight]</f>
        <v/>
      </c>
    </row>
    <row r="13">
      <c r="A13" t="inlineStr">
        <is>
          <t>Center</t>
        </is>
      </c>
      <c r="B13" t="inlineStr">
        <is>
          <t>Parte B</t>
        </is>
      </c>
      <c r="C13" t="n">
        <v>4</v>
      </c>
      <c r="D13">
        <f>SUMIFS(tGrossReq[GrossReqUnits],tGrossReq[Plant],[@Plant],tGrossReq[Material],[@Material],tGrossReq[Fortnight],[@Fortnight])</f>
        <v/>
      </c>
      <c r="E13">
        <f>[@PlannedOrderReceiptUnits_Rounded]</f>
        <v/>
      </c>
      <c r="F1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3">
        <f>[@ProjectedOnHand_Begin]+[@ReceiptsUnits]-[@GrossReqUnits]</f>
        <v/>
      </c>
      <c r="H1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3">
        <f>MAX(0,[@SafetyStockUnits]-([@ProjectedOnHand_Begin]-[@GrossReqUnits]))</f>
        <v/>
      </c>
      <c r="J13">
        <f>[@NetReqUnits]</f>
        <v/>
      </c>
      <c r="K13">
        <f>CEILING([@PlannedOrderReceiptUnits]/XLOOKUP([@Material],tParams[Material],tParams[BatchSize],1),1)</f>
        <v/>
      </c>
      <c r="L13">
        <f>[@PlannedOrderLots]*XLOOKUP([@Material],tParams[Material],tParams[BatchSize],1)</f>
        <v/>
      </c>
      <c r="M13">
        <f>[@Fortnight]</f>
        <v/>
      </c>
    </row>
    <row r="14">
      <c r="A14" t="inlineStr">
        <is>
          <t>Center</t>
        </is>
      </c>
      <c r="B14" t="inlineStr">
        <is>
          <t>Parte B</t>
        </is>
      </c>
      <c r="C14" t="n">
        <v>5</v>
      </c>
      <c r="D14">
        <f>SUMIFS(tGrossReq[GrossReqUnits],tGrossReq[Plant],[@Plant],tGrossReq[Material],[@Material],tGrossReq[Fortnight],[@Fortnight])</f>
        <v/>
      </c>
      <c r="E14">
        <f>[@PlannedOrderReceiptUnits_Rounded]</f>
        <v/>
      </c>
      <c r="F1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4">
        <f>[@ProjectedOnHand_Begin]+[@ReceiptsUnits]-[@GrossReqUnits]</f>
        <v/>
      </c>
      <c r="H1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4">
        <f>MAX(0,[@SafetyStockUnits]-([@ProjectedOnHand_Begin]-[@GrossReqUnits]))</f>
        <v/>
      </c>
      <c r="J14">
        <f>[@NetReqUnits]</f>
        <v/>
      </c>
      <c r="K14">
        <f>CEILING([@PlannedOrderReceiptUnits]/XLOOKUP([@Material],tParams[Material],tParams[BatchSize],1),1)</f>
        <v/>
      </c>
      <c r="L14">
        <f>[@PlannedOrderLots]*XLOOKUP([@Material],tParams[Material],tParams[BatchSize],1)</f>
        <v/>
      </c>
      <c r="M14">
        <f>[@Fortnight]</f>
        <v/>
      </c>
    </row>
    <row r="15">
      <c r="A15" t="inlineStr">
        <is>
          <t>Center</t>
        </is>
      </c>
      <c r="B15" t="inlineStr">
        <is>
          <t>Parte B</t>
        </is>
      </c>
      <c r="C15" t="n">
        <v>6</v>
      </c>
      <c r="D15">
        <f>SUMIFS(tGrossReq[GrossReqUnits],tGrossReq[Plant],[@Plant],tGrossReq[Material],[@Material],tGrossReq[Fortnight],[@Fortnight])</f>
        <v/>
      </c>
      <c r="E15">
        <f>[@PlannedOrderReceiptUnits_Rounded]</f>
        <v/>
      </c>
      <c r="F1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5">
        <f>[@ProjectedOnHand_Begin]+[@ReceiptsUnits]-[@GrossReqUnits]</f>
        <v/>
      </c>
      <c r="H1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5">
        <f>MAX(0,[@SafetyStockUnits]-([@ProjectedOnHand_Begin]-[@GrossReqUnits]))</f>
        <v/>
      </c>
      <c r="J15">
        <f>[@NetReqUnits]</f>
        <v/>
      </c>
      <c r="K15">
        <f>CEILING([@PlannedOrderReceiptUnits]/XLOOKUP([@Material],tParams[Material],tParams[BatchSize],1),1)</f>
        <v/>
      </c>
      <c r="L15">
        <f>[@PlannedOrderLots]*XLOOKUP([@Material],tParams[Material],tParams[BatchSize],1)</f>
        <v/>
      </c>
      <c r="M15">
        <f>[@Fortnight]</f>
        <v/>
      </c>
    </row>
    <row r="16">
      <c r="A16" t="inlineStr">
        <is>
          <t>Center</t>
        </is>
      </c>
      <c r="B16" t="inlineStr">
        <is>
          <t>Parte B</t>
        </is>
      </c>
      <c r="C16" t="n">
        <v>7</v>
      </c>
      <c r="D16">
        <f>SUMIFS(tGrossReq[GrossReqUnits],tGrossReq[Plant],[@Plant],tGrossReq[Material],[@Material],tGrossReq[Fortnight],[@Fortnight])</f>
        <v/>
      </c>
      <c r="E16">
        <f>[@PlannedOrderReceiptUnits_Rounded]</f>
        <v/>
      </c>
      <c r="F1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6">
        <f>[@ProjectedOnHand_Begin]+[@ReceiptsUnits]-[@GrossReqUnits]</f>
        <v/>
      </c>
      <c r="H1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6">
        <f>MAX(0,[@SafetyStockUnits]-([@ProjectedOnHand_Begin]-[@GrossReqUnits]))</f>
        <v/>
      </c>
      <c r="J16">
        <f>[@NetReqUnits]</f>
        <v/>
      </c>
      <c r="K16">
        <f>CEILING([@PlannedOrderReceiptUnits]/XLOOKUP([@Material],tParams[Material],tParams[BatchSize],1),1)</f>
        <v/>
      </c>
      <c r="L16">
        <f>[@PlannedOrderLots]*XLOOKUP([@Material],tParams[Material],tParams[BatchSize],1)</f>
        <v/>
      </c>
      <c r="M16">
        <f>[@Fortnight]</f>
        <v/>
      </c>
    </row>
    <row r="17">
      <c r="A17" t="inlineStr">
        <is>
          <t>Center</t>
        </is>
      </c>
      <c r="B17" t="inlineStr">
        <is>
          <t>Parte B</t>
        </is>
      </c>
      <c r="C17" t="n">
        <v>8</v>
      </c>
      <c r="D17">
        <f>SUMIFS(tGrossReq[GrossReqUnits],tGrossReq[Plant],[@Plant],tGrossReq[Material],[@Material],tGrossReq[Fortnight],[@Fortnight])</f>
        <v/>
      </c>
      <c r="E17">
        <f>[@PlannedOrderReceiptUnits_Rounded]</f>
        <v/>
      </c>
      <c r="F1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7">
        <f>[@ProjectedOnHand_Begin]+[@ReceiptsUnits]-[@GrossReqUnits]</f>
        <v/>
      </c>
      <c r="H1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7">
        <f>MAX(0,[@SafetyStockUnits]-([@ProjectedOnHand_Begin]-[@GrossReqUnits]))</f>
        <v/>
      </c>
      <c r="J17">
        <f>[@NetReqUnits]</f>
        <v/>
      </c>
      <c r="K17">
        <f>CEILING([@PlannedOrderReceiptUnits]/XLOOKUP([@Material],tParams[Material],tParams[BatchSize],1),1)</f>
        <v/>
      </c>
      <c r="L17">
        <f>[@PlannedOrderLots]*XLOOKUP([@Material],tParams[Material],tParams[BatchSize],1)</f>
        <v/>
      </c>
      <c r="M17">
        <f>[@Fortnight]</f>
        <v/>
      </c>
    </row>
    <row r="18">
      <c r="A18" t="inlineStr">
        <is>
          <t>West</t>
        </is>
      </c>
      <c r="B18" t="inlineStr">
        <is>
          <t>Parte A</t>
        </is>
      </c>
      <c r="C18" t="n">
        <v>1</v>
      </c>
      <c r="D18">
        <f>SUMIFS(tGrossReq[GrossReqUnits],tGrossReq[Plant],[@Plant],tGrossReq[Material],[@Material],tGrossReq[Fortnight],[@Fortnight])</f>
        <v/>
      </c>
      <c r="E18">
        <f>[@PlannedOrderReceiptUnits_Rounded]</f>
        <v/>
      </c>
      <c r="F1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8">
        <f>[@ProjectedOnHand_Begin]+[@ReceiptsUnits]-[@GrossReqUnits]</f>
        <v/>
      </c>
      <c r="H1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8">
        <f>MAX(0,[@SafetyStockUnits]-([@ProjectedOnHand_Begin]-[@GrossReqUnits]))</f>
        <v/>
      </c>
      <c r="J18">
        <f>[@NetReqUnits]</f>
        <v/>
      </c>
      <c r="K18">
        <f>CEILING([@PlannedOrderReceiptUnits]/XLOOKUP([@Material],tParams[Material],tParams[BatchSize],1),1)</f>
        <v/>
      </c>
      <c r="L18">
        <f>[@PlannedOrderLots]*XLOOKUP([@Material],tParams[Material],tParams[BatchSize],1)</f>
        <v/>
      </c>
      <c r="M18">
        <f>[@Fortnight]</f>
        <v/>
      </c>
    </row>
    <row r="19">
      <c r="A19" t="inlineStr">
        <is>
          <t>West</t>
        </is>
      </c>
      <c r="B19" t="inlineStr">
        <is>
          <t>Parte A</t>
        </is>
      </c>
      <c r="C19" t="n">
        <v>2</v>
      </c>
      <c r="D19">
        <f>SUMIFS(tGrossReq[GrossReqUnits],tGrossReq[Plant],[@Plant],tGrossReq[Material],[@Material],tGrossReq[Fortnight],[@Fortnight])</f>
        <v/>
      </c>
      <c r="E19">
        <f>[@PlannedOrderReceiptUnits_Rounded]</f>
        <v/>
      </c>
      <c r="F1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19">
        <f>[@ProjectedOnHand_Begin]+[@ReceiptsUnits]-[@GrossReqUnits]</f>
        <v/>
      </c>
      <c r="H1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19">
        <f>MAX(0,[@SafetyStockUnits]-([@ProjectedOnHand_Begin]-[@GrossReqUnits]))</f>
        <v/>
      </c>
      <c r="J19">
        <f>[@NetReqUnits]</f>
        <v/>
      </c>
      <c r="K19">
        <f>CEILING([@PlannedOrderReceiptUnits]/XLOOKUP([@Material],tParams[Material],tParams[BatchSize],1),1)</f>
        <v/>
      </c>
      <c r="L19">
        <f>[@PlannedOrderLots]*XLOOKUP([@Material],tParams[Material],tParams[BatchSize],1)</f>
        <v/>
      </c>
      <c r="M19">
        <f>[@Fortnight]</f>
        <v/>
      </c>
    </row>
    <row r="20">
      <c r="A20" t="inlineStr">
        <is>
          <t>West</t>
        </is>
      </c>
      <c r="B20" t="inlineStr">
        <is>
          <t>Parte A</t>
        </is>
      </c>
      <c r="C20" t="n">
        <v>3</v>
      </c>
      <c r="D20">
        <f>SUMIFS(tGrossReq[GrossReqUnits],tGrossReq[Plant],[@Plant],tGrossReq[Material],[@Material],tGrossReq[Fortnight],[@Fortnight])</f>
        <v/>
      </c>
      <c r="E20">
        <f>[@PlannedOrderReceiptUnits_Rounded]</f>
        <v/>
      </c>
      <c r="F2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0">
        <f>[@ProjectedOnHand_Begin]+[@ReceiptsUnits]-[@GrossReqUnits]</f>
        <v/>
      </c>
      <c r="H2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0">
        <f>MAX(0,[@SafetyStockUnits]-([@ProjectedOnHand_Begin]-[@GrossReqUnits]))</f>
        <v/>
      </c>
      <c r="J20">
        <f>[@NetReqUnits]</f>
        <v/>
      </c>
      <c r="K20">
        <f>CEILING([@PlannedOrderReceiptUnits]/XLOOKUP([@Material],tParams[Material],tParams[BatchSize],1),1)</f>
        <v/>
      </c>
      <c r="L20">
        <f>[@PlannedOrderLots]*XLOOKUP([@Material],tParams[Material],tParams[BatchSize],1)</f>
        <v/>
      </c>
      <c r="M20">
        <f>[@Fortnight]</f>
        <v/>
      </c>
    </row>
    <row r="21">
      <c r="A21" t="inlineStr">
        <is>
          <t>West</t>
        </is>
      </c>
      <c r="B21" t="inlineStr">
        <is>
          <t>Parte A</t>
        </is>
      </c>
      <c r="C21" t="n">
        <v>4</v>
      </c>
      <c r="D21">
        <f>SUMIFS(tGrossReq[GrossReqUnits],tGrossReq[Plant],[@Plant],tGrossReq[Material],[@Material],tGrossReq[Fortnight],[@Fortnight])</f>
        <v/>
      </c>
      <c r="E21">
        <f>[@PlannedOrderReceiptUnits_Rounded]</f>
        <v/>
      </c>
      <c r="F2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1">
        <f>[@ProjectedOnHand_Begin]+[@ReceiptsUnits]-[@GrossReqUnits]</f>
        <v/>
      </c>
      <c r="H2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1">
        <f>MAX(0,[@SafetyStockUnits]-([@ProjectedOnHand_Begin]-[@GrossReqUnits]))</f>
        <v/>
      </c>
      <c r="J21">
        <f>[@NetReqUnits]</f>
        <v/>
      </c>
      <c r="K21">
        <f>CEILING([@PlannedOrderReceiptUnits]/XLOOKUP([@Material],tParams[Material],tParams[BatchSize],1),1)</f>
        <v/>
      </c>
      <c r="L21">
        <f>[@PlannedOrderLots]*XLOOKUP([@Material],tParams[Material],tParams[BatchSize],1)</f>
        <v/>
      </c>
      <c r="M21">
        <f>[@Fortnight]</f>
        <v/>
      </c>
    </row>
    <row r="22">
      <c r="A22" t="inlineStr">
        <is>
          <t>West</t>
        </is>
      </c>
      <c r="B22" t="inlineStr">
        <is>
          <t>Parte A</t>
        </is>
      </c>
      <c r="C22" t="n">
        <v>5</v>
      </c>
      <c r="D22">
        <f>SUMIFS(tGrossReq[GrossReqUnits],tGrossReq[Plant],[@Plant],tGrossReq[Material],[@Material],tGrossReq[Fortnight],[@Fortnight])</f>
        <v/>
      </c>
      <c r="E22">
        <f>[@PlannedOrderReceiptUnits_Rounded]</f>
        <v/>
      </c>
      <c r="F2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2">
        <f>[@ProjectedOnHand_Begin]+[@ReceiptsUnits]-[@GrossReqUnits]</f>
        <v/>
      </c>
      <c r="H2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2">
        <f>MAX(0,[@SafetyStockUnits]-([@ProjectedOnHand_Begin]-[@GrossReqUnits]))</f>
        <v/>
      </c>
      <c r="J22">
        <f>[@NetReqUnits]</f>
        <v/>
      </c>
      <c r="K22">
        <f>CEILING([@PlannedOrderReceiptUnits]/XLOOKUP([@Material],tParams[Material],tParams[BatchSize],1),1)</f>
        <v/>
      </c>
      <c r="L22">
        <f>[@PlannedOrderLots]*XLOOKUP([@Material],tParams[Material],tParams[BatchSize],1)</f>
        <v/>
      </c>
      <c r="M22">
        <f>[@Fortnight]</f>
        <v/>
      </c>
    </row>
    <row r="23">
      <c r="A23" t="inlineStr">
        <is>
          <t>West</t>
        </is>
      </c>
      <c r="B23" t="inlineStr">
        <is>
          <t>Parte A</t>
        </is>
      </c>
      <c r="C23" t="n">
        <v>6</v>
      </c>
      <c r="D23">
        <f>SUMIFS(tGrossReq[GrossReqUnits],tGrossReq[Plant],[@Plant],tGrossReq[Material],[@Material],tGrossReq[Fortnight],[@Fortnight])</f>
        <v/>
      </c>
      <c r="E23">
        <f>[@PlannedOrderReceiptUnits_Rounded]</f>
        <v/>
      </c>
      <c r="F2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3">
        <f>[@ProjectedOnHand_Begin]+[@ReceiptsUnits]-[@GrossReqUnits]</f>
        <v/>
      </c>
      <c r="H2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3">
        <f>MAX(0,[@SafetyStockUnits]-([@ProjectedOnHand_Begin]-[@GrossReqUnits]))</f>
        <v/>
      </c>
      <c r="J23">
        <f>[@NetReqUnits]</f>
        <v/>
      </c>
      <c r="K23">
        <f>CEILING([@PlannedOrderReceiptUnits]/XLOOKUP([@Material],tParams[Material],tParams[BatchSize],1),1)</f>
        <v/>
      </c>
      <c r="L23">
        <f>[@PlannedOrderLots]*XLOOKUP([@Material],tParams[Material],tParams[BatchSize],1)</f>
        <v/>
      </c>
      <c r="M23">
        <f>[@Fortnight]</f>
        <v/>
      </c>
    </row>
    <row r="24">
      <c r="A24" t="inlineStr">
        <is>
          <t>West</t>
        </is>
      </c>
      <c r="B24" t="inlineStr">
        <is>
          <t>Parte A</t>
        </is>
      </c>
      <c r="C24" t="n">
        <v>7</v>
      </c>
      <c r="D24">
        <f>SUMIFS(tGrossReq[GrossReqUnits],tGrossReq[Plant],[@Plant],tGrossReq[Material],[@Material],tGrossReq[Fortnight],[@Fortnight])</f>
        <v/>
      </c>
      <c r="E24">
        <f>[@PlannedOrderReceiptUnits_Rounded]</f>
        <v/>
      </c>
      <c r="F24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4">
        <f>[@ProjectedOnHand_Begin]+[@ReceiptsUnits]-[@GrossReqUnits]</f>
        <v/>
      </c>
      <c r="H2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4">
        <f>MAX(0,[@SafetyStockUnits]-([@ProjectedOnHand_Begin]-[@GrossReqUnits]))</f>
        <v/>
      </c>
      <c r="J24">
        <f>[@NetReqUnits]</f>
        <v/>
      </c>
      <c r="K24">
        <f>CEILING([@PlannedOrderReceiptUnits]/XLOOKUP([@Material],tParams[Material],tParams[BatchSize],1),1)</f>
        <v/>
      </c>
      <c r="L24">
        <f>[@PlannedOrderLots]*XLOOKUP([@Material],tParams[Material],tParams[BatchSize],1)</f>
        <v/>
      </c>
      <c r="M24">
        <f>[@Fortnight]</f>
        <v/>
      </c>
    </row>
    <row r="25">
      <c r="A25" t="inlineStr">
        <is>
          <t>West</t>
        </is>
      </c>
      <c r="B25" t="inlineStr">
        <is>
          <t>Parte A</t>
        </is>
      </c>
      <c r="C25" t="n">
        <v>8</v>
      </c>
      <c r="D25">
        <f>SUMIFS(tGrossReq[GrossReqUnits],tGrossReq[Plant],[@Plant],tGrossReq[Material],[@Material],tGrossReq[Fortnight],[@Fortnight])</f>
        <v/>
      </c>
      <c r="E25">
        <f>[@PlannedOrderReceiptUnits_Rounded]</f>
        <v/>
      </c>
      <c r="F25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5">
        <f>[@ProjectedOnHand_Begin]+[@ReceiptsUnits]-[@GrossReqUnits]</f>
        <v/>
      </c>
      <c r="H2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5">
        <f>MAX(0,[@SafetyStockUnits]-([@ProjectedOnHand_Begin]-[@GrossReqUnits]))</f>
        <v/>
      </c>
      <c r="J25">
        <f>[@NetReqUnits]</f>
        <v/>
      </c>
      <c r="K25">
        <f>CEILING([@PlannedOrderReceiptUnits]/XLOOKUP([@Material],tParams[Material],tParams[BatchSize],1),1)</f>
        <v/>
      </c>
      <c r="L25">
        <f>[@PlannedOrderLots]*XLOOKUP([@Material],tParams[Material],tParams[BatchSize],1)</f>
        <v/>
      </c>
      <c r="M25">
        <f>[@Fortnight]</f>
        <v/>
      </c>
    </row>
    <row r="26">
      <c r="A26" t="inlineStr">
        <is>
          <t>West</t>
        </is>
      </c>
      <c r="B26" t="inlineStr">
        <is>
          <t>Parte B</t>
        </is>
      </c>
      <c r="C26" t="n">
        <v>1</v>
      </c>
      <c r="D26">
        <f>SUMIFS(tGrossReq[GrossReqUnits],tGrossReq[Plant],[@Plant],tGrossReq[Material],[@Material],tGrossReq[Fortnight],[@Fortnight])</f>
        <v/>
      </c>
      <c r="E26">
        <f>[@PlannedOrderReceiptUnits_Rounded]</f>
        <v/>
      </c>
      <c r="F26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6">
        <f>[@ProjectedOnHand_Begin]+[@ReceiptsUnits]-[@GrossReqUnits]</f>
        <v/>
      </c>
      <c r="H2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6">
        <f>MAX(0,[@SafetyStockUnits]-([@ProjectedOnHand_Begin]-[@GrossReqUnits]))</f>
        <v/>
      </c>
      <c r="J26">
        <f>[@NetReqUnits]</f>
        <v/>
      </c>
      <c r="K26">
        <f>CEILING([@PlannedOrderReceiptUnits]/XLOOKUP([@Material],tParams[Material],tParams[BatchSize],1),1)</f>
        <v/>
      </c>
      <c r="L26">
        <f>[@PlannedOrderLots]*XLOOKUP([@Material],tParams[Material],tParams[BatchSize],1)</f>
        <v/>
      </c>
      <c r="M26">
        <f>[@Fortnight]</f>
        <v/>
      </c>
    </row>
    <row r="27">
      <c r="A27" t="inlineStr">
        <is>
          <t>West</t>
        </is>
      </c>
      <c r="B27" t="inlineStr">
        <is>
          <t>Parte B</t>
        </is>
      </c>
      <c r="C27" t="n">
        <v>2</v>
      </c>
      <c r="D27">
        <f>SUMIFS(tGrossReq[GrossReqUnits],tGrossReq[Plant],[@Plant],tGrossReq[Material],[@Material],tGrossReq[Fortnight],[@Fortnight])</f>
        <v/>
      </c>
      <c r="E27">
        <f>[@PlannedOrderReceiptUnits_Rounded]</f>
        <v/>
      </c>
      <c r="F27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7">
        <f>[@ProjectedOnHand_Begin]+[@ReceiptsUnits]-[@GrossReqUnits]</f>
        <v/>
      </c>
      <c r="H2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7">
        <f>MAX(0,[@SafetyStockUnits]-([@ProjectedOnHand_Begin]-[@GrossReqUnits]))</f>
        <v/>
      </c>
      <c r="J27">
        <f>[@NetReqUnits]</f>
        <v/>
      </c>
      <c r="K27">
        <f>CEILING([@PlannedOrderReceiptUnits]/XLOOKUP([@Material],tParams[Material],tParams[BatchSize],1),1)</f>
        <v/>
      </c>
      <c r="L27">
        <f>[@PlannedOrderLots]*XLOOKUP([@Material],tParams[Material],tParams[BatchSize],1)</f>
        <v/>
      </c>
      <c r="M27">
        <f>[@Fortnight]</f>
        <v/>
      </c>
    </row>
    <row r="28">
      <c r="A28" t="inlineStr">
        <is>
          <t>West</t>
        </is>
      </c>
      <c r="B28" t="inlineStr">
        <is>
          <t>Parte B</t>
        </is>
      </c>
      <c r="C28" t="n">
        <v>3</v>
      </c>
      <c r="D28">
        <f>SUMIFS(tGrossReq[GrossReqUnits],tGrossReq[Plant],[@Plant],tGrossReq[Material],[@Material],tGrossReq[Fortnight],[@Fortnight])</f>
        <v/>
      </c>
      <c r="E28">
        <f>[@PlannedOrderReceiptUnits_Rounded]</f>
        <v/>
      </c>
      <c r="F28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8">
        <f>[@ProjectedOnHand_Begin]+[@ReceiptsUnits]-[@GrossReqUnits]</f>
        <v/>
      </c>
      <c r="H2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8">
        <f>MAX(0,[@SafetyStockUnits]-([@ProjectedOnHand_Begin]-[@GrossReqUnits]))</f>
        <v/>
      </c>
      <c r="J28">
        <f>[@NetReqUnits]</f>
        <v/>
      </c>
      <c r="K28">
        <f>CEILING([@PlannedOrderReceiptUnits]/XLOOKUP([@Material],tParams[Material],tParams[BatchSize],1),1)</f>
        <v/>
      </c>
      <c r="L28">
        <f>[@PlannedOrderLots]*XLOOKUP([@Material],tParams[Material],tParams[BatchSize],1)</f>
        <v/>
      </c>
      <c r="M28">
        <f>[@Fortnight]</f>
        <v/>
      </c>
    </row>
    <row r="29">
      <c r="A29" t="inlineStr">
        <is>
          <t>West</t>
        </is>
      </c>
      <c r="B29" t="inlineStr">
        <is>
          <t>Parte B</t>
        </is>
      </c>
      <c r="C29" t="n">
        <v>4</v>
      </c>
      <c r="D29">
        <f>SUMIFS(tGrossReq[GrossReqUnits],tGrossReq[Plant],[@Plant],tGrossReq[Material],[@Material],tGrossReq[Fortnight],[@Fortnight])</f>
        <v/>
      </c>
      <c r="E29">
        <f>[@PlannedOrderReceiptUnits_Rounded]</f>
        <v/>
      </c>
      <c r="F29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29">
        <f>[@ProjectedOnHand_Begin]+[@ReceiptsUnits]-[@GrossReqUnits]</f>
        <v/>
      </c>
      <c r="H2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29">
        <f>MAX(0,[@SafetyStockUnits]-([@ProjectedOnHand_Begin]-[@GrossReqUnits]))</f>
        <v/>
      </c>
      <c r="J29">
        <f>[@NetReqUnits]</f>
        <v/>
      </c>
      <c r="K29">
        <f>CEILING([@PlannedOrderReceiptUnits]/XLOOKUP([@Material],tParams[Material],tParams[BatchSize],1),1)</f>
        <v/>
      </c>
      <c r="L29">
        <f>[@PlannedOrderLots]*XLOOKUP([@Material],tParams[Material],tParams[BatchSize],1)</f>
        <v/>
      </c>
      <c r="M29">
        <f>[@Fortnight]</f>
        <v/>
      </c>
    </row>
    <row r="30">
      <c r="A30" t="inlineStr">
        <is>
          <t>West</t>
        </is>
      </c>
      <c r="B30" t="inlineStr">
        <is>
          <t>Parte B</t>
        </is>
      </c>
      <c r="C30" t="n">
        <v>5</v>
      </c>
      <c r="D30">
        <f>SUMIFS(tGrossReq[GrossReqUnits],tGrossReq[Plant],[@Plant],tGrossReq[Material],[@Material],tGrossReq[Fortnight],[@Fortnight])</f>
        <v/>
      </c>
      <c r="E30">
        <f>[@PlannedOrderReceiptUnits_Rounded]</f>
        <v/>
      </c>
      <c r="F30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0">
        <f>[@ProjectedOnHand_Begin]+[@ReceiptsUnits]-[@GrossReqUnits]</f>
        <v/>
      </c>
      <c r="H3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0">
        <f>MAX(0,[@SafetyStockUnits]-([@ProjectedOnHand_Begin]-[@GrossReqUnits]))</f>
        <v/>
      </c>
      <c r="J30">
        <f>[@NetReqUnits]</f>
        <v/>
      </c>
      <c r="K30">
        <f>CEILING([@PlannedOrderReceiptUnits]/XLOOKUP([@Material],tParams[Material],tParams[BatchSize],1),1)</f>
        <v/>
      </c>
      <c r="L30">
        <f>[@PlannedOrderLots]*XLOOKUP([@Material],tParams[Material],tParams[BatchSize],1)</f>
        <v/>
      </c>
      <c r="M30">
        <f>[@Fortnight]</f>
        <v/>
      </c>
    </row>
    <row r="31">
      <c r="A31" t="inlineStr">
        <is>
          <t>West</t>
        </is>
      </c>
      <c r="B31" t="inlineStr">
        <is>
          <t>Parte B</t>
        </is>
      </c>
      <c r="C31" t="n">
        <v>6</v>
      </c>
      <c r="D31">
        <f>SUMIFS(tGrossReq[GrossReqUnits],tGrossReq[Plant],[@Plant],tGrossReq[Material],[@Material],tGrossReq[Fortnight],[@Fortnight])</f>
        <v/>
      </c>
      <c r="E31">
        <f>[@PlannedOrderReceiptUnits_Rounded]</f>
        <v/>
      </c>
      <c r="F31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1">
        <f>[@ProjectedOnHand_Begin]+[@ReceiptsUnits]-[@GrossReqUnits]</f>
        <v/>
      </c>
      <c r="H3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1">
        <f>MAX(0,[@SafetyStockUnits]-([@ProjectedOnHand_Begin]-[@GrossReqUnits]))</f>
        <v/>
      </c>
      <c r="J31">
        <f>[@NetReqUnits]</f>
        <v/>
      </c>
      <c r="K31">
        <f>CEILING([@PlannedOrderReceiptUnits]/XLOOKUP([@Material],tParams[Material],tParams[BatchSize],1),1)</f>
        <v/>
      </c>
      <c r="L31">
        <f>[@PlannedOrderLots]*XLOOKUP([@Material],tParams[Material],tParams[BatchSize],1)</f>
        <v/>
      </c>
      <c r="M31">
        <f>[@Fortnight]</f>
        <v/>
      </c>
    </row>
    <row r="32">
      <c r="A32" t="inlineStr">
        <is>
          <t>West</t>
        </is>
      </c>
      <c r="B32" t="inlineStr">
        <is>
          <t>Parte B</t>
        </is>
      </c>
      <c r="C32" t="n">
        <v>7</v>
      </c>
      <c r="D32">
        <f>SUMIFS(tGrossReq[GrossReqUnits],tGrossReq[Plant],[@Plant],tGrossReq[Material],[@Material],tGrossReq[Fortnight],[@Fortnight])</f>
        <v/>
      </c>
      <c r="E32">
        <f>[@PlannedOrderReceiptUnits_Rounded]</f>
        <v/>
      </c>
      <c r="F32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2">
        <f>[@ProjectedOnHand_Begin]+[@ReceiptsUnits]-[@GrossReqUnits]</f>
        <v/>
      </c>
      <c r="H3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2">
        <f>MAX(0,[@SafetyStockUnits]-([@ProjectedOnHand_Begin]-[@GrossReqUnits]))</f>
        <v/>
      </c>
      <c r="J32">
        <f>[@NetReqUnits]</f>
        <v/>
      </c>
      <c r="K32">
        <f>CEILING([@PlannedOrderReceiptUnits]/XLOOKUP([@Material],tParams[Material],tParams[BatchSize],1),1)</f>
        <v/>
      </c>
      <c r="L32">
        <f>[@PlannedOrderLots]*XLOOKUP([@Material],tParams[Material],tParams[BatchSize],1)</f>
        <v/>
      </c>
      <c r="M32">
        <f>[@Fortnight]</f>
        <v/>
      </c>
    </row>
    <row r="33">
      <c r="A33" t="inlineStr">
        <is>
          <t>West</t>
        </is>
      </c>
      <c r="B33" t="inlineStr">
        <is>
          <t>Parte B</t>
        </is>
      </c>
      <c r="C33" t="n">
        <v>8</v>
      </c>
      <c r="D33">
        <f>SUMIFS(tGrossReq[GrossReqUnits],tGrossReq[Plant],[@Plant],tGrossReq[Material],[@Material],tGrossReq[Fortnight],[@Fortnight])</f>
        <v/>
      </c>
      <c r="E33">
        <f>[@PlannedOrderReceiptUnits_Rounded]</f>
        <v/>
      </c>
      <c r="F33">
        <f>IF([@Fortnight]=1,XLOOKUP([@Plant]&amp;"|"&amp;[@Material],tInv0[Plant]&amp;"|"&amp;tInv0[Material],tInv0[OnHand_InitialUnits],0),XLOOKUP([@Plant]&amp;"|"&amp;[@Material]&amp;"|"&amp;([@Fortnight]-1),tMRPParts[Plant]&amp;"|"&amp;tMRPParts[Material]&amp;"|"&amp;tMRPParts[Fortnight],tMRPParts[ProjectedOnHand_End],0))</f>
        <v/>
      </c>
      <c r="G33">
        <f>[@ProjectedOnHand_Begin]+[@ReceiptsUnits]-[@GrossReqUnits]</f>
        <v/>
      </c>
      <c r="H3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I33">
        <f>MAX(0,[@SafetyStockUnits]-([@ProjectedOnHand_Begin]-[@GrossReqUnits]))</f>
        <v/>
      </c>
      <c r="J33">
        <f>[@NetReqUnits]</f>
        <v/>
      </c>
      <c r="K33">
        <f>CEILING([@PlannedOrderReceiptUnits]/XLOOKUP([@Material],tParams[Material],tParams[BatchSize],1),1)</f>
        <v/>
      </c>
      <c r="L33">
        <f>[@PlannedOrderLots]*XLOOKUP([@Material],tParams[Material],tParams[BatchSize],1)</f>
        <v/>
      </c>
      <c r="M33">
        <f>[@Fortnight]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Material</t>
        </is>
      </c>
      <c r="C1" t="inlineStr">
        <is>
          <t>TotalGrossReqPeriodUnits</t>
        </is>
      </c>
      <c r="D1" t="inlineStr">
        <is>
          <t>SafetyStockUnits</t>
        </is>
      </c>
      <c r="E1" t="inlineStr">
        <is>
          <t>NetReqUnits</t>
        </is>
      </c>
      <c r="F1" t="inlineStr">
        <is>
          <t>PlannedLots_t0</t>
        </is>
      </c>
      <c r="G1" t="inlineStr">
        <is>
          <t>PlannedUnits_t0</t>
        </is>
      </c>
    </row>
    <row r="2">
      <c r="A2" t="inlineStr">
        <is>
          <t>Center</t>
        </is>
      </c>
      <c r="B2" t="inlineStr">
        <is>
          <t>Pieza 1</t>
        </is>
      </c>
      <c r="C2">
        <f>SUMIFS(tGrossReq[GrossReqUnits],tGrossReq[Plant],[@Plant],tGrossReq[Material],[@Material])</f>
        <v/>
      </c>
      <c r="D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2">
        <f>[@TotalGrossReqPeriodUnits]+[@SafetyStockUnits]-XLOOKUP([@Plant]&amp;"|"&amp;[@Material],tInv0[Plant]&amp;"|"&amp;tInv0[Material],tInv0[OnHand_InitialUnits],0)</f>
        <v/>
      </c>
      <c r="F2">
        <f>CEILING(MAX(0,[@NetReqUnits])/XLOOKUP([@Material],tParams[Material],tParams[BatchSize],1),1)</f>
        <v/>
      </c>
      <c r="G2">
        <f>[@PlannedLots_t0]*XLOOKUP([@Material],tParams[Material],tParams[BatchSize],1)</f>
        <v/>
      </c>
    </row>
    <row r="3">
      <c r="A3" t="inlineStr">
        <is>
          <t>Center</t>
        </is>
      </c>
      <c r="B3" t="inlineStr">
        <is>
          <t>Pieza 2</t>
        </is>
      </c>
      <c r="C3">
        <f>SUMIFS(tGrossReq[GrossReqUnits],tGrossReq[Plant],[@Plant],tGrossReq[Material],[@Material])</f>
        <v/>
      </c>
      <c r="D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3">
        <f>[@TotalGrossReqPeriodUnits]+[@SafetyStockUnits]-XLOOKUP([@Plant]&amp;"|"&amp;[@Material],tInv0[Plant]&amp;"|"&amp;tInv0[Material],tInv0[OnHand_InitialUnits],0)</f>
        <v/>
      </c>
      <c r="F3">
        <f>CEILING(MAX(0,[@NetReqUnits])/XLOOKUP([@Material],tParams[Material],tParams[BatchSize],1),1)</f>
        <v/>
      </c>
      <c r="G3">
        <f>[@PlannedLots_t0]*XLOOKUP([@Material],tParams[Material],tParams[BatchSize],1)</f>
        <v/>
      </c>
    </row>
    <row r="4">
      <c r="A4" t="inlineStr">
        <is>
          <t>Center</t>
        </is>
      </c>
      <c r="B4" t="inlineStr">
        <is>
          <t>Pieza 3</t>
        </is>
      </c>
      <c r="C4">
        <f>SUMIFS(tGrossReq[GrossReqUnits],tGrossReq[Plant],[@Plant],tGrossReq[Material],[@Material])</f>
        <v/>
      </c>
      <c r="D4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4">
        <f>[@TotalGrossReqPeriodUnits]+[@SafetyStockUnits]-XLOOKUP([@Plant]&amp;"|"&amp;[@Material],tInv0[Plant]&amp;"|"&amp;tInv0[Material],tInv0[OnHand_InitialUnits],0)</f>
        <v/>
      </c>
      <c r="F4">
        <f>CEILING(MAX(0,[@NetReqUnits])/XLOOKUP([@Material],tParams[Material],tParams[BatchSize],1),1)</f>
        <v/>
      </c>
      <c r="G4">
        <f>[@PlannedLots_t0]*XLOOKUP([@Material],tParams[Material],tParams[BatchSize],1)</f>
        <v/>
      </c>
    </row>
    <row r="5">
      <c r="A5" t="inlineStr">
        <is>
          <t>Center</t>
        </is>
      </c>
      <c r="B5" t="inlineStr">
        <is>
          <t>Pieza 4</t>
        </is>
      </c>
      <c r="C5">
        <f>SUMIFS(tGrossReq[GrossReqUnits],tGrossReq[Plant],[@Plant],tGrossReq[Material],[@Material])</f>
        <v/>
      </c>
      <c r="D5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5">
        <f>[@TotalGrossReqPeriodUnits]+[@SafetyStockUnits]-XLOOKUP([@Plant]&amp;"|"&amp;[@Material],tInv0[Plant]&amp;"|"&amp;tInv0[Material],tInv0[OnHand_InitialUnits],0)</f>
        <v/>
      </c>
      <c r="F5">
        <f>CEILING(MAX(0,[@NetReqUnits])/XLOOKUP([@Material],tParams[Material],tParams[BatchSize],1),1)</f>
        <v/>
      </c>
      <c r="G5">
        <f>[@PlannedLots_t0]*XLOOKUP([@Material],tParams[Material],tParams[BatchSize],1)</f>
        <v/>
      </c>
    </row>
    <row r="6">
      <c r="A6" t="inlineStr">
        <is>
          <t>Center</t>
        </is>
      </c>
      <c r="B6" t="inlineStr">
        <is>
          <t>Pieza 5</t>
        </is>
      </c>
      <c r="C6">
        <f>SUMIFS(tGrossReq[GrossReqUnits],tGrossReq[Plant],[@Plant],tGrossReq[Material],[@Material])</f>
        <v/>
      </c>
      <c r="D6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6">
        <f>[@TotalGrossReqPeriodUnits]+[@SafetyStockUnits]-XLOOKUP([@Plant]&amp;"|"&amp;[@Material],tInv0[Plant]&amp;"|"&amp;tInv0[Material],tInv0[OnHand_InitialUnits],0)</f>
        <v/>
      </c>
      <c r="F6">
        <f>CEILING(MAX(0,[@NetReqUnits])/XLOOKUP([@Material],tParams[Material],tParams[BatchSize],1),1)</f>
        <v/>
      </c>
      <c r="G6">
        <f>[@PlannedLots_t0]*XLOOKUP([@Material],tParams[Material],tParams[BatchSize],1)</f>
        <v/>
      </c>
    </row>
    <row r="7">
      <c r="A7" t="inlineStr">
        <is>
          <t>Center</t>
        </is>
      </c>
      <c r="B7" t="inlineStr">
        <is>
          <t>Pieza 6</t>
        </is>
      </c>
      <c r="C7">
        <f>SUMIFS(tGrossReq[GrossReqUnits],tGrossReq[Plant],[@Plant],tGrossReq[Material],[@Material])</f>
        <v/>
      </c>
      <c r="D7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7">
        <f>[@TotalGrossReqPeriodUnits]+[@SafetyStockUnits]-XLOOKUP([@Plant]&amp;"|"&amp;[@Material],tInv0[Plant]&amp;"|"&amp;tInv0[Material],tInv0[OnHand_InitialUnits],0)</f>
        <v/>
      </c>
      <c r="F7">
        <f>CEILING(MAX(0,[@NetReqUnits])/XLOOKUP([@Material],tParams[Material],tParams[BatchSize],1),1)</f>
        <v/>
      </c>
      <c r="G7">
        <f>[@PlannedLots_t0]*XLOOKUP([@Material],tParams[Material],tParams[BatchSize],1)</f>
        <v/>
      </c>
    </row>
    <row r="8">
      <c r="A8" t="inlineStr">
        <is>
          <t>West</t>
        </is>
      </c>
      <c r="B8" t="inlineStr">
        <is>
          <t>Pieza 1</t>
        </is>
      </c>
      <c r="C8">
        <f>SUMIFS(tGrossReq[GrossReqUnits],tGrossReq[Plant],[@Plant],tGrossReq[Material],[@Material])</f>
        <v/>
      </c>
      <c r="D8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8">
        <f>[@TotalGrossReqPeriodUnits]+[@SafetyStockUnits]-XLOOKUP([@Plant]&amp;"|"&amp;[@Material],tInv0[Plant]&amp;"|"&amp;tInv0[Material],tInv0[OnHand_InitialUnits],0)</f>
        <v/>
      </c>
      <c r="F8">
        <f>CEILING(MAX(0,[@NetReqUnits])/XLOOKUP([@Material],tParams[Material],tParams[BatchSize],1),1)</f>
        <v/>
      </c>
      <c r="G8">
        <f>[@PlannedLots_t0]*XLOOKUP([@Material],tParams[Material],tParams[BatchSize],1)</f>
        <v/>
      </c>
    </row>
    <row r="9">
      <c r="A9" t="inlineStr">
        <is>
          <t>West</t>
        </is>
      </c>
      <c r="B9" t="inlineStr">
        <is>
          <t>Pieza 2</t>
        </is>
      </c>
      <c r="C9">
        <f>SUMIFS(tGrossReq[GrossReqUnits],tGrossReq[Plant],[@Plant],tGrossReq[Material],[@Material])</f>
        <v/>
      </c>
      <c r="D9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9">
        <f>[@TotalGrossReqPeriodUnits]+[@SafetyStockUnits]-XLOOKUP([@Plant]&amp;"|"&amp;[@Material],tInv0[Plant]&amp;"|"&amp;tInv0[Material],tInv0[OnHand_InitialUnits],0)</f>
        <v/>
      </c>
      <c r="F9">
        <f>CEILING(MAX(0,[@NetReqUnits])/XLOOKUP([@Material],tParams[Material],tParams[BatchSize],1),1)</f>
        <v/>
      </c>
      <c r="G9">
        <f>[@PlannedLots_t0]*XLOOKUP([@Material],tParams[Material],tParams[BatchSize],1)</f>
        <v/>
      </c>
    </row>
    <row r="10">
      <c r="A10" t="inlineStr">
        <is>
          <t>West</t>
        </is>
      </c>
      <c r="B10" t="inlineStr">
        <is>
          <t>Pieza 3</t>
        </is>
      </c>
      <c r="C10">
        <f>SUMIFS(tGrossReq[GrossReqUnits],tGrossReq[Plant],[@Plant],tGrossReq[Material],[@Material])</f>
        <v/>
      </c>
      <c r="D10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0">
        <f>[@TotalGrossReqPeriodUnits]+[@SafetyStockUnits]-XLOOKUP([@Plant]&amp;"|"&amp;[@Material],tInv0[Plant]&amp;"|"&amp;tInv0[Material],tInv0[OnHand_InitialUnits],0)</f>
        <v/>
      </c>
      <c r="F10">
        <f>CEILING(MAX(0,[@NetReqUnits])/XLOOKUP([@Material],tParams[Material],tParams[BatchSize],1),1)</f>
        <v/>
      </c>
      <c r="G10">
        <f>[@PlannedLots_t0]*XLOOKUP([@Material],tParams[Material],tParams[BatchSize],1)</f>
        <v/>
      </c>
    </row>
    <row r="11">
      <c r="A11" t="inlineStr">
        <is>
          <t>West</t>
        </is>
      </c>
      <c r="B11" t="inlineStr">
        <is>
          <t>Pieza 4</t>
        </is>
      </c>
      <c r="C11">
        <f>SUMIFS(tGrossReq[GrossReqUnits],tGrossReq[Plant],[@Plant],tGrossReq[Material],[@Material])</f>
        <v/>
      </c>
      <c r="D11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1">
        <f>[@TotalGrossReqPeriodUnits]+[@SafetyStockUnits]-XLOOKUP([@Plant]&amp;"|"&amp;[@Material],tInv0[Plant]&amp;"|"&amp;tInv0[Material],tInv0[OnHand_InitialUnits],0)</f>
        <v/>
      </c>
      <c r="F11">
        <f>CEILING(MAX(0,[@NetReqUnits])/XLOOKUP([@Material],tParams[Material],tParams[BatchSize],1),1)</f>
        <v/>
      </c>
      <c r="G11">
        <f>[@PlannedLots_t0]*XLOOKUP([@Material],tParams[Material],tParams[BatchSize],1)</f>
        <v/>
      </c>
    </row>
    <row r="12">
      <c r="A12" t="inlineStr">
        <is>
          <t>West</t>
        </is>
      </c>
      <c r="B12" t="inlineStr">
        <is>
          <t>Pieza 5</t>
        </is>
      </c>
      <c r="C12">
        <f>SUMIFS(tGrossReq[GrossReqUnits],tGrossReq[Plant],[@Plant],tGrossReq[Material],[@Material])</f>
        <v/>
      </c>
      <c r="D12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2">
        <f>[@TotalGrossReqPeriodUnits]+[@SafetyStockUnits]-XLOOKUP([@Plant]&amp;"|"&amp;[@Material],tInv0[Plant]&amp;"|"&amp;tInv0[Material],tInv0[OnHand_InitialUnits],0)</f>
        <v/>
      </c>
      <c r="F12">
        <f>CEILING(MAX(0,[@NetReqUnits])/XLOOKUP([@Material],tParams[Material],tParams[BatchSize],1),1)</f>
        <v/>
      </c>
      <c r="G12">
        <f>[@PlannedLots_t0]*XLOOKUP([@Material],tParams[Material],tParams[BatchSize],1)</f>
        <v/>
      </c>
    </row>
    <row r="13">
      <c r="A13" t="inlineStr">
        <is>
          <t>West</t>
        </is>
      </c>
      <c r="B13" t="inlineStr">
        <is>
          <t>Pieza 6</t>
        </is>
      </c>
      <c r="C13">
        <f>SUMIFS(tGrossReq[GrossReqUnits],tGrossReq[Plant],[@Plant],tGrossReq[Material],[@Material])</f>
        <v/>
      </c>
      <c r="D13">
        <f>IFERROR(XLOOKUP([@Plant]&amp;"|"&amp;[@Material],tPolicy[Plant]&amp;"|"&amp;tPolicy[Material],tPolicy[SafetyStock_Fortnights],0)*AVERAGEIFS(tGrossReq[GrossReqUnits],tGrossReq[Plant],[@Plant],tGrossReq[Material],[@Material]),0)</f>
        <v/>
      </c>
      <c r="E13">
        <f>[@TotalGrossReqPeriodUnits]+[@SafetyStockUnits]-XLOOKUP([@Plant]&amp;"|"&amp;[@Material],tInv0[Plant]&amp;"|"&amp;tInv0[Material],tInv0[OnHand_InitialUnits],0)</f>
        <v/>
      </c>
      <c r="F13">
        <f>CEILING(MAX(0,[@NetReqUnits])/XLOOKUP([@Material],tParams[Material],tParams[BatchSize],1),1)</f>
        <v/>
      </c>
      <c r="G13">
        <f>[@PlannedLots_t0]*XLOOKUP([@Material],tParams[Material],tParams[BatchSize],1)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tZeroValue</t>
        </is>
      </c>
      <c r="B1" t="n">
        <v>0</v>
      </c>
    </row>
    <row r="3">
      <c r="A3" t="inlineStr">
        <is>
          <t>Plant</t>
        </is>
      </c>
      <c r="B3" t="inlineStr">
        <is>
          <t>Fortnight</t>
        </is>
      </c>
      <c r="C3" t="inlineStr">
        <is>
          <t>Material</t>
        </is>
      </c>
      <c r="D3" t="inlineStr">
        <is>
          <t>Lots</t>
        </is>
      </c>
      <c r="E3" t="inlineStr">
        <is>
          <t>Supplier</t>
        </is>
      </c>
    </row>
    <row r="4">
      <c r="A4" t="inlineStr">
        <is>
          <t>Center</t>
        </is>
      </c>
      <c r="B4">
        <f>tZeroValue</f>
        <v/>
      </c>
      <c r="C4" t="inlineStr">
        <is>
          <t>Pieza 1</t>
        </is>
      </c>
      <c r="D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">
        <f>IF(XLOOKUP([@Material],tParams[Material],tParams[Type],"")="Piece","Single",XLOOKUP([@Plant]&amp;"|"&amp;[@Material],tPolicy[Plant]&amp;"|"&amp;tPolicy[Material],tPolicy[PreferredSupplier],""))</f>
        <v/>
      </c>
    </row>
    <row r="5">
      <c r="A5" t="inlineStr">
        <is>
          <t>Center</t>
        </is>
      </c>
      <c r="B5">
        <f>tZeroValue</f>
        <v/>
      </c>
      <c r="C5" t="inlineStr">
        <is>
          <t>Pieza 2</t>
        </is>
      </c>
      <c r="D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5">
        <f>IF(XLOOKUP([@Material],tParams[Material],tParams[Type],"")="Piece","Single",XLOOKUP([@Plant]&amp;"|"&amp;[@Material],tPolicy[Plant]&amp;"|"&amp;tPolicy[Material],tPolicy[PreferredSupplier],""))</f>
        <v/>
      </c>
    </row>
    <row r="6">
      <c r="A6" t="inlineStr">
        <is>
          <t>Center</t>
        </is>
      </c>
      <c r="B6">
        <f>tZeroValue</f>
        <v/>
      </c>
      <c r="C6" t="inlineStr">
        <is>
          <t>Pieza 3</t>
        </is>
      </c>
      <c r="D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6">
        <f>IF(XLOOKUP([@Material],tParams[Material],tParams[Type],"")="Piece","Single",XLOOKUP([@Plant]&amp;"|"&amp;[@Material],tPolicy[Plant]&amp;"|"&amp;tPolicy[Material],tPolicy[PreferredSupplier],""))</f>
        <v/>
      </c>
    </row>
    <row r="7">
      <c r="A7" t="inlineStr">
        <is>
          <t>Center</t>
        </is>
      </c>
      <c r="B7">
        <f>tZeroValue</f>
        <v/>
      </c>
      <c r="C7" t="inlineStr">
        <is>
          <t>Pieza 4</t>
        </is>
      </c>
      <c r="D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7">
        <f>IF(XLOOKUP([@Material],tParams[Material],tParams[Type],"")="Piece","Single",XLOOKUP([@Plant]&amp;"|"&amp;[@Material],tPolicy[Plant]&amp;"|"&amp;tPolicy[Material],tPolicy[PreferredSupplier],""))</f>
        <v/>
      </c>
    </row>
    <row r="8">
      <c r="A8" t="inlineStr">
        <is>
          <t>Center</t>
        </is>
      </c>
      <c r="B8">
        <f>tZeroValue</f>
        <v/>
      </c>
      <c r="C8" t="inlineStr">
        <is>
          <t>Pieza 5</t>
        </is>
      </c>
      <c r="D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8">
        <f>IF(XLOOKUP([@Material],tParams[Material],tParams[Type],"")="Piece","Single",XLOOKUP([@Plant]&amp;"|"&amp;[@Material],tPolicy[Plant]&amp;"|"&amp;tPolicy[Material],tPolicy[PreferredSupplier],""))</f>
        <v/>
      </c>
    </row>
    <row r="9">
      <c r="A9" t="inlineStr">
        <is>
          <t>Center</t>
        </is>
      </c>
      <c r="B9">
        <f>tZeroValue</f>
        <v/>
      </c>
      <c r="C9" t="inlineStr">
        <is>
          <t>Pieza 6</t>
        </is>
      </c>
      <c r="D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9">
        <f>IF(XLOOKUP([@Material],tParams[Material],tParams[Type],"")="Piece","Single",XLOOKUP([@Plant]&amp;"|"&amp;[@Material],tPolicy[Plant]&amp;"|"&amp;tPolicy[Material],tPolicy[PreferredSupplier],""))</f>
        <v/>
      </c>
    </row>
    <row r="10">
      <c r="A10" t="inlineStr">
        <is>
          <t>West</t>
        </is>
      </c>
      <c r="B10">
        <f>tZeroValue</f>
        <v/>
      </c>
      <c r="C10" t="inlineStr">
        <is>
          <t>Pieza 1</t>
        </is>
      </c>
      <c r="D1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0">
        <f>IF(XLOOKUP([@Material],tParams[Material],tParams[Type],"")="Piece","Single",XLOOKUP([@Plant]&amp;"|"&amp;[@Material],tPolicy[Plant]&amp;"|"&amp;tPolicy[Material],tPolicy[PreferredSupplier],""))</f>
        <v/>
      </c>
    </row>
    <row r="11">
      <c r="A11" t="inlineStr">
        <is>
          <t>West</t>
        </is>
      </c>
      <c r="B11">
        <f>tZeroValue</f>
        <v/>
      </c>
      <c r="C11" t="inlineStr">
        <is>
          <t>Pieza 2</t>
        </is>
      </c>
      <c r="D1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1">
        <f>IF(XLOOKUP([@Material],tParams[Material],tParams[Type],"")="Piece","Single",XLOOKUP([@Plant]&amp;"|"&amp;[@Material],tPolicy[Plant]&amp;"|"&amp;tPolicy[Material],tPolicy[PreferredSupplier],""))</f>
        <v/>
      </c>
    </row>
    <row r="12">
      <c r="A12" t="inlineStr">
        <is>
          <t>West</t>
        </is>
      </c>
      <c r="B12">
        <f>tZeroValue</f>
        <v/>
      </c>
      <c r="C12" t="inlineStr">
        <is>
          <t>Pieza 3</t>
        </is>
      </c>
      <c r="D1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2">
        <f>IF(XLOOKUP([@Material],tParams[Material],tParams[Type],"")="Piece","Single",XLOOKUP([@Plant]&amp;"|"&amp;[@Material],tPolicy[Plant]&amp;"|"&amp;tPolicy[Material],tPolicy[PreferredSupplier],""))</f>
        <v/>
      </c>
    </row>
    <row r="13">
      <c r="A13" t="inlineStr">
        <is>
          <t>West</t>
        </is>
      </c>
      <c r="B13">
        <f>tZeroValue</f>
        <v/>
      </c>
      <c r="C13" t="inlineStr">
        <is>
          <t>Pieza 4</t>
        </is>
      </c>
      <c r="D1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3">
        <f>IF(XLOOKUP([@Material],tParams[Material],tParams[Type],"")="Piece","Single",XLOOKUP([@Plant]&amp;"|"&amp;[@Material],tPolicy[Plant]&amp;"|"&amp;tPolicy[Material],tPolicy[PreferredSupplier],""))</f>
        <v/>
      </c>
    </row>
    <row r="14">
      <c r="A14" t="inlineStr">
        <is>
          <t>West</t>
        </is>
      </c>
      <c r="B14">
        <f>tZeroValue</f>
        <v/>
      </c>
      <c r="C14" t="inlineStr">
        <is>
          <t>Pieza 5</t>
        </is>
      </c>
      <c r="D1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4">
        <f>IF(XLOOKUP([@Material],tParams[Material],tParams[Type],"")="Piece","Single",XLOOKUP([@Plant]&amp;"|"&amp;[@Material],tPolicy[Plant]&amp;"|"&amp;tPolicy[Material],tPolicy[PreferredSupplier],""))</f>
        <v/>
      </c>
    </row>
    <row r="15">
      <c r="A15" t="inlineStr">
        <is>
          <t>West</t>
        </is>
      </c>
      <c r="B15">
        <f>tZeroValue</f>
        <v/>
      </c>
      <c r="C15" t="inlineStr">
        <is>
          <t>Pieza 6</t>
        </is>
      </c>
      <c r="D1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5">
        <f>IF(XLOOKUP([@Material],tParams[Material],tParams[Type],"")="Piece","Single",XLOOKUP([@Plant]&amp;"|"&amp;[@Material],tPolicy[Plant]&amp;"|"&amp;tPolicy[Material],tPolicy[PreferredSupplier],""))</f>
        <v/>
      </c>
    </row>
    <row r="16">
      <c r="A16" t="inlineStr">
        <is>
          <t>Center</t>
        </is>
      </c>
      <c r="B16" t="n">
        <v>1</v>
      </c>
      <c r="C16" t="inlineStr">
        <is>
          <t>Parte A</t>
        </is>
      </c>
      <c r="D1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6">
        <f>IF(XLOOKUP([@Material],tParams[Material],tParams[Type],"")="Piece","Single",XLOOKUP([@Plant]&amp;"|"&amp;[@Material],tPolicy[Plant]&amp;"|"&amp;tPolicy[Material],tPolicy[PreferredSupplier],""))</f>
        <v/>
      </c>
    </row>
    <row r="17">
      <c r="A17" t="inlineStr">
        <is>
          <t>Center</t>
        </is>
      </c>
      <c r="B17" t="n">
        <v>2</v>
      </c>
      <c r="C17" t="inlineStr">
        <is>
          <t>Parte A</t>
        </is>
      </c>
      <c r="D1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7">
        <f>IF(XLOOKUP([@Material],tParams[Material],tParams[Type],"")="Piece","Single",XLOOKUP([@Plant]&amp;"|"&amp;[@Material],tPolicy[Plant]&amp;"|"&amp;tPolicy[Material],tPolicy[PreferredSupplier],""))</f>
        <v/>
      </c>
    </row>
    <row r="18">
      <c r="A18" t="inlineStr">
        <is>
          <t>Center</t>
        </is>
      </c>
      <c r="B18" t="n">
        <v>3</v>
      </c>
      <c r="C18" t="inlineStr">
        <is>
          <t>Parte A</t>
        </is>
      </c>
      <c r="D1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8">
        <f>IF(XLOOKUP([@Material],tParams[Material],tParams[Type],"")="Piece","Single",XLOOKUP([@Plant]&amp;"|"&amp;[@Material],tPolicy[Plant]&amp;"|"&amp;tPolicy[Material],tPolicy[PreferredSupplier],""))</f>
        <v/>
      </c>
    </row>
    <row r="19">
      <c r="A19" t="inlineStr">
        <is>
          <t>Center</t>
        </is>
      </c>
      <c r="B19" t="n">
        <v>4</v>
      </c>
      <c r="C19" t="inlineStr">
        <is>
          <t>Parte A</t>
        </is>
      </c>
      <c r="D1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19">
        <f>IF(XLOOKUP([@Material],tParams[Material],tParams[Type],"")="Piece","Single",XLOOKUP([@Plant]&amp;"|"&amp;[@Material],tPolicy[Plant]&amp;"|"&amp;tPolicy[Material],tPolicy[PreferredSupplier],""))</f>
        <v/>
      </c>
    </row>
    <row r="20">
      <c r="A20" t="inlineStr">
        <is>
          <t>Center</t>
        </is>
      </c>
      <c r="B20" t="n">
        <v>5</v>
      </c>
      <c r="C20" t="inlineStr">
        <is>
          <t>Parte A</t>
        </is>
      </c>
      <c r="D2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0">
        <f>IF(XLOOKUP([@Material],tParams[Material],tParams[Type],"")="Piece","Single",XLOOKUP([@Plant]&amp;"|"&amp;[@Material],tPolicy[Plant]&amp;"|"&amp;tPolicy[Material],tPolicy[PreferredSupplier],""))</f>
        <v/>
      </c>
    </row>
    <row r="21">
      <c r="A21" t="inlineStr">
        <is>
          <t>Center</t>
        </is>
      </c>
      <c r="B21" t="n">
        <v>6</v>
      </c>
      <c r="C21" t="inlineStr">
        <is>
          <t>Parte A</t>
        </is>
      </c>
      <c r="D2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1">
        <f>IF(XLOOKUP([@Material],tParams[Material],tParams[Type],"")="Piece","Single",XLOOKUP([@Plant]&amp;"|"&amp;[@Material],tPolicy[Plant]&amp;"|"&amp;tPolicy[Material],tPolicy[PreferredSupplier],""))</f>
        <v/>
      </c>
    </row>
    <row r="22">
      <c r="A22" t="inlineStr">
        <is>
          <t>Center</t>
        </is>
      </c>
      <c r="B22" t="n">
        <v>7</v>
      </c>
      <c r="C22" t="inlineStr">
        <is>
          <t>Parte A</t>
        </is>
      </c>
      <c r="D2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2">
        <f>IF(XLOOKUP([@Material],tParams[Material],tParams[Type],"")="Piece","Single",XLOOKUP([@Plant]&amp;"|"&amp;[@Material],tPolicy[Plant]&amp;"|"&amp;tPolicy[Material],tPolicy[PreferredSupplier],""))</f>
        <v/>
      </c>
    </row>
    <row r="23">
      <c r="A23" t="inlineStr">
        <is>
          <t>Center</t>
        </is>
      </c>
      <c r="B23" t="n">
        <v>8</v>
      </c>
      <c r="C23" t="inlineStr">
        <is>
          <t>Parte A</t>
        </is>
      </c>
      <c r="D2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3">
        <f>IF(XLOOKUP([@Material],tParams[Material],tParams[Type],"")="Piece","Single",XLOOKUP([@Plant]&amp;"|"&amp;[@Material],tPolicy[Plant]&amp;"|"&amp;tPolicy[Material],tPolicy[PreferredSupplier],""))</f>
        <v/>
      </c>
    </row>
    <row r="24">
      <c r="A24" t="inlineStr">
        <is>
          <t>Center</t>
        </is>
      </c>
      <c r="B24" t="n">
        <v>1</v>
      </c>
      <c r="C24" t="inlineStr">
        <is>
          <t>Parte B</t>
        </is>
      </c>
      <c r="D2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4">
        <f>IF(XLOOKUP([@Material],tParams[Material],tParams[Type],"")="Piece","Single",XLOOKUP([@Plant]&amp;"|"&amp;[@Material],tPolicy[Plant]&amp;"|"&amp;tPolicy[Material],tPolicy[PreferredSupplier],""))</f>
        <v/>
      </c>
    </row>
    <row r="25">
      <c r="A25" t="inlineStr">
        <is>
          <t>Center</t>
        </is>
      </c>
      <c r="B25" t="n">
        <v>2</v>
      </c>
      <c r="C25" t="inlineStr">
        <is>
          <t>Parte B</t>
        </is>
      </c>
      <c r="D2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5">
        <f>IF(XLOOKUP([@Material],tParams[Material],tParams[Type],"")="Piece","Single",XLOOKUP([@Plant]&amp;"|"&amp;[@Material],tPolicy[Plant]&amp;"|"&amp;tPolicy[Material],tPolicy[PreferredSupplier],""))</f>
        <v/>
      </c>
    </row>
    <row r="26">
      <c r="A26" t="inlineStr">
        <is>
          <t>Center</t>
        </is>
      </c>
      <c r="B26" t="n">
        <v>3</v>
      </c>
      <c r="C26" t="inlineStr">
        <is>
          <t>Parte B</t>
        </is>
      </c>
      <c r="D2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6">
        <f>IF(XLOOKUP([@Material],tParams[Material],tParams[Type],"")="Piece","Single",XLOOKUP([@Plant]&amp;"|"&amp;[@Material],tPolicy[Plant]&amp;"|"&amp;tPolicy[Material],tPolicy[PreferredSupplier],""))</f>
        <v/>
      </c>
    </row>
    <row r="27">
      <c r="A27" t="inlineStr">
        <is>
          <t>Center</t>
        </is>
      </c>
      <c r="B27" t="n">
        <v>4</v>
      </c>
      <c r="C27" t="inlineStr">
        <is>
          <t>Parte B</t>
        </is>
      </c>
      <c r="D2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7">
        <f>IF(XLOOKUP([@Material],tParams[Material],tParams[Type],"")="Piece","Single",XLOOKUP([@Plant]&amp;"|"&amp;[@Material],tPolicy[Plant]&amp;"|"&amp;tPolicy[Material],tPolicy[PreferredSupplier],""))</f>
        <v/>
      </c>
    </row>
    <row r="28">
      <c r="A28" t="inlineStr">
        <is>
          <t>Center</t>
        </is>
      </c>
      <c r="B28" t="n">
        <v>5</v>
      </c>
      <c r="C28" t="inlineStr">
        <is>
          <t>Parte B</t>
        </is>
      </c>
      <c r="D2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8">
        <f>IF(XLOOKUP([@Material],tParams[Material],tParams[Type],"")="Piece","Single",XLOOKUP([@Plant]&amp;"|"&amp;[@Material],tPolicy[Plant]&amp;"|"&amp;tPolicy[Material],tPolicy[PreferredSupplier],""))</f>
        <v/>
      </c>
    </row>
    <row r="29">
      <c r="A29" t="inlineStr">
        <is>
          <t>Center</t>
        </is>
      </c>
      <c r="B29" t="n">
        <v>6</v>
      </c>
      <c r="C29" t="inlineStr">
        <is>
          <t>Parte B</t>
        </is>
      </c>
      <c r="D2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29">
        <f>IF(XLOOKUP([@Material],tParams[Material],tParams[Type],"")="Piece","Single",XLOOKUP([@Plant]&amp;"|"&amp;[@Material],tPolicy[Plant]&amp;"|"&amp;tPolicy[Material],tPolicy[PreferredSupplier],""))</f>
        <v/>
      </c>
    </row>
    <row r="30">
      <c r="A30" t="inlineStr">
        <is>
          <t>Center</t>
        </is>
      </c>
      <c r="B30" t="n">
        <v>7</v>
      </c>
      <c r="C30" t="inlineStr">
        <is>
          <t>Parte B</t>
        </is>
      </c>
      <c r="D3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0">
        <f>IF(XLOOKUP([@Material],tParams[Material],tParams[Type],"")="Piece","Single",XLOOKUP([@Plant]&amp;"|"&amp;[@Material],tPolicy[Plant]&amp;"|"&amp;tPolicy[Material],tPolicy[PreferredSupplier],""))</f>
        <v/>
      </c>
    </row>
    <row r="31">
      <c r="A31" t="inlineStr">
        <is>
          <t>Center</t>
        </is>
      </c>
      <c r="B31" t="n">
        <v>8</v>
      </c>
      <c r="C31" t="inlineStr">
        <is>
          <t>Parte B</t>
        </is>
      </c>
      <c r="D3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1">
        <f>IF(XLOOKUP([@Material],tParams[Material],tParams[Type],"")="Piece","Single",XLOOKUP([@Plant]&amp;"|"&amp;[@Material],tPolicy[Plant]&amp;"|"&amp;tPolicy[Material],tPolicy[PreferredSupplier],""))</f>
        <v/>
      </c>
    </row>
    <row r="32">
      <c r="A32" t="inlineStr">
        <is>
          <t>West</t>
        </is>
      </c>
      <c r="B32" t="n">
        <v>1</v>
      </c>
      <c r="C32" t="inlineStr">
        <is>
          <t>Parte A</t>
        </is>
      </c>
      <c r="D3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2">
        <f>IF(XLOOKUP([@Material],tParams[Material],tParams[Type],"")="Piece","Single",XLOOKUP([@Plant]&amp;"|"&amp;[@Material],tPolicy[Plant]&amp;"|"&amp;tPolicy[Material],tPolicy[PreferredSupplier],""))</f>
        <v/>
      </c>
    </row>
    <row r="33">
      <c r="A33" t="inlineStr">
        <is>
          <t>West</t>
        </is>
      </c>
      <c r="B33" t="n">
        <v>2</v>
      </c>
      <c r="C33" t="inlineStr">
        <is>
          <t>Parte A</t>
        </is>
      </c>
      <c r="D3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3">
        <f>IF(XLOOKUP([@Material],tParams[Material],tParams[Type],"")="Piece","Single",XLOOKUP([@Plant]&amp;"|"&amp;[@Material],tPolicy[Plant]&amp;"|"&amp;tPolicy[Material],tPolicy[PreferredSupplier],""))</f>
        <v/>
      </c>
    </row>
    <row r="34">
      <c r="A34" t="inlineStr">
        <is>
          <t>West</t>
        </is>
      </c>
      <c r="B34" t="n">
        <v>3</v>
      </c>
      <c r="C34" t="inlineStr">
        <is>
          <t>Parte A</t>
        </is>
      </c>
      <c r="D3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4">
        <f>IF(XLOOKUP([@Material],tParams[Material],tParams[Type],"")="Piece","Single",XLOOKUP([@Plant]&amp;"|"&amp;[@Material],tPolicy[Plant]&amp;"|"&amp;tPolicy[Material],tPolicy[PreferredSupplier],""))</f>
        <v/>
      </c>
    </row>
    <row r="35">
      <c r="A35" t="inlineStr">
        <is>
          <t>West</t>
        </is>
      </c>
      <c r="B35" t="n">
        <v>4</v>
      </c>
      <c r="C35" t="inlineStr">
        <is>
          <t>Parte A</t>
        </is>
      </c>
      <c r="D3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5">
        <f>IF(XLOOKUP([@Material],tParams[Material],tParams[Type],"")="Piece","Single",XLOOKUP([@Plant]&amp;"|"&amp;[@Material],tPolicy[Plant]&amp;"|"&amp;tPolicy[Material],tPolicy[PreferredSupplier],""))</f>
        <v/>
      </c>
    </row>
    <row r="36">
      <c r="A36" t="inlineStr">
        <is>
          <t>West</t>
        </is>
      </c>
      <c r="B36" t="n">
        <v>5</v>
      </c>
      <c r="C36" t="inlineStr">
        <is>
          <t>Parte A</t>
        </is>
      </c>
      <c r="D3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6">
        <f>IF(XLOOKUP([@Material],tParams[Material],tParams[Type],"")="Piece","Single",XLOOKUP([@Plant]&amp;"|"&amp;[@Material],tPolicy[Plant]&amp;"|"&amp;tPolicy[Material],tPolicy[PreferredSupplier],""))</f>
        <v/>
      </c>
    </row>
    <row r="37">
      <c r="A37" t="inlineStr">
        <is>
          <t>West</t>
        </is>
      </c>
      <c r="B37" t="n">
        <v>6</v>
      </c>
      <c r="C37" t="inlineStr">
        <is>
          <t>Parte A</t>
        </is>
      </c>
      <c r="D3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7">
        <f>IF(XLOOKUP([@Material],tParams[Material],tParams[Type],"")="Piece","Single",XLOOKUP([@Plant]&amp;"|"&amp;[@Material],tPolicy[Plant]&amp;"|"&amp;tPolicy[Material],tPolicy[PreferredSupplier],""))</f>
        <v/>
      </c>
    </row>
    <row r="38">
      <c r="A38" t="inlineStr">
        <is>
          <t>West</t>
        </is>
      </c>
      <c r="B38" t="n">
        <v>7</v>
      </c>
      <c r="C38" t="inlineStr">
        <is>
          <t>Parte A</t>
        </is>
      </c>
      <c r="D38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8">
        <f>IF(XLOOKUP([@Material],tParams[Material],tParams[Type],"")="Piece","Single",XLOOKUP([@Plant]&amp;"|"&amp;[@Material],tPolicy[Plant]&amp;"|"&amp;tPolicy[Material],tPolicy[PreferredSupplier],""))</f>
        <v/>
      </c>
    </row>
    <row r="39">
      <c r="A39" t="inlineStr">
        <is>
          <t>West</t>
        </is>
      </c>
      <c r="B39" t="n">
        <v>8</v>
      </c>
      <c r="C39" t="inlineStr">
        <is>
          <t>Parte A</t>
        </is>
      </c>
      <c r="D39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39">
        <f>IF(XLOOKUP([@Material],tParams[Material],tParams[Type],"")="Piece","Single",XLOOKUP([@Plant]&amp;"|"&amp;[@Material],tPolicy[Plant]&amp;"|"&amp;tPolicy[Material],tPolicy[PreferredSupplier],""))</f>
        <v/>
      </c>
    </row>
    <row r="40">
      <c r="A40" t="inlineStr">
        <is>
          <t>West</t>
        </is>
      </c>
      <c r="B40" t="n">
        <v>1</v>
      </c>
      <c r="C40" t="inlineStr">
        <is>
          <t>Parte B</t>
        </is>
      </c>
      <c r="D40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0">
        <f>IF(XLOOKUP([@Material],tParams[Material],tParams[Type],"")="Piece","Single",XLOOKUP([@Plant]&amp;"|"&amp;[@Material],tPolicy[Plant]&amp;"|"&amp;tPolicy[Material],tPolicy[PreferredSupplier],""))</f>
        <v/>
      </c>
    </row>
    <row r="41">
      <c r="A41" t="inlineStr">
        <is>
          <t>West</t>
        </is>
      </c>
      <c r="B41" t="n">
        <v>2</v>
      </c>
      <c r="C41" t="inlineStr">
        <is>
          <t>Parte B</t>
        </is>
      </c>
      <c r="D41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1">
        <f>IF(XLOOKUP([@Material],tParams[Material],tParams[Type],"")="Piece","Single",XLOOKUP([@Plant]&amp;"|"&amp;[@Material],tPolicy[Plant]&amp;"|"&amp;tPolicy[Material],tPolicy[PreferredSupplier],""))</f>
        <v/>
      </c>
    </row>
    <row r="42">
      <c r="A42" t="inlineStr">
        <is>
          <t>West</t>
        </is>
      </c>
      <c r="B42" t="n">
        <v>3</v>
      </c>
      <c r="C42" t="inlineStr">
        <is>
          <t>Parte B</t>
        </is>
      </c>
      <c r="D42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2">
        <f>IF(XLOOKUP([@Material],tParams[Material],tParams[Type],"")="Piece","Single",XLOOKUP([@Plant]&amp;"|"&amp;[@Material],tPolicy[Plant]&amp;"|"&amp;tPolicy[Material],tPolicy[PreferredSupplier],""))</f>
        <v/>
      </c>
    </row>
    <row r="43">
      <c r="A43" t="inlineStr">
        <is>
          <t>West</t>
        </is>
      </c>
      <c r="B43" t="n">
        <v>4</v>
      </c>
      <c r="C43" t="inlineStr">
        <is>
          <t>Parte B</t>
        </is>
      </c>
      <c r="D43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3">
        <f>IF(XLOOKUP([@Material],tParams[Material],tParams[Type],"")="Piece","Single",XLOOKUP([@Plant]&amp;"|"&amp;[@Material],tPolicy[Plant]&amp;"|"&amp;tPolicy[Material],tPolicy[PreferredSupplier],""))</f>
        <v/>
      </c>
    </row>
    <row r="44">
      <c r="A44" t="inlineStr">
        <is>
          <t>West</t>
        </is>
      </c>
      <c r="B44" t="n">
        <v>5</v>
      </c>
      <c r="C44" t="inlineStr">
        <is>
          <t>Parte B</t>
        </is>
      </c>
      <c r="D44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4">
        <f>IF(XLOOKUP([@Material],tParams[Material],tParams[Type],"")="Piece","Single",XLOOKUP([@Plant]&amp;"|"&amp;[@Material],tPolicy[Plant]&amp;"|"&amp;tPolicy[Material],tPolicy[PreferredSupplier],""))</f>
        <v/>
      </c>
    </row>
    <row r="45">
      <c r="A45" t="inlineStr">
        <is>
          <t>West</t>
        </is>
      </c>
      <c r="B45" t="n">
        <v>6</v>
      </c>
      <c r="C45" t="inlineStr">
        <is>
          <t>Parte B</t>
        </is>
      </c>
      <c r="D45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5">
        <f>IF(XLOOKUP([@Material],tParams[Material],tParams[Type],"")="Piece","Single",XLOOKUP([@Plant]&amp;"|"&amp;[@Material],tPolicy[Plant]&amp;"|"&amp;tPolicy[Material],tPolicy[PreferredSupplier],""))</f>
        <v/>
      </c>
    </row>
    <row r="46">
      <c r="A46" t="inlineStr">
        <is>
          <t>West</t>
        </is>
      </c>
      <c r="B46" t="n">
        <v>7</v>
      </c>
      <c r="C46" t="inlineStr">
        <is>
          <t>Parte B</t>
        </is>
      </c>
      <c r="D46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6">
        <f>IF(XLOOKUP([@Material],tParams[Material],tParams[Type],"")="Piece","Single",XLOOKUP([@Plant]&amp;"|"&amp;[@Material],tPolicy[Plant]&amp;"|"&amp;tPolicy[Material],tPolicy[PreferredSupplier],""))</f>
        <v/>
      </c>
    </row>
    <row r="47">
      <c r="A47" t="inlineStr">
        <is>
          <t>West</t>
        </is>
      </c>
      <c r="B47" t="n">
        <v>8</v>
      </c>
      <c r="C47" t="inlineStr">
        <is>
          <t>Parte B</t>
        </is>
      </c>
      <c r="D47">
        <f>IF(XLOOKUP([@Material],tParams[Material],tParams[Type],"")="Piece",XLOOKUP([@Plant]&amp;"|"&amp;[@Material],tPieces0[Plant]&amp;"|"&amp;tPieces0[Material],tPieces0[PlannedLots_t0],0),XLOOKUP([@Plant]&amp;"|"&amp;[@Material]&amp;"|"&amp;[@Fortnight],tMRPParts[Plant]&amp;"|"&amp;tMRPParts[Material]&amp;"|"&amp;tMRPParts[Fortnight],tMRPParts[PlannedOrderLots],0))</f>
        <v/>
      </c>
      <c r="E47">
        <f>IF(XLOOKUP([@Material],tParams[Material],tParams[Type],"")="Piece","Single",XLOOKUP([@Plant]&amp;"|"&amp;[@Material],tPolicy[Plant]&amp;"|"&amp;tPolicy[Material],tPolicy[PreferredSupplier],""))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2026-01-12T17:03:36Z</dcterms:created>
  <dcterms:modified xsi:type="dcterms:W3CDTF">2026-01-13T23:04:07Z</dcterms:modified>
  <cp:lastModifiedBy>Alberto Daniel Quiroga Villalobos</cp:lastModifiedBy>
  <cp:revision>0</cp:revision>
</cp:coreProperties>
</file>