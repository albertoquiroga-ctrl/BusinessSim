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0dc407a335d7300f/Documentos/GitHub/BusinessSim/Procurement/"/>
    </mc:Choice>
  </mc:AlternateContent>
  <xr:revisionPtr revIDLastSave="1457" documentId="11_300C377E292435E26BC7E9727970CF20457E0EE2" xr6:coauthVersionLast="47" xr6:coauthVersionMax="47" xr10:uidLastSave="{EDCE7A03-7322-4B16-858A-D21B6167890B}"/>
  <bookViews>
    <workbookView xWindow="-108" yWindow="-108" windowWidth="23256" windowHeight="12456" tabRatio="500" firstSheet="14" activeTab="17" xr2:uid="{00000000-000D-0000-FFFF-FFFF00000000}"/>
  </bookViews>
  <sheets>
    <sheet name="BUYING_PLAN_FINAL" sheetId="18" r:id="rId1"/>
    <sheet name="MRP_NetReq" sheetId="17" r:id="rId2"/>
    <sheet name="Inputs" sheetId="1" r:id="rId3"/>
    <sheet name="BOM_Consumo" sheetId="2" r:id="rId4"/>
    <sheet name="Inventario_Dinamico" sheetId="3" r:id="rId5"/>
    <sheet name="Compras_y_Lotes" sheetId="4" r:id="rId6"/>
    <sheet name="Costos" sheetId="5" r:id="rId7"/>
    <sheet name="Cashflow_Compras" sheetId="6" r:id="rId8"/>
    <sheet name="Escenarios" sheetId="7" r:id="rId9"/>
    <sheet name="Analisis_Proveedores" sheetId="8" r:id="rId10"/>
    <sheet name="Dashboard" sheetId="9" r:id="rId11"/>
    <sheet name="Riesgo_Proveedor_B" sheetId="10" r:id="rId12"/>
    <sheet name="Cashflow_Integrado" sheetId="11" r:id="rId13"/>
    <sheet name="EXSIM_Upload" sheetId="12" r:id="rId14"/>
    <sheet name="Multi_Planta" sheetId="13" r:id="rId15"/>
    <sheet name="MRP_LeadTimes" sheetId="14" r:id="rId16"/>
    <sheet name="Reconciliacion" sheetId="15" r:id="rId17"/>
    <sheet name="ESG_CO2" sheetId="16" r:id="rId1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" i="18" l="1"/>
  <c r="I4" i="18"/>
  <c r="I5" i="18"/>
  <c r="I6" i="18"/>
  <c r="I7" i="18"/>
  <c r="I8" i="18"/>
  <c r="I9" i="18"/>
  <c r="I10" i="18"/>
  <c r="I11" i="18"/>
  <c r="I12" i="18"/>
  <c r="I13" i="18"/>
  <c r="I14" i="18"/>
  <c r="I15" i="18"/>
  <c r="I16" i="18"/>
  <c r="I17" i="18"/>
  <c r="I18" i="18"/>
  <c r="I19" i="18"/>
  <c r="I20" i="18"/>
  <c r="I21" i="18"/>
  <c r="I22" i="18"/>
  <c r="I23" i="18"/>
  <c r="I24" i="18"/>
  <c r="I25" i="18"/>
  <c r="I26" i="18"/>
  <c r="I27" i="18"/>
  <c r="I28" i="18"/>
  <c r="I29" i="18"/>
  <c r="I30" i="18"/>
  <c r="I31" i="18"/>
  <c r="I32" i="18"/>
  <c r="I33" i="18"/>
  <c r="I34" i="18"/>
  <c r="I35" i="18"/>
  <c r="I36" i="18"/>
  <c r="I37" i="18"/>
  <c r="I38" i="18"/>
  <c r="I39" i="18"/>
  <c r="I40" i="18"/>
  <c r="I41" i="18"/>
  <c r="I42" i="18"/>
  <c r="I43" i="18"/>
  <c r="I44" i="18"/>
  <c r="I45" i="18"/>
  <c r="I46" i="18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G3" i="18"/>
  <c r="G4" i="18"/>
  <c r="G5" i="18"/>
  <c r="G6" i="18"/>
  <c r="G7" i="18"/>
  <c r="G8" i="18"/>
  <c r="G9" i="18"/>
  <c r="G10" i="18"/>
  <c r="G11" i="18"/>
  <c r="G12" i="18"/>
  <c r="G13" i="18"/>
  <c r="G14" i="18"/>
  <c r="G15" i="18"/>
  <c r="G16" i="18"/>
  <c r="G17" i="18"/>
  <c r="G18" i="18"/>
  <c r="G19" i="18"/>
  <c r="G20" i="18"/>
  <c r="G21" i="18"/>
  <c r="G22" i="18"/>
  <c r="G23" i="18"/>
  <c r="G24" i="18"/>
  <c r="G25" i="18"/>
  <c r="G26" i="18"/>
  <c r="G27" i="18"/>
  <c r="G28" i="18"/>
  <c r="G29" i="18"/>
  <c r="G30" i="18"/>
  <c r="G31" i="18"/>
  <c r="G32" i="18"/>
  <c r="G33" i="18"/>
  <c r="G34" i="18"/>
  <c r="G35" i="18"/>
  <c r="G36" i="18"/>
  <c r="G37" i="18"/>
  <c r="G38" i="18"/>
  <c r="G39" i="18"/>
  <c r="G40" i="18"/>
  <c r="G41" i="18"/>
  <c r="G42" i="18"/>
  <c r="G43" i="18"/>
  <c r="G44" i="18"/>
  <c r="G45" i="18"/>
  <c r="G46" i="18"/>
  <c r="F3" i="18"/>
  <c r="F4" i="18"/>
  <c r="F5" i="18"/>
  <c r="F6" i="18"/>
  <c r="F7" i="18"/>
  <c r="F8" i="18"/>
  <c r="F9" i="18"/>
  <c r="F10" i="18"/>
  <c r="F11" i="18"/>
  <c r="F12" i="18"/>
  <c r="F13" i="18"/>
  <c r="F14" i="18"/>
  <c r="F15" i="18"/>
  <c r="F16" i="18"/>
  <c r="F17" i="18"/>
  <c r="F18" i="18"/>
  <c r="F19" i="18"/>
  <c r="F20" i="18"/>
  <c r="F21" i="18"/>
  <c r="F22" i="18"/>
  <c r="F23" i="18"/>
  <c r="F24" i="18"/>
  <c r="F25" i="18"/>
  <c r="F26" i="18"/>
  <c r="F27" i="18"/>
  <c r="F28" i="18"/>
  <c r="F29" i="18"/>
  <c r="F30" i="18"/>
  <c r="F31" i="18"/>
  <c r="F32" i="18"/>
  <c r="F33" i="18"/>
  <c r="F34" i="18"/>
  <c r="F35" i="18"/>
  <c r="F36" i="18"/>
  <c r="F37" i="18"/>
  <c r="F38" i="18"/>
  <c r="F39" i="18"/>
  <c r="F40" i="18"/>
  <c r="F41" i="18"/>
  <c r="F42" i="18"/>
  <c r="F43" i="18"/>
  <c r="F44" i="18"/>
  <c r="F45" i="18"/>
  <c r="F46" i="18"/>
  <c r="E3" i="18"/>
  <c r="E4" i="18"/>
  <c r="E5" i="18"/>
  <c r="E6" i="18"/>
  <c r="E7" i="18"/>
  <c r="E8" i="18"/>
  <c r="E9" i="18"/>
  <c r="E10" i="18"/>
  <c r="E11" i="18"/>
  <c r="E12" i="18"/>
  <c r="E13" i="18"/>
  <c r="E14" i="18"/>
  <c r="E15" i="18"/>
  <c r="E16" i="18"/>
  <c r="E17" i="18"/>
  <c r="E18" i="18"/>
  <c r="E19" i="18"/>
  <c r="E20" i="18"/>
  <c r="E21" i="18"/>
  <c r="E22" i="18"/>
  <c r="E23" i="18"/>
  <c r="E24" i="18"/>
  <c r="E25" i="18"/>
  <c r="E26" i="18"/>
  <c r="E27" i="18"/>
  <c r="E28" i="18"/>
  <c r="E29" i="18"/>
  <c r="E30" i="18"/>
  <c r="E31" i="18"/>
  <c r="E32" i="18"/>
  <c r="E33" i="18"/>
  <c r="E34" i="18"/>
  <c r="E35" i="18"/>
  <c r="E36" i="18"/>
  <c r="E37" i="18"/>
  <c r="E38" i="18"/>
  <c r="E39" i="18"/>
  <c r="E40" i="18"/>
  <c r="E41" i="18"/>
  <c r="E42" i="18"/>
  <c r="E43" i="18"/>
  <c r="E44" i="18"/>
  <c r="E45" i="18"/>
  <c r="E46" i="18"/>
  <c r="D3" i="18"/>
  <c r="D4" i="18"/>
  <c r="D5" i="18"/>
  <c r="D6" i="18"/>
  <c r="D7" i="18"/>
  <c r="D8" i="18"/>
  <c r="D9" i="18"/>
  <c r="D10" i="18"/>
  <c r="D11" i="18"/>
  <c r="D12" i="18"/>
  <c r="D13" i="18"/>
  <c r="D14" i="18"/>
  <c r="D15" i="18"/>
  <c r="D16" i="18"/>
  <c r="D17" i="18"/>
  <c r="D18" i="18"/>
  <c r="D19" i="18"/>
  <c r="D20" i="18"/>
  <c r="D21" i="18"/>
  <c r="D22" i="18"/>
  <c r="D23" i="18"/>
  <c r="D24" i="18"/>
  <c r="D25" i="18"/>
  <c r="D26" i="18"/>
  <c r="D27" i="18"/>
  <c r="D28" i="18"/>
  <c r="D29" i="18"/>
  <c r="D30" i="18"/>
  <c r="D31" i="18"/>
  <c r="D32" i="18"/>
  <c r="D33" i="18"/>
  <c r="D34" i="18"/>
  <c r="D35" i="18"/>
  <c r="D36" i="18"/>
  <c r="D37" i="18"/>
  <c r="D38" i="18"/>
  <c r="D39" i="18"/>
  <c r="D40" i="18"/>
  <c r="D41" i="18"/>
  <c r="D42" i="18"/>
  <c r="D43" i="18"/>
  <c r="D44" i="18"/>
  <c r="D45" i="18"/>
  <c r="D46" i="18"/>
  <c r="M114" i="17"/>
  <c r="L114" i="17"/>
  <c r="M113" i="17"/>
  <c r="L113" i="17"/>
  <c r="M112" i="17"/>
  <c r="L112" i="17"/>
  <c r="M111" i="17"/>
  <c r="L111" i="17"/>
  <c r="M110" i="17"/>
  <c r="L110" i="17"/>
  <c r="M109" i="17"/>
  <c r="L109" i="17"/>
  <c r="M108" i="17"/>
  <c r="L108" i="17"/>
  <c r="J113" i="17"/>
  <c r="E112" i="17"/>
  <c r="E113" i="17" s="1"/>
  <c r="F112" i="17"/>
  <c r="F113" i="17" s="1"/>
  <c r="G112" i="17"/>
  <c r="G113" i="17" s="1"/>
  <c r="H112" i="17"/>
  <c r="H113" i="17" s="1"/>
  <c r="I112" i="17"/>
  <c r="I113" i="17" s="1"/>
  <c r="J112" i="17"/>
  <c r="K112" i="17"/>
  <c r="K113" i="17" s="1"/>
  <c r="D112" i="17"/>
  <c r="D114" i="17" s="1"/>
  <c r="E110" i="17" s="1"/>
  <c r="D111" i="17"/>
  <c r="D110" i="17"/>
  <c r="D109" i="17"/>
  <c r="E109" i="17"/>
  <c r="F109" i="17"/>
  <c r="G109" i="17"/>
  <c r="H109" i="17"/>
  <c r="I109" i="17"/>
  <c r="J109" i="17"/>
  <c r="K109" i="17"/>
  <c r="D108" i="17"/>
  <c r="E108" i="17"/>
  <c r="F108" i="17"/>
  <c r="G108" i="17"/>
  <c r="H108" i="17"/>
  <c r="I108" i="17"/>
  <c r="J108" i="17"/>
  <c r="K108" i="17"/>
  <c r="M107" i="17"/>
  <c r="L107" i="17"/>
  <c r="M106" i="17"/>
  <c r="L106" i="17"/>
  <c r="M105" i="17"/>
  <c r="L105" i="17"/>
  <c r="M104" i="17"/>
  <c r="L104" i="17"/>
  <c r="M103" i="17"/>
  <c r="L103" i="17"/>
  <c r="M102" i="17"/>
  <c r="L102" i="17"/>
  <c r="M101" i="17"/>
  <c r="L101" i="17"/>
  <c r="E105" i="17"/>
  <c r="E106" i="17" s="1"/>
  <c r="F105" i="17"/>
  <c r="F106" i="17" s="1"/>
  <c r="G105" i="17"/>
  <c r="G106" i="17" s="1"/>
  <c r="H105" i="17"/>
  <c r="H106" i="17" s="1"/>
  <c r="I105" i="17"/>
  <c r="I106" i="17" s="1"/>
  <c r="J105" i="17"/>
  <c r="J106" i="17" s="1"/>
  <c r="K105" i="17"/>
  <c r="K106" i="17" s="1"/>
  <c r="D105" i="17"/>
  <c r="D107" i="17" s="1"/>
  <c r="E103" i="17" s="1"/>
  <c r="D104" i="17"/>
  <c r="D103" i="17"/>
  <c r="D102" i="17"/>
  <c r="E102" i="17"/>
  <c r="F102" i="17"/>
  <c r="G102" i="17"/>
  <c r="H102" i="17"/>
  <c r="I102" i="17"/>
  <c r="J102" i="17"/>
  <c r="K102" i="17"/>
  <c r="D101" i="17"/>
  <c r="E101" i="17"/>
  <c r="F101" i="17"/>
  <c r="G101" i="17"/>
  <c r="H101" i="17"/>
  <c r="I101" i="17"/>
  <c r="J101" i="17"/>
  <c r="K101" i="17"/>
  <c r="M100" i="17"/>
  <c r="L100" i="17"/>
  <c r="M99" i="17"/>
  <c r="L99" i="17"/>
  <c r="M98" i="17"/>
  <c r="L98" i="17"/>
  <c r="M97" i="17"/>
  <c r="L97" i="17"/>
  <c r="M96" i="17"/>
  <c r="L96" i="17"/>
  <c r="M95" i="17"/>
  <c r="L95" i="17"/>
  <c r="M94" i="17"/>
  <c r="L94" i="17"/>
  <c r="E99" i="17"/>
  <c r="H99" i="17"/>
  <c r="K99" i="17"/>
  <c r="E98" i="17"/>
  <c r="F98" i="17"/>
  <c r="F99" i="17" s="1"/>
  <c r="G98" i="17"/>
  <c r="G99" i="17" s="1"/>
  <c r="H98" i="17"/>
  <c r="I98" i="17"/>
  <c r="I99" i="17" s="1"/>
  <c r="J98" i="17"/>
  <c r="J99" i="17" s="1"/>
  <c r="K98" i="17"/>
  <c r="D98" i="17"/>
  <c r="D100" i="17" s="1"/>
  <c r="E96" i="17" s="1"/>
  <c r="D97" i="17"/>
  <c r="D96" i="17"/>
  <c r="D95" i="17"/>
  <c r="E95" i="17"/>
  <c r="F95" i="17"/>
  <c r="G95" i="17"/>
  <c r="H95" i="17"/>
  <c r="I95" i="17"/>
  <c r="J95" i="17"/>
  <c r="K95" i="17"/>
  <c r="D94" i="17"/>
  <c r="E94" i="17"/>
  <c r="F94" i="17"/>
  <c r="G94" i="17"/>
  <c r="H94" i="17"/>
  <c r="I94" i="17"/>
  <c r="J94" i="17"/>
  <c r="K94" i="17"/>
  <c r="M93" i="17"/>
  <c r="L93" i="17"/>
  <c r="M92" i="17"/>
  <c r="L92" i="17"/>
  <c r="M91" i="17"/>
  <c r="L91" i="17"/>
  <c r="M90" i="17"/>
  <c r="L90" i="17"/>
  <c r="M89" i="17"/>
  <c r="L89" i="17"/>
  <c r="M88" i="17"/>
  <c r="L88" i="17"/>
  <c r="M87" i="17"/>
  <c r="L87" i="17"/>
  <c r="K92" i="17"/>
  <c r="E91" i="17"/>
  <c r="E92" i="17" s="1"/>
  <c r="F91" i="17"/>
  <c r="F92" i="17" s="1"/>
  <c r="G91" i="17"/>
  <c r="G92" i="17" s="1"/>
  <c r="H91" i="17"/>
  <c r="H92" i="17" s="1"/>
  <c r="I91" i="17"/>
  <c r="I92" i="17" s="1"/>
  <c r="J91" i="17"/>
  <c r="J92" i="17" s="1"/>
  <c r="K91" i="17"/>
  <c r="D91" i="17"/>
  <c r="D93" i="17" s="1"/>
  <c r="E89" i="17" s="1"/>
  <c r="D90" i="17"/>
  <c r="D89" i="17"/>
  <c r="D88" i="17"/>
  <c r="E88" i="17"/>
  <c r="F88" i="17"/>
  <c r="G88" i="17"/>
  <c r="H88" i="17"/>
  <c r="I88" i="17"/>
  <c r="J88" i="17"/>
  <c r="K88" i="17"/>
  <c r="D87" i="17"/>
  <c r="E87" i="17"/>
  <c r="F87" i="17"/>
  <c r="G87" i="17"/>
  <c r="H87" i="17"/>
  <c r="I87" i="17"/>
  <c r="J87" i="17"/>
  <c r="K87" i="17"/>
  <c r="M86" i="17"/>
  <c r="L86" i="17"/>
  <c r="M85" i="17"/>
  <c r="L85" i="17"/>
  <c r="M84" i="17"/>
  <c r="L84" i="17"/>
  <c r="M83" i="17"/>
  <c r="L83" i="17"/>
  <c r="M82" i="17"/>
  <c r="L82" i="17"/>
  <c r="M81" i="17"/>
  <c r="L81" i="17"/>
  <c r="M80" i="17"/>
  <c r="L80" i="17"/>
  <c r="E84" i="17"/>
  <c r="E85" i="17" s="1"/>
  <c r="F84" i="17"/>
  <c r="F85" i="17" s="1"/>
  <c r="G84" i="17"/>
  <c r="G85" i="17" s="1"/>
  <c r="H84" i="17"/>
  <c r="H85" i="17" s="1"/>
  <c r="I84" i="17"/>
  <c r="I85" i="17" s="1"/>
  <c r="J84" i="17"/>
  <c r="J85" i="17" s="1"/>
  <c r="K84" i="17"/>
  <c r="K85" i="17" s="1"/>
  <c r="D84" i="17"/>
  <c r="D86" i="17" s="1"/>
  <c r="E82" i="17" s="1"/>
  <c r="D83" i="17"/>
  <c r="D82" i="17"/>
  <c r="D81" i="17"/>
  <c r="E81" i="17"/>
  <c r="F81" i="17"/>
  <c r="G81" i="17"/>
  <c r="H81" i="17"/>
  <c r="I81" i="17"/>
  <c r="J81" i="17"/>
  <c r="K81" i="17"/>
  <c r="D80" i="17"/>
  <c r="E80" i="17"/>
  <c r="F80" i="17"/>
  <c r="G80" i="17"/>
  <c r="H80" i="17"/>
  <c r="I80" i="17"/>
  <c r="J80" i="17"/>
  <c r="K80" i="17"/>
  <c r="M79" i="17"/>
  <c r="L79" i="17"/>
  <c r="M78" i="17"/>
  <c r="L78" i="17"/>
  <c r="M77" i="17"/>
  <c r="L77" i="17"/>
  <c r="M76" i="17"/>
  <c r="L76" i="17"/>
  <c r="M75" i="17"/>
  <c r="L75" i="17"/>
  <c r="M74" i="17"/>
  <c r="L74" i="17"/>
  <c r="M73" i="17"/>
  <c r="L73" i="17"/>
  <c r="G78" i="17"/>
  <c r="K78" i="17"/>
  <c r="E77" i="17"/>
  <c r="E78" i="17" s="1"/>
  <c r="F77" i="17"/>
  <c r="F78" i="17" s="1"/>
  <c r="G77" i="17"/>
  <c r="H77" i="17"/>
  <c r="H78" i="17" s="1"/>
  <c r="I77" i="17"/>
  <c r="I78" i="17" s="1"/>
  <c r="J77" i="17"/>
  <c r="J78" i="17" s="1"/>
  <c r="K77" i="17"/>
  <c r="D77" i="17"/>
  <c r="D79" i="17" s="1"/>
  <c r="E75" i="17" s="1"/>
  <c r="D76" i="17"/>
  <c r="D75" i="17"/>
  <c r="D74" i="17"/>
  <c r="E74" i="17"/>
  <c r="F74" i="17"/>
  <c r="G74" i="17"/>
  <c r="H74" i="17"/>
  <c r="I74" i="17"/>
  <c r="J74" i="17"/>
  <c r="K74" i="17"/>
  <c r="D73" i="17"/>
  <c r="E73" i="17"/>
  <c r="F73" i="17"/>
  <c r="G73" i="17"/>
  <c r="H73" i="17"/>
  <c r="I73" i="17"/>
  <c r="J73" i="17"/>
  <c r="K73" i="17"/>
  <c r="M72" i="17"/>
  <c r="L72" i="17"/>
  <c r="M71" i="17"/>
  <c r="L71" i="17"/>
  <c r="M70" i="17"/>
  <c r="L70" i="17"/>
  <c r="M69" i="17"/>
  <c r="L69" i="17"/>
  <c r="M68" i="17"/>
  <c r="L68" i="17"/>
  <c r="M67" i="17"/>
  <c r="L67" i="17"/>
  <c r="M66" i="17"/>
  <c r="L66" i="17"/>
  <c r="D70" i="17"/>
  <c r="D72" i="17" s="1"/>
  <c r="E68" i="17" s="1"/>
  <c r="E69" i="17" s="1"/>
  <c r="E70" i="17" s="1"/>
  <c r="E71" i="17" s="1"/>
  <c r="D69" i="17"/>
  <c r="D68" i="17"/>
  <c r="D67" i="17"/>
  <c r="E67" i="17"/>
  <c r="F67" i="17"/>
  <c r="G67" i="17"/>
  <c r="H67" i="17"/>
  <c r="I67" i="17"/>
  <c r="J67" i="17"/>
  <c r="K67" i="17"/>
  <c r="D66" i="17"/>
  <c r="E66" i="17"/>
  <c r="F66" i="17"/>
  <c r="G66" i="17"/>
  <c r="H66" i="17"/>
  <c r="I66" i="17"/>
  <c r="J66" i="17"/>
  <c r="K66" i="17"/>
  <c r="M65" i="17"/>
  <c r="L65" i="17"/>
  <c r="M64" i="17"/>
  <c r="L64" i="17"/>
  <c r="M63" i="17"/>
  <c r="L63" i="17"/>
  <c r="M62" i="17"/>
  <c r="L62" i="17"/>
  <c r="M61" i="17"/>
  <c r="L61" i="17"/>
  <c r="M60" i="17"/>
  <c r="L60" i="17"/>
  <c r="M59" i="17"/>
  <c r="L59" i="17"/>
  <c r="D63" i="17"/>
  <c r="D65" i="17" s="1"/>
  <c r="E61" i="17" s="1"/>
  <c r="E62" i="17" s="1"/>
  <c r="E63" i="17" s="1"/>
  <c r="E64" i="17" s="1"/>
  <c r="D62" i="17"/>
  <c r="D61" i="17"/>
  <c r="D60" i="17"/>
  <c r="E60" i="17"/>
  <c r="F60" i="17"/>
  <c r="G60" i="17"/>
  <c r="H60" i="17"/>
  <c r="I60" i="17"/>
  <c r="J60" i="17"/>
  <c r="K60" i="17"/>
  <c r="D59" i="17"/>
  <c r="E59" i="17"/>
  <c r="F59" i="17"/>
  <c r="G59" i="17"/>
  <c r="H59" i="17"/>
  <c r="I59" i="17"/>
  <c r="J59" i="17"/>
  <c r="K59" i="17"/>
  <c r="M58" i="17"/>
  <c r="L58" i="17"/>
  <c r="M57" i="17"/>
  <c r="L57" i="17"/>
  <c r="M56" i="17"/>
  <c r="L56" i="17"/>
  <c r="M55" i="17"/>
  <c r="L55" i="17"/>
  <c r="M54" i="17"/>
  <c r="L54" i="17"/>
  <c r="M53" i="17"/>
  <c r="L53" i="17"/>
  <c r="M52" i="17"/>
  <c r="L52" i="17"/>
  <c r="H57" i="17"/>
  <c r="J57" i="17"/>
  <c r="E56" i="17"/>
  <c r="E57" i="17" s="1"/>
  <c r="F56" i="17"/>
  <c r="F57" i="17" s="1"/>
  <c r="G56" i="17"/>
  <c r="G57" i="17" s="1"/>
  <c r="H56" i="17"/>
  <c r="I56" i="17"/>
  <c r="I57" i="17" s="1"/>
  <c r="J56" i="17"/>
  <c r="K56" i="17"/>
  <c r="K57" i="17" s="1"/>
  <c r="D56" i="17"/>
  <c r="D58" i="17" s="1"/>
  <c r="E54" i="17" s="1"/>
  <c r="D55" i="17"/>
  <c r="D54" i="17"/>
  <c r="D53" i="17"/>
  <c r="E53" i="17"/>
  <c r="F53" i="17"/>
  <c r="G53" i="17"/>
  <c r="H53" i="17"/>
  <c r="I53" i="17"/>
  <c r="J53" i="17"/>
  <c r="K53" i="17"/>
  <c r="D52" i="17"/>
  <c r="E52" i="17"/>
  <c r="F52" i="17"/>
  <c r="G52" i="17"/>
  <c r="H52" i="17"/>
  <c r="I52" i="17"/>
  <c r="J52" i="17"/>
  <c r="K52" i="17"/>
  <c r="M51" i="17"/>
  <c r="L51" i="17"/>
  <c r="M50" i="17"/>
  <c r="L50" i="17"/>
  <c r="M49" i="17"/>
  <c r="L49" i="17"/>
  <c r="M48" i="17"/>
  <c r="L48" i="17"/>
  <c r="M47" i="17"/>
  <c r="L47" i="17"/>
  <c r="M46" i="17"/>
  <c r="L46" i="17"/>
  <c r="M45" i="17"/>
  <c r="L45" i="17"/>
  <c r="H50" i="17"/>
  <c r="I50" i="17"/>
  <c r="E49" i="17"/>
  <c r="E50" i="17" s="1"/>
  <c r="F49" i="17"/>
  <c r="F50" i="17" s="1"/>
  <c r="G49" i="17"/>
  <c r="G50" i="17" s="1"/>
  <c r="H49" i="17"/>
  <c r="I49" i="17"/>
  <c r="J49" i="17"/>
  <c r="J50" i="17" s="1"/>
  <c r="K49" i="17"/>
  <c r="K50" i="17" s="1"/>
  <c r="D49" i="17"/>
  <c r="D51" i="17" s="1"/>
  <c r="E47" i="17" s="1"/>
  <c r="D48" i="17"/>
  <c r="D47" i="17"/>
  <c r="D46" i="17"/>
  <c r="E46" i="17"/>
  <c r="F46" i="17"/>
  <c r="G46" i="17"/>
  <c r="H46" i="17"/>
  <c r="I46" i="17"/>
  <c r="J46" i="17"/>
  <c r="K46" i="17"/>
  <c r="D45" i="17"/>
  <c r="E45" i="17"/>
  <c r="F45" i="17"/>
  <c r="G45" i="17"/>
  <c r="H45" i="17"/>
  <c r="I45" i="17"/>
  <c r="J45" i="17"/>
  <c r="K45" i="17"/>
  <c r="M44" i="17"/>
  <c r="L44" i="17"/>
  <c r="M43" i="17"/>
  <c r="L43" i="17"/>
  <c r="M42" i="17"/>
  <c r="L42" i="17"/>
  <c r="M41" i="17"/>
  <c r="L41" i="17"/>
  <c r="M40" i="17"/>
  <c r="L40" i="17"/>
  <c r="M39" i="17"/>
  <c r="L39" i="17"/>
  <c r="M38" i="17"/>
  <c r="L38" i="17"/>
  <c r="I43" i="17"/>
  <c r="J43" i="17"/>
  <c r="K43" i="17"/>
  <c r="E42" i="17"/>
  <c r="E43" i="17" s="1"/>
  <c r="F42" i="17"/>
  <c r="F43" i="17" s="1"/>
  <c r="G42" i="17"/>
  <c r="G43" i="17" s="1"/>
  <c r="H42" i="17"/>
  <c r="H43" i="17" s="1"/>
  <c r="I42" i="17"/>
  <c r="J42" i="17"/>
  <c r="K42" i="17"/>
  <c r="D42" i="17"/>
  <c r="D44" i="17" s="1"/>
  <c r="E40" i="17" s="1"/>
  <c r="E44" i="17" s="1"/>
  <c r="F40" i="17" s="1"/>
  <c r="D41" i="17"/>
  <c r="D40" i="17"/>
  <c r="D39" i="17"/>
  <c r="E39" i="17"/>
  <c r="F39" i="17"/>
  <c r="G39" i="17"/>
  <c r="H39" i="17"/>
  <c r="I39" i="17"/>
  <c r="J39" i="17"/>
  <c r="K39" i="17"/>
  <c r="D38" i="17"/>
  <c r="E38" i="17"/>
  <c r="F38" i="17"/>
  <c r="G38" i="17"/>
  <c r="H38" i="17"/>
  <c r="I38" i="17"/>
  <c r="J38" i="17"/>
  <c r="K38" i="17"/>
  <c r="M37" i="17"/>
  <c r="L37" i="17"/>
  <c r="M36" i="17"/>
  <c r="L36" i="17"/>
  <c r="M35" i="17"/>
  <c r="L35" i="17"/>
  <c r="M34" i="17"/>
  <c r="L34" i="17"/>
  <c r="M33" i="17"/>
  <c r="L33" i="17"/>
  <c r="M32" i="17"/>
  <c r="L32" i="17"/>
  <c r="M31" i="17"/>
  <c r="L31" i="17"/>
  <c r="I36" i="17"/>
  <c r="J36" i="17"/>
  <c r="K36" i="17"/>
  <c r="E35" i="17"/>
  <c r="E36" i="17" s="1"/>
  <c r="F35" i="17"/>
  <c r="F36" i="17" s="1"/>
  <c r="G35" i="17"/>
  <c r="G36" i="17" s="1"/>
  <c r="H35" i="17"/>
  <c r="H36" i="17" s="1"/>
  <c r="I35" i="17"/>
  <c r="J35" i="17"/>
  <c r="K35" i="17"/>
  <c r="D35" i="17"/>
  <c r="D37" i="17" s="1"/>
  <c r="E33" i="17" s="1"/>
  <c r="D34" i="17"/>
  <c r="D33" i="17"/>
  <c r="D32" i="17"/>
  <c r="E32" i="17"/>
  <c r="F32" i="17"/>
  <c r="G32" i="17"/>
  <c r="H32" i="17"/>
  <c r="I32" i="17"/>
  <c r="J32" i="17"/>
  <c r="K32" i="17"/>
  <c r="D31" i="17"/>
  <c r="E31" i="17"/>
  <c r="F31" i="17"/>
  <c r="G31" i="17"/>
  <c r="H31" i="17"/>
  <c r="I31" i="17"/>
  <c r="J31" i="17"/>
  <c r="K31" i="17"/>
  <c r="M30" i="17"/>
  <c r="L30" i="17"/>
  <c r="M29" i="17"/>
  <c r="L29" i="17"/>
  <c r="M28" i="17"/>
  <c r="L28" i="17"/>
  <c r="M27" i="17"/>
  <c r="L27" i="17"/>
  <c r="M26" i="17"/>
  <c r="L26" i="17"/>
  <c r="M25" i="17"/>
  <c r="L25" i="17"/>
  <c r="M24" i="17"/>
  <c r="L24" i="17"/>
  <c r="D28" i="17" s="1"/>
  <c r="I29" i="17"/>
  <c r="E28" i="17"/>
  <c r="E29" i="17" s="1"/>
  <c r="F28" i="17"/>
  <c r="F29" i="17" s="1"/>
  <c r="G28" i="17"/>
  <c r="G29" i="17" s="1"/>
  <c r="H28" i="17"/>
  <c r="H29" i="17" s="1"/>
  <c r="I28" i="17"/>
  <c r="J28" i="17"/>
  <c r="J29" i="17" s="1"/>
  <c r="K28" i="17"/>
  <c r="K29" i="17" s="1"/>
  <c r="D27" i="17"/>
  <c r="D26" i="17"/>
  <c r="D25" i="17"/>
  <c r="E25" i="17"/>
  <c r="F25" i="17"/>
  <c r="G25" i="17"/>
  <c r="H25" i="17"/>
  <c r="I25" i="17"/>
  <c r="J25" i="17"/>
  <c r="K25" i="17"/>
  <c r="D24" i="17"/>
  <c r="E24" i="17"/>
  <c r="F24" i="17"/>
  <c r="G24" i="17"/>
  <c r="H24" i="17"/>
  <c r="I24" i="17"/>
  <c r="J24" i="17"/>
  <c r="K24" i="17"/>
  <c r="M23" i="17"/>
  <c r="L23" i="17"/>
  <c r="M22" i="17"/>
  <c r="L22" i="17"/>
  <c r="M21" i="17"/>
  <c r="L21" i="17"/>
  <c r="M20" i="17"/>
  <c r="L20" i="17"/>
  <c r="M19" i="17"/>
  <c r="L19" i="17"/>
  <c r="M18" i="17"/>
  <c r="L18" i="17"/>
  <c r="M17" i="17"/>
  <c r="L17" i="17"/>
  <c r="D22" i="17"/>
  <c r="J22" i="17"/>
  <c r="E21" i="17"/>
  <c r="E22" i="17" s="1"/>
  <c r="F21" i="17"/>
  <c r="F22" i="17" s="1"/>
  <c r="G21" i="17"/>
  <c r="G22" i="17" s="1"/>
  <c r="H21" i="17"/>
  <c r="H22" i="17" s="1"/>
  <c r="I21" i="17"/>
  <c r="I22" i="17" s="1"/>
  <c r="J21" i="17"/>
  <c r="K21" i="17"/>
  <c r="K22" i="17" s="1"/>
  <c r="D21" i="17"/>
  <c r="D23" i="17" s="1"/>
  <c r="E19" i="17" s="1"/>
  <c r="D20" i="17"/>
  <c r="D19" i="17"/>
  <c r="D18" i="17"/>
  <c r="E18" i="17"/>
  <c r="F18" i="17"/>
  <c r="G18" i="17"/>
  <c r="H18" i="17"/>
  <c r="I18" i="17"/>
  <c r="J18" i="17"/>
  <c r="K18" i="17"/>
  <c r="D17" i="17"/>
  <c r="E17" i="17"/>
  <c r="F17" i="17"/>
  <c r="G17" i="17"/>
  <c r="H17" i="17"/>
  <c r="I17" i="17"/>
  <c r="J17" i="17"/>
  <c r="K17" i="17"/>
  <c r="M16" i="17"/>
  <c r="L16" i="17"/>
  <c r="M15" i="17"/>
  <c r="L15" i="17"/>
  <c r="M14" i="17"/>
  <c r="L14" i="17"/>
  <c r="M13" i="17"/>
  <c r="L13" i="17"/>
  <c r="M12" i="17"/>
  <c r="L12" i="17"/>
  <c r="M11" i="17"/>
  <c r="L11" i="17"/>
  <c r="M10" i="17"/>
  <c r="L10" i="17"/>
  <c r="D16" i="17"/>
  <c r="E12" i="17" s="1"/>
  <c r="D14" i="17"/>
  <c r="D15" i="17" s="1"/>
  <c r="D13" i="17"/>
  <c r="D12" i="17"/>
  <c r="D11" i="17"/>
  <c r="E11" i="17"/>
  <c r="F11" i="17"/>
  <c r="G11" i="17"/>
  <c r="H11" i="17"/>
  <c r="I11" i="17"/>
  <c r="J11" i="17"/>
  <c r="K11" i="17"/>
  <c r="D10" i="17"/>
  <c r="E10" i="17"/>
  <c r="F10" i="17"/>
  <c r="G10" i="17"/>
  <c r="H10" i="17"/>
  <c r="I10" i="17"/>
  <c r="J10" i="17"/>
  <c r="K10" i="17"/>
  <c r="M9" i="17"/>
  <c r="L9" i="17"/>
  <c r="M8" i="17"/>
  <c r="L8" i="17"/>
  <c r="M7" i="17"/>
  <c r="L7" i="17"/>
  <c r="M6" i="17"/>
  <c r="L6" i="17"/>
  <c r="M5" i="17"/>
  <c r="L5" i="17"/>
  <c r="M4" i="17"/>
  <c r="L4" i="17"/>
  <c r="M3" i="17"/>
  <c r="L3" i="17"/>
  <c r="D7" i="17"/>
  <c r="D9" i="17" s="1"/>
  <c r="E5" i="17" s="1"/>
  <c r="E6" i="17" s="1"/>
  <c r="E7" i="17" s="1"/>
  <c r="D6" i="17"/>
  <c r="D5" i="17"/>
  <c r="D4" i="17"/>
  <c r="E4" i="17"/>
  <c r="F4" i="17"/>
  <c r="G4" i="17"/>
  <c r="H4" i="17"/>
  <c r="I4" i="17"/>
  <c r="J4" i="17"/>
  <c r="K4" i="17"/>
  <c r="D3" i="17"/>
  <c r="E3" i="17"/>
  <c r="F3" i="17"/>
  <c r="G3" i="17"/>
  <c r="H3" i="17"/>
  <c r="I3" i="17"/>
  <c r="J3" i="17"/>
  <c r="K3" i="17"/>
  <c r="G7" i="13"/>
  <c r="G8" i="13"/>
  <c r="G9" i="13"/>
  <c r="G10" i="13"/>
  <c r="G11" i="13"/>
  <c r="G12" i="13"/>
  <c r="G13" i="13"/>
  <c r="G6" i="13"/>
  <c r="B113" i="1"/>
  <c r="B112" i="1"/>
  <c r="B111" i="1"/>
  <c r="B106" i="1"/>
  <c r="C35" i="1"/>
  <c r="C36" i="1"/>
  <c r="C37" i="1"/>
  <c r="C38" i="1"/>
  <c r="C39" i="1"/>
  <c r="C40" i="1"/>
  <c r="C41" i="1"/>
  <c r="C42" i="1"/>
  <c r="B49" i="3"/>
  <c r="B43" i="3"/>
  <c r="B37" i="3"/>
  <c r="B31" i="3"/>
  <c r="B25" i="3"/>
  <c r="B19" i="3"/>
  <c r="B13" i="3"/>
  <c r="B7" i="3"/>
  <c r="G7" i="4"/>
  <c r="G8" i="4"/>
  <c r="G9" i="4"/>
  <c r="G10" i="4"/>
  <c r="G11" i="4"/>
  <c r="G12" i="4"/>
  <c r="B6" i="2"/>
  <c r="G6" i="2" s="1"/>
  <c r="B7" i="2"/>
  <c r="I7" i="2" s="1"/>
  <c r="B8" i="2"/>
  <c r="J8" i="2" s="1"/>
  <c r="I21" i="3" s="1"/>
  <c r="B9" i="2"/>
  <c r="J9" i="2" s="1"/>
  <c r="B10" i="2"/>
  <c r="J10" i="2" s="1"/>
  <c r="B11" i="2"/>
  <c r="J11" i="2" s="1"/>
  <c r="B12" i="2"/>
  <c r="J12" i="2" s="1"/>
  <c r="B13" i="2"/>
  <c r="J13" i="2" s="1"/>
  <c r="I51" i="3" s="1"/>
  <c r="B101" i="1"/>
  <c r="C14" i="14" s="1"/>
  <c r="D15" i="2" s="1"/>
  <c r="B32" i="10"/>
  <c r="C32" i="10"/>
  <c r="B33" i="10"/>
  <c r="C33" i="10"/>
  <c r="B34" i="10"/>
  <c r="C34" i="10"/>
  <c r="B35" i="10"/>
  <c r="C35" i="10"/>
  <c r="B36" i="10"/>
  <c r="C36" i="10"/>
  <c r="B37" i="10"/>
  <c r="C37" i="10"/>
  <c r="B38" i="10"/>
  <c r="C38" i="10"/>
  <c r="B39" i="10"/>
  <c r="C39" i="10"/>
  <c r="B40" i="10"/>
  <c r="C40" i="10"/>
  <c r="B41" i="10"/>
  <c r="C41" i="10"/>
  <c r="B42" i="10"/>
  <c r="C42" i="10"/>
  <c r="B43" i="10"/>
  <c r="C43" i="10"/>
  <c r="B44" i="10"/>
  <c r="C44" i="10"/>
  <c r="B45" i="10"/>
  <c r="C45" i="10"/>
  <c r="B46" i="10"/>
  <c r="C46" i="10"/>
  <c r="B47" i="10"/>
  <c r="C47" i="10"/>
  <c r="B48" i="10"/>
  <c r="C48" i="10"/>
  <c r="B49" i="10"/>
  <c r="C49" i="10"/>
  <c r="B50" i="10"/>
  <c r="C50" i="10"/>
  <c r="B51" i="10"/>
  <c r="C51" i="10"/>
  <c r="B52" i="10"/>
  <c r="C52" i="10"/>
  <c r="B53" i="10"/>
  <c r="C53" i="10"/>
  <c r="B54" i="10"/>
  <c r="C54" i="10"/>
  <c r="B55" i="10"/>
  <c r="C55" i="10"/>
  <c r="B56" i="10"/>
  <c r="C56" i="10"/>
  <c r="B57" i="10"/>
  <c r="C57" i="10"/>
  <c r="B58" i="10"/>
  <c r="C58" i="10"/>
  <c r="B59" i="10"/>
  <c r="C59" i="10"/>
  <c r="B60" i="10"/>
  <c r="C60" i="10"/>
  <c r="B61" i="10"/>
  <c r="C61" i="10"/>
  <c r="B62" i="10"/>
  <c r="C62" i="10"/>
  <c r="B63" i="10"/>
  <c r="C63" i="10"/>
  <c r="B64" i="10"/>
  <c r="C64" i="10"/>
  <c r="B65" i="10"/>
  <c r="C65" i="10"/>
  <c r="B66" i="10"/>
  <c r="C66" i="10"/>
  <c r="B67" i="10"/>
  <c r="C67" i="10"/>
  <c r="B68" i="10"/>
  <c r="C68" i="10"/>
  <c r="B69" i="10"/>
  <c r="C69" i="10"/>
  <c r="B70" i="10"/>
  <c r="C70" i="10"/>
  <c r="B71" i="10"/>
  <c r="C71" i="10"/>
  <c r="B72" i="10"/>
  <c r="C72" i="10"/>
  <c r="B73" i="10"/>
  <c r="C73" i="10"/>
  <c r="B74" i="10"/>
  <c r="C74" i="10"/>
  <c r="B75" i="10"/>
  <c r="C75" i="10"/>
  <c r="B76" i="10"/>
  <c r="C76" i="10"/>
  <c r="B77" i="10"/>
  <c r="C77" i="10"/>
  <c r="B78" i="10"/>
  <c r="C78" i="10"/>
  <c r="B79" i="10"/>
  <c r="C79" i="10"/>
  <c r="B80" i="10"/>
  <c r="C80" i="10"/>
  <c r="B81" i="10"/>
  <c r="C81" i="10"/>
  <c r="B82" i="10"/>
  <c r="C82" i="10"/>
  <c r="B83" i="10"/>
  <c r="C83" i="10"/>
  <c r="B84" i="10"/>
  <c r="C84" i="10"/>
  <c r="B85" i="10"/>
  <c r="C85" i="10"/>
  <c r="B86" i="10"/>
  <c r="C86" i="10"/>
  <c r="B87" i="10"/>
  <c r="C87" i="10"/>
  <c r="B88" i="10"/>
  <c r="C88" i="10"/>
  <c r="B89" i="10"/>
  <c r="C89" i="10"/>
  <c r="B90" i="10"/>
  <c r="C90" i="10"/>
  <c r="B91" i="10"/>
  <c r="C91" i="10"/>
  <c r="B92" i="10"/>
  <c r="C92" i="10"/>
  <c r="B93" i="10"/>
  <c r="C93" i="10"/>
  <c r="B94" i="10"/>
  <c r="C94" i="10"/>
  <c r="B95" i="10"/>
  <c r="C95" i="10"/>
  <c r="B96" i="10"/>
  <c r="C96" i="10"/>
  <c r="B97" i="10"/>
  <c r="C97" i="10"/>
  <c r="B98" i="10"/>
  <c r="C98" i="10"/>
  <c r="B99" i="10"/>
  <c r="C99" i="10"/>
  <c r="B100" i="10"/>
  <c r="C100" i="10"/>
  <c r="B101" i="10"/>
  <c r="C101" i="10"/>
  <c r="B102" i="10"/>
  <c r="C102" i="10"/>
  <c r="B103" i="10"/>
  <c r="C103" i="10"/>
  <c r="B104" i="10"/>
  <c r="C104" i="10"/>
  <c r="B105" i="10"/>
  <c r="C105" i="10"/>
  <c r="B106" i="10"/>
  <c r="C106" i="10"/>
  <c r="B107" i="10"/>
  <c r="C107" i="10"/>
  <c r="B108" i="10"/>
  <c r="C108" i="10"/>
  <c r="B109" i="10"/>
  <c r="C109" i="10"/>
  <c r="B110" i="10"/>
  <c r="C110" i="10"/>
  <c r="B111" i="10"/>
  <c r="C111" i="10"/>
  <c r="B112" i="10"/>
  <c r="C112" i="10"/>
  <c r="B113" i="10"/>
  <c r="C113" i="10"/>
  <c r="B114" i="10"/>
  <c r="C114" i="10"/>
  <c r="B115" i="10"/>
  <c r="C115" i="10"/>
  <c r="B116" i="10"/>
  <c r="C116" i="10"/>
  <c r="B117" i="10"/>
  <c r="C117" i="10"/>
  <c r="B118" i="10"/>
  <c r="C118" i="10"/>
  <c r="B119" i="10"/>
  <c r="C119" i="10"/>
  <c r="B120" i="10"/>
  <c r="C120" i="10"/>
  <c r="B121" i="10"/>
  <c r="C121" i="10"/>
  <c r="B122" i="10"/>
  <c r="C122" i="10"/>
  <c r="B123" i="10"/>
  <c r="C123" i="10"/>
  <c r="B124" i="10"/>
  <c r="C124" i="10"/>
  <c r="B125" i="10"/>
  <c r="C125" i="10"/>
  <c r="B126" i="10"/>
  <c r="C126" i="10"/>
  <c r="B127" i="10"/>
  <c r="C127" i="10"/>
  <c r="B128" i="10"/>
  <c r="C128" i="10"/>
  <c r="B129" i="10"/>
  <c r="C129" i="10"/>
  <c r="B130" i="10"/>
  <c r="C130" i="10"/>
  <c r="C31" i="10"/>
  <c r="B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92" i="10"/>
  <c r="A93" i="10"/>
  <c r="A94" i="10"/>
  <c r="A95" i="10"/>
  <c r="A96" i="10"/>
  <c r="A97" i="10"/>
  <c r="A98" i="10"/>
  <c r="A99" i="10"/>
  <c r="A100" i="10"/>
  <c r="A101" i="10"/>
  <c r="A102" i="10"/>
  <c r="A103" i="10"/>
  <c r="A104" i="10"/>
  <c r="A105" i="10"/>
  <c r="A106" i="10"/>
  <c r="A107" i="10"/>
  <c r="A108" i="10"/>
  <c r="A109" i="10"/>
  <c r="A110" i="10"/>
  <c r="A111" i="10"/>
  <c r="A112" i="10"/>
  <c r="A113" i="10"/>
  <c r="A114" i="10"/>
  <c r="A115" i="10"/>
  <c r="A116" i="10"/>
  <c r="A117" i="10"/>
  <c r="A118" i="10"/>
  <c r="A119" i="10"/>
  <c r="A120" i="10"/>
  <c r="A121" i="10"/>
  <c r="A122" i="10"/>
  <c r="A123" i="10"/>
  <c r="A124" i="10"/>
  <c r="A125" i="10"/>
  <c r="A126" i="10"/>
  <c r="A127" i="10"/>
  <c r="A128" i="10"/>
  <c r="A129" i="10"/>
  <c r="A130" i="10"/>
  <c r="A31" i="10"/>
  <c r="B28" i="10"/>
  <c r="B27" i="10"/>
  <c r="G15" i="10"/>
  <c r="G14" i="10"/>
  <c r="B15" i="10"/>
  <c r="B14" i="10"/>
  <c r="K37" i="15"/>
  <c r="J37" i="15"/>
  <c r="K30" i="15"/>
  <c r="K31" i="15"/>
  <c r="K32" i="15"/>
  <c r="K33" i="15"/>
  <c r="K34" i="15"/>
  <c r="K35" i="15"/>
  <c r="K36" i="15"/>
  <c r="K29" i="15"/>
  <c r="J30" i="15"/>
  <c r="J31" i="15"/>
  <c r="J32" i="15"/>
  <c r="J33" i="15"/>
  <c r="J34" i="15"/>
  <c r="J35" i="15"/>
  <c r="J36" i="15"/>
  <c r="J29" i="15"/>
  <c r="F18" i="14"/>
  <c r="G18" i="14"/>
  <c r="H18" i="14"/>
  <c r="I18" i="14"/>
  <c r="G17" i="14"/>
  <c r="H17" i="14"/>
  <c r="I17" i="14"/>
  <c r="H16" i="14"/>
  <c r="I16" i="14"/>
  <c r="I15" i="14"/>
  <c r="D26" i="12"/>
  <c r="D27" i="12"/>
  <c r="D28" i="12"/>
  <c r="D29" i="12"/>
  <c r="D30" i="12"/>
  <c r="D31" i="12"/>
  <c r="D32" i="12"/>
  <c r="D33" i="12"/>
  <c r="D15" i="12"/>
  <c r="D16" i="12"/>
  <c r="D17" i="12"/>
  <c r="D18" i="12"/>
  <c r="D19" i="12"/>
  <c r="D20" i="12"/>
  <c r="D21" i="12"/>
  <c r="D22" i="12"/>
  <c r="I20" i="8"/>
  <c r="I19" i="8"/>
  <c r="I18" i="8"/>
  <c r="E19" i="8"/>
  <c r="E9" i="8"/>
  <c r="F19" i="8"/>
  <c r="F9" i="8"/>
  <c r="I9" i="8" s="1"/>
  <c r="B15" i="11"/>
  <c r="C15" i="11"/>
  <c r="D15" i="11"/>
  <c r="E15" i="11"/>
  <c r="F15" i="11"/>
  <c r="G15" i="11"/>
  <c r="H15" i="11"/>
  <c r="I15" i="11"/>
  <c r="B14" i="11"/>
  <c r="C14" i="11"/>
  <c r="D14" i="11"/>
  <c r="E14" i="11"/>
  <c r="F14" i="11"/>
  <c r="G14" i="11"/>
  <c r="H14" i="11"/>
  <c r="I14" i="11"/>
  <c r="E7" i="16"/>
  <c r="E6" i="16"/>
  <c r="H18" i="8"/>
  <c r="H19" i="8"/>
  <c r="H20" i="8"/>
  <c r="G18" i="8"/>
  <c r="G19" i="8"/>
  <c r="G20" i="8"/>
  <c r="D18" i="8"/>
  <c r="D19" i="8"/>
  <c r="D20" i="8"/>
  <c r="C18" i="8"/>
  <c r="C19" i="8"/>
  <c r="C20" i="8"/>
  <c r="B18" i="8"/>
  <c r="B19" i="8"/>
  <c r="B20" i="8"/>
  <c r="E20" i="8" s="1"/>
  <c r="F20" i="8" s="1"/>
  <c r="B15" i="8"/>
  <c r="H8" i="8"/>
  <c r="H9" i="8"/>
  <c r="H10" i="8"/>
  <c r="G8" i="8"/>
  <c r="G9" i="8"/>
  <c r="G10" i="8"/>
  <c r="D8" i="8"/>
  <c r="D9" i="8"/>
  <c r="D10" i="8"/>
  <c r="C8" i="8"/>
  <c r="C9" i="8"/>
  <c r="C10" i="8"/>
  <c r="B8" i="8"/>
  <c r="B9" i="8"/>
  <c r="B10" i="8"/>
  <c r="B5" i="8"/>
  <c r="H26" i="4"/>
  <c r="H27" i="4"/>
  <c r="H28" i="4"/>
  <c r="H29" i="4"/>
  <c r="H30" i="4"/>
  <c r="I30" i="4" s="1"/>
  <c r="H31" i="4"/>
  <c r="I31" i="4" s="1"/>
  <c r="H32" i="4"/>
  <c r="I32" i="4" s="1"/>
  <c r="H33" i="4"/>
  <c r="I33" i="4" s="1"/>
  <c r="H18" i="4"/>
  <c r="H19" i="4"/>
  <c r="H20" i="4"/>
  <c r="H21" i="4"/>
  <c r="H22" i="4"/>
  <c r="H23" i="4"/>
  <c r="H24" i="4"/>
  <c r="H25" i="4"/>
  <c r="I25" i="4" s="1"/>
  <c r="K26" i="4"/>
  <c r="K27" i="4"/>
  <c r="K28" i="4"/>
  <c r="K29" i="4"/>
  <c r="K30" i="4"/>
  <c r="K31" i="4"/>
  <c r="K32" i="4"/>
  <c r="K33" i="4"/>
  <c r="B8" i="11" s="1"/>
  <c r="K18" i="4"/>
  <c r="K19" i="4"/>
  <c r="K20" i="4"/>
  <c r="K21" i="4"/>
  <c r="B7" i="11" s="1"/>
  <c r="K22" i="4"/>
  <c r="K23" i="4"/>
  <c r="K24" i="4"/>
  <c r="K25" i="4"/>
  <c r="J26" i="4"/>
  <c r="J27" i="4"/>
  <c r="J28" i="4"/>
  <c r="J29" i="4"/>
  <c r="J30" i="4"/>
  <c r="J31" i="4"/>
  <c r="J32" i="4"/>
  <c r="J33" i="4"/>
  <c r="J18" i="4"/>
  <c r="J19" i="4"/>
  <c r="J20" i="4"/>
  <c r="J21" i="4"/>
  <c r="J22" i="4"/>
  <c r="J23" i="4"/>
  <c r="J24" i="4"/>
  <c r="J25" i="4"/>
  <c r="D12" i="5"/>
  <c r="D11" i="5"/>
  <c r="E13" i="13"/>
  <c r="E12" i="13"/>
  <c r="E11" i="13"/>
  <c r="E10" i="13"/>
  <c r="E9" i="13"/>
  <c r="E8" i="13"/>
  <c r="E7" i="13"/>
  <c r="E6" i="13"/>
  <c r="E33" i="12"/>
  <c r="C33" i="12"/>
  <c r="C32" i="12"/>
  <c r="E32" i="12" s="1"/>
  <c r="C31" i="12"/>
  <c r="E31" i="12" s="1"/>
  <c r="E30" i="12"/>
  <c r="C30" i="12"/>
  <c r="C29" i="12"/>
  <c r="E29" i="12" s="1"/>
  <c r="C28" i="12"/>
  <c r="E28" i="12" s="1"/>
  <c r="E27" i="12"/>
  <c r="C27" i="12"/>
  <c r="E26" i="12"/>
  <c r="C26" i="12"/>
  <c r="E22" i="12"/>
  <c r="C22" i="12"/>
  <c r="C21" i="12"/>
  <c r="E21" i="12" s="1"/>
  <c r="C20" i="12"/>
  <c r="E20" i="12" s="1"/>
  <c r="E19" i="12"/>
  <c r="C19" i="12"/>
  <c r="C18" i="12"/>
  <c r="E18" i="12" s="1"/>
  <c r="C17" i="12"/>
  <c r="E17" i="12" s="1"/>
  <c r="E16" i="12"/>
  <c r="C16" i="12"/>
  <c r="E15" i="12"/>
  <c r="C15" i="12"/>
  <c r="C16" i="11"/>
  <c r="B16" i="11"/>
  <c r="D15" i="10"/>
  <c r="C15" i="10"/>
  <c r="D14" i="10"/>
  <c r="C14" i="10"/>
  <c r="B29" i="9"/>
  <c r="B28" i="9"/>
  <c r="B18" i="9"/>
  <c r="B17" i="9"/>
  <c r="B16" i="9"/>
  <c r="E18" i="8"/>
  <c r="F18" i="8" s="1"/>
  <c r="E10" i="8"/>
  <c r="F10" i="8" s="1"/>
  <c r="I10" i="8" s="1"/>
  <c r="E8" i="8"/>
  <c r="F8" i="8" s="1"/>
  <c r="I8" i="8" s="1"/>
  <c r="F27" i="7"/>
  <c r="E27" i="7"/>
  <c r="F25" i="7"/>
  <c r="E25" i="7"/>
  <c r="D24" i="7"/>
  <c r="C24" i="7"/>
  <c r="B24" i="7"/>
  <c r="F24" i="7" s="1"/>
  <c r="E23" i="7"/>
  <c r="D23" i="7"/>
  <c r="C23" i="7"/>
  <c r="B23" i="7"/>
  <c r="F23" i="7" s="1"/>
  <c r="I9" i="6"/>
  <c r="H9" i="6"/>
  <c r="G9" i="6"/>
  <c r="F9" i="6"/>
  <c r="E9" i="6"/>
  <c r="D9" i="6"/>
  <c r="C9" i="6"/>
  <c r="J8" i="6"/>
  <c r="J7" i="6"/>
  <c r="C13" i="5"/>
  <c r="C12" i="5"/>
  <c r="C11" i="5"/>
  <c r="D33" i="4"/>
  <c r="G33" i="4" s="1"/>
  <c r="D32" i="4"/>
  <c r="G32" i="4" s="1"/>
  <c r="D31" i="4"/>
  <c r="G31" i="4" s="1"/>
  <c r="D30" i="4"/>
  <c r="G30" i="4" s="1"/>
  <c r="I29" i="4"/>
  <c r="G29" i="4"/>
  <c r="D29" i="4"/>
  <c r="I28" i="4"/>
  <c r="D28" i="4"/>
  <c r="G28" i="4" s="1"/>
  <c r="I27" i="4"/>
  <c r="G27" i="4"/>
  <c r="D27" i="4"/>
  <c r="I26" i="4"/>
  <c r="G26" i="4"/>
  <c r="D26" i="4"/>
  <c r="D25" i="4"/>
  <c r="G25" i="4" s="1"/>
  <c r="I24" i="4"/>
  <c r="G24" i="4"/>
  <c r="D24" i="4"/>
  <c r="I23" i="4"/>
  <c r="D23" i="4"/>
  <c r="G23" i="4" s="1"/>
  <c r="I22" i="4"/>
  <c r="G22" i="4"/>
  <c r="D22" i="4"/>
  <c r="I21" i="4"/>
  <c r="G21" i="4"/>
  <c r="D21" i="4"/>
  <c r="I20" i="4"/>
  <c r="D20" i="4"/>
  <c r="G20" i="4" s="1"/>
  <c r="I19" i="4"/>
  <c r="G19" i="4"/>
  <c r="D19" i="4"/>
  <c r="I18" i="4"/>
  <c r="G18" i="4"/>
  <c r="D18" i="4"/>
  <c r="C12" i="4"/>
  <c r="C11" i="4"/>
  <c r="C10" i="4"/>
  <c r="C9" i="4"/>
  <c r="C8" i="4"/>
  <c r="C7" i="4"/>
  <c r="J62" i="3"/>
  <c r="I62" i="3"/>
  <c r="H62" i="3"/>
  <c r="G62" i="3"/>
  <c r="F62" i="3"/>
  <c r="E62" i="3"/>
  <c r="D62" i="3"/>
  <c r="C62" i="3"/>
  <c r="B62" i="3"/>
  <c r="J59" i="3"/>
  <c r="J58" i="3"/>
  <c r="J56" i="3"/>
  <c r="J15" i="2"/>
  <c r="E98" i="1"/>
  <c r="E97" i="1"/>
  <c r="E96" i="1"/>
  <c r="E95" i="1"/>
  <c r="E94" i="1"/>
  <c r="E93" i="1"/>
  <c r="E92" i="1"/>
  <c r="E91" i="1"/>
  <c r="C54" i="1"/>
  <c r="C53" i="1"/>
  <c r="C52" i="1"/>
  <c r="C51" i="1"/>
  <c r="C50" i="1"/>
  <c r="C49" i="1"/>
  <c r="C48" i="1"/>
  <c r="C47" i="1"/>
  <c r="C46" i="1"/>
  <c r="C44" i="1"/>
  <c r="C43" i="1"/>
  <c r="J6" i="1"/>
  <c r="E114" i="17" l="1"/>
  <c r="F110" i="17" s="1"/>
  <c r="F114" i="17" s="1"/>
  <c r="G110" i="17" s="1"/>
  <c r="G114" i="17" s="1"/>
  <c r="H110" i="17" s="1"/>
  <c r="E111" i="17"/>
  <c r="D113" i="17"/>
  <c r="G111" i="17"/>
  <c r="F111" i="17"/>
  <c r="E107" i="17"/>
  <c r="F103" i="17" s="1"/>
  <c r="E104" i="17"/>
  <c r="D106" i="17"/>
  <c r="F107" i="17"/>
  <c r="G103" i="17" s="1"/>
  <c r="F104" i="17"/>
  <c r="E97" i="17"/>
  <c r="E100" i="17"/>
  <c r="F96" i="17" s="1"/>
  <c r="F100" i="17" s="1"/>
  <c r="G96" i="17" s="1"/>
  <c r="G97" i="17" s="1"/>
  <c r="D99" i="17"/>
  <c r="E93" i="17"/>
  <c r="F89" i="17" s="1"/>
  <c r="E90" i="17"/>
  <c r="D92" i="17"/>
  <c r="F93" i="17"/>
  <c r="G89" i="17" s="1"/>
  <c r="F90" i="17"/>
  <c r="E86" i="17"/>
  <c r="F82" i="17" s="1"/>
  <c r="F86" i="17" s="1"/>
  <c r="G82" i="17" s="1"/>
  <c r="E83" i="17"/>
  <c r="D85" i="17"/>
  <c r="E76" i="17"/>
  <c r="E79" i="17"/>
  <c r="F75" i="17" s="1"/>
  <c r="F79" i="17" s="1"/>
  <c r="G75" i="17" s="1"/>
  <c r="G79" i="17" s="1"/>
  <c r="H75" i="17" s="1"/>
  <c r="D78" i="17"/>
  <c r="G76" i="17"/>
  <c r="F76" i="17"/>
  <c r="D71" i="17"/>
  <c r="E72" i="17"/>
  <c r="F68" i="17" s="1"/>
  <c r="D64" i="17"/>
  <c r="E65" i="17"/>
  <c r="F61" i="17" s="1"/>
  <c r="E58" i="17"/>
  <c r="F54" i="17" s="1"/>
  <c r="E55" i="17"/>
  <c r="D57" i="17"/>
  <c r="F58" i="17"/>
  <c r="G54" i="17" s="1"/>
  <c r="F55" i="17"/>
  <c r="E51" i="17"/>
  <c r="F47" i="17" s="1"/>
  <c r="F51" i="17" s="1"/>
  <c r="G47" i="17" s="1"/>
  <c r="E48" i="17"/>
  <c r="D50" i="17"/>
  <c r="D43" i="17"/>
  <c r="F44" i="17"/>
  <c r="G40" i="17" s="1"/>
  <c r="F41" i="17"/>
  <c r="E41" i="17"/>
  <c r="E37" i="17"/>
  <c r="F33" i="17" s="1"/>
  <c r="F37" i="17" s="1"/>
  <c r="G33" i="17" s="1"/>
  <c r="E34" i="17"/>
  <c r="D36" i="17"/>
  <c r="D30" i="17"/>
  <c r="E26" i="17" s="1"/>
  <c r="D29" i="17"/>
  <c r="E23" i="17"/>
  <c r="F19" i="17" s="1"/>
  <c r="E20" i="17"/>
  <c r="F23" i="17"/>
  <c r="G19" i="17" s="1"/>
  <c r="F20" i="17"/>
  <c r="E13" i="17"/>
  <c r="E14" i="17" s="1"/>
  <c r="E15" i="17" s="1"/>
  <c r="D8" i="17"/>
  <c r="E9" i="17"/>
  <c r="F5" i="17" s="1"/>
  <c r="E8" i="17"/>
  <c r="H7" i="2"/>
  <c r="J6" i="2"/>
  <c r="I6" i="2"/>
  <c r="H6" i="2"/>
  <c r="J7" i="2"/>
  <c r="I33" i="3"/>
  <c r="B14" i="14"/>
  <c r="C15" i="2" s="1"/>
  <c r="I14" i="14"/>
  <c r="H15" i="14" s="1"/>
  <c r="H14" i="14"/>
  <c r="G14" i="14"/>
  <c r="F15" i="14" s="1"/>
  <c r="E14" i="14"/>
  <c r="F14" i="14"/>
  <c r="G15" i="2" s="1"/>
  <c r="D14" i="14"/>
  <c r="E15" i="2" s="1"/>
  <c r="B15" i="14"/>
  <c r="E15" i="10"/>
  <c r="F15" i="10" s="1"/>
  <c r="E14" i="10"/>
  <c r="F14" i="10" s="1"/>
  <c r="B21" i="8"/>
  <c r="B11" i="8"/>
  <c r="E16" i="11"/>
  <c r="D16" i="11"/>
  <c r="I8" i="11"/>
  <c r="H8" i="11"/>
  <c r="H9" i="11" s="1"/>
  <c r="G8" i="11"/>
  <c r="F8" i="11"/>
  <c r="E8" i="11"/>
  <c r="D8" i="11"/>
  <c r="C8" i="11"/>
  <c r="I7" i="11"/>
  <c r="H7" i="11"/>
  <c r="G7" i="11"/>
  <c r="E7" i="11"/>
  <c r="F7" i="11"/>
  <c r="D7" i="11"/>
  <c r="C7" i="11"/>
  <c r="F16" i="11"/>
  <c r="G16" i="11"/>
  <c r="H16" i="11"/>
  <c r="I16" i="11"/>
  <c r="B12" i="5"/>
  <c r="C22" i="10"/>
  <c r="C20" i="10"/>
  <c r="B11" i="5"/>
  <c r="F6" i="16"/>
  <c r="G6" i="16" s="1"/>
  <c r="I45" i="3"/>
  <c r="I27" i="3"/>
  <c r="I39" i="3"/>
  <c r="J14" i="11"/>
  <c r="J15" i="11"/>
  <c r="F7" i="16"/>
  <c r="G7" i="16" s="1"/>
  <c r="B7" i="9"/>
  <c r="C25" i="4"/>
  <c r="E25" i="4" s="1"/>
  <c r="I9" i="3"/>
  <c r="E24" i="7"/>
  <c r="D13" i="5"/>
  <c r="H114" i="17" l="1"/>
  <c r="I110" i="17" s="1"/>
  <c r="H111" i="17"/>
  <c r="G107" i="17"/>
  <c r="H103" i="17" s="1"/>
  <c r="G104" i="17"/>
  <c r="F97" i="17"/>
  <c r="G100" i="17"/>
  <c r="H96" i="17" s="1"/>
  <c r="H100" i="17"/>
  <c r="I96" i="17" s="1"/>
  <c r="H97" i="17"/>
  <c r="G93" i="17"/>
  <c r="H89" i="17" s="1"/>
  <c r="G90" i="17"/>
  <c r="F83" i="17"/>
  <c r="G86" i="17"/>
  <c r="H82" i="17" s="1"/>
  <c r="G83" i="17"/>
  <c r="H79" i="17"/>
  <c r="I75" i="17" s="1"/>
  <c r="H76" i="17"/>
  <c r="F69" i="17"/>
  <c r="F70" i="17" s="1"/>
  <c r="F71" i="17" s="1"/>
  <c r="F62" i="17"/>
  <c r="F63" i="17" s="1"/>
  <c r="F64" i="17" s="1"/>
  <c r="G58" i="17"/>
  <c r="H54" i="17" s="1"/>
  <c r="G55" i="17"/>
  <c r="F48" i="17"/>
  <c r="G51" i="17"/>
  <c r="H47" i="17" s="1"/>
  <c r="G48" i="17"/>
  <c r="G41" i="17"/>
  <c r="G44" i="17"/>
  <c r="H40" i="17" s="1"/>
  <c r="F34" i="17"/>
  <c r="G37" i="17"/>
  <c r="H33" i="17" s="1"/>
  <c r="G34" i="17"/>
  <c r="E30" i="17"/>
  <c r="F26" i="17" s="1"/>
  <c r="E27" i="17"/>
  <c r="G23" i="17"/>
  <c r="H19" i="17" s="1"/>
  <c r="G20" i="17"/>
  <c r="E16" i="17"/>
  <c r="F12" i="17" s="1"/>
  <c r="F6" i="17"/>
  <c r="F7" i="17" s="1"/>
  <c r="F8" i="17" s="1"/>
  <c r="E16" i="14"/>
  <c r="D17" i="14" s="1"/>
  <c r="C18" i="14" s="1"/>
  <c r="D6" i="2" s="1"/>
  <c r="G10" i="2"/>
  <c r="G8" i="2"/>
  <c r="G12" i="2"/>
  <c r="G9" i="2"/>
  <c r="G11" i="2"/>
  <c r="G13" i="2"/>
  <c r="G16" i="14"/>
  <c r="F17" i="14" s="1"/>
  <c r="G7" i="2" s="1"/>
  <c r="I8" i="2"/>
  <c r="I9" i="2"/>
  <c r="I10" i="2"/>
  <c r="I11" i="2"/>
  <c r="I12" i="2"/>
  <c r="I13" i="2"/>
  <c r="C8" i="2"/>
  <c r="C11" i="2"/>
  <c r="C13" i="2"/>
  <c r="C10" i="2"/>
  <c r="B33" i="3" s="1"/>
  <c r="B34" i="3" s="1"/>
  <c r="B22" i="15" s="1"/>
  <c r="B33" i="15" s="1"/>
  <c r="C12" i="2"/>
  <c r="C9" i="2"/>
  <c r="E15" i="14"/>
  <c r="E7" i="2"/>
  <c r="E18" i="14"/>
  <c r="F6" i="2" s="1"/>
  <c r="I15" i="2"/>
  <c r="G15" i="14"/>
  <c r="H15" i="2"/>
  <c r="C15" i="14"/>
  <c r="F15" i="2"/>
  <c r="D15" i="14"/>
  <c r="B51" i="3"/>
  <c r="B52" i="3" s="1"/>
  <c r="B45" i="3"/>
  <c r="H15" i="10"/>
  <c r="I15" i="10" s="1"/>
  <c r="F23" i="10" s="1"/>
  <c r="H14" i="10"/>
  <c r="I14" i="10" s="1"/>
  <c r="I9" i="11"/>
  <c r="J8" i="11"/>
  <c r="J7" i="11"/>
  <c r="F9" i="11"/>
  <c r="D9" i="11"/>
  <c r="E9" i="11"/>
  <c r="G9" i="11"/>
  <c r="C9" i="11"/>
  <c r="J16" i="11"/>
  <c r="C23" i="10"/>
  <c r="G22" i="10"/>
  <c r="E23" i="10"/>
  <c r="C21" i="10"/>
  <c r="G20" i="10"/>
  <c r="C33" i="4"/>
  <c r="E33" i="4" s="1"/>
  <c r="I15" i="3"/>
  <c r="I114" i="17" l="1"/>
  <c r="J110" i="17" s="1"/>
  <c r="I111" i="17"/>
  <c r="H107" i="17"/>
  <c r="I103" i="17" s="1"/>
  <c r="H104" i="17"/>
  <c r="I100" i="17"/>
  <c r="J96" i="17" s="1"/>
  <c r="I97" i="17"/>
  <c r="H93" i="17"/>
  <c r="I89" i="17" s="1"/>
  <c r="H90" i="17"/>
  <c r="H86" i="17"/>
  <c r="I82" i="17" s="1"/>
  <c r="H83" i="17"/>
  <c r="I79" i="17"/>
  <c r="J75" i="17" s="1"/>
  <c r="I76" i="17"/>
  <c r="F72" i="17"/>
  <c r="G68" i="17" s="1"/>
  <c r="F65" i="17"/>
  <c r="G61" i="17" s="1"/>
  <c r="H58" i="17"/>
  <c r="I54" i="17" s="1"/>
  <c r="H55" i="17"/>
  <c r="H51" i="17"/>
  <c r="I47" i="17" s="1"/>
  <c r="H48" i="17"/>
  <c r="H44" i="17"/>
  <c r="I40" i="17" s="1"/>
  <c r="H41" i="17"/>
  <c r="H37" i="17"/>
  <c r="I33" i="17" s="1"/>
  <c r="H34" i="17"/>
  <c r="F30" i="17"/>
  <c r="G26" i="17" s="1"/>
  <c r="F27" i="17"/>
  <c r="H23" i="17"/>
  <c r="I19" i="17" s="1"/>
  <c r="H20" i="17"/>
  <c r="F13" i="17"/>
  <c r="F14" i="17" s="1"/>
  <c r="F15" i="17" s="1"/>
  <c r="F9" i="17"/>
  <c r="G5" i="17" s="1"/>
  <c r="C16" i="14"/>
  <c r="B17" i="14" s="1"/>
  <c r="C7" i="2" s="1"/>
  <c r="E8" i="2"/>
  <c r="E9" i="2"/>
  <c r="E10" i="2"/>
  <c r="E11" i="2"/>
  <c r="E12" i="2"/>
  <c r="E13" i="2"/>
  <c r="D8" i="2"/>
  <c r="D9" i="2"/>
  <c r="D10" i="2"/>
  <c r="D11" i="2"/>
  <c r="D12" i="2"/>
  <c r="D13" i="2"/>
  <c r="C51" i="3" s="1"/>
  <c r="B16" i="14"/>
  <c r="F16" i="14"/>
  <c r="E17" i="14" s="1"/>
  <c r="F7" i="2" s="1"/>
  <c r="H10" i="2"/>
  <c r="H8" i="2"/>
  <c r="H12" i="2"/>
  <c r="H9" i="2"/>
  <c r="H11" i="2"/>
  <c r="H13" i="2"/>
  <c r="D16" i="14"/>
  <c r="C17" i="14" s="1"/>
  <c r="F8" i="2"/>
  <c r="F9" i="2"/>
  <c r="F10" i="2"/>
  <c r="F11" i="2"/>
  <c r="F12" i="2"/>
  <c r="F13" i="2"/>
  <c r="K15" i="2"/>
  <c r="B15" i="3"/>
  <c r="B16" i="3" s="1"/>
  <c r="B19" i="15" s="1"/>
  <c r="B30" i="15" s="1"/>
  <c r="B27" i="3"/>
  <c r="B28" i="3" s="1"/>
  <c r="B21" i="15" s="1"/>
  <c r="B32" i="15" s="1"/>
  <c r="B21" i="3"/>
  <c r="B22" i="3" s="1"/>
  <c r="B20" i="15" s="1"/>
  <c r="B31" i="15" s="1"/>
  <c r="C26" i="4"/>
  <c r="E26" i="4" s="1"/>
  <c r="C31" i="3"/>
  <c r="C39" i="3"/>
  <c r="C45" i="3"/>
  <c r="B39" i="3"/>
  <c r="B40" i="3" s="1"/>
  <c r="B23" i="15" s="1"/>
  <c r="B34" i="15" s="1"/>
  <c r="B25" i="15"/>
  <c r="B36" i="15" s="1"/>
  <c r="C49" i="3"/>
  <c r="G23" i="10"/>
  <c r="B26" i="7"/>
  <c r="C26" i="7"/>
  <c r="D26" i="7"/>
  <c r="F21" i="10"/>
  <c r="G21" i="10"/>
  <c r="C9" i="3"/>
  <c r="C19" i="4"/>
  <c r="E19" i="4" s="1"/>
  <c r="B46" i="3"/>
  <c r="B24" i="15" s="1"/>
  <c r="B35" i="15" s="1"/>
  <c r="E21" i="10"/>
  <c r="J111" i="17" l="1"/>
  <c r="J114" i="17"/>
  <c r="K110" i="17" s="1"/>
  <c r="I107" i="17"/>
  <c r="J103" i="17" s="1"/>
  <c r="I104" i="17"/>
  <c r="J100" i="17"/>
  <c r="K96" i="17" s="1"/>
  <c r="J97" i="17"/>
  <c r="I93" i="17"/>
  <c r="J89" i="17" s="1"/>
  <c r="I90" i="17"/>
  <c r="I86" i="17"/>
  <c r="J82" i="17" s="1"/>
  <c r="I83" i="17"/>
  <c r="J79" i="17"/>
  <c r="K75" i="17" s="1"/>
  <c r="J76" i="17"/>
  <c r="G69" i="17"/>
  <c r="G70" i="17" s="1"/>
  <c r="G71" i="17" s="1"/>
  <c r="G62" i="17"/>
  <c r="G63" i="17" s="1"/>
  <c r="G64" i="17" s="1"/>
  <c r="I58" i="17"/>
  <c r="J54" i="17" s="1"/>
  <c r="I55" i="17"/>
  <c r="I51" i="17"/>
  <c r="J47" i="17" s="1"/>
  <c r="I48" i="17"/>
  <c r="I44" i="17"/>
  <c r="J40" i="17" s="1"/>
  <c r="I41" i="17"/>
  <c r="I37" i="17"/>
  <c r="J33" i="17" s="1"/>
  <c r="I34" i="17"/>
  <c r="G30" i="17"/>
  <c r="H26" i="17" s="1"/>
  <c r="G27" i="17"/>
  <c r="I23" i="17"/>
  <c r="J19" i="17" s="1"/>
  <c r="I20" i="17"/>
  <c r="F16" i="17"/>
  <c r="G12" i="17" s="1"/>
  <c r="G6" i="17"/>
  <c r="G7" i="17" s="1"/>
  <c r="G8" i="17" s="1"/>
  <c r="B18" i="14"/>
  <c r="C6" i="2" s="1"/>
  <c r="D7" i="2"/>
  <c r="D18" i="14"/>
  <c r="E6" i="2" s="1"/>
  <c r="C20" i="4" s="1"/>
  <c r="E20" i="4" s="1"/>
  <c r="F27" i="3"/>
  <c r="C27" i="3"/>
  <c r="C25" i="3"/>
  <c r="C28" i="3" s="1"/>
  <c r="C21" i="3"/>
  <c r="D27" i="3"/>
  <c r="E27" i="3"/>
  <c r="E45" i="3"/>
  <c r="D45" i="3"/>
  <c r="C19" i="3"/>
  <c r="D39" i="3"/>
  <c r="E39" i="3"/>
  <c r="C52" i="3"/>
  <c r="D21" i="3"/>
  <c r="D51" i="3"/>
  <c r="H27" i="3"/>
  <c r="G27" i="3"/>
  <c r="C33" i="3"/>
  <c r="C34" i="3" s="1"/>
  <c r="F26" i="7"/>
  <c r="E26" i="7"/>
  <c r="F45" i="3"/>
  <c r="F39" i="3"/>
  <c r="C43" i="3"/>
  <c r="C46" i="3" s="1"/>
  <c r="C24" i="15" s="1"/>
  <c r="C35" i="15" s="1"/>
  <c r="C28" i="4"/>
  <c r="E28" i="4" s="1"/>
  <c r="D15" i="3"/>
  <c r="B22" i="11"/>
  <c r="C37" i="3"/>
  <c r="C40" i="3" s="1"/>
  <c r="C23" i="15" s="1"/>
  <c r="C34" i="15" s="1"/>
  <c r="C13" i="3"/>
  <c r="K114" i="17" l="1"/>
  <c r="K111" i="17"/>
  <c r="J107" i="17"/>
  <c r="K103" i="17" s="1"/>
  <c r="J104" i="17"/>
  <c r="K97" i="17"/>
  <c r="K100" i="17"/>
  <c r="J93" i="17"/>
  <c r="K89" i="17" s="1"/>
  <c r="J90" i="17"/>
  <c r="J86" i="17"/>
  <c r="K82" i="17" s="1"/>
  <c r="J83" i="17"/>
  <c r="K79" i="17"/>
  <c r="K76" i="17"/>
  <c r="G72" i="17"/>
  <c r="H68" i="17" s="1"/>
  <c r="G65" i="17"/>
  <c r="H61" i="17" s="1"/>
  <c r="J58" i="17"/>
  <c r="K54" i="17" s="1"/>
  <c r="J55" i="17"/>
  <c r="J51" i="17"/>
  <c r="K47" i="17" s="1"/>
  <c r="J48" i="17"/>
  <c r="J44" i="17"/>
  <c r="K40" i="17" s="1"/>
  <c r="J41" i="17"/>
  <c r="J34" i="17"/>
  <c r="J37" i="17"/>
  <c r="K33" i="17" s="1"/>
  <c r="H30" i="17"/>
  <c r="I26" i="17" s="1"/>
  <c r="H27" i="17"/>
  <c r="J23" i="17"/>
  <c r="K19" i="17" s="1"/>
  <c r="J20" i="17"/>
  <c r="G13" i="17"/>
  <c r="G14" i="17" s="1"/>
  <c r="G15" i="17" s="1"/>
  <c r="G9" i="17"/>
  <c r="H5" i="17" s="1"/>
  <c r="D9" i="3"/>
  <c r="C27" i="4"/>
  <c r="E27" i="4" s="1"/>
  <c r="C15" i="3"/>
  <c r="B9" i="3"/>
  <c r="B10" i="3" s="1"/>
  <c r="C18" i="4"/>
  <c r="E18" i="4" s="1"/>
  <c r="C22" i="3"/>
  <c r="C20" i="15" s="1"/>
  <c r="C31" i="15" s="1"/>
  <c r="C21" i="15"/>
  <c r="C32" i="15" s="1"/>
  <c r="D25" i="3"/>
  <c r="D28" i="3" s="1"/>
  <c r="D21" i="15" s="1"/>
  <c r="D32" i="15" s="1"/>
  <c r="E51" i="3"/>
  <c r="K9" i="2"/>
  <c r="C22" i="15"/>
  <c r="C33" i="15" s="1"/>
  <c r="D31" i="3"/>
  <c r="E21" i="3"/>
  <c r="D33" i="3"/>
  <c r="C25" i="15"/>
  <c r="C36" i="15" s="1"/>
  <c r="D49" i="3"/>
  <c r="D52" i="3" s="1"/>
  <c r="H45" i="3"/>
  <c r="G45" i="3"/>
  <c r="K12" i="2"/>
  <c r="D37" i="3"/>
  <c r="D40" i="3" s="1"/>
  <c r="D23" i="15" s="1"/>
  <c r="D34" i="15" s="1"/>
  <c r="D43" i="3"/>
  <c r="D46" i="3" s="1"/>
  <c r="D24" i="15" s="1"/>
  <c r="D35" i="15" s="1"/>
  <c r="C29" i="4"/>
  <c r="E29" i="4" s="1"/>
  <c r="E15" i="3"/>
  <c r="G39" i="3"/>
  <c r="E9" i="3"/>
  <c r="C21" i="4"/>
  <c r="E21" i="4" s="1"/>
  <c r="C16" i="3"/>
  <c r="C19" i="15" s="1"/>
  <c r="C30" i="15" s="1"/>
  <c r="K107" i="17" l="1"/>
  <c r="K104" i="17"/>
  <c r="K90" i="17"/>
  <c r="K93" i="17"/>
  <c r="K86" i="17"/>
  <c r="K83" i="17"/>
  <c r="H69" i="17"/>
  <c r="H70" i="17" s="1"/>
  <c r="H71" i="17" s="1"/>
  <c r="H62" i="17"/>
  <c r="H63" i="17" s="1"/>
  <c r="H64" i="17" s="1"/>
  <c r="K58" i="17"/>
  <c r="K55" i="17"/>
  <c r="K51" i="17"/>
  <c r="K48" i="17"/>
  <c r="K44" i="17"/>
  <c r="K41" i="17"/>
  <c r="K34" i="17"/>
  <c r="K37" i="17"/>
  <c r="I30" i="17"/>
  <c r="J26" i="17" s="1"/>
  <c r="I27" i="17"/>
  <c r="K20" i="17"/>
  <c r="K23" i="17"/>
  <c r="G16" i="17"/>
  <c r="H12" i="17" s="1"/>
  <c r="H6" i="17"/>
  <c r="H7" i="17" s="1"/>
  <c r="H8" i="17" s="1"/>
  <c r="B18" i="15"/>
  <c r="B29" i="15" s="1"/>
  <c r="B21" i="11"/>
  <c r="B23" i="11" s="1"/>
  <c r="C7" i="3"/>
  <c r="D19" i="3"/>
  <c r="D22" i="3" s="1"/>
  <c r="D20" i="15" s="1"/>
  <c r="D31" i="15" s="1"/>
  <c r="E25" i="3"/>
  <c r="E28" i="3" s="1"/>
  <c r="E21" i="15" s="1"/>
  <c r="E32" i="15" s="1"/>
  <c r="D34" i="3"/>
  <c r="D22" i="15" s="1"/>
  <c r="D33" i="15" s="1"/>
  <c r="E19" i="3"/>
  <c r="E22" i="3" s="1"/>
  <c r="E20" i="15" s="1"/>
  <c r="E31" i="15" s="1"/>
  <c r="F21" i="3"/>
  <c r="D25" i="15"/>
  <c r="D36" i="15" s="1"/>
  <c r="E49" i="3"/>
  <c r="E52" i="3" s="1"/>
  <c r="B8" i="4"/>
  <c r="D8" i="4" s="1"/>
  <c r="E8" i="4" s="1"/>
  <c r="C94" i="1"/>
  <c r="E33" i="3"/>
  <c r="F51" i="3"/>
  <c r="C97" i="1"/>
  <c r="D97" i="1" s="1"/>
  <c r="B11" i="4"/>
  <c r="D11" i="4" s="1"/>
  <c r="E11" i="4" s="1"/>
  <c r="F9" i="3"/>
  <c r="C22" i="4"/>
  <c r="E22" i="4" s="1"/>
  <c r="H39" i="3"/>
  <c r="K11" i="2"/>
  <c r="C96" i="1" s="1"/>
  <c r="E43" i="3"/>
  <c r="E46" i="3" s="1"/>
  <c r="E24" i="15" s="1"/>
  <c r="E35" i="15" s="1"/>
  <c r="D13" i="3"/>
  <c r="D16" i="3" s="1"/>
  <c r="D19" i="15" s="1"/>
  <c r="D30" i="15" s="1"/>
  <c r="F15" i="3"/>
  <c r="C30" i="4"/>
  <c r="E30" i="4" s="1"/>
  <c r="E37" i="3"/>
  <c r="E40" i="3" s="1"/>
  <c r="E23" i="15" s="1"/>
  <c r="E34" i="15" s="1"/>
  <c r="C22" i="11"/>
  <c r="H72" i="17" l="1"/>
  <c r="I68" i="17" s="1"/>
  <c r="H65" i="17"/>
  <c r="I61" i="17" s="1"/>
  <c r="J30" i="17"/>
  <c r="K26" i="17" s="1"/>
  <c r="J27" i="17"/>
  <c r="H13" i="17"/>
  <c r="H14" i="17" s="1"/>
  <c r="H15" i="17" s="1"/>
  <c r="H9" i="17"/>
  <c r="I5" i="17" s="1"/>
  <c r="F25" i="3"/>
  <c r="F28" i="3" s="1"/>
  <c r="F21" i="15" s="1"/>
  <c r="F32" i="15" s="1"/>
  <c r="C10" i="3"/>
  <c r="C21" i="11"/>
  <c r="C23" i="11" s="1"/>
  <c r="C26" i="11" s="1"/>
  <c r="E31" i="3"/>
  <c r="F19" i="3"/>
  <c r="F22" i="3" s="1"/>
  <c r="F20" i="15" s="1"/>
  <c r="F31" i="15" s="1"/>
  <c r="E34" i="3"/>
  <c r="E60" i="3" s="1"/>
  <c r="D94" i="1"/>
  <c r="E57" i="3" s="1"/>
  <c r="E22" i="15"/>
  <c r="E33" i="15" s="1"/>
  <c r="F8" i="4"/>
  <c r="I8" i="4" s="1"/>
  <c r="H8" i="4"/>
  <c r="B6" i="5" s="1"/>
  <c r="F6" i="5" s="1"/>
  <c r="C7" i="12"/>
  <c r="E7" i="12" s="1"/>
  <c r="H51" i="3"/>
  <c r="G51" i="3"/>
  <c r="F33" i="3"/>
  <c r="C57" i="3"/>
  <c r="E25" i="15"/>
  <c r="E36" i="15" s="1"/>
  <c r="F49" i="3"/>
  <c r="F52" i="3" s="1"/>
  <c r="H21" i="3"/>
  <c r="G21" i="3"/>
  <c r="H11" i="4"/>
  <c r="B9" i="5" s="1"/>
  <c r="F9" i="5" s="1"/>
  <c r="C10" i="12"/>
  <c r="E10" i="12" s="1"/>
  <c r="F11" i="4"/>
  <c r="I11" i="4" s="1"/>
  <c r="D60" i="3"/>
  <c r="B60" i="3"/>
  <c r="C60" i="3"/>
  <c r="G15" i="3"/>
  <c r="C31" i="4"/>
  <c r="E31" i="4" s="1"/>
  <c r="C23" i="4"/>
  <c r="E23" i="4" s="1"/>
  <c r="G9" i="3"/>
  <c r="F37" i="3"/>
  <c r="F40" i="3" s="1"/>
  <c r="F23" i="15" s="1"/>
  <c r="F34" i="15" s="1"/>
  <c r="E13" i="3"/>
  <c r="E16" i="3" s="1"/>
  <c r="E19" i="15" s="1"/>
  <c r="E30" i="15" s="1"/>
  <c r="F43" i="3"/>
  <c r="F46" i="3" s="1"/>
  <c r="F24" i="15" s="1"/>
  <c r="F35" i="15" s="1"/>
  <c r="D96" i="1"/>
  <c r="B10" i="4"/>
  <c r="D10" i="4" s="1"/>
  <c r="E10" i="4" s="1"/>
  <c r="J61" i="3"/>
  <c r="G25" i="3"/>
  <c r="G28" i="3" s="1"/>
  <c r="G21" i="15" s="1"/>
  <c r="G32" i="15" s="1"/>
  <c r="D22" i="11"/>
  <c r="I69" i="17" l="1"/>
  <c r="I70" i="17" s="1"/>
  <c r="I71" i="17" s="1"/>
  <c r="I62" i="17"/>
  <c r="I63" i="17" s="1"/>
  <c r="I64" i="17" s="1"/>
  <c r="K30" i="17"/>
  <c r="K27" i="17"/>
  <c r="H16" i="17"/>
  <c r="I12" i="17" s="1"/>
  <c r="I6" i="17"/>
  <c r="I7" i="17" s="1"/>
  <c r="I8" i="17" s="1"/>
  <c r="C18" i="15"/>
  <c r="C29" i="15" s="1"/>
  <c r="D7" i="3"/>
  <c r="G19" i="3"/>
  <c r="G57" i="3" s="1"/>
  <c r="D57" i="3"/>
  <c r="F31" i="3"/>
  <c r="B57" i="3"/>
  <c r="F34" i="3"/>
  <c r="F60" i="3" s="1"/>
  <c r="F57" i="3"/>
  <c r="K8" i="2"/>
  <c r="C93" i="1" s="1"/>
  <c r="D93" i="1" s="1"/>
  <c r="H33" i="3"/>
  <c r="G33" i="3"/>
  <c r="F25" i="15"/>
  <c r="F36" i="15" s="1"/>
  <c r="G49" i="3"/>
  <c r="G52" i="3" s="1"/>
  <c r="K13" i="2"/>
  <c r="G22" i="3"/>
  <c r="G20" i="15" s="1"/>
  <c r="G31" i="15" s="1"/>
  <c r="H9" i="3"/>
  <c r="J55" i="3" s="1"/>
  <c r="C24" i="4"/>
  <c r="E24" i="4" s="1"/>
  <c r="C9" i="12"/>
  <c r="E9" i="12" s="1"/>
  <c r="F10" i="4"/>
  <c r="I10" i="4" s="1"/>
  <c r="H10" i="4"/>
  <c r="F13" i="3"/>
  <c r="F16" i="3" s="1"/>
  <c r="F19" i="15" s="1"/>
  <c r="F30" i="15" s="1"/>
  <c r="H25" i="3"/>
  <c r="H28" i="3" s="1"/>
  <c r="H21" i="15" s="1"/>
  <c r="H32" i="15" s="1"/>
  <c r="D59" i="3"/>
  <c r="E59" i="3"/>
  <c r="F59" i="3"/>
  <c r="I59" i="3"/>
  <c r="G59" i="3"/>
  <c r="H59" i="3"/>
  <c r="C59" i="3"/>
  <c r="B59" i="3"/>
  <c r="C32" i="4"/>
  <c r="E32" i="4" s="1"/>
  <c r="H15" i="3"/>
  <c r="K7" i="2"/>
  <c r="C92" i="1" s="1"/>
  <c r="D92" i="1" s="1"/>
  <c r="G55" i="3" s="1"/>
  <c r="G37" i="3"/>
  <c r="G40" i="3" s="1"/>
  <c r="G23" i="15" s="1"/>
  <c r="G34" i="15" s="1"/>
  <c r="G43" i="3"/>
  <c r="G46" i="3" s="1"/>
  <c r="G24" i="15" s="1"/>
  <c r="G35" i="15" s="1"/>
  <c r="K6" i="2"/>
  <c r="C91" i="1" s="1"/>
  <c r="D91" i="1" s="1"/>
  <c r="E22" i="11"/>
  <c r="I72" i="17" l="1"/>
  <c r="J68" i="17" s="1"/>
  <c r="I65" i="17"/>
  <c r="J61" i="17" s="1"/>
  <c r="I13" i="17"/>
  <c r="I14" i="17" s="1"/>
  <c r="I15" i="17" s="1"/>
  <c r="I9" i="17"/>
  <c r="J5" i="17" s="1"/>
  <c r="F22" i="15"/>
  <c r="F33" i="15" s="1"/>
  <c r="D10" i="3"/>
  <c r="D21" i="11"/>
  <c r="D23" i="11" s="1"/>
  <c r="D26" i="11" s="1"/>
  <c r="G31" i="3"/>
  <c r="B7" i="4"/>
  <c r="D7" i="4" s="1"/>
  <c r="E7" i="4" s="1"/>
  <c r="H7" i="4" s="1"/>
  <c r="B5" i="5" s="1"/>
  <c r="F5" i="5" s="1"/>
  <c r="G34" i="3"/>
  <c r="G22" i="15" s="1"/>
  <c r="G33" i="15" s="1"/>
  <c r="K10" i="2"/>
  <c r="C95" i="1" s="1"/>
  <c r="D95" i="1" s="1"/>
  <c r="G56" i="3"/>
  <c r="F56" i="3"/>
  <c r="D56" i="3"/>
  <c r="H56" i="3"/>
  <c r="B56" i="3"/>
  <c r="C56" i="3"/>
  <c r="E56" i="3"/>
  <c r="I56" i="3"/>
  <c r="G25" i="15"/>
  <c r="G36" i="15" s="1"/>
  <c r="H49" i="3"/>
  <c r="H52" i="3" s="1"/>
  <c r="H19" i="3"/>
  <c r="H22" i="3" s="1"/>
  <c r="H20" i="15" s="1"/>
  <c r="H31" i="15" s="1"/>
  <c r="B12" i="4"/>
  <c r="D12" i="4" s="1"/>
  <c r="E12" i="4" s="1"/>
  <c r="C98" i="1"/>
  <c r="D98" i="1" s="1"/>
  <c r="I25" i="3"/>
  <c r="I28" i="3" s="1"/>
  <c r="I21" i="15" s="1"/>
  <c r="I32" i="15" s="1"/>
  <c r="H43" i="3"/>
  <c r="H46" i="3" s="1"/>
  <c r="H24" i="15" s="1"/>
  <c r="H35" i="15" s="1"/>
  <c r="H37" i="3"/>
  <c r="H40" i="3" s="1"/>
  <c r="H23" i="15" s="1"/>
  <c r="H34" i="15" s="1"/>
  <c r="C55" i="3"/>
  <c r="B55" i="3"/>
  <c r="I55" i="3"/>
  <c r="D55" i="3"/>
  <c r="E55" i="3"/>
  <c r="F55" i="3"/>
  <c r="G13" i="3"/>
  <c r="G16" i="3" s="1"/>
  <c r="G19" i="15" s="1"/>
  <c r="G30" i="15" s="1"/>
  <c r="B8" i="5"/>
  <c r="H55" i="3"/>
  <c r="F22" i="11"/>
  <c r="J69" i="17" l="1"/>
  <c r="J70" i="17" s="1"/>
  <c r="J71" i="17" s="1"/>
  <c r="J62" i="17"/>
  <c r="J63" i="17" s="1"/>
  <c r="J64" i="17" s="1"/>
  <c r="I16" i="17"/>
  <c r="J12" i="17" s="1"/>
  <c r="J6" i="17"/>
  <c r="J7" i="17" s="1"/>
  <c r="J8" i="17" s="1"/>
  <c r="G60" i="3"/>
  <c r="D18" i="15"/>
  <c r="D29" i="15" s="1"/>
  <c r="E7" i="3"/>
  <c r="C6" i="12"/>
  <c r="E6" i="12" s="1"/>
  <c r="F7" i="4"/>
  <c r="I7" i="4" s="1"/>
  <c r="B9" i="4"/>
  <c r="D9" i="4" s="1"/>
  <c r="E9" i="4" s="1"/>
  <c r="F9" i="4" s="1"/>
  <c r="I9" i="4" s="1"/>
  <c r="H31" i="3"/>
  <c r="H34" i="3" s="1"/>
  <c r="H22" i="15" s="1"/>
  <c r="H33" i="15" s="1"/>
  <c r="I19" i="3"/>
  <c r="J57" i="3" s="1"/>
  <c r="H57" i="3"/>
  <c r="C11" i="12"/>
  <c r="E11" i="12" s="1"/>
  <c r="F12" i="4"/>
  <c r="I12" i="4" s="1"/>
  <c r="H12" i="4"/>
  <c r="B10" i="5" s="1"/>
  <c r="F10" i="5" s="1"/>
  <c r="G61" i="3"/>
  <c r="H61" i="3"/>
  <c r="C61" i="3"/>
  <c r="E61" i="3"/>
  <c r="D61" i="3"/>
  <c r="F61" i="3"/>
  <c r="I61" i="3"/>
  <c r="B61" i="3"/>
  <c r="E58" i="3"/>
  <c r="G58" i="3"/>
  <c r="D58" i="3"/>
  <c r="C58" i="3"/>
  <c r="I58" i="3"/>
  <c r="H58" i="3"/>
  <c r="B58" i="3"/>
  <c r="F58" i="3"/>
  <c r="H25" i="15"/>
  <c r="H36" i="15" s="1"/>
  <c r="I49" i="3"/>
  <c r="I52" i="3" s="1"/>
  <c r="I25" i="15" s="1"/>
  <c r="I36" i="15" s="1"/>
  <c r="H13" i="3"/>
  <c r="H16" i="3" s="1"/>
  <c r="H19" i="15" s="1"/>
  <c r="H30" i="15" s="1"/>
  <c r="I43" i="3"/>
  <c r="I46" i="3" s="1"/>
  <c r="I24" i="15" s="1"/>
  <c r="I35" i="15" s="1"/>
  <c r="F8" i="5"/>
  <c r="I37" i="3"/>
  <c r="I40" i="3" s="1"/>
  <c r="I23" i="15" s="1"/>
  <c r="I34" i="15" s="1"/>
  <c r="G22" i="11"/>
  <c r="J72" i="17" l="1"/>
  <c r="K68" i="17" s="1"/>
  <c r="J65" i="17"/>
  <c r="K61" i="17" s="1"/>
  <c r="J13" i="17"/>
  <c r="J14" i="17" s="1"/>
  <c r="J15" i="17" s="1"/>
  <c r="J9" i="17"/>
  <c r="K5" i="17" s="1"/>
  <c r="H9" i="4"/>
  <c r="H60" i="3"/>
  <c r="E10" i="3"/>
  <c r="E21" i="11"/>
  <c r="E23" i="11" s="1"/>
  <c r="E26" i="11" s="1"/>
  <c r="I31" i="3"/>
  <c r="I34" i="3" s="1"/>
  <c r="J60" i="3" s="1"/>
  <c r="B27" i="9" s="1"/>
  <c r="C8" i="12"/>
  <c r="E8" i="12" s="1"/>
  <c r="I22" i="3"/>
  <c r="I20" i="15" s="1"/>
  <c r="I31" i="15" s="1"/>
  <c r="I57" i="3"/>
  <c r="B7" i="5"/>
  <c r="H13" i="4"/>
  <c r="I13" i="3"/>
  <c r="I16" i="3" s="1"/>
  <c r="I19" i="15" s="1"/>
  <c r="I30" i="15" s="1"/>
  <c r="H22" i="11"/>
  <c r="K69" i="17" l="1"/>
  <c r="K70" i="17" s="1"/>
  <c r="K71" i="17" s="1"/>
  <c r="K62" i="17"/>
  <c r="K63" i="17" s="1"/>
  <c r="K64" i="17" s="1"/>
  <c r="J16" i="17"/>
  <c r="K12" i="17" s="1"/>
  <c r="K6" i="17"/>
  <c r="K7" i="17" s="1"/>
  <c r="K8" i="17" s="1"/>
  <c r="I60" i="3"/>
  <c r="E18" i="15"/>
  <c r="E29" i="15" s="1"/>
  <c r="F7" i="3"/>
  <c r="I22" i="15"/>
  <c r="I33" i="15" s="1"/>
  <c r="B6" i="11"/>
  <c r="B6" i="6"/>
  <c r="F7" i="5"/>
  <c r="B13" i="5"/>
  <c r="E12" i="5"/>
  <c r="F12" i="5" s="1"/>
  <c r="I22" i="11"/>
  <c r="K72" i="17" l="1"/>
  <c r="K65" i="17"/>
  <c r="K13" i="17"/>
  <c r="K14" i="17" s="1"/>
  <c r="K15" i="17" s="1"/>
  <c r="K9" i="17"/>
  <c r="F10" i="3"/>
  <c r="F21" i="11"/>
  <c r="F23" i="11" s="1"/>
  <c r="F26" i="11" s="1"/>
  <c r="B9" i="6"/>
  <c r="J6" i="6"/>
  <c r="B9" i="11"/>
  <c r="B26" i="11" s="1"/>
  <c r="J6" i="11"/>
  <c r="J9" i="11" s="1"/>
  <c r="J22" i="11"/>
  <c r="K16" i="17" l="1"/>
  <c r="F18" i="15"/>
  <c r="F29" i="15" s="1"/>
  <c r="G7" i="3"/>
  <c r="B8" i="9"/>
  <c r="J9" i="6"/>
  <c r="B6" i="9" s="1"/>
  <c r="G10" i="3" l="1"/>
  <c r="G21" i="11"/>
  <c r="G23" i="11" s="1"/>
  <c r="G26" i="11" s="1"/>
  <c r="G18" i="15" l="1"/>
  <c r="G29" i="15" s="1"/>
  <c r="H7" i="3"/>
  <c r="H10" i="3" l="1"/>
  <c r="H21" i="11"/>
  <c r="H23" i="11" s="1"/>
  <c r="H26" i="11" s="1"/>
  <c r="H18" i="15" l="1"/>
  <c r="H29" i="15" s="1"/>
  <c r="I7" i="3"/>
  <c r="I10" i="3" l="1"/>
  <c r="I18" i="15" s="1"/>
  <c r="I29" i="15" s="1"/>
  <c r="I21" i="11"/>
  <c r="J21" i="11" l="1"/>
  <c r="J23" i="11" s="1"/>
  <c r="J26" i="11" s="1"/>
  <c r="I23" i="11"/>
  <c r="I26" i="11" s="1"/>
  <c r="E11" i="5"/>
  <c r="B31" i="11" l="1"/>
  <c r="B32" i="11"/>
  <c r="B33" i="11"/>
  <c r="B30" i="11"/>
  <c r="C31" i="7" s="1"/>
  <c r="F11" i="5"/>
  <c r="F13" i="5" s="1"/>
  <c r="E13" i="5"/>
  <c r="B31" i="7" l="1"/>
  <c r="D22" i="7"/>
  <c r="C22" i="7"/>
  <c r="B5" i="9"/>
  <c r="B22" i="7"/>
  <c r="E22" i="7" s="1"/>
  <c r="B26" i="10"/>
  <c r="D65" i="10" l="1"/>
  <c r="D66" i="10"/>
  <c r="D122" i="10"/>
  <c r="D92" i="10"/>
  <c r="D81" i="10"/>
  <c r="D91" i="10"/>
  <c r="D45" i="10"/>
  <c r="D113" i="10"/>
  <c r="D128" i="10"/>
  <c r="D96" i="10"/>
  <c r="D40" i="10"/>
  <c r="D61" i="10"/>
  <c r="D84" i="10"/>
  <c r="D74" i="10"/>
  <c r="D82" i="10"/>
  <c r="D78" i="10"/>
  <c r="D47" i="10"/>
  <c r="D35" i="10"/>
  <c r="D120" i="10"/>
  <c r="D37" i="10"/>
  <c r="D83" i="10"/>
  <c r="D48" i="10"/>
  <c r="D101" i="10"/>
  <c r="D55" i="10"/>
  <c r="D56" i="10"/>
  <c r="D88" i="10"/>
  <c r="D94" i="10"/>
  <c r="D80" i="10"/>
  <c r="D57" i="10"/>
  <c r="D112" i="10"/>
  <c r="D46" i="10"/>
  <c r="D130" i="10"/>
  <c r="D69" i="10"/>
  <c r="D106" i="10"/>
  <c r="D36" i="10"/>
  <c r="D54" i="10"/>
  <c r="D107" i="10"/>
  <c r="D50" i="10"/>
  <c r="D118" i="10"/>
  <c r="D114" i="10"/>
  <c r="D97" i="10"/>
  <c r="D116" i="10"/>
  <c r="D64" i="10"/>
  <c r="D86" i="10"/>
  <c r="D42" i="10"/>
  <c r="D41" i="10"/>
  <c r="D104" i="10"/>
  <c r="D68" i="10"/>
  <c r="D95" i="10"/>
  <c r="D89" i="10"/>
  <c r="D60" i="10"/>
  <c r="D79" i="10"/>
  <c r="D34" i="10"/>
  <c r="D100" i="10"/>
  <c r="D87" i="10"/>
  <c r="D125" i="10"/>
  <c r="D39" i="10"/>
  <c r="D44" i="10"/>
  <c r="D108" i="10"/>
  <c r="D63" i="10"/>
  <c r="D102" i="10"/>
  <c r="D72" i="10"/>
  <c r="D129" i="10"/>
  <c r="D51" i="10"/>
  <c r="D67" i="10"/>
  <c r="D103" i="10"/>
  <c r="D99" i="10"/>
  <c r="D77" i="10"/>
  <c r="D52" i="10"/>
  <c r="D70" i="10"/>
  <c r="D90" i="10"/>
  <c r="D126" i="10"/>
  <c r="D49" i="10"/>
  <c r="D38" i="10"/>
  <c r="D117" i="10"/>
  <c r="D73" i="10"/>
  <c r="D75" i="10"/>
  <c r="D109" i="10"/>
  <c r="D53" i="10"/>
  <c r="D121" i="10"/>
  <c r="D62" i="10"/>
  <c r="D59" i="10"/>
  <c r="D71" i="10"/>
  <c r="D85" i="10"/>
  <c r="D58" i="10"/>
  <c r="D127" i="10"/>
  <c r="D32" i="10"/>
  <c r="D105" i="10"/>
  <c r="D119" i="10"/>
  <c r="D31" i="10"/>
  <c r="D115" i="10"/>
  <c r="D76" i="10"/>
  <c r="D110" i="10"/>
  <c r="D93" i="10"/>
  <c r="D123" i="10"/>
  <c r="D33" i="10"/>
  <c r="D111" i="10"/>
  <c r="D43" i="10"/>
  <c r="D124" i="10"/>
  <c r="D98" i="10"/>
  <c r="F22" i="7"/>
  <c r="D132" i="10" l="1"/>
  <c r="D133" i="10"/>
</calcChain>
</file>

<file path=xl/sharedStrings.xml><?xml version="1.0" encoding="utf-8"?>
<sst xmlns="http://schemas.openxmlformats.org/spreadsheetml/2006/main" count="1360" uniqueCount="363">
  <si>
    <t>INPUTS - PURCHASING MANAGER</t>
  </si>
  <si>
    <t>Solo inputs manuales. AZUL = modificar según tu estrategia. Sin fórmulas en esta hoja.</t>
  </si>
  <si>
    <t>1. PRODUCCIÓN PLANEADA POR QUINCENA (Electroclean)</t>
  </si>
  <si>
    <t>Quincena →</t>
  </si>
  <si>
    <t>Q1</t>
  </si>
  <si>
    <t>Q2</t>
  </si>
  <si>
    <t>Q3</t>
  </si>
  <si>
    <t>Q4</t>
  </si>
  <si>
    <t>Q5</t>
  </si>
  <si>
    <t>Q6</t>
  </si>
  <si>
    <t>Q7</t>
  </si>
  <si>
    <t>Q8</t>
  </si>
  <si>
    <t>TOTAL</t>
  </si>
  <si>
    <t>Producción EC</t>
  </si>
  <si>
    <t>2. INVENTARIO INICIAL (Fin Periodo Anterior)</t>
  </si>
  <si>
    <t>Material</t>
  </si>
  <si>
    <t>Inventario Inicial</t>
  </si>
  <si>
    <t>Unidad</t>
  </si>
  <si>
    <t>Fuente</t>
  </si>
  <si>
    <t>Parte A</t>
  </si>
  <si>
    <t>unidades</t>
  </si>
  <si>
    <t>Fin Periodo 6</t>
  </si>
  <si>
    <t>Parte B</t>
  </si>
  <si>
    <t>Pieza 1</t>
  </si>
  <si>
    <t>Pieza 2</t>
  </si>
  <si>
    <t>Pieza 3</t>
  </si>
  <si>
    <t>Pieza 4</t>
  </si>
  <si>
    <t>Pieza 5</t>
  </si>
  <si>
    <t>Pieza 6</t>
  </si>
  <si>
    <t>3. BILL OF MATERIALS (BOM) - Consumo por Electroclean</t>
  </si>
  <si>
    <t>Consumo por EC</t>
  </si>
  <si>
    <t>Observaciones</t>
  </si>
  <si>
    <t>unidades/EC</t>
  </si>
  <si>
    <t>1:1</t>
  </si>
  <si>
    <t>1:5</t>
  </si>
  <si>
    <t>1:100</t>
  </si>
  <si>
    <t>8:1</t>
  </si>
  <si>
    <t>30%</t>
  </si>
  <si>
    <t>60%</t>
  </si>
  <si>
    <t>2:1</t>
  </si>
  <si>
    <t>75%</t>
  </si>
  <si>
    <t>4. BATCH SIZES (Tamaño de Lote)</t>
  </si>
  <si>
    <t>Batch Size</t>
  </si>
  <si>
    <t>-</t>
  </si>
  <si>
    <t>Lote fijo</t>
  </si>
  <si>
    <t>Individual</t>
  </si>
  <si>
    <t>Caja 100</t>
  </si>
  <si>
    <t>Lote 30</t>
  </si>
  <si>
    <t>Lote 60</t>
  </si>
  <si>
    <t>Lote 100</t>
  </si>
  <si>
    <t>Pallet 150</t>
  </si>
  <si>
    <t>5. PRECIOS POR BATCH</t>
  </si>
  <si>
    <t>Moneda</t>
  </si>
  <si>
    <t>$</t>
  </si>
  <si>
    <t>6. ORDERING COST &amp; HOLDING COST</t>
  </si>
  <si>
    <t>Ordering Cost</t>
  </si>
  <si>
    <t>Holding Cost/U/Q</t>
  </si>
  <si>
    <t>Notas</t>
  </si>
  <si>
    <t>Por pedido / Por unidad-quincena</t>
  </si>
  <si>
    <t>Piezas 1-6</t>
  </si>
  <si>
    <t>Solo compra en t=0, sin costos adicionales</t>
  </si>
  <si>
    <t>7. PROVEEDORES - PARTE A</t>
  </si>
  <si>
    <t>ID</t>
  </si>
  <si>
    <t>Precio Base</t>
  </si>
  <si>
    <t>Términos Pago</t>
  </si>
  <si>
    <t>Descuento</t>
  </si>
  <si>
    <t>Confiabilidad</t>
  </si>
  <si>
    <t>A</t>
  </si>
  <si>
    <t>Inmediato (0Q)</t>
  </si>
  <si>
    <t>No</t>
  </si>
  <si>
    <t>100%</t>
  </si>
  <si>
    <t>B</t>
  </si>
  <si>
    <t>+2 Quincenas</t>
  </si>
  <si>
    <t>16% si Q≥150</t>
  </si>
  <si>
    <t>80%</t>
  </si>
  <si>
    <t>C</t>
  </si>
  <si>
    <t>+8 Quincenas</t>
  </si>
  <si>
    <t>PROVEEDOR ELEGIDO →</t>
  </si>
  <si>
    <t>8. PROVEEDORES - PARTE B</t>
  </si>
  <si>
    <t>16% si Q≥80</t>
  </si>
  <si>
    <t>9. SAFETY STOCK (Stock de Seguridad)</t>
  </si>
  <si>
    <t>Safety Stock</t>
  </si>
  <si>
    <t>% Consumo Prom</t>
  </si>
  <si>
    <t>Días Cobertura</t>
  </si>
  <si>
    <t>10. BUFFER MÍNIMO (Cobertura Operativa)</t>
  </si>
  <si>
    <t>Buffer = Quincenas de cobertura mínima antes de alerta</t>
  </si>
  <si>
    <t>Buffer (Quincenas)</t>
  </si>
  <si>
    <t>Consumo Prom/Q</t>
  </si>
  <si>
    <t>Inv. Mínimo Calc</t>
  </si>
  <si>
    <t>Crítico?</t>
  </si>
  <si>
    <t>BOM_CONSUMO - Cálculo de Consumo por Quincena</t>
  </si>
  <si>
    <t>Fórmula: Consumo_Q = Producción_EC_Q × Consumo_por_EC</t>
  </si>
  <si>
    <t>VERDE = datos de Inputs | NEGRO = fórmulas calculadas</t>
  </si>
  <si>
    <t>Consumo/EC</t>
  </si>
  <si>
    <t>PRODUCCIÓN TOTAL EC</t>
  </si>
  <si>
    <t>INVENTARIO DINÁMICO - Control por Quincena</t>
  </si>
  <si>
    <t>Fórmula: Inv_Final_Q = Inv_Inicial_Q + Recepciones_Q - Consumo_Q</t>
  </si>
  <si>
    <t>AMARILLO = ingresar recepciones manualmente | ROJO = inventario negativo (ALERTA)</t>
  </si>
  <si>
    <t>Concepto</t>
  </si>
  <si>
    <t>Inv_Inicial</t>
  </si>
  <si>
    <t>Recepciones</t>
  </si>
  <si>
    <t>Consumo</t>
  </si>
  <si>
    <t>Inv_Final</t>
  </si>
  <si>
    <t>VALIDACIONES Y ALERTAS</t>
  </si>
  <si>
    <t>Min Global</t>
  </si>
  <si>
    <t>COMPRAS Y LOTES - Decisiones de Compra</t>
  </si>
  <si>
    <t>Convierte consumo en decisiones reales de compra (lotes)</t>
  </si>
  <si>
    <t>AMARILLO = TUS DECISIONES de cuántos lotes comprar</t>
  </si>
  <si>
    <t>PIEZAS 1-6: COMPRA ÚNICA EN t=0</t>
  </si>
  <si>
    <t>Demanda Total</t>
  </si>
  <si>
    <t>Lotes Teóricos</t>
  </si>
  <si>
    <t>COMPRAR (Lotes)</t>
  </si>
  <si>
    <t>Total Unidades</t>
  </si>
  <si>
    <t>Precio/Batch</t>
  </si>
  <si>
    <t>Costo Total</t>
  </si>
  <si>
    <t>Status</t>
  </si>
  <si>
    <t>TOTAL PIEZAS</t>
  </si>
  <si>
    <t>PARTES A y B: COMPRA POR QUINCENA</t>
  </si>
  <si>
    <t>Quincena</t>
  </si>
  <si>
    <t>Demanda</t>
  </si>
  <si>
    <t>Unidades</t>
  </si>
  <si>
    <t>Costo</t>
  </si>
  <si>
    <t>Pago en Q</t>
  </si>
  <si>
    <t>COSTOS - Análisis Completo</t>
  </si>
  <si>
    <t>Costo Total = Costo de Compra + Ordering Cost + Holding Cost</t>
  </si>
  <si>
    <t>Costo Compra</t>
  </si>
  <si>
    <t># Pedidos</t>
  </si>
  <si>
    <t>Holding Cost</t>
  </si>
  <si>
    <t>COSTO TOTAL</t>
  </si>
  <si>
    <t>CASHFLOW - Pagos por Quincena</t>
  </si>
  <si>
    <t>Proyección de pagos según términos de cada proveedor</t>
  </si>
  <si>
    <t>IMPORTANTE: Coordinar con Finanzas para asegurar liquidez</t>
  </si>
  <si>
    <t>Piezas 1-6 (t=0)</t>
  </si>
  <si>
    <t>TOTAL PAGOS</t>
  </si>
  <si>
    <t>ESCENARIOS - Análisis Comparativo</t>
  </si>
  <si>
    <t>Compara 3 estrategias: Conservador / Base / Agresivo</t>
  </si>
  <si>
    <t>SELECCIONAR ESCENARIO:</t>
  </si>
  <si>
    <t>Base</t>
  </si>
  <si>
    <t>Parámetro</t>
  </si>
  <si>
    <t>Conservador</t>
  </si>
  <si>
    <t>Agresivo</t>
  </si>
  <si>
    <t>Descripción</t>
  </si>
  <si>
    <t>20%</t>
  </si>
  <si>
    <t>10%</t>
  </si>
  <si>
    <t>5%</t>
  </si>
  <si>
    <t>% sobre consumo promedio</t>
  </si>
  <si>
    <t>Proveedor Parte A</t>
  </si>
  <si>
    <t>A (seguro)</t>
  </si>
  <si>
    <t>B (descuento)</t>
  </si>
  <si>
    <t>Estrategia de proveedor</t>
  </si>
  <si>
    <t>Proveedor Parte B</t>
  </si>
  <si>
    <t>Frecuencia Pedidos</t>
  </si>
  <si>
    <t>Cada 4Q</t>
  </si>
  <si>
    <t>Cada 2Q</t>
  </si>
  <si>
    <t>Cada Q</t>
  </si>
  <si>
    <t>Frecuencia de compra</t>
  </si>
  <si>
    <t>RESULTADOS ESTIMADOS</t>
  </si>
  <si>
    <t>Alto</t>
  </si>
  <si>
    <t>Medio</t>
  </si>
  <si>
    <t>Bajo</t>
  </si>
  <si>
    <t>Costo de compras + inventario</t>
  </si>
  <si>
    <t>Riesgo Stockout</t>
  </si>
  <si>
    <t>Muy Bajo</t>
  </si>
  <si>
    <t>Probabilidad de quedarse sin stock</t>
  </si>
  <si>
    <t>Capital Inmovilizado</t>
  </si>
  <si>
    <t>Inventario promedio</t>
  </si>
  <si>
    <t>Cashflow Peak</t>
  </si>
  <si>
    <t>Distribuido</t>
  </si>
  <si>
    <t>Concentrado</t>
  </si>
  <si>
    <t>Pago máximo en una Q</t>
  </si>
  <si>
    <t>COMPARACIÓN LADO A LADO - KPIs POR ESCENARIO</t>
  </si>
  <si>
    <t>KPI</t>
  </si>
  <si>
    <t>Mejor</t>
  </si>
  <si>
    <t>Diferencia</t>
  </si>
  <si>
    <t>Costo Total Compras</t>
  </si>
  <si>
    <t>Total Pagos</t>
  </si>
  <si>
    <t>Pago Peak</t>
  </si>
  <si>
    <t># Stockouts Esperados</t>
  </si>
  <si>
    <t>Valor Esperado Pérdida</t>
  </si>
  <si>
    <t>Buffer Promedio (Q)</t>
  </si>
  <si>
    <t>ANÁLISIS DE PROVEEDORES - Herramienta de Decisión</t>
  </si>
  <si>
    <t>Compara costo total por proveedor según volumen y términos</t>
  </si>
  <si>
    <t>PARTE A - Análisis Comparativo</t>
  </si>
  <si>
    <t>Volumen a Comprar (batches):</t>
  </si>
  <si>
    <t>Proveedor</t>
  </si>
  <si>
    <t>Precio Final</t>
  </si>
  <si>
    <t>Riesgo</t>
  </si>
  <si>
    <t>Costo Ajustado</t>
  </si>
  <si>
    <t>Ranking</t>
  </si>
  <si>
    <t>RECOMENDACIÓN:</t>
  </si>
  <si>
    <t>PARTE B - Análisis Comparativo</t>
  </si>
  <si>
    <t>DASHBOARD - Purchasing Manager</t>
  </si>
  <si>
    <t>INDICADORES CLAVE (KPIs)</t>
  </si>
  <si>
    <t>Costo Total de Compras:</t>
  </si>
  <si>
    <t>Total Pagos Periodo:</t>
  </si>
  <si>
    <t># Pedidos Totales:</t>
  </si>
  <si>
    <t>pedidos</t>
  </si>
  <si>
    <t>Pago Pico (Max en una Q):</t>
  </si>
  <si>
    <t>Inventario Negativo:</t>
  </si>
  <si>
    <t>TBD</t>
  </si>
  <si>
    <t>materiales</t>
  </si>
  <si>
    <t>Stock &lt; Safety:</t>
  </si>
  <si>
    <t>ESTRATEGIA ACTUAL</t>
  </si>
  <si>
    <t>Proveedor Parte A:</t>
  </si>
  <si>
    <t>Proveedor Parte B:</t>
  </si>
  <si>
    <t>Escenario:</t>
  </si>
  <si>
    <t>⚠️ ALERTAS CRÍTICAS</t>
  </si>
  <si>
    <t>Materiales con Inv &lt; Buffer:</t>
  </si>
  <si>
    <t>Riesgo por Proveedor B:</t>
  </si>
  <si>
    <t>Cashflow Peak &gt; $100k:</t>
  </si>
  <si>
    <t>ANÁLISIS DE RIESGO - PROVEEDOR B</t>
  </si>
  <si>
    <t>CRÍTICO: Proveedor B tiene 20% probabilidad de NO ENTREGAR (sin pago, pero SIN producción)</t>
  </si>
  <si>
    <t>PARÁMETROS DE RIESGO</t>
  </si>
  <si>
    <t>Valor</t>
  </si>
  <si>
    <t>Prob. Incumplimiento Prov. B</t>
  </si>
  <si>
    <t>EXSIM Rules</t>
  </si>
  <si>
    <t>Costo Oportunidad ($/EC perdido)</t>
  </si>
  <si>
    <t>Margin estimado</t>
  </si>
  <si>
    <t>Lead time recuperación (Q)</t>
  </si>
  <si>
    <t>Assumption</t>
  </si>
  <si>
    <t>ANÁLISIS DE IMPACTO POR MATERIAL (si usas Proveedor B)</t>
  </si>
  <si>
    <t>Proveedor Elegido</t>
  </si>
  <si>
    <t>Total Lotes P7</t>
  </si>
  <si>
    <t>Prob. Falla</t>
  </si>
  <si>
    <t>Lotes Perdidos (Esperado)</t>
  </si>
  <si>
    <t>Unidades Perdidas</t>
  </si>
  <si>
    <t>EC Sin Producir</t>
  </si>
  <si>
    <t>Costo Oportunidad</t>
  </si>
  <si>
    <t>DECISIÓN: PROVEEDOR A vs B (Análisis Ajustado por Riesgo)</t>
  </si>
  <si>
    <t>Ahorro</t>
  </si>
  <si>
    <t>Costo Neto Ajustado</t>
  </si>
  <si>
    <t>Decisión Recomendada</t>
  </si>
  <si>
    <t>CASHFLOW INTEGRADO - PURCHASING</t>
  </si>
  <si>
    <t>Pagos REALES por quincena: Compras + Ordering + Holding (para coordinar con Finanzas)</t>
  </si>
  <si>
    <t>1. PAGOS DE COMPRAS (según términos de proveedor)</t>
  </si>
  <si>
    <t>Parte A (según proveedor)</t>
  </si>
  <si>
    <t>Parte B (según proveedor)</t>
  </si>
  <si>
    <t>SUBTOTAL COMPRAS</t>
  </si>
  <si>
    <t>2. ORDERING COSTS (por pedido realizado)</t>
  </si>
  <si>
    <t>SUBTOTAL ORDERING</t>
  </si>
  <si>
    <t>3. HOLDING COSTS (por inventario promedio en quincena)</t>
  </si>
  <si>
    <t>SUBTOTAL HOLDING</t>
  </si>
  <si>
    <t>TOTAL OUTFLOW PURCHASING</t>
  </si>
  <si>
    <t>ANÁLISIS</t>
  </si>
  <si>
    <t>Pago Máximo (Peak):</t>
  </si>
  <si>
    <t>Quincena más costosa</t>
  </si>
  <si>
    <t>Pago Mínimo:</t>
  </si>
  <si>
    <t>Quincena más barata</t>
  </si>
  <si>
    <t>Pago Promedio:</t>
  </si>
  <si>
    <t>Promedio por quincena</t>
  </si>
  <si>
    <t>Desviación Est.:</t>
  </si>
  <si>
    <t>Volatilidad del flujo</t>
  </si>
  <si>
    <t>EXSIM UPLOAD - COPIAR DIRECTO A PLATAFORMA</t>
  </si>
  <si>
    <t>Formato exacto para subir decisiones a EXSIM. Copiar columnas B-E directamente.</t>
  </si>
  <si>
    <t>PIEZAS 1-6 (Compra única en t=0)</t>
  </si>
  <si>
    <t>Fortnight</t>
  </si>
  <si>
    <t>Lots</t>
  </si>
  <si>
    <t>Supplier</t>
  </si>
  <si>
    <t>Notes</t>
  </si>
  <si>
    <t>Único</t>
  </si>
  <si>
    <t>PARTE A (Por Quincena)</t>
  </si>
  <si>
    <t>PARTE B (Por Quincena)</t>
  </si>
  <si>
    <t>MULTI-PLANTA: CENTRO Y OESTE</t>
  </si>
  <si>
    <t>Inventarios y producción por región (EXSIM requiere separación)</t>
  </si>
  <si>
    <t>INVENTARIO POR PLANTA</t>
  </si>
  <si>
    <t>Centro</t>
  </si>
  <si>
    <t>Oeste</t>
  </si>
  <si>
    <t>% Centro</t>
  </si>
  <si>
    <t>MRP - PRODUCCIÓN POR SECCIÓN</t>
  </si>
  <si>
    <t>5 secciones (S1-S5), cada una tarda 1 quincena. WIP entre secciones.</t>
  </si>
  <si>
    <t>FLUJO DE PRODUCCIÓN</t>
  </si>
  <si>
    <t>Sección</t>
  </si>
  <si>
    <t>Input</t>
  </si>
  <si>
    <t>Process</t>
  </si>
  <si>
    <t>Output</t>
  </si>
  <si>
    <t>Lead Time</t>
  </si>
  <si>
    <t>S1</t>
  </si>
  <si>
    <t>Ensambla Piezas</t>
  </si>
  <si>
    <t>Semi A</t>
  </si>
  <si>
    <t>1Q</t>
  </si>
  <si>
    <t>S2</t>
  </si>
  <si>
    <t>Semi B</t>
  </si>
  <si>
    <t>S3</t>
  </si>
  <si>
    <t>Semi C</t>
  </si>
  <si>
    <t>S4</t>
  </si>
  <si>
    <t>Semi D</t>
  </si>
  <si>
    <t>S5</t>
  </si>
  <si>
    <t>Semis</t>
  </si>
  <si>
    <t>Ensambla final</t>
  </si>
  <si>
    <t>Electroclean</t>
  </si>
  <si>
    <t>RAW MATERIALS INVENTORY</t>
  </si>
  <si>
    <t>ESG - EMISIONES CO2</t>
  </si>
  <si>
    <t>kg CO2 por proveedor (Tabla VII caso EXSIM)</t>
  </si>
  <si>
    <t>EMISIONES POR PROVEEDOR</t>
  </si>
  <si>
    <t>Prov A (kg)</t>
  </si>
  <si>
    <t>Prov B (kg)</t>
  </si>
  <si>
    <t>Prov C (kg)</t>
  </si>
  <si>
    <t>Elegido</t>
  </si>
  <si>
    <t>Total CO2</t>
  </si>
  <si>
    <t>11. SENSIBILIDAD DEMANDA</t>
  </si>
  <si>
    <t>Factor Demanda</t>
  </si>
  <si>
    <t>1.0 = Base</t>
  </si>
  <si>
    <t>CALENDARIO POR SECCION (Lead Time 1Q)</t>
  </si>
  <si>
    <t>Seccion</t>
  </si>
  <si>
    <t>S5 - Final (EC)</t>
  </si>
  <si>
    <t>S4 - Piezas</t>
  </si>
  <si>
    <t>S3 - Semi</t>
  </si>
  <si>
    <t>S2 - Parte B</t>
  </si>
  <si>
    <t>S1 - Parte A</t>
  </si>
  <si>
    <t>RECONCILIACION CON REPORTES EXSIM</t>
  </si>
  <si>
    <t>Pega reportes del simulador aqui para comparar</t>
  </si>
  <si>
    <t>EXSIM (pegar aqui)</t>
  </si>
  <si>
    <t>Umbral (abs)</t>
  </si>
  <si>
    <t>MODELO (Inv_Final)</t>
  </si>
  <si>
    <t>DIFERENCIAS (EXSIM - MODELO)</t>
  </si>
  <si>
    <t>Error Acum</t>
  </si>
  <si>
    <t>Semaforo</t>
  </si>
  <si>
    <t>ERROR TOTAL</t>
  </si>
  <si>
    <t>MONTE CARLO - COSTO ESPERADO</t>
  </si>
  <si>
    <t>Costo Base</t>
  </si>
  <si>
    <t>Stockout si falla A</t>
  </si>
  <si>
    <t>Stockout si falla B</t>
  </si>
  <si>
    <t>Simulacion (100 corridas)</t>
  </si>
  <si>
    <t>Corrida</t>
  </si>
  <si>
    <t>Falla A</t>
  </si>
  <si>
    <t>Falla B</t>
  </si>
  <si>
    <t>Promedio</t>
  </si>
  <si>
    <t>P90</t>
  </si>
  <si>
    <t>SENSIBILIDAD DEMANDA</t>
  </si>
  <si>
    <t>Factor</t>
  </si>
  <si>
    <t>Factor Base</t>
  </si>
  <si>
    <t>Discount Threshold (batches)</t>
  </si>
  <si>
    <t>MOQ (Batch Size)</t>
  </si>
  <si>
    <t>12. PLANNING PARAMETERS</t>
  </si>
  <si>
    <t>Parameter</t>
  </si>
  <si>
    <t>Value</t>
  </si>
  <si>
    <t>Stockout penalty ($/EC)</t>
  </si>
  <si>
    <t>Financing cost per Q</t>
  </si>
  <si>
    <t>0 = ignore cash cost</t>
  </si>
  <si>
    <t>Review period R (Q)</t>
  </si>
  <si>
    <t>Order-up-to coverage (Q)</t>
  </si>
  <si>
    <t>Pieces buy at t=0 (1/0)</t>
  </si>
  <si>
    <t>Disc rate Part A (B)</t>
  </si>
  <si>
    <t>Disc rate Part B (B)</t>
  </si>
  <si>
    <t>Prob fail Supplier B</t>
  </si>
  <si>
    <t>Pct Centro (input)</t>
  </si>
  <si>
    <t>Pct Centro (used)</t>
  </si>
  <si>
    <t>MRP NET REQUIREMENTS (periodo 6 base, ajustable)</t>
  </si>
  <si>
    <t>Plant</t>
  </si>
  <si>
    <t>Metric</t>
  </si>
  <si>
    <t>Total</t>
  </si>
  <si>
    <t>Key</t>
  </si>
  <si>
    <t>Gross Req</t>
  </si>
  <si>
    <t>POH Start</t>
  </si>
  <si>
    <t>Net Req</t>
  </si>
  <si>
    <t>Planned Receipt</t>
  </si>
  <si>
    <t>Planned Release</t>
  </si>
  <si>
    <t>POH End</t>
  </si>
  <si>
    <t>BUYING PLAN FINAL (ajustable)</t>
  </si>
  <si>
    <t>Units</t>
  </si>
  <si>
    <t>Expected Cost</t>
  </si>
  <si>
    <t>Payment Q</t>
  </si>
  <si>
    <t>Q0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</si>
</sst>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\$#,##0"/>
    <numFmt numFmtId="165" formatCode="\$#,##0.00"/>
    <numFmt numFmtId="166" formatCode="\$0.00"/>
    <numFmt numFmtId="167" formatCode="0.0"/>
    <numFmt numFmtId="168" formatCode="#,##0.0"/>
  </numFmts>
  <fonts count="21" x14ac:knownFonts="1">
    <font>
      <sz val="11"/>
      <color theme="1"/>
      <name val="Calibri"/>
      <family val="2"/>
      <charset val="1"/>
    </font>
    <font>
      <b/>
      <sz val="14"/>
      <name val="Cambria"/>
      <family val="1"/>
    </font>
    <font>
      <i/>
      <sz val="9"/>
      <color rgb="FF0000FF"/>
      <name val="Cambria"/>
      <family val="1"/>
    </font>
    <font>
      <b/>
      <sz val="11"/>
      <color rgb="FFFFFFFF"/>
      <name val="Cambria"/>
      <family val="1"/>
    </font>
    <font>
      <b/>
      <sz val="10"/>
      <name val="Cambria"/>
      <family val="1"/>
    </font>
    <font>
      <sz val="10"/>
      <color rgb="FF0000FF"/>
      <name val="Cambria"/>
      <family val="1"/>
    </font>
    <font>
      <sz val="10"/>
      <color rgb="FF000000"/>
      <name val="Cambria"/>
      <family val="1"/>
    </font>
    <font>
      <i/>
      <sz val="9"/>
      <name val="Cambria"/>
      <family val="1"/>
    </font>
    <font>
      <i/>
      <sz val="9"/>
      <color rgb="FFFF0000"/>
      <name val="Cambria"/>
      <family val="1"/>
    </font>
    <font>
      <i/>
      <sz val="9"/>
      <color rgb="FF008000"/>
      <name val="Cambria"/>
      <family val="1"/>
    </font>
    <font>
      <sz val="10"/>
      <color rgb="FF008000"/>
      <name val="Cambria"/>
      <family val="1"/>
    </font>
    <font>
      <i/>
      <sz val="9"/>
      <color rgb="FFFF6B00"/>
      <name val="Cambria"/>
      <family val="1"/>
    </font>
    <font>
      <sz val="10"/>
      <name val="Cambria"/>
      <family val="1"/>
    </font>
    <font>
      <b/>
      <sz val="11"/>
      <color rgb="FF008000"/>
      <name val="Cambria"/>
      <family val="1"/>
    </font>
    <font>
      <b/>
      <sz val="16"/>
      <color rgb="FFFFFFFF"/>
      <name val="Cambria"/>
      <family val="1"/>
    </font>
    <font>
      <b/>
      <sz val="12"/>
      <color rgb="FFFF0000"/>
      <name val="Cambria"/>
      <family val="1"/>
    </font>
    <font>
      <b/>
      <sz val="14"/>
      <color rgb="FFFF0000"/>
      <name val="Cambria"/>
      <family val="1"/>
    </font>
    <font>
      <b/>
      <i/>
      <sz val="10"/>
      <color rgb="FFFF0000"/>
      <name val="Cambria"/>
      <family val="1"/>
    </font>
    <font>
      <b/>
      <sz val="12"/>
      <color rgb="FFFFFFFF"/>
      <name val="Cambria"/>
      <family val="1"/>
    </font>
    <font>
      <b/>
      <sz val="14"/>
      <color rgb="FFFFFFFF"/>
      <name val="Cambria"/>
      <family val="1"/>
    </font>
    <font>
      <sz val="11"/>
      <color rgb="FF008000"/>
      <name val="Cambria"/>
      <family val="1"/>
    </font>
  </fonts>
  <fills count="13">
    <fill>
      <patternFill patternType="none"/>
    </fill>
    <fill>
      <patternFill patternType="gray125"/>
    </fill>
    <fill>
      <patternFill patternType="solid">
        <fgColor rgb="FF1F4E78"/>
        <bgColor rgb="FF203764"/>
      </patternFill>
    </fill>
    <fill>
      <patternFill patternType="solid">
        <fgColor rgb="FFE7E6E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C6EFCE"/>
        <bgColor rgb="FFCCFFFF"/>
      </patternFill>
    </fill>
    <fill>
      <patternFill patternType="solid">
        <fgColor rgb="FF203764"/>
        <bgColor rgb="FF1F4E78"/>
      </patternFill>
    </fill>
    <fill>
      <patternFill patternType="solid">
        <fgColor rgb="FFFFC7CE"/>
        <bgColor rgb="FFE7E6E6"/>
      </patternFill>
    </fill>
    <fill>
      <patternFill patternType="solid">
        <fgColor rgb="FFFFA500"/>
        <bgColor rgb="FFFFCC00"/>
      </patternFill>
    </fill>
    <fill>
      <patternFill patternType="solid">
        <fgColor rgb="FFFF0000"/>
        <bgColor rgb="FF993300"/>
      </patternFill>
    </fill>
    <fill>
      <patternFill patternType="solid">
        <fgColor rgb="FF008000"/>
        <bgColor rgb="FF228B22"/>
      </patternFill>
    </fill>
    <fill>
      <patternFill patternType="solid">
        <fgColor rgb="FF0066CC"/>
        <bgColor rgb="FF008080"/>
      </patternFill>
    </fill>
    <fill>
      <patternFill patternType="solid">
        <fgColor rgb="FF228B22"/>
        <bgColor rgb="FF008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4" fillId="0" borderId="0" xfId="0" applyFont="1"/>
    <xf numFmtId="0" fontId="7" fillId="0" borderId="0" xfId="0" applyFont="1"/>
    <xf numFmtId="0" fontId="3" fillId="2" borderId="1" xfId="0" applyFont="1" applyFill="1" applyBorder="1"/>
    <xf numFmtId="0" fontId="4" fillId="3" borderId="1" xfId="0" applyFont="1" applyFill="1" applyBorder="1" applyAlignment="1">
      <alignment horizontal="center"/>
    </xf>
    <xf numFmtId="0" fontId="4" fillId="0" borderId="1" xfId="0" applyFont="1" applyBorder="1"/>
    <xf numFmtId="3" fontId="5" fillId="4" borderId="1" xfId="0" applyNumberFormat="1" applyFont="1" applyFill="1" applyBorder="1" applyAlignment="1">
      <alignment horizontal="right"/>
    </xf>
    <xf numFmtId="3" fontId="6" fillId="3" borderId="1" xfId="0" applyNumberFormat="1" applyFont="1" applyFill="1" applyBorder="1"/>
    <xf numFmtId="0" fontId="4" fillId="3" borderId="1" xfId="0" applyFont="1" applyFill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7" fillId="0" borderId="1" xfId="0" applyFont="1" applyBorder="1"/>
    <xf numFmtId="164" fontId="5" fillId="4" borderId="1" xfId="0" applyNumberFormat="1" applyFont="1" applyFill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6" fontId="5" fillId="4" borderId="1" xfId="0" applyNumberFormat="1" applyFont="1" applyFill="1" applyBorder="1" applyAlignment="1">
      <alignment horizontal="right"/>
    </xf>
    <xf numFmtId="16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0" fontId="5" fillId="4" borderId="1" xfId="0" applyFont="1" applyFill="1" applyBorder="1" applyAlignment="1">
      <alignment horizontal="center"/>
    </xf>
    <xf numFmtId="9" fontId="5" fillId="0" borderId="1" xfId="0" applyNumberFormat="1" applyFont="1" applyBorder="1" applyAlignment="1">
      <alignment horizontal="right"/>
    </xf>
    <xf numFmtId="1" fontId="5" fillId="0" borderId="1" xfId="0" applyNumberFormat="1" applyFont="1" applyBorder="1" applyAlignment="1">
      <alignment horizontal="right"/>
    </xf>
    <xf numFmtId="167" fontId="5" fillId="4" borderId="1" xfId="0" applyNumberFormat="1" applyFont="1" applyFill="1" applyBorder="1" applyAlignment="1">
      <alignment horizontal="right"/>
    </xf>
    <xf numFmtId="3" fontId="6" fillId="0" borderId="1" xfId="0" applyNumberFormat="1" applyFont="1" applyBorder="1" applyAlignment="1">
      <alignment horizontal="right"/>
    </xf>
    <xf numFmtId="0" fontId="6" fillId="0" borderId="1" xfId="0" applyFont="1" applyBorder="1"/>
    <xf numFmtId="0" fontId="3" fillId="2" borderId="1" xfId="0" applyFont="1" applyFill="1" applyBorder="1" applyAlignment="1">
      <alignment horizontal="center"/>
    </xf>
    <xf numFmtId="2" fontId="10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>
      <alignment horizontal="right"/>
    </xf>
    <xf numFmtId="3" fontId="6" fillId="3" borderId="1" xfId="0" applyNumberFormat="1" applyFont="1" applyFill="1" applyBorder="1" applyAlignment="1">
      <alignment horizontal="right"/>
    </xf>
    <xf numFmtId="3" fontId="10" fillId="3" borderId="1" xfId="0" applyNumberFormat="1" applyFont="1" applyFill="1" applyBorder="1" applyAlignment="1">
      <alignment horizontal="right"/>
    </xf>
    <xf numFmtId="3" fontId="10" fillId="0" borderId="1" xfId="0" applyNumberFormat="1" applyFont="1" applyBorder="1" applyAlignment="1">
      <alignment horizontal="right"/>
    </xf>
    <xf numFmtId="3" fontId="4" fillId="3" borderId="1" xfId="0" applyNumberFormat="1" applyFont="1" applyFill="1" applyBorder="1" applyAlignment="1">
      <alignment horizontal="right"/>
    </xf>
    <xf numFmtId="3" fontId="6" fillId="4" borderId="1" xfId="0" applyNumberFormat="1" applyFont="1" applyFill="1" applyBorder="1"/>
    <xf numFmtId="0" fontId="4" fillId="3" borderId="1" xfId="0" applyFont="1" applyFill="1" applyBorder="1" applyAlignment="1">
      <alignment horizontal="center" wrapText="1"/>
    </xf>
    <xf numFmtId="3" fontId="10" fillId="0" borderId="1" xfId="0" applyNumberFormat="1" applyFont="1" applyBorder="1"/>
    <xf numFmtId="3" fontId="6" fillId="0" borderId="1" xfId="0" applyNumberFormat="1" applyFont="1" applyBorder="1"/>
    <xf numFmtId="3" fontId="5" fillId="4" borderId="1" xfId="0" applyNumberFormat="1" applyFont="1" applyFill="1" applyBorder="1"/>
    <xf numFmtId="164" fontId="10" fillId="0" borderId="1" xfId="0" applyNumberFormat="1" applyFont="1" applyBorder="1"/>
    <xf numFmtId="164" fontId="6" fillId="0" borderId="1" xfId="0" applyNumberFormat="1" applyFont="1" applyBorder="1"/>
    <xf numFmtId="164" fontId="3" fillId="2" borderId="1" xfId="0" applyNumberFormat="1" applyFont="1" applyFill="1" applyBorder="1"/>
    <xf numFmtId="0" fontId="10" fillId="0" borderId="1" xfId="0" applyFont="1" applyBorder="1"/>
    <xf numFmtId="0" fontId="3" fillId="2" borderId="1" xfId="0" applyFont="1" applyFill="1" applyBorder="1" applyAlignment="1">
      <alignment horizontal="center" wrapText="1"/>
    </xf>
    <xf numFmtId="1" fontId="6" fillId="0" borderId="1" xfId="0" applyNumberFormat="1" applyFont="1" applyBorder="1" applyAlignment="1">
      <alignment horizontal="center"/>
    </xf>
    <xf numFmtId="1" fontId="6" fillId="0" borderId="1" xfId="0" applyNumberFormat="1" applyFont="1" applyBorder="1"/>
    <xf numFmtId="164" fontId="5" fillId="4" borderId="1" xfId="0" applyNumberFormat="1" applyFont="1" applyFill="1" applyBorder="1"/>
    <xf numFmtId="1" fontId="3" fillId="2" borderId="1" xfId="0" applyNumberFormat="1" applyFont="1" applyFill="1" applyBorder="1"/>
    <xf numFmtId="164" fontId="0" fillId="0" borderId="1" xfId="0" applyNumberFormat="1" applyBorder="1"/>
    <xf numFmtId="0" fontId="5" fillId="4" borderId="1" xfId="0" applyFont="1" applyFill="1" applyBorder="1"/>
    <xf numFmtId="0" fontId="12" fillId="0" borderId="1" xfId="0" applyFont="1" applyBorder="1"/>
    <xf numFmtId="164" fontId="13" fillId="5" borderId="1" xfId="0" applyNumberFormat="1" applyFont="1" applyFill="1" applyBorder="1"/>
    <xf numFmtId="0" fontId="13" fillId="5" borderId="1" xfId="0" applyFont="1" applyFill="1" applyBorder="1"/>
    <xf numFmtId="3" fontId="5" fillId="4" borderId="0" xfId="0" applyNumberFormat="1" applyFont="1" applyFill="1"/>
    <xf numFmtId="9" fontId="0" fillId="0" borderId="1" xfId="0" applyNumberFormat="1" applyBorder="1"/>
    <xf numFmtId="0" fontId="13" fillId="4" borderId="0" xfId="0" applyFont="1" applyFill="1"/>
    <xf numFmtId="164" fontId="13" fillId="4" borderId="0" xfId="0" applyNumberFormat="1" applyFont="1" applyFill="1"/>
    <xf numFmtId="0" fontId="4" fillId="0" borderId="0" xfId="0" applyFont="1" applyAlignment="1">
      <alignment horizontal="right"/>
    </xf>
    <xf numFmtId="164" fontId="6" fillId="3" borderId="1" xfId="0" applyNumberFormat="1" applyFont="1" applyFill="1" applyBorder="1"/>
    <xf numFmtId="0" fontId="0" fillId="3" borderId="1" xfId="0" applyFill="1" applyBorder="1"/>
    <xf numFmtId="0" fontId="6" fillId="3" borderId="1" xfId="0" applyFont="1" applyFill="1" applyBorder="1"/>
    <xf numFmtId="0" fontId="6" fillId="4" borderId="1" xfId="0" applyFont="1" applyFill="1" applyBorder="1"/>
    <xf numFmtId="9" fontId="5" fillId="4" borderId="1" xfId="0" applyNumberFormat="1" applyFont="1" applyFill="1" applyBorder="1"/>
    <xf numFmtId="0" fontId="10" fillId="0" borderId="1" xfId="0" applyFont="1" applyBorder="1" applyAlignment="1">
      <alignment horizontal="center"/>
    </xf>
    <xf numFmtId="9" fontId="6" fillId="0" borderId="1" xfId="0" applyNumberFormat="1" applyFont="1" applyBorder="1"/>
    <xf numFmtId="168" fontId="6" fillId="8" borderId="1" xfId="0" applyNumberFormat="1" applyFont="1" applyFill="1" applyBorder="1"/>
    <xf numFmtId="3" fontId="6" fillId="7" borderId="1" xfId="0" applyNumberFormat="1" applyFont="1" applyFill="1" applyBorder="1"/>
    <xf numFmtId="164" fontId="6" fillId="7" borderId="1" xfId="0" applyNumberFormat="1" applyFont="1" applyFill="1" applyBorder="1"/>
    <xf numFmtId="164" fontId="6" fillId="5" borderId="1" xfId="0" applyNumberFormat="1" applyFont="1" applyFill="1" applyBorder="1"/>
    <xf numFmtId="164" fontId="10" fillId="7" borderId="1" xfId="0" applyNumberFormat="1" applyFont="1" applyFill="1" applyBorder="1"/>
    <xf numFmtId="164" fontId="4" fillId="3" borderId="1" xfId="0" applyNumberFormat="1" applyFont="1" applyFill="1" applyBorder="1"/>
    <xf numFmtId="164" fontId="3" fillId="9" borderId="1" xfId="0" applyNumberFormat="1" applyFont="1" applyFill="1" applyBorder="1"/>
    <xf numFmtId="164" fontId="6" fillId="4" borderId="1" xfId="0" applyNumberFormat="1" applyFont="1" applyFill="1" applyBorder="1"/>
    <xf numFmtId="1" fontId="0" fillId="0" borderId="1" xfId="0" applyNumberFormat="1" applyBorder="1" applyAlignment="1">
      <alignment horizontal="center"/>
    </xf>
    <xf numFmtId="3" fontId="20" fillId="0" borderId="1" xfId="0" applyNumberFormat="1" applyFont="1" applyBorder="1"/>
    <xf numFmtId="3" fontId="0" fillId="0" borderId="1" xfId="0" applyNumberFormat="1" applyBorder="1"/>
    <xf numFmtId="167" fontId="5" fillId="0" borderId="1" xfId="0" applyNumberFormat="1" applyFont="1" applyBorder="1"/>
    <xf numFmtId="0" fontId="20" fillId="0" borderId="1" xfId="0" applyFont="1" applyBorder="1"/>
    <xf numFmtId="3" fontId="0" fillId="0" borderId="0" xfId="0" applyNumberFormat="1"/>
    <xf numFmtId="3" fontId="0" fillId="0" borderId="1" xfId="0" applyNumberFormat="1" applyBorder="1" applyAlignment="1">
      <alignment horizontal="center"/>
    </xf>
    <xf numFmtId="9" fontId="0" fillId="0" borderId="0" xfId="0" applyNumberFormat="1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3" fillId="2" borderId="1" xfId="0" applyFont="1" applyFill="1" applyBorder="1"/>
    <xf numFmtId="0" fontId="8" fillId="0" borderId="1" xfId="0" applyFont="1" applyBorder="1"/>
    <xf numFmtId="0" fontId="7" fillId="0" borderId="0" xfId="0" applyFont="1"/>
    <xf numFmtId="0" fontId="9" fillId="0" borderId="0" xfId="0" applyFont="1"/>
    <xf numFmtId="0" fontId="4" fillId="0" borderId="0" xfId="0" applyFont="1"/>
    <xf numFmtId="0" fontId="8" fillId="0" borderId="0" xfId="0" applyFont="1"/>
    <xf numFmtId="0" fontId="0" fillId="0" borderId="0" xfId="0" applyAlignment="1">
      <alignment horizontal="center" vertical="center"/>
    </xf>
    <xf numFmtId="0" fontId="11" fillId="0" borderId="0" xfId="0" applyFont="1"/>
    <xf numFmtId="0" fontId="14" fillId="6" borderId="0" xfId="0" applyFont="1" applyFill="1"/>
    <xf numFmtId="0" fontId="15" fillId="7" borderId="0" xfId="0" applyFont="1" applyFill="1"/>
    <xf numFmtId="0" fontId="0" fillId="0" borderId="2" xfId="0" applyBorder="1" applyAlignment="1">
      <alignment horizontal="center" vertical="center"/>
    </xf>
    <xf numFmtId="0" fontId="16" fillId="0" borderId="0" xfId="0" applyFont="1"/>
    <xf numFmtId="0" fontId="17" fillId="0" borderId="0" xfId="0" applyFont="1"/>
    <xf numFmtId="0" fontId="18" fillId="9" borderId="0" xfId="0" applyFont="1" applyFill="1" applyAlignment="1">
      <alignment horizontal="center" vertical="center"/>
    </xf>
    <xf numFmtId="0" fontId="19" fillId="10" borderId="0" xfId="0" applyFont="1" applyFill="1"/>
    <xf numFmtId="0" fontId="19" fillId="11" borderId="0" xfId="0" applyFont="1" applyFill="1"/>
    <xf numFmtId="0" fontId="19" fillId="12" borderId="0" xfId="0" applyFont="1" applyFill="1"/>
  </cellXfs>
  <cellStyles count="1">
    <cellStyle name="Normal" xfId="0" builtinId="0"/>
  </cellStyles>
  <dxfs count="9"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A500"/>
      <rgbColor rgb="FFFF6B00"/>
      <rgbColor rgb="FF666699"/>
      <rgbColor rgb="FF969696"/>
      <rgbColor rgb="FF203764"/>
      <rgbColor rgb="FF228B22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55CA75F-B267-4348-BBDD-78A8489D6E39}" name="Tabla1" displayName="Tabla1" ref="A2:M114" totalsRowShown="0">
  <autoFilter ref="A2:M114" xr:uid="{755CA75F-B267-4348-BBDD-78A8489D6E39}"/>
  <tableColumns count="13">
    <tableColumn id="1" xr3:uid="{1700684D-84D7-499C-824D-B14B9A4D258D}" name="Plant"/>
    <tableColumn id="2" xr3:uid="{8BD79F2D-65F0-4C0A-A419-11F6586B20A7}" name="Material"/>
    <tableColumn id="3" xr3:uid="{A1C6E151-99A9-42D9-AB55-F0EBFB837F0C}" name="Metric"/>
    <tableColumn id="4" xr3:uid="{880230FF-D89F-4B82-9F04-EBACC6C66E00}" name="Q1"/>
    <tableColumn id="5" xr3:uid="{06201583-445D-4BD8-BF50-4A7339BFA817}" name="Q2"/>
    <tableColumn id="6" xr3:uid="{5EB6791D-BD4D-420F-BB44-86F65C91375E}" name="Q3"/>
    <tableColumn id="7" xr3:uid="{F946A5B3-90E0-496B-9A11-27340E5B9CB7}" name="Q4"/>
    <tableColumn id="8" xr3:uid="{4EC02074-9CE9-4FBB-B5B7-BA31EE76B81C}" name="Q5"/>
    <tableColumn id="9" xr3:uid="{633E3306-263B-439F-8BDE-2D1C63471776}" name="Q6"/>
    <tableColumn id="10" xr3:uid="{F82B9934-E81A-4A7C-B1D0-1B2A66F18B7E}" name="Q7"/>
    <tableColumn id="11" xr3:uid="{AD4E46C9-6E7E-41CB-9C54-606AA62746FF}" name="Q8"/>
    <tableColumn id="12" xr3:uid="{2BC79FB8-2119-4243-8DAC-264DDA0DA264}" name="Total">
      <calculatedColumnFormula>SUM(D3:K3)</calculatedColumnFormula>
    </tableColumn>
    <tableColumn id="13" xr3:uid="{70988DB8-BD26-465B-A8E1-EE9588C0FE98}" name="Key">
      <calculatedColumnFormula>A3&amp;"|"&amp;B3&amp;"|"&amp;C3</calculatedColumnFormula>
    </tableColumn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00F51-E34A-4A09-95B7-36AB560DF3C2}">
  <dimension ref="A1:I46"/>
  <sheetViews>
    <sheetView workbookViewId="0">
      <selection activeCell="F7" sqref="F7"/>
    </sheetView>
  </sheetViews>
  <sheetFormatPr baseColWidth="10" defaultRowHeight="14.4" x14ac:dyDescent="0.3"/>
  <cols>
    <col min="1" max="1" width="26.77734375" bestFit="1" customWidth="1"/>
    <col min="2" max="2" width="7.88671875" bestFit="1" customWidth="1"/>
    <col min="3" max="3" width="8.6640625" bestFit="1" customWidth="1"/>
    <col min="4" max="4" width="4.44140625" bestFit="1" customWidth="1"/>
    <col min="5" max="5" width="6" bestFit="1" customWidth="1"/>
    <col min="6" max="6" width="7.44140625" bestFit="1" customWidth="1"/>
    <col min="7" max="7" width="12.5546875" bestFit="1" customWidth="1"/>
    <col min="8" max="8" width="9.88671875" bestFit="1" customWidth="1"/>
    <col min="9" max="9" width="15.33203125" bestFit="1" customWidth="1"/>
  </cols>
  <sheetData>
    <row r="1" spans="1:9" x14ac:dyDescent="0.3">
      <c r="A1" t="s">
        <v>358</v>
      </c>
    </row>
    <row r="2" spans="1:9" x14ac:dyDescent="0.3">
      <c r="A2" t="s">
        <v>348</v>
      </c>
      <c r="B2" t="s">
        <v>15</v>
      </c>
      <c r="C2" t="s">
        <v>118</v>
      </c>
      <c r="D2" t="s">
        <v>256</v>
      </c>
      <c r="E2" t="s">
        <v>359</v>
      </c>
      <c r="F2" t="s">
        <v>257</v>
      </c>
      <c r="G2" t="s">
        <v>360</v>
      </c>
      <c r="H2" t="s">
        <v>361</v>
      </c>
      <c r="I2" t="s">
        <v>258</v>
      </c>
    </row>
    <row r="3" spans="1:9" x14ac:dyDescent="0.3">
      <c r="A3" t="s">
        <v>265</v>
      </c>
      <c r="B3" t="s">
        <v>19</v>
      </c>
      <c r="C3" t="s">
        <v>4</v>
      </c>
      <c r="D3">
        <f>IF(C3="Q0",_xlfn.CEILING.MATH(INDEX(MRP_NetReq!$L:$L,MATCH(A3&amp;"|"&amp;B3&amp;"|Gross Req",MRP_NetReq!$M:$M,0))/_xlfn.XLOOKUP(B3,Inputs!$A$35:$A$42,Inputs!$B$35:$B$42),1),INDEX(MRP_NetReq!$D:$K,MATCH(A3&amp;"|"&amp;B3&amp;"|Planned Receipt",MRP_NetReq!$M:$M,0),MATCH(C3,MRP_NetReq!$D$2:$K$2,0))/_xlfn.XLOOKUP(B3,Inputs!$A$35:$A$42,Inputs!$B$35:$B$42))</f>
        <v>0</v>
      </c>
      <c r="E3">
        <f>D3*_xlfn.XLOOKUP(B3,Inputs!$A$35:$A$42,Inputs!$B$35:$B$42)</f>
        <v>0</v>
      </c>
      <c r="F3" t="str">
        <f>IF(LEFT(B3,5)="Pieza","Unico",IF(B3="Parte A",Inputs!$B$69,IF(B3="Parte B",Inputs!$B$77,"A")))</f>
        <v>A</v>
      </c>
      <c r="G3">
        <f>IF(LEFT(B3,5)="Pieza",D3*_xlfn.XLOOKUP(B3,Inputs!$A$49:$A$54,Inputs!$B$49:$B$54),D3*IF(F3="B",IF(B3="Parte A",IF(D3&gt;=Inputs!$E$67,_xlfn.XLOOKUP(F3,Inputs!$A$66:$A$68,Inputs!$B$66:$B$68)*(1-Inputs!$B$111),_xlfn.XLOOKUP(F3,Inputs!$A$66:$A$68,Inputs!$B$66:$B$68)),IF(D3&gt;=Inputs!$E$75,_xlfn.XLOOKUP(F3,Inputs!$A$74:$A$76,Inputs!$B$74:$B$76)*(1-Inputs!$B$112),_xlfn.XLOOKUP(F3,Inputs!$A$74:$A$76,Inputs!$B$74:$B$76))),IF(B3="Parte A",_xlfn.XLOOKUP(F3,Inputs!$A$66:$A$68,Inputs!$B$66:$B$68),_xlfn.XLOOKUP(F3,Inputs!$A$74:$A$76,Inputs!$B$74:$B$76))) + IF(D3&gt;0,IF(B3="Parte A",Inputs!$B$59,Inputs!$B$60),0) + IF(F3="B",Inputs!$B$113*(E3/_xlfn.XLOOKUP(B3,BOM_Consumo!$A$6:$A$13,BOM_Consumo!$B$6:$B$13))*Inputs!$B$106,0) + (Inputs!$B$107*IF(F3="B",2,IF(F3="C",8,0))*D3*IF(B3="Parte A",_xlfn.XLOOKUP(F3,Inputs!$A$66:$A$68,Inputs!$B$66:$B$68),_xlfn.XLOOKUP(F3,Inputs!$A$74:$A$76,Inputs!$B$74:$B$76))))</f>
        <v>0</v>
      </c>
      <c r="H3" t="str">
        <f t="shared" ref="H3:H46" si="0">IF(C3="Q0","Q0",IF(LEFT(F3,5)="Unico",C3,IF(VALUE(MID(C3,2,2))+IF(F3="B",2,IF(F3="C",8,0))&gt;8,"Next period","Q"&amp;(VALUE(MID(C3,2,2))+IF(F3="B",2,IF(F3="C",8,0))))) )</f>
        <v>Q1</v>
      </c>
      <c r="I3" t="str">
        <f t="shared" ref="I3:I46" si="1">IF(LEFT(B3,5)="Pieza","Compra unica t=0","")</f>
        <v/>
      </c>
    </row>
    <row r="4" spans="1:9" x14ac:dyDescent="0.3">
      <c r="A4" t="s">
        <v>265</v>
      </c>
      <c r="B4" t="s">
        <v>19</v>
      </c>
      <c r="C4" t="s">
        <v>5</v>
      </c>
      <c r="D4">
        <f>IF(C4="Q0",_xlfn.CEILING.MATH(INDEX(MRP_NetReq!$L:$L,MATCH(A4&amp;"|"&amp;B4&amp;"|Gross Req",MRP_NetReq!$M:$M,0))/_xlfn.XLOOKUP(B4,Inputs!$A$35:$A$42,Inputs!$B$35:$B$42),1),INDEX(MRP_NetReq!$D:$K,MATCH(A4&amp;"|"&amp;B4&amp;"|Planned Receipt",MRP_NetReq!$M:$M,0),MATCH(C4,MRP_NetReq!$D$2:$K$2,0))/_xlfn.XLOOKUP(B4,Inputs!$A$35:$A$42,Inputs!$B$35:$B$42))</f>
        <v>31</v>
      </c>
      <c r="E4">
        <f>D4*_xlfn.XLOOKUP(B4,Inputs!$A$35:$A$42,Inputs!$B$35:$B$42)</f>
        <v>930</v>
      </c>
      <c r="F4" t="str">
        <f>IF(LEFT(B4,5)="Pieza","Unico",IF(B4="Parte A",Inputs!$B$69,IF(B4="Parte B",Inputs!$B$77,"A")))</f>
        <v>A</v>
      </c>
      <c r="G4">
        <f>IF(LEFT(B4,5)="Pieza",D4*_xlfn.XLOOKUP(B4,Inputs!$A$49:$A$54,Inputs!$B$49:$B$54),D4*IF(F4="B",IF(B4="Parte A",IF(D4&gt;=Inputs!$E$67,_xlfn.XLOOKUP(F4,Inputs!$A$66:$A$68,Inputs!$B$66:$B$68)*(1-Inputs!$B$111),_xlfn.XLOOKUP(F4,Inputs!$A$66:$A$68,Inputs!$B$66:$B$68)),IF(D4&gt;=Inputs!$E$75,_xlfn.XLOOKUP(F4,Inputs!$A$74:$A$76,Inputs!$B$74:$B$76)*(1-Inputs!$B$112),_xlfn.XLOOKUP(F4,Inputs!$A$74:$A$76,Inputs!$B$74:$B$76))),IF(B4="Parte A",_xlfn.XLOOKUP(F4,Inputs!$A$66:$A$68,Inputs!$B$66:$B$68),_xlfn.XLOOKUP(F4,Inputs!$A$74:$A$76,Inputs!$B$74:$B$76))) + IF(D4&gt;0,IF(B4="Parte A",Inputs!$B$59,Inputs!$B$60),0) + IF(F4="B",Inputs!$B$113*(E4/_xlfn.XLOOKUP(B4,BOM_Consumo!$A$6:$A$13,BOM_Consumo!$B$6:$B$13))*Inputs!$B$106,0) + (Inputs!$B$107*IF(F4="B",2,IF(F4="C",8,0))*D4*IF(B4="Parte A",_xlfn.XLOOKUP(F4,Inputs!$A$66:$A$68,Inputs!$B$66:$B$68),_xlfn.XLOOKUP(F4,Inputs!$A$74:$A$76,Inputs!$B$74:$B$76))))</f>
        <v>6175</v>
      </c>
      <c r="H4" t="str">
        <f t="shared" si="0"/>
        <v>Q2</v>
      </c>
      <c r="I4" t="str">
        <f t="shared" si="1"/>
        <v/>
      </c>
    </row>
    <row r="5" spans="1:9" x14ac:dyDescent="0.3">
      <c r="A5" t="s">
        <v>265</v>
      </c>
      <c r="B5" t="s">
        <v>19</v>
      </c>
      <c r="C5" t="s">
        <v>6</v>
      </c>
      <c r="D5">
        <f>IF(C5="Q0",_xlfn.CEILING.MATH(INDEX(MRP_NetReq!$L:$L,MATCH(A5&amp;"|"&amp;B5&amp;"|Gross Req",MRP_NetReq!$M:$M,0))/_xlfn.XLOOKUP(B5,Inputs!$A$35:$A$42,Inputs!$B$35:$B$42),1),INDEX(MRP_NetReq!$D:$K,MATCH(A5&amp;"|"&amp;B5&amp;"|Planned Receipt",MRP_NetReq!$M:$M,0),MATCH(C5,MRP_NetReq!$D$2:$K$2,0))/_xlfn.XLOOKUP(B5,Inputs!$A$35:$A$42,Inputs!$B$35:$B$42))</f>
        <v>48</v>
      </c>
      <c r="E5">
        <f>D5*_xlfn.XLOOKUP(B5,Inputs!$A$35:$A$42,Inputs!$B$35:$B$42)</f>
        <v>1440</v>
      </c>
      <c r="F5" t="str">
        <f>IF(LEFT(B5,5)="Pieza","Unico",IF(B5="Parte A",Inputs!$B$69,IF(B5="Parte B",Inputs!$B$77,"A")))</f>
        <v>A</v>
      </c>
      <c r="G5">
        <f>IF(LEFT(B5,5)="Pieza",D5*_xlfn.XLOOKUP(B5,Inputs!$A$49:$A$54,Inputs!$B$49:$B$54),D5*IF(F5="B",IF(B5="Parte A",IF(D5&gt;=Inputs!$E$67,_xlfn.XLOOKUP(F5,Inputs!$A$66:$A$68,Inputs!$B$66:$B$68)*(1-Inputs!$B$111),_xlfn.XLOOKUP(F5,Inputs!$A$66:$A$68,Inputs!$B$66:$B$68)),IF(D5&gt;=Inputs!$E$75,_xlfn.XLOOKUP(F5,Inputs!$A$74:$A$76,Inputs!$B$74:$B$76)*(1-Inputs!$B$112),_xlfn.XLOOKUP(F5,Inputs!$A$74:$A$76,Inputs!$B$74:$B$76))),IF(B5="Parte A",_xlfn.XLOOKUP(F5,Inputs!$A$66:$A$68,Inputs!$B$66:$B$68),_xlfn.XLOOKUP(F5,Inputs!$A$74:$A$76,Inputs!$B$74:$B$76))) + IF(D5&gt;0,IF(B5="Parte A",Inputs!$B$59,Inputs!$B$60),0) + IF(F5="B",Inputs!$B$113*(E5/_xlfn.XLOOKUP(B5,BOM_Consumo!$A$6:$A$13,BOM_Consumo!$B$6:$B$13))*Inputs!$B$106,0) + (Inputs!$B$107*IF(F5="B",2,IF(F5="C",8,0))*D5*IF(B5="Parte A",_xlfn.XLOOKUP(F5,Inputs!$A$66:$A$68,Inputs!$B$66:$B$68),_xlfn.XLOOKUP(F5,Inputs!$A$74:$A$76,Inputs!$B$74:$B$76))))</f>
        <v>8300</v>
      </c>
      <c r="H5" t="str">
        <f t="shared" si="0"/>
        <v>Q3</v>
      </c>
      <c r="I5" t="str">
        <f t="shared" si="1"/>
        <v/>
      </c>
    </row>
    <row r="6" spans="1:9" x14ac:dyDescent="0.3">
      <c r="A6" t="s">
        <v>265</v>
      </c>
      <c r="B6" t="s">
        <v>19</v>
      </c>
      <c r="C6" t="s">
        <v>7</v>
      </c>
      <c r="D6">
        <f>IF(C6="Q0",_xlfn.CEILING.MATH(INDEX(MRP_NetReq!$L:$L,MATCH(A6&amp;"|"&amp;B6&amp;"|Gross Req",MRP_NetReq!$M:$M,0))/_xlfn.XLOOKUP(B6,Inputs!$A$35:$A$42,Inputs!$B$35:$B$42),1),INDEX(MRP_NetReq!$D:$K,MATCH(A6&amp;"|"&amp;B6&amp;"|Planned Receipt",MRP_NetReq!$M:$M,0),MATCH(C6,MRP_NetReq!$D$2:$K$2,0))/_xlfn.XLOOKUP(B6,Inputs!$A$35:$A$42,Inputs!$B$35:$B$42))</f>
        <v>48</v>
      </c>
      <c r="E6">
        <f>D6*_xlfn.XLOOKUP(B6,Inputs!$A$35:$A$42,Inputs!$B$35:$B$42)</f>
        <v>1440</v>
      </c>
      <c r="F6" t="str">
        <f>IF(LEFT(B6,5)="Pieza","Unico",IF(B6="Parte A",Inputs!$B$69,IF(B6="Parte B",Inputs!$B$77,"A")))</f>
        <v>A</v>
      </c>
      <c r="G6">
        <f>IF(LEFT(B6,5)="Pieza",D6*_xlfn.XLOOKUP(B6,Inputs!$A$49:$A$54,Inputs!$B$49:$B$54),D6*IF(F6="B",IF(B6="Parte A",IF(D6&gt;=Inputs!$E$67,_xlfn.XLOOKUP(F6,Inputs!$A$66:$A$68,Inputs!$B$66:$B$68)*(1-Inputs!$B$111),_xlfn.XLOOKUP(F6,Inputs!$A$66:$A$68,Inputs!$B$66:$B$68)),IF(D6&gt;=Inputs!$E$75,_xlfn.XLOOKUP(F6,Inputs!$A$74:$A$76,Inputs!$B$74:$B$76)*(1-Inputs!$B$112),_xlfn.XLOOKUP(F6,Inputs!$A$74:$A$76,Inputs!$B$74:$B$76))),IF(B6="Parte A",_xlfn.XLOOKUP(F6,Inputs!$A$66:$A$68,Inputs!$B$66:$B$68),_xlfn.XLOOKUP(F6,Inputs!$A$74:$A$76,Inputs!$B$74:$B$76))) + IF(D6&gt;0,IF(B6="Parte A",Inputs!$B$59,Inputs!$B$60),0) + IF(F6="B",Inputs!$B$113*(E6/_xlfn.XLOOKUP(B6,BOM_Consumo!$A$6:$A$13,BOM_Consumo!$B$6:$B$13))*Inputs!$B$106,0) + (Inputs!$B$107*IF(F6="B",2,IF(F6="C",8,0))*D6*IF(B6="Parte A",_xlfn.XLOOKUP(F6,Inputs!$A$66:$A$68,Inputs!$B$66:$B$68),_xlfn.XLOOKUP(F6,Inputs!$A$74:$A$76,Inputs!$B$74:$B$76))))</f>
        <v>8300</v>
      </c>
      <c r="H6" t="str">
        <f t="shared" si="0"/>
        <v>Q4</v>
      </c>
      <c r="I6" t="str">
        <f t="shared" si="1"/>
        <v/>
      </c>
    </row>
    <row r="7" spans="1:9" x14ac:dyDescent="0.3">
      <c r="A7" t="s">
        <v>265</v>
      </c>
      <c r="B7" t="s">
        <v>19</v>
      </c>
      <c r="C7" t="s">
        <v>8</v>
      </c>
      <c r="D7">
        <f>IF(C7="Q0",_xlfn.CEILING.MATH(INDEX(MRP_NetReq!$L:$L,MATCH(A7&amp;"|"&amp;B7&amp;"|Gross Req",MRP_NetReq!$M:$M,0))/_xlfn.XLOOKUP(B7,Inputs!$A$35:$A$42,Inputs!$B$35:$B$42),1),INDEX(MRP_NetReq!$D:$K,MATCH(A7&amp;"|"&amp;B7&amp;"|Planned Receipt",MRP_NetReq!$M:$M,0),MATCH(C7,MRP_NetReq!$D$2:$K$2,0))/_xlfn.XLOOKUP(B7,Inputs!$A$35:$A$42,Inputs!$B$35:$B$42))</f>
        <v>0</v>
      </c>
      <c r="E7">
        <f>D7*_xlfn.XLOOKUP(B7,Inputs!$A$35:$A$42,Inputs!$B$35:$B$42)</f>
        <v>0</v>
      </c>
      <c r="F7" t="str">
        <f>IF(LEFT(B7,5)="Pieza","Unico",IF(B7="Parte A",Inputs!$B$69,IF(B7="Parte B",Inputs!$B$77,"A")))</f>
        <v>A</v>
      </c>
      <c r="G7">
        <f>IF(LEFT(B7,5)="Pieza",D7*_xlfn.XLOOKUP(B7,Inputs!$A$49:$A$54,Inputs!$B$49:$B$54),D7*IF(F7="B",IF(B7="Parte A",IF(D7&gt;=Inputs!$E$67,_xlfn.XLOOKUP(F7,Inputs!$A$66:$A$68,Inputs!$B$66:$B$68)*(1-Inputs!$B$111),_xlfn.XLOOKUP(F7,Inputs!$A$66:$A$68,Inputs!$B$66:$B$68)),IF(D7&gt;=Inputs!$E$75,_xlfn.XLOOKUP(F7,Inputs!$A$74:$A$76,Inputs!$B$74:$B$76)*(1-Inputs!$B$112),_xlfn.XLOOKUP(F7,Inputs!$A$74:$A$76,Inputs!$B$74:$B$76))),IF(B7="Parte A",_xlfn.XLOOKUP(F7,Inputs!$A$66:$A$68,Inputs!$B$66:$B$68),_xlfn.XLOOKUP(F7,Inputs!$A$74:$A$76,Inputs!$B$74:$B$76))) + IF(D7&gt;0,IF(B7="Parte A",Inputs!$B$59,Inputs!$B$60),0) + IF(F7="B",Inputs!$B$113*(E7/_xlfn.XLOOKUP(B7,BOM_Consumo!$A$6:$A$13,BOM_Consumo!$B$6:$B$13))*Inputs!$B$106,0) + (Inputs!$B$107*IF(F7="B",2,IF(F7="C",8,0))*D7*IF(B7="Parte A",_xlfn.XLOOKUP(F7,Inputs!$A$66:$A$68,Inputs!$B$66:$B$68),_xlfn.XLOOKUP(F7,Inputs!$A$74:$A$76,Inputs!$B$74:$B$76))))</f>
        <v>0</v>
      </c>
      <c r="H7" t="str">
        <f t="shared" si="0"/>
        <v>Q5</v>
      </c>
      <c r="I7" t="str">
        <f t="shared" si="1"/>
        <v/>
      </c>
    </row>
    <row r="8" spans="1:9" x14ac:dyDescent="0.3">
      <c r="A8" t="s">
        <v>265</v>
      </c>
      <c r="B8" t="s">
        <v>19</v>
      </c>
      <c r="C8" t="s">
        <v>9</v>
      </c>
      <c r="D8">
        <f>IF(C8="Q0",_xlfn.CEILING.MATH(INDEX(MRP_NetReq!$L:$L,MATCH(A8&amp;"|"&amp;B8&amp;"|Gross Req",MRP_NetReq!$M:$M,0))/_xlfn.XLOOKUP(B8,Inputs!$A$35:$A$42,Inputs!$B$35:$B$42),1),INDEX(MRP_NetReq!$D:$K,MATCH(A8&amp;"|"&amp;B8&amp;"|Planned Receipt",MRP_NetReq!$M:$M,0),MATCH(C8,MRP_NetReq!$D$2:$K$2,0))/_xlfn.XLOOKUP(B8,Inputs!$A$35:$A$42,Inputs!$B$35:$B$42))</f>
        <v>0</v>
      </c>
      <c r="E8">
        <f>D8*_xlfn.XLOOKUP(B8,Inputs!$A$35:$A$42,Inputs!$B$35:$B$42)</f>
        <v>0</v>
      </c>
      <c r="F8" t="str">
        <f>IF(LEFT(B8,5)="Pieza","Unico",IF(B8="Parte A",Inputs!$B$69,IF(B8="Parte B",Inputs!$B$77,"A")))</f>
        <v>A</v>
      </c>
      <c r="G8">
        <f>IF(LEFT(B8,5)="Pieza",D8*_xlfn.XLOOKUP(B8,Inputs!$A$49:$A$54,Inputs!$B$49:$B$54),D8*IF(F8="B",IF(B8="Parte A",IF(D8&gt;=Inputs!$E$67,_xlfn.XLOOKUP(F8,Inputs!$A$66:$A$68,Inputs!$B$66:$B$68)*(1-Inputs!$B$111),_xlfn.XLOOKUP(F8,Inputs!$A$66:$A$68,Inputs!$B$66:$B$68)),IF(D8&gt;=Inputs!$E$75,_xlfn.XLOOKUP(F8,Inputs!$A$74:$A$76,Inputs!$B$74:$B$76)*(1-Inputs!$B$112),_xlfn.XLOOKUP(F8,Inputs!$A$74:$A$76,Inputs!$B$74:$B$76))),IF(B8="Parte A",_xlfn.XLOOKUP(F8,Inputs!$A$66:$A$68,Inputs!$B$66:$B$68),_xlfn.XLOOKUP(F8,Inputs!$A$74:$A$76,Inputs!$B$74:$B$76))) + IF(D8&gt;0,IF(B8="Parte A",Inputs!$B$59,Inputs!$B$60),0) + IF(F8="B",Inputs!$B$113*(E8/_xlfn.XLOOKUP(B8,BOM_Consumo!$A$6:$A$13,BOM_Consumo!$B$6:$B$13))*Inputs!$B$106,0) + (Inputs!$B$107*IF(F8="B",2,IF(F8="C",8,0))*D8*IF(B8="Parte A",_xlfn.XLOOKUP(F8,Inputs!$A$66:$A$68,Inputs!$B$66:$B$68),_xlfn.XLOOKUP(F8,Inputs!$A$74:$A$76,Inputs!$B$74:$B$76))))</f>
        <v>0</v>
      </c>
      <c r="H8" t="str">
        <f t="shared" si="0"/>
        <v>Q6</v>
      </c>
      <c r="I8" t="str">
        <f t="shared" si="1"/>
        <v/>
      </c>
    </row>
    <row r="9" spans="1:9" x14ac:dyDescent="0.3">
      <c r="A9" t="s">
        <v>265</v>
      </c>
      <c r="B9" t="s">
        <v>19</v>
      </c>
      <c r="C9" t="s">
        <v>10</v>
      </c>
      <c r="D9">
        <f>IF(C9="Q0",_xlfn.CEILING.MATH(INDEX(MRP_NetReq!$L:$L,MATCH(A9&amp;"|"&amp;B9&amp;"|Gross Req",MRP_NetReq!$M:$M,0))/_xlfn.XLOOKUP(B9,Inputs!$A$35:$A$42,Inputs!$B$35:$B$42),1),INDEX(MRP_NetReq!$D:$K,MATCH(A9&amp;"|"&amp;B9&amp;"|Planned Receipt",MRP_NetReq!$M:$M,0),MATCH(C9,MRP_NetReq!$D$2:$K$2,0))/_xlfn.XLOOKUP(B9,Inputs!$A$35:$A$42,Inputs!$B$35:$B$42))</f>
        <v>0</v>
      </c>
      <c r="E9">
        <f>D9*_xlfn.XLOOKUP(B9,Inputs!$A$35:$A$42,Inputs!$B$35:$B$42)</f>
        <v>0</v>
      </c>
      <c r="F9" t="str">
        <f>IF(LEFT(B9,5)="Pieza","Unico",IF(B9="Parte A",Inputs!$B$69,IF(B9="Parte B",Inputs!$B$77,"A")))</f>
        <v>A</v>
      </c>
      <c r="G9">
        <f>IF(LEFT(B9,5)="Pieza",D9*_xlfn.XLOOKUP(B9,Inputs!$A$49:$A$54,Inputs!$B$49:$B$54),D9*IF(F9="B",IF(B9="Parte A",IF(D9&gt;=Inputs!$E$67,_xlfn.XLOOKUP(F9,Inputs!$A$66:$A$68,Inputs!$B$66:$B$68)*(1-Inputs!$B$111),_xlfn.XLOOKUP(F9,Inputs!$A$66:$A$68,Inputs!$B$66:$B$68)),IF(D9&gt;=Inputs!$E$75,_xlfn.XLOOKUP(F9,Inputs!$A$74:$A$76,Inputs!$B$74:$B$76)*(1-Inputs!$B$112),_xlfn.XLOOKUP(F9,Inputs!$A$74:$A$76,Inputs!$B$74:$B$76))),IF(B9="Parte A",_xlfn.XLOOKUP(F9,Inputs!$A$66:$A$68,Inputs!$B$66:$B$68),_xlfn.XLOOKUP(F9,Inputs!$A$74:$A$76,Inputs!$B$74:$B$76))) + IF(D9&gt;0,IF(B9="Parte A",Inputs!$B$59,Inputs!$B$60),0) + IF(F9="B",Inputs!$B$113*(E9/_xlfn.XLOOKUP(B9,BOM_Consumo!$A$6:$A$13,BOM_Consumo!$B$6:$B$13))*Inputs!$B$106,0) + (Inputs!$B$107*IF(F9="B",2,IF(F9="C",8,0))*D9*IF(B9="Parte A",_xlfn.XLOOKUP(F9,Inputs!$A$66:$A$68,Inputs!$B$66:$B$68),_xlfn.XLOOKUP(F9,Inputs!$A$74:$A$76,Inputs!$B$74:$B$76))))</f>
        <v>0</v>
      </c>
      <c r="H9" t="str">
        <f t="shared" si="0"/>
        <v>Q7</v>
      </c>
      <c r="I9" t="str">
        <f t="shared" si="1"/>
        <v/>
      </c>
    </row>
    <row r="10" spans="1:9" x14ac:dyDescent="0.3">
      <c r="A10" t="s">
        <v>265</v>
      </c>
      <c r="B10" t="s">
        <v>19</v>
      </c>
      <c r="C10" t="s">
        <v>11</v>
      </c>
      <c r="D10">
        <f>IF(C10="Q0",_xlfn.CEILING.MATH(INDEX(MRP_NetReq!$L:$L,MATCH(A10&amp;"|"&amp;B10&amp;"|Gross Req",MRP_NetReq!$M:$M,0))/_xlfn.XLOOKUP(B10,Inputs!$A$35:$A$42,Inputs!$B$35:$B$42),1),INDEX(MRP_NetReq!$D:$K,MATCH(A10&amp;"|"&amp;B10&amp;"|Planned Receipt",MRP_NetReq!$M:$M,0),MATCH(C10,MRP_NetReq!$D$2:$K$2,0))/_xlfn.XLOOKUP(B10,Inputs!$A$35:$A$42,Inputs!$B$35:$B$42))</f>
        <v>0</v>
      </c>
      <c r="E10">
        <f>D10*_xlfn.XLOOKUP(B10,Inputs!$A$35:$A$42,Inputs!$B$35:$B$42)</f>
        <v>0</v>
      </c>
      <c r="F10" t="str">
        <f>IF(LEFT(B10,5)="Pieza","Unico",IF(B10="Parte A",Inputs!$B$69,IF(B10="Parte B",Inputs!$B$77,"A")))</f>
        <v>A</v>
      </c>
      <c r="G10">
        <f>IF(LEFT(B10,5)="Pieza",D10*_xlfn.XLOOKUP(B10,Inputs!$A$49:$A$54,Inputs!$B$49:$B$54),D10*IF(F10="B",IF(B10="Parte A",IF(D10&gt;=Inputs!$E$67,_xlfn.XLOOKUP(F10,Inputs!$A$66:$A$68,Inputs!$B$66:$B$68)*(1-Inputs!$B$111),_xlfn.XLOOKUP(F10,Inputs!$A$66:$A$68,Inputs!$B$66:$B$68)),IF(D10&gt;=Inputs!$E$75,_xlfn.XLOOKUP(F10,Inputs!$A$74:$A$76,Inputs!$B$74:$B$76)*(1-Inputs!$B$112),_xlfn.XLOOKUP(F10,Inputs!$A$74:$A$76,Inputs!$B$74:$B$76))),IF(B10="Parte A",_xlfn.XLOOKUP(F10,Inputs!$A$66:$A$68,Inputs!$B$66:$B$68),_xlfn.XLOOKUP(F10,Inputs!$A$74:$A$76,Inputs!$B$74:$B$76))) + IF(D10&gt;0,IF(B10="Parte A",Inputs!$B$59,Inputs!$B$60),0) + IF(F10="B",Inputs!$B$113*(E10/_xlfn.XLOOKUP(B10,BOM_Consumo!$A$6:$A$13,BOM_Consumo!$B$6:$B$13))*Inputs!$B$106,0) + (Inputs!$B$107*IF(F10="B",2,IF(F10="C",8,0))*D10*IF(B10="Parte A",_xlfn.XLOOKUP(F10,Inputs!$A$66:$A$68,Inputs!$B$66:$B$68),_xlfn.XLOOKUP(F10,Inputs!$A$74:$A$76,Inputs!$B$74:$B$76))))</f>
        <v>0</v>
      </c>
      <c r="H10" t="str">
        <f t="shared" si="0"/>
        <v>Q8</v>
      </c>
      <c r="I10" t="str">
        <f t="shared" si="1"/>
        <v/>
      </c>
    </row>
    <row r="11" spans="1:9" x14ac:dyDescent="0.3">
      <c r="A11" t="s">
        <v>265</v>
      </c>
      <c r="B11" t="s">
        <v>22</v>
      </c>
      <c r="C11" t="s">
        <v>4</v>
      </c>
      <c r="D11">
        <f>IF(C11="Q0",_xlfn.CEILING.MATH(INDEX(MRP_NetReq!$L:$L,MATCH(A11&amp;"|"&amp;B11&amp;"|Gross Req",MRP_NetReq!$M:$M,0))/_xlfn.XLOOKUP(B11,Inputs!$A$35:$A$42,Inputs!$B$35:$B$42),1),INDEX(MRP_NetReq!$D:$K,MATCH(A11&amp;"|"&amp;B11&amp;"|Planned Receipt",MRP_NetReq!$M:$M,0),MATCH(C11,MRP_NetReq!$D$2:$K$2,0))/_xlfn.XLOOKUP(B11,Inputs!$A$35:$A$42,Inputs!$B$35:$B$42))</f>
        <v>0</v>
      </c>
      <c r="E11">
        <f>D11*_xlfn.XLOOKUP(B11,Inputs!$A$35:$A$42,Inputs!$B$35:$B$42)</f>
        <v>0</v>
      </c>
      <c r="F11" t="str">
        <f>IF(LEFT(B11,5)="Pieza","Unico",IF(B11="Parte A",Inputs!$B$69,IF(B11="Parte B",Inputs!$B$77,"A")))</f>
        <v>A</v>
      </c>
      <c r="G11">
        <f>IF(LEFT(B11,5)="Pieza",D11*_xlfn.XLOOKUP(B11,Inputs!$A$49:$A$54,Inputs!$B$49:$B$54),D11*IF(F11="B",IF(B11="Parte A",IF(D11&gt;=Inputs!$E$67,_xlfn.XLOOKUP(F11,Inputs!$A$66:$A$68,Inputs!$B$66:$B$68)*(1-Inputs!$B$111),_xlfn.XLOOKUP(F11,Inputs!$A$66:$A$68,Inputs!$B$66:$B$68)),IF(D11&gt;=Inputs!$E$75,_xlfn.XLOOKUP(F11,Inputs!$A$74:$A$76,Inputs!$B$74:$B$76)*(1-Inputs!$B$112),_xlfn.XLOOKUP(F11,Inputs!$A$74:$A$76,Inputs!$B$74:$B$76))),IF(B11="Parte A",_xlfn.XLOOKUP(F11,Inputs!$A$66:$A$68,Inputs!$B$66:$B$68),_xlfn.XLOOKUP(F11,Inputs!$A$74:$A$76,Inputs!$B$74:$B$76))) + IF(D11&gt;0,IF(B11="Parte A",Inputs!$B$59,Inputs!$B$60),0) + IF(F11="B",Inputs!$B$113*(E11/_xlfn.XLOOKUP(B11,BOM_Consumo!$A$6:$A$13,BOM_Consumo!$B$6:$B$13))*Inputs!$B$106,0) + (Inputs!$B$107*IF(F11="B",2,IF(F11="C",8,0))*D11*IF(B11="Parte A",_xlfn.XLOOKUP(F11,Inputs!$A$66:$A$68,Inputs!$B$66:$B$68),_xlfn.XLOOKUP(F11,Inputs!$A$74:$A$76,Inputs!$B$74:$B$76))))</f>
        <v>0</v>
      </c>
      <c r="H11" t="str">
        <f t="shared" si="0"/>
        <v>Q1</v>
      </c>
      <c r="I11" t="str">
        <f t="shared" si="1"/>
        <v/>
      </c>
    </row>
    <row r="12" spans="1:9" x14ac:dyDescent="0.3">
      <c r="A12" t="s">
        <v>265</v>
      </c>
      <c r="B12" t="s">
        <v>22</v>
      </c>
      <c r="C12" t="s">
        <v>5</v>
      </c>
      <c r="D12">
        <f>IF(C12="Q0",_xlfn.CEILING.MATH(INDEX(MRP_NetReq!$L:$L,MATCH(A12&amp;"|"&amp;B12&amp;"|Gross Req",MRP_NetReq!$M:$M,0))/_xlfn.XLOOKUP(B12,Inputs!$A$35:$A$42,Inputs!$B$35:$B$42),1),INDEX(MRP_NetReq!$D:$K,MATCH(A12&amp;"|"&amp;B12&amp;"|Planned Receipt",MRP_NetReq!$M:$M,0),MATCH(C12,MRP_NetReq!$D$2:$K$2,0))/_xlfn.XLOOKUP(B12,Inputs!$A$35:$A$42,Inputs!$B$35:$B$42))</f>
        <v>11</v>
      </c>
      <c r="E12">
        <f>D12*_xlfn.XLOOKUP(B12,Inputs!$A$35:$A$42,Inputs!$B$35:$B$42)</f>
        <v>132</v>
      </c>
      <c r="F12" t="str">
        <f>IF(LEFT(B12,5)="Pieza","Unico",IF(B12="Parte A",Inputs!$B$69,IF(B12="Parte B",Inputs!$B$77,"A")))</f>
        <v>A</v>
      </c>
      <c r="G12">
        <f>IF(LEFT(B12,5)="Pieza",D12*_xlfn.XLOOKUP(B12,Inputs!$A$49:$A$54,Inputs!$B$49:$B$54),D12*IF(F12="B",IF(B12="Parte A",IF(D12&gt;=Inputs!$E$67,_xlfn.XLOOKUP(F12,Inputs!$A$66:$A$68,Inputs!$B$66:$B$68)*(1-Inputs!$B$111),_xlfn.XLOOKUP(F12,Inputs!$A$66:$A$68,Inputs!$B$66:$B$68)),IF(D12&gt;=Inputs!$E$75,_xlfn.XLOOKUP(F12,Inputs!$A$74:$A$76,Inputs!$B$74:$B$76)*(1-Inputs!$B$112),_xlfn.XLOOKUP(F12,Inputs!$A$74:$A$76,Inputs!$B$74:$B$76))),IF(B12="Parte A",_xlfn.XLOOKUP(F12,Inputs!$A$66:$A$68,Inputs!$B$66:$B$68),_xlfn.XLOOKUP(F12,Inputs!$A$74:$A$76,Inputs!$B$74:$B$76))) + IF(D12&gt;0,IF(B12="Parte A",Inputs!$B$59,Inputs!$B$60),0) + IF(F12="B",Inputs!$B$113*(E12/_xlfn.XLOOKUP(B12,BOM_Consumo!$A$6:$A$13,BOM_Consumo!$B$6:$B$13))*Inputs!$B$106,0) + (Inputs!$B$107*IF(F12="B",2,IF(F12="C",8,0))*D12*IF(B12="Parte A",_xlfn.XLOOKUP(F12,Inputs!$A$66:$A$68,Inputs!$B$66:$B$68),_xlfn.XLOOKUP(F12,Inputs!$A$74:$A$76,Inputs!$B$74:$B$76))))</f>
        <v>9630</v>
      </c>
      <c r="H12" t="str">
        <f t="shared" si="0"/>
        <v>Q2</v>
      </c>
      <c r="I12" t="str">
        <f t="shared" si="1"/>
        <v/>
      </c>
    </row>
    <row r="13" spans="1:9" x14ac:dyDescent="0.3">
      <c r="A13" t="s">
        <v>265</v>
      </c>
      <c r="B13" t="s">
        <v>22</v>
      </c>
      <c r="C13" t="s">
        <v>6</v>
      </c>
      <c r="D13">
        <f>IF(C13="Q0",_xlfn.CEILING.MATH(INDEX(MRP_NetReq!$L:$L,MATCH(A13&amp;"|"&amp;B13&amp;"|Gross Req",MRP_NetReq!$M:$M,0))/_xlfn.XLOOKUP(B13,Inputs!$A$35:$A$42,Inputs!$B$35:$B$42),1),INDEX(MRP_NetReq!$D:$K,MATCH(A13&amp;"|"&amp;B13&amp;"|Planned Receipt",MRP_NetReq!$M:$M,0),MATCH(C13,MRP_NetReq!$D$2:$K$2,0))/_xlfn.XLOOKUP(B13,Inputs!$A$35:$A$42,Inputs!$B$35:$B$42))</f>
        <v>23</v>
      </c>
      <c r="E13">
        <f>D13*_xlfn.XLOOKUP(B13,Inputs!$A$35:$A$42,Inputs!$B$35:$B$42)</f>
        <v>276</v>
      </c>
      <c r="F13" t="str">
        <f>IF(LEFT(B13,5)="Pieza","Unico",IF(B13="Parte A",Inputs!$B$69,IF(B13="Parte B",Inputs!$B$77,"A")))</f>
        <v>A</v>
      </c>
      <c r="G13">
        <f>IF(LEFT(B13,5)="Pieza",D13*_xlfn.XLOOKUP(B13,Inputs!$A$49:$A$54,Inputs!$B$49:$B$54),D13*IF(F13="B",IF(B13="Parte A",IF(D13&gt;=Inputs!$E$67,_xlfn.XLOOKUP(F13,Inputs!$A$66:$A$68,Inputs!$B$66:$B$68)*(1-Inputs!$B$111),_xlfn.XLOOKUP(F13,Inputs!$A$66:$A$68,Inputs!$B$66:$B$68)),IF(D13&gt;=Inputs!$E$75,_xlfn.XLOOKUP(F13,Inputs!$A$74:$A$76,Inputs!$B$74:$B$76)*(1-Inputs!$B$112),_xlfn.XLOOKUP(F13,Inputs!$A$74:$A$76,Inputs!$B$74:$B$76))),IF(B13="Parte A",_xlfn.XLOOKUP(F13,Inputs!$A$66:$A$68,Inputs!$B$66:$B$68),_xlfn.XLOOKUP(F13,Inputs!$A$74:$A$76,Inputs!$B$74:$B$76))) + IF(D13&gt;0,IF(B13="Parte A",Inputs!$B$59,Inputs!$B$60),0) + IF(F13="B",Inputs!$B$113*(E13/_xlfn.XLOOKUP(B13,BOM_Consumo!$A$6:$A$13,BOM_Consumo!$B$6:$B$13))*Inputs!$B$106,0) + (Inputs!$B$107*IF(F13="B",2,IF(F13="C",8,0))*D13*IF(B13="Parte A",_xlfn.XLOOKUP(F13,Inputs!$A$66:$A$68,Inputs!$B$66:$B$68),_xlfn.XLOOKUP(F13,Inputs!$A$74:$A$76,Inputs!$B$74:$B$76))))</f>
        <v>13590</v>
      </c>
      <c r="H13" t="str">
        <f t="shared" si="0"/>
        <v>Q3</v>
      </c>
      <c r="I13" t="str">
        <f t="shared" si="1"/>
        <v/>
      </c>
    </row>
    <row r="14" spans="1:9" x14ac:dyDescent="0.3">
      <c r="A14" t="s">
        <v>265</v>
      </c>
      <c r="B14" t="s">
        <v>22</v>
      </c>
      <c r="C14" t="s">
        <v>7</v>
      </c>
      <c r="D14">
        <f>IF(C14="Q0",_xlfn.CEILING.MATH(INDEX(MRP_NetReq!$L:$L,MATCH(A14&amp;"|"&amp;B14&amp;"|Gross Req",MRP_NetReq!$M:$M,0))/_xlfn.XLOOKUP(B14,Inputs!$A$35:$A$42,Inputs!$B$35:$B$42),1),INDEX(MRP_NetReq!$D:$K,MATCH(A14&amp;"|"&amp;B14&amp;"|Planned Receipt",MRP_NetReq!$M:$M,0),MATCH(C14,MRP_NetReq!$D$2:$K$2,0))/_xlfn.XLOOKUP(B14,Inputs!$A$35:$A$42,Inputs!$B$35:$B$42))</f>
        <v>22</v>
      </c>
      <c r="E14">
        <f>D14*_xlfn.XLOOKUP(B14,Inputs!$A$35:$A$42,Inputs!$B$35:$B$42)</f>
        <v>264</v>
      </c>
      <c r="F14" t="str">
        <f>IF(LEFT(B14,5)="Pieza","Unico",IF(B14="Parte A",Inputs!$B$69,IF(B14="Parte B",Inputs!$B$77,"A")))</f>
        <v>A</v>
      </c>
      <c r="G14">
        <f>IF(LEFT(B14,5)="Pieza",D14*_xlfn.XLOOKUP(B14,Inputs!$A$49:$A$54,Inputs!$B$49:$B$54),D14*IF(F14="B",IF(B14="Parte A",IF(D14&gt;=Inputs!$E$67,_xlfn.XLOOKUP(F14,Inputs!$A$66:$A$68,Inputs!$B$66:$B$68)*(1-Inputs!$B$111),_xlfn.XLOOKUP(F14,Inputs!$A$66:$A$68,Inputs!$B$66:$B$68)),IF(D14&gt;=Inputs!$E$75,_xlfn.XLOOKUP(F14,Inputs!$A$74:$A$76,Inputs!$B$74:$B$76)*(1-Inputs!$B$112),_xlfn.XLOOKUP(F14,Inputs!$A$74:$A$76,Inputs!$B$74:$B$76))),IF(B14="Parte A",_xlfn.XLOOKUP(F14,Inputs!$A$66:$A$68,Inputs!$B$66:$B$68),_xlfn.XLOOKUP(F14,Inputs!$A$74:$A$76,Inputs!$B$74:$B$76))) + IF(D14&gt;0,IF(B14="Parte A",Inputs!$B$59,Inputs!$B$60),0) + IF(F14="B",Inputs!$B$113*(E14/_xlfn.XLOOKUP(B14,BOM_Consumo!$A$6:$A$13,BOM_Consumo!$B$6:$B$13))*Inputs!$B$106,0) + (Inputs!$B$107*IF(F14="B",2,IF(F14="C",8,0))*D14*IF(B14="Parte A",_xlfn.XLOOKUP(F14,Inputs!$A$66:$A$68,Inputs!$B$66:$B$68),_xlfn.XLOOKUP(F14,Inputs!$A$74:$A$76,Inputs!$B$74:$B$76))))</f>
        <v>13260</v>
      </c>
      <c r="H14" t="str">
        <f t="shared" si="0"/>
        <v>Q4</v>
      </c>
      <c r="I14" t="str">
        <f t="shared" si="1"/>
        <v/>
      </c>
    </row>
    <row r="15" spans="1:9" x14ac:dyDescent="0.3">
      <c r="A15" t="s">
        <v>265</v>
      </c>
      <c r="B15" t="s">
        <v>22</v>
      </c>
      <c r="C15" t="s">
        <v>8</v>
      </c>
      <c r="D15">
        <f>IF(C15="Q0",_xlfn.CEILING.MATH(INDEX(MRP_NetReq!$L:$L,MATCH(A15&amp;"|"&amp;B15&amp;"|Gross Req",MRP_NetReq!$M:$M,0))/_xlfn.XLOOKUP(B15,Inputs!$A$35:$A$42,Inputs!$B$35:$B$42),1),INDEX(MRP_NetReq!$D:$K,MATCH(A15&amp;"|"&amp;B15&amp;"|Planned Receipt",MRP_NetReq!$M:$M,0),MATCH(C15,MRP_NetReq!$D$2:$K$2,0))/_xlfn.XLOOKUP(B15,Inputs!$A$35:$A$42,Inputs!$B$35:$B$42))</f>
        <v>22</v>
      </c>
      <c r="E15">
        <f>D15*_xlfn.XLOOKUP(B15,Inputs!$A$35:$A$42,Inputs!$B$35:$B$42)</f>
        <v>264</v>
      </c>
      <c r="F15" t="str">
        <f>IF(LEFT(B15,5)="Pieza","Unico",IF(B15="Parte A",Inputs!$B$69,IF(B15="Parte B",Inputs!$B$77,"A")))</f>
        <v>A</v>
      </c>
      <c r="G15">
        <f>IF(LEFT(B15,5)="Pieza",D15*_xlfn.XLOOKUP(B15,Inputs!$A$49:$A$54,Inputs!$B$49:$B$54),D15*IF(F15="B",IF(B15="Parte A",IF(D15&gt;=Inputs!$E$67,_xlfn.XLOOKUP(F15,Inputs!$A$66:$A$68,Inputs!$B$66:$B$68)*(1-Inputs!$B$111),_xlfn.XLOOKUP(F15,Inputs!$A$66:$A$68,Inputs!$B$66:$B$68)),IF(D15&gt;=Inputs!$E$75,_xlfn.XLOOKUP(F15,Inputs!$A$74:$A$76,Inputs!$B$74:$B$76)*(1-Inputs!$B$112),_xlfn.XLOOKUP(F15,Inputs!$A$74:$A$76,Inputs!$B$74:$B$76))),IF(B15="Parte A",_xlfn.XLOOKUP(F15,Inputs!$A$66:$A$68,Inputs!$B$66:$B$68),_xlfn.XLOOKUP(F15,Inputs!$A$74:$A$76,Inputs!$B$74:$B$76))) + IF(D15&gt;0,IF(B15="Parte A",Inputs!$B$59,Inputs!$B$60),0) + IF(F15="B",Inputs!$B$113*(E15/_xlfn.XLOOKUP(B15,BOM_Consumo!$A$6:$A$13,BOM_Consumo!$B$6:$B$13))*Inputs!$B$106,0) + (Inputs!$B$107*IF(F15="B",2,IF(F15="C",8,0))*D15*IF(B15="Parte A",_xlfn.XLOOKUP(F15,Inputs!$A$66:$A$68,Inputs!$B$66:$B$68),_xlfn.XLOOKUP(F15,Inputs!$A$74:$A$76,Inputs!$B$74:$B$76))))</f>
        <v>13260</v>
      </c>
      <c r="H15" t="str">
        <f t="shared" si="0"/>
        <v>Q5</v>
      </c>
      <c r="I15" t="str">
        <f t="shared" si="1"/>
        <v/>
      </c>
    </row>
    <row r="16" spans="1:9" x14ac:dyDescent="0.3">
      <c r="A16" t="s">
        <v>265</v>
      </c>
      <c r="B16" t="s">
        <v>22</v>
      </c>
      <c r="C16" t="s">
        <v>9</v>
      </c>
      <c r="D16">
        <f>IF(C16="Q0",_xlfn.CEILING.MATH(INDEX(MRP_NetReq!$L:$L,MATCH(A16&amp;"|"&amp;B16&amp;"|Gross Req",MRP_NetReq!$M:$M,0))/_xlfn.XLOOKUP(B16,Inputs!$A$35:$A$42,Inputs!$B$35:$B$42),1),INDEX(MRP_NetReq!$D:$K,MATCH(A16&amp;"|"&amp;B16&amp;"|Planned Receipt",MRP_NetReq!$M:$M,0),MATCH(C16,MRP_NetReq!$D$2:$K$2,0))/_xlfn.XLOOKUP(B16,Inputs!$A$35:$A$42,Inputs!$B$35:$B$42))</f>
        <v>0</v>
      </c>
      <c r="E16">
        <f>D16*_xlfn.XLOOKUP(B16,Inputs!$A$35:$A$42,Inputs!$B$35:$B$42)</f>
        <v>0</v>
      </c>
      <c r="F16" t="str">
        <f>IF(LEFT(B16,5)="Pieza","Unico",IF(B16="Parte A",Inputs!$B$69,IF(B16="Parte B",Inputs!$B$77,"A")))</f>
        <v>A</v>
      </c>
      <c r="G16">
        <f>IF(LEFT(B16,5)="Pieza",D16*_xlfn.XLOOKUP(B16,Inputs!$A$49:$A$54,Inputs!$B$49:$B$54),D16*IF(F16="B",IF(B16="Parte A",IF(D16&gt;=Inputs!$E$67,_xlfn.XLOOKUP(F16,Inputs!$A$66:$A$68,Inputs!$B$66:$B$68)*(1-Inputs!$B$111),_xlfn.XLOOKUP(F16,Inputs!$A$66:$A$68,Inputs!$B$66:$B$68)),IF(D16&gt;=Inputs!$E$75,_xlfn.XLOOKUP(F16,Inputs!$A$74:$A$76,Inputs!$B$74:$B$76)*(1-Inputs!$B$112),_xlfn.XLOOKUP(F16,Inputs!$A$74:$A$76,Inputs!$B$74:$B$76))),IF(B16="Parte A",_xlfn.XLOOKUP(F16,Inputs!$A$66:$A$68,Inputs!$B$66:$B$68),_xlfn.XLOOKUP(F16,Inputs!$A$74:$A$76,Inputs!$B$74:$B$76))) + IF(D16&gt;0,IF(B16="Parte A",Inputs!$B$59,Inputs!$B$60),0) + IF(F16="B",Inputs!$B$113*(E16/_xlfn.XLOOKUP(B16,BOM_Consumo!$A$6:$A$13,BOM_Consumo!$B$6:$B$13))*Inputs!$B$106,0) + (Inputs!$B$107*IF(F16="B",2,IF(F16="C",8,0))*D16*IF(B16="Parte A",_xlfn.XLOOKUP(F16,Inputs!$A$66:$A$68,Inputs!$B$66:$B$68),_xlfn.XLOOKUP(F16,Inputs!$A$74:$A$76,Inputs!$B$74:$B$76))))</f>
        <v>0</v>
      </c>
      <c r="H16" t="str">
        <f t="shared" si="0"/>
        <v>Q6</v>
      </c>
      <c r="I16" t="str">
        <f t="shared" si="1"/>
        <v/>
      </c>
    </row>
    <row r="17" spans="1:9" x14ac:dyDescent="0.3">
      <c r="A17" t="s">
        <v>265</v>
      </c>
      <c r="B17" t="s">
        <v>22</v>
      </c>
      <c r="C17" t="s">
        <v>10</v>
      </c>
      <c r="D17">
        <f>IF(C17="Q0",_xlfn.CEILING.MATH(INDEX(MRP_NetReq!$L:$L,MATCH(A17&amp;"|"&amp;B17&amp;"|Gross Req",MRP_NetReq!$M:$M,0))/_xlfn.XLOOKUP(B17,Inputs!$A$35:$A$42,Inputs!$B$35:$B$42),1),INDEX(MRP_NetReq!$D:$K,MATCH(A17&amp;"|"&amp;B17&amp;"|Planned Receipt",MRP_NetReq!$M:$M,0),MATCH(C17,MRP_NetReq!$D$2:$K$2,0))/_xlfn.XLOOKUP(B17,Inputs!$A$35:$A$42,Inputs!$B$35:$B$42))</f>
        <v>0</v>
      </c>
      <c r="E17">
        <f>D17*_xlfn.XLOOKUP(B17,Inputs!$A$35:$A$42,Inputs!$B$35:$B$42)</f>
        <v>0</v>
      </c>
      <c r="F17" t="str">
        <f>IF(LEFT(B17,5)="Pieza","Unico",IF(B17="Parte A",Inputs!$B$69,IF(B17="Parte B",Inputs!$B$77,"A")))</f>
        <v>A</v>
      </c>
      <c r="G17">
        <f>IF(LEFT(B17,5)="Pieza",D17*_xlfn.XLOOKUP(B17,Inputs!$A$49:$A$54,Inputs!$B$49:$B$54),D17*IF(F17="B",IF(B17="Parte A",IF(D17&gt;=Inputs!$E$67,_xlfn.XLOOKUP(F17,Inputs!$A$66:$A$68,Inputs!$B$66:$B$68)*(1-Inputs!$B$111),_xlfn.XLOOKUP(F17,Inputs!$A$66:$A$68,Inputs!$B$66:$B$68)),IF(D17&gt;=Inputs!$E$75,_xlfn.XLOOKUP(F17,Inputs!$A$74:$A$76,Inputs!$B$74:$B$76)*(1-Inputs!$B$112),_xlfn.XLOOKUP(F17,Inputs!$A$74:$A$76,Inputs!$B$74:$B$76))),IF(B17="Parte A",_xlfn.XLOOKUP(F17,Inputs!$A$66:$A$68,Inputs!$B$66:$B$68),_xlfn.XLOOKUP(F17,Inputs!$A$74:$A$76,Inputs!$B$74:$B$76))) + IF(D17&gt;0,IF(B17="Parte A",Inputs!$B$59,Inputs!$B$60),0) + IF(F17="B",Inputs!$B$113*(E17/_xlfn.XLOOKUP(B17,BOM_Consumo!$A$6:$A$13,BOM_Consumo!$B$6:$B$13))*Inputs!$B$106,0) + (Inputs!$B$107*IF(F17="B",2,IF(F17="C",8,0))*D17*IF(B17="Parte A",_xlfn.XLOOKUP(F17,Inputs!$A$66:$A$68,Inputs!$B$66:$B$68),_xlfn.XLOOKUP(F17,Inputs!$A$74:$A$76,Inputs!$B$74:$B$76))))</f>
        <v>0</v>
      </c>
      <c r="H17" t="str">
        <f t="shared" si="0"/>
        <v>Q7</v>
      </c>
      <c r="I17" t="str">
        <f t="shared" si="1"/>
        <v/>
      </c>
    </row>
    <row r="18" spans="1:9" x14ac:dyDescent="0.3">
      <c r="A18" t="s">
        <v>265</v>
      </c>
      <c r="B18" t="s">
        <v>22</v>
      </c>
      <c r="C18" t="s">
        <v>11</v>
      </c>
      <c r="D18">
        <f>IF(C18="Q0",_xlfn.CEILING.MATH(INDEX(MRP_NetReq!$L:$L,MATCH(A18&amp;"|"&amp;B18&amp;"|Gross Req",MRP_NetReq!$M:$M,0))/_xlfn.XLOOKUP(B18,Inputs!$A$35:$A$42,Inputs!$B$35:$B$42),1),INDEX(MRP_NetReq!$D:$K,MATCH(A18&amp;"|"&amp;B18&amp;"|Planned Receipt",MRP_NetReq!$M:$M,0),MATCH(C18,MRP_NetReq!$D$2:$K$2,0))/_xlfn.XLOOKUP(B18,Inputs!$A$35:$A$42,Inputs!$B$35:$B$42))</f>
        <v>0</v>
      </c>
      <c r="E18">
        <f>D18*_xlfn.XLOOKUP(B18,Inputs!$A$35:$A$42,Inputs!$B$35:$B$42)</f>
        <v>0</v>
      </c>
      <c r="F18" t="str">
        <f>IF(LEFT(B18,5)="Pieza","Unico",IF(B18="Parte A",Inputs!$B$69,IF(B18="Parte B",Inputs!$B$77,"A")))</f>
        <v>A</v>
      </c>
      <c r="G18">
        <f>IF(LEFT(B18,5)="Pieza",D18*_xlfn.XLOOKUP(B18,Inputs!$A$49:$A$54,Inputs!$B$49:$B$54),D18*IF(F18="B",IF(B18="Parte A",IF(D18&gt;=Inputs!$E$67,_xlfn.XLOOKUP(F18,Inputs!$A$66:$A$68,Inputs!$B$66:$B$68)*(1-Inputs!$B$111),_xlfn.XLOOKUP(F18,Inputs!$A$66:$A$68,Inputs!$B$66:$B$68)),IF(D18&gt;=Inputs!$E$75,_xlfn.XLOOKUP(F18,Inputs!$A$74:$A$76,Inputs!$B$74:$B$76)*(1-Inputs!$B$112),_xlfn.XLOOKUP(F18,Inputs!$A$74:$A$76,Inputs!$B$74:$B$76))),IF(B18="Parte A",_xlfn.XLOOKUP(F18,Inputs!$A$66:$A$68,Inputs!$B$66:$B$68),_xlfn.XLOOKUP(F18,Inputs!$A$74:$A$76,Inputs!$B$74:$B$76))) + IF(D18&gt;0,IF(B18="Parte A",Inputs!$B$59,Inputs!$B$60),0) + IF(F18="B",Inputs!$B$113*(E18/_xlfn.XLOOKUP(B18,BOM_Consumo!$A$6:$A$13,BOM_Consumo!$B$6:$B$13))*Inputs!$B$106,0) + (Inputs!$B$107*IF(F18="B",2,IF(F18="C",8,0))*D18*IF(B18="Parte A",_xlfn.XLOOKUP(F18,Inputs!$A$66:$A$68,Inputs!$B$66:$B$68),_xlfn.XLOOKUP(F18,Inputs!$A$74:$A$76,Inputs!$B$74:$B$76))))</f>
        <v>0</v>
      </c>
      <c r="H18" t="str">
        <f t="shared" si="0"/>
        <v>Q8</v>
      </c>
      <c r="I18" t="str">
        <f t="shared" si="1"/>
        <v/>
      </c>
    </row>
    <row r="19" spans="1:9" x14ac:dyDescent="0.3">
      <c r="A19" t="s">
        <v>266</v>
      </c>
      <c r="B19" t="s">
        <v>19</v>
      </c>
      <c r="C19" t="s">
        <v>4</v>
      </c>
      <c r="D19">
        <f>IF(C19="Q0",_xlfn.CEILING.MATH(INDEX(MRP_NetReq!$L:$L,MATCH(A19&amp;"|"&amp;B19&amp;"|Gross Req",MRP_NetReq!$M:$M,0))/_xlfn.XLOOKUP(B19,Inputs!$A$35:$A$42,Inputs!$B$35:$B$42),1),INDEX(MRP_NetReq!$D:$K,MATCH(A19&amp;"|"&amp;B19&amp;"|Planned Receipt",MRP_NetReq!$M:$M,0),MATCH(C19,MRP_NetReq!$D$2:$K$2,0))/_xlfn.XLOOKUP(B19,Inputs!$A$35:$A$42,Inputs!$B$35:$B$42))</f>
        <v>0</v>
      </c>
      <c r="E19">
        <f>D19*_xlfn.XLOOKUP(B19,Inputs!$A$35:$A$42,Inputs!$B$35:$B$42)</f>
        <v>0</v>
      </c>
      <c r="F19" t="str">
        <f>IF(LEFT(B19,5)="Pieza","Unico",IF(B19="Parte A",Inputs!$B$69,IF(B19="Parte B",Inputs!$B$77,"A")))</f>
        <v>A</v>
      </c>
      <c r="G19">
        <f>IF(LEFT(B19,5)="Pieza",D19*_xlfn.XLOOKUP(B19,Inputs!$A$49:$A$54,Inputs!$B$49:$B$54),D19*IF(F19="B",IF(B19="Parte A",IF(D19&gt;=Inputs!$E$67,_xlfn.XLOOKUP(F19,Inputs!$A$66:$A$68,Inputs!$B$66:$B$68)*(1-Inputs!$B$111),_xlfn.XLOOKUP(F19,Inputs!$A$66:$A$68,Inputs!$B$66:$B$68)),IF(D19&gt;=Inputs!$E$75,_xlfn.XLOOKUP(F19,Inputs!$A$74:$A$76,Inputs!$B$74:$B$76)*(1-Inputs!$B$112),_xlfn.XLOOKUP(F19,Inputs!$A$74:$A$76,Inputs!$B$74:$B$76))),IF(B19="Parte A",_xlfn.XLOOKUP(F19,Inputs!$A$66:$A$68,Inputs!$B$66:$B$68),_xlfn.XLOOKUP(F19,Inputs!$A$74:$A$76,Inputs!$B$74:$B$76))) + IF(D19&gt;0,IF(B19="Parte A",Inputs!$B$59,Inputs!$B$60),0) + IF(F19="B",Inputs!$B$113*(E19/_xlfn.XLOOKUP(B19,BOM_Consumo!$A$6:$A$13,BOM_Consumo!$B$6:$B$13))*Inputs!$B$106,0) + (Inputs!$B$107*IF(F19="B",2,IF(F19="C",8,0))*D19*IF(B19="Parte A",_xlfn.XLOOKUP(F19,Inputs!$A$66:$A$68,Inputs!$B$66:$B$68),_xlfn.XLOOKUP(F19,Inputs!$A$74:$A$76,Inputs!$B$74:$B$76))))</f>
        <v>0</v>
      </c>
      <c r="H19" t="str">
        <f t="shared" si="0"/>
        <v>Q1</v>
      </c>
      <c r="I19" t="str">
        <f t="shared" si="1"/>
        <v/>
      </c>
    </row>
    <row r="20" spans="1:9" x14ac:dyDescent="0.3">
      <c r="A20" t="s">
        <v>266</v>
      </c>
      <c r="B20" t="s">
        <v>19</v>
      </c>
      <c r="C20" t="s">
        <v>5</v>
      </c>
      <c r="D20">
        <f>IF(C20="Q0",_xlfn.CEILING.MATH(INDEX(MRP_NetReq!$L:$L,MATCH(A20&amp;"|"&amp;B20&amp;"|Gross Req",MRP_NetReq!$M:$M,0))/_xlfn.XLOOKUP(B20,Inputs!$A$35:$A$42,Inputs!$B$35:$B$42),1),INDEX(MRP_NetReq!$D:$K,MATCH(A20&amp;"|"&amp;B20&amp;"|Planned Receipt",MRP_NetReq!$M:$M,0),MATCH(C20,MRP_NetReq!$D$2:$K$2,0))/_xlfn.XLOOKUP(B20,Inputs!$A$35:$A$42,Inputs!$B$35:$B$42))</f>
        <v>9</v>
      </c>
      <c r="E20">
        <f>D20*_xlfn.XLOOKUP(B20,Inputs!$A$35:$A$42,Inputs!$B$35:$B$42)</f>
        <v>270</v>
      </c>
      <c r="F20" t="str">
        <f>IF(LEFT(B20,5)="Pieza","Unico",IF(B20="Parte A",Inputs!$B$69,IF(B20="Parte B",Inputs!$B$77,"A")))</f>
        <v>A</v>
      </c>
      <c r="G20">
        <f>IF(LEFT(B20,5)="Pieza",D20*_xlfn.XLOOKUP(B20,Inputs!$A$49:$A$54,Inputs!$B$49:$B$54),D20*IF(F20="B",IF(B20="Parte A",IF(D20&gt;=Inputs!$E$67,_xlfn.XLOOKUP(F20,Inputs!$A$66:$A$68,Inputs!$B$66:$B$68)*(1-Inputs!$B$111),_xlfn.XLOOKUP(F20,Inputs!$A$66:$A$68,Inputs!$B$66:$B$68)),IF(D20&gt;=Inputs!$E$75,_xlfn.XLOOKUP(F20,Inputs!$A$74:$A$76,Inputs!$B$74:$B$76)*(1-Inputs!$B$112),_xlfn.XLOOKUP(F20,Inputs!$A$74:$A$76,Inputs!$B$74:$B$76))),IF(B20="Parte A",_xlfn.XLOOKUP(F20,Inputs!$A$66:$A$68,Inputs!$B$66:$B$68),_xlfn.XLOOKUP(F20,Inputs!$A$74:$A$76,Inputs!$B$74:$B$76))) + IF(D20&gt;0,IF(B20="Parte A",Inputs!$B$59,Inputs!$B$60),0) + IF(F20="B",Inputs!$B$113*(E20/_xlfn.XLOOKUP(B20,BOM_Consumo!$A$6:$A$13,BOM_Consumo!$B$6:$B$13))*Inputs!$B$106,0) + (Inputs!$B$107*IF(F20="B",2,IF(F20="C",8,0))*D20*IF(B20="Parte A",_xlfn.XLOOKUP(F20,Inputs!$A$66:$A$68,Inputs!$B$66:$B$68),_xlfn.XLOOKUP(F20,Inputs!$A$74:$A$76,Inputs!$B$74:$B$76))))</f>
        <v>3425</v>
      </c>
      <c r="H20" t="str">
        <f t="shared" si="0"/>
        <v>Q2</v>
      </c>
      <c r="I20" t="str">
        <f t="shared" si="1"/>
        <v/>
      </c>
    </row>
    <row r="21" spans="1:9" x14ac:dyDescent="0.3">
      <c r="A21" t="s">
        <v>266</v>
      </c>
      <c r="B21" t="s">
        <v>19</v>
      </c>
      <c r="C21" t="s">
        <v>6</v>
      </c>
      <c r="D21">
        <f>IF(C21="Q0",_xlfn.CEILING.MATH(INDEX(MRP_NetReq!$L:$L,MATCH(A21&amp;"|"&amp;B21&amp;"|Gross Req",MRP_NetReq!$M:$M,0))/_xlfn.XLOOKUP(B21,Inputs!$A$35:$A$42,Inputs!$B$35:$B$42),1),INDEX(MRP_NetReq!$D:$K,MATCH(A21&amp;"|"&amp;B21&amp;"|Planned Receipt",MRP_NetReq!$M:$M,0),MATCH(C21,MRP_NetReq!$D$2:$K$2,0))/_xlfn.XLOOKUP(B21,Inputs!$A$35:$A$42,Inputs!$B$35:$B$42))</f>
        <v>14</v>
      </c>
      <c r="E21">
        <f>D21*_xlfn.XLOOKUP(B21,Inputs!$A$35:$A$42,Inputs!$B$35:$B$42)</f>
        <v>420</v>
      </c>
      <c r="F21" t="str">
        <f>IF(LEFT(B21,5)="Pieza","Unico",IF(B21="Parte A",Inputs!$B$69,IF(B21="Parte B",Inputs!$B$77,"A")))</f>
        <v>A</v>
      </c>
      <c r="G21">
        <f>IF(LEFT(B21,5)="Pieza",D21*_xlfn.XLOOKUP(B21,Inputs!$A$49:$A$54,Inputs!$B$49:$B$54),D21*IF(F21="B",IF(B21="Parte A",IF(D21&gt;=Inputs!$E$67,_xlfn.XLOOKUP(F21,Inputs!$A$66:$A$68,Inputs!$B$66:$B$68)*(1-Inputs!$B$111),_xlfn.XLOOKUP(F21,Inputs!$A$66:$A$68,Inputs!$B$66:$B$68)),IF(D21&gt;=Inputs!$E$75,_xlfn.XLOOKUP(F21,Inputs!$A$74:$A$76,Inputs!$B$74:$B$76)*(1-Inputs!$B$112),_xlfn.XLOOKUP(F21,Inputs!$A$74:$A$76,Inputs!$B$74:$B$76))),IF(B21="Parte A",_xlfn.XLOOKUP(F21,Inputs!$A$66:$A$68,Inputs!$B$66:$B$68),_xlfn.XLOOKUP(F21,Inputs!$A$74:$A$76,Inputs!$B$74:$B$76))) + IF(D21&gt;0,IF(B21="Parte A",Inputs!$B$59,Inputs!$B$60),0) + IF(F21="B",Inputs!$B$113*(E21/_xlfn.XLOOKUP(B21,BOM_Consumo!$A$6:$A$13,BOM_Consumo!$B$6:$B$13))*Inputs!$B$106,0) + (Inputs!$B$107*IF(F21="B",2,IF(F21="C",8,0))*D21*IF(B21="Parte A",_xlfn.XLOOKUP(F21,Inputs!$A$66:$A$68,Inputs!$B$66:$B$68),_xlfn.XLOOKUP(F21,Inputs!$A$74:$A$76,Inputs!$B$74:$B$76))))</f>
        <v>4050</v>
      </c>
      <c r="H21" t="str">
        <f t="shared" si="0"/>
        <v>Q3</v>
      </c>
      <c r="I21" t="str">
        <f t="shared" si="1"/>
        <v/>
      </c>
    </row>
    <row r="22" spans="1:9" x14ac:dyDescent="0.3">
      <c r="A22" t="s">
        <v>266</v>
      </c>
      <c r="B22" t="s">
        <v>19</v>
      </c>
      <c r="C22" t="s">
        <v>7</v>
      </c>
      <c r="D22">
        <f>IF(C22="Q0",_xlfn.CEILING.MATH(INDEX(MRP_NetReq!$L:$L,MATCH(A22&amp;"|"&amp;B22&amp;"|Gross Req",MRP_NetReq!$M:$M,0))/_xlfn.XLOOKUP(B22,Inputs!$A$35:$A$42,Inputs!$B$35:$B$42),1),INDEX(MRP_NetReq!$D:$K,MATCH(A22&amp;"|"&amp;B22&amp;"|Planned Receipt",MRP_NetReq!$M:$M,0),MATCH(C22,MRP_NetReq!$D$2:$K$2,0))/_xlfn.XLOOKUP(B22,Inputs!$A$35:$A$42,Inputs!$B$35:$B$42))</f>
        <v>14</v>
      </c>
      <c r="E22">
        <f>D22*_xlfn.XLOOKUP(B22,Inputs!$A$35:$A$42,Inputs!$B$35:$B$42)</f>
        <v>420</v>
      </c>
      <c r="F22" t="str">
        <f>IF(LEFT(B22,5)="Pieza","Unico",IF(B22="Parte A",Inputs!$B$69,IF(B22="Parte B",Inputs!$B$77,"A")))</f>
        <v>A</v>
      </c>
      <c r="G22">
        <f>IF(LEFT(B22,5)="Pieza",D22*_xlfn.XLOOKUP(B22,Inputs!$A$49:$A$54,Inputs!$B$49:$B$54),D22*IF(F22="B",IF(B22="Parte A",IF(D22&gt;=Inputs!$E$67,_xlfn.XLOOKUP(F22,Inputs!$A$66:$A$68,Inputs!$B$66:$B$68)*(1-Inputs!$B$111),_xlfn.XLOOKUP(F22,Inputs!$A$66:$A$68,Inputs!$B$66:$B$68)),IF(D22&gt;=Inputs!$E$75,_xlfn.XLOOKUP(F22,Inputs!$A$74:$A$76,Inputs!$B$74:$B$76)*(1-Inputs!$B$112),_xlfn.XLOOKUP(F22,Inputs!$A$74:$A$76,Inputs!$B$74:$B$76))),IF(B22="Parte A",_xlfn.XLOOKUP(F22,Inputs!$A$66:$A$68,Inputs!$B$66:$B$68),_xlfn.XLOOKUP(F22,Inputs!$A$74:$A$76,Inputs!$B$74:$B$76))) + IF(D22&gt;0,IF(B22="Parte A",Inputs!$B$59,Inputs!$B$60),0) + IF(F22="B",Inputs!$B$113*(E22/_xlfn.XLOOKUP(B22,BOM_Consumo!$A$6:$A$13,BOM_Consumo!$B$6:$B$13))*Inputs!$B$106,0) + (Inputs!$B$107*IF(F22="B",2,IF(F22="C",8,0))*D22*IF(B22="Parte A",_xlfn.XLOOKUP(F22,Inputs!$A$66:$A$68,Inputs!$B$66:$B$68),_xlfn.XLOOKUP(F22,Inputs!$A$74:$A$76,Inputs!$B$74:$B$76))))</f>
        <v>4050</v>
      </c>
      <c r="H22" t="str">
        <f t="shared" si="0"/>
        <v>Q4</v>
      </c>
      <c r="I22" t="str">
        <f t="shared" si="1"/>
        <v/>
      </c>
    </row>
    <row r="23" spans="1:9" x14ac:dyDescent="0.3">
      <c r="A23" t="s">
        <v>266</v>
      </c>
      <c r="B23" t="s">
        <v>19</v>
      </c>
      <c r="C23" t="s">
        <v>8</v>
      </c>
      <c r="D23">
        <f>IF(C23="Q0",_xlfn.CEILING.MATH(INDEX(MRP_NetReq!$L:$L,MATCH(A23&amp;"|"&amp;B23&amp;"|Gross Req",MRP_NetReq!$M:$M,0))/_xlfn.XLOOKUP(B23,Inputs!$A$35:$A$42,Inputs!$B$35:$B$42),1),INDEX(MRP_NetReq!$D:$K,MATCH(A23&amp;"|"&amp;B23&amp;"|Planned Receipt",MRP_NetReq!$M:$M,0),MATCH(C23,MRP_NetReq!$D$2:$K$2,0))/_xlfn.XLOOKUP(B23,Inputs!$A$35:$A$42,Inputs!$B$35:$B$42))</f>
        <v>0</v>
      </c>
      <c r="E23">
        <f>D23*_xlfn.XLOOKUP(B23,Inputs!$A$35:$A$42,Inputs!$B$35:$B$42)</f>
        <v>0</v>
      </c>
      <c r="F23" t="str">
        <f>IF(LEFT(B23,5)="Pieza","Unico",IF(B23="Parte A",Inputs!$B$69,IF(B23="Parte B",Inputs!$B$77,"A")))</f>
        <v>A</v>
      </c>
      <c r="G23">
        <f>IF(LEFT(B23,5)="Pieza",D23*_xlfn.XLOOKUP(B23,Inputs!$A$49:$A$54,Inputs!$B$49:$B$54),D23*IF(F23="B",IF(B23="Parte A",IF(D23&gt;=Inputs!$E$67,_xlfn.XLOOKUP(F23,Inputs!$A$66:$A$68,Inputs!$B$66:$B$68)*(1-Inputs!$B$111),_xlfn.XLOOKUP(F23,Inputs!$A$66:$A$68,Inputs!$B$66:$B$68)),IF(D23&gt;=Inputs!$E$75,_xlfn.XLOOKUP(F23,Inputs!$A$74:$A$76,Inputs!$B$74:$B$76)*(1-Inputs!$B$112),_xlfn.XLOOKUP(F23,Inputs!$A$74:$A$76,Inputs!$B$74:$B$76))),IF(B23="Parte A",_xlfn.XLOOKUP(F23,Inputs!$A$66:$A$68,Inputs!$B$66:$B$68),_xlfn.XLOOKUP(F23,Inputs!$A$74:$A$76,Inputs!$B$74:$B$76))) + IF(D23&gt;0,IF(B23="Parte A",Inputs!$B$59,Inputs!$B$60),0) + IF(F23="B",Inputs!$B$113*(E23/_xlfn.XLOOKUP(B23,BOM_Consumo!$A$6:$A$13,BOM_Consumo!$B$6:$B$13))*Inputs!$B$106,0) + (Inputs!$B$107*IF(F23="B",2,IF(F23="C",8,0))*D23*IF(B23="Parte A",_xlfn.XLOOKUP(F23,Inputs!$A$66:$A$68,Inputs!$B$66:$B$68),_xlfn.XLOOKUP(F23,Inputs!$A$74:$A$76,Inputs!$B$74:$B$76))))</f>
        <v>0</v>
      </c>
      <c r="H23" t="str">
        <f t="shared" si="0"/>
        <v>Q5</v>
      </c>
      <c r="I23" t="str">
        <f t="shared" si="1"/>
        <v/>
      </c>
    </row>
    <row r="24" spans="1:9" x14ac:dyDescent="0.3">
      <c r="A24" t="s">
        <v>266</v>
      </c>
      <c r="B24" t="s">
        <v>19</v>
      </c>
      <c r="C24" t="s">
        <v>9</v>
      </c>
      <c r="D24">
        <f>IF(C24="Q0",_xlfn.CEILING.MATH(INDEX(MRP_NetReq!$L:$L,MATCH(A24&amp;"|"&amp;B24&amp;"|Gross Req",MRP_NetReq!$M:$M,0))/_xlfn.XLOOKUP(B24,Inputs!$A$35:$A$42,Inputs!$B$35:$B$42),1),INDEX(MRP_NetReq!$D:$K,MATCH(A24&amp;"|"&amp;B24&amp;"|Planned Receipt",MRP_NetReq!$M:$M,0),MATCH(C24,MRP_NetReq!$D$2:$K$2,0))/_xlfn.XLOOKUP(B24,Inputs!$A$35:$A$42,Inputs!$B$35:$B$42))</f>
        <v>0</v>
      </c>
      <c r="E24">
        <f>D24*_xlfn.XLOOKUP(B24,Inputs!$A$35:$A$42,Inputs!$B$35:$B$42)</f>
        <v>0</v>
      </c>
      <c r="F24" t="str">
        <f>IF(LEFT(B24,5)="Pieza","Unico",IF(B24="Parte A",Inputs!$B$69,IF(B24="Parte B",Inputs!$B$77,"A")))</f>
        <v>A</v>
      </c>
      <c r="G24">
        <f>IF(LEFT(B24,5)="Pieza",D24*_xlfn.XLOOKUP(B24,Inputs!$A$49:$A$54,Inputs!$B$49:$B$54),D24*IF(F24="B",IF(B24="Parte A",IF(D24&gt;=Inputs!$E$67,_xlfn.XLOOKUP(F24,Inputs!$A$66:$A$68,Inputs!$B$66:$B$68)*(1-Inputs!$B$111),_xlfn.XLOOKUP(F24,Inputs!$A$66:$A$68,Inputs!$B$66:$B$68)),IF(D24&gt;=Inputs!$E$75,_xlfn.XLOOKUP(F24,Inputs!$A$74:$A$76,Inputs!$B$74:$B$76)*(1-Inputs!$B$112),_xlfn.XLOOKUP(F24,Inputs!$A$74:$A$76,Inputs!$B$74:$B$76))),IF(B24="Parte A",_xlfn.XLOOKUP(F24,Inputs!$A$66:$A$68,Inputs!$B$66:$B$68),_xlfn.XLOOKUP(F24,Inputs!$A$74:$A$76,Inputs!$B$74:$B$76))) + IF(D24&gt;0,IF(B24="Parte A",Inputs!$B$59,Inputs!$B$60),0) + IF(F24="B",Inputs!$B$113*(E24/_xlfn.XLOOKUP(B24,BOM_Consumo!$A$6:$A$13,BOM_Consumo!$B$6:$B$13))*Inputs!$B$106,0) + (Inputs!$B$107*IF(F24="B",2,IF(F24="C",8,0))*D24*IF(B24="Parte A",_xlfn.XLOOKUP(F24,Inputs!$A$66:$A$68,Inputs!$B$66:$B$68),_xlfn.XLOOKUP(F24,Inputs!$A$74:$A$76,Inputs!$B$74:$B$76))))</f>
        <v>0</v>
      </c>
      <c r="H24" t="str">
        <f t="shared" si="0"/>
        <v>Q6</v>
      </c>
      <c r="I24" t="str">
        <f t="shared" si="1"/>
        <v/>
      </c>
    </row>
    <row r="25" spans="1:9" x14ac:dyDescent="0.3">
      <c r="A25" t="s">
        <v>266</v>
      </c>
      <c r="B25" t="s">
        <v>19</v>
      </c>
      <c r="C25" t="s">
        <v>10</v>
      </c>
      <c r="D25">
        <f>IF(C25="Q0",_xlfn.CEILING.MATH(INDEX(MRP_NetReq!$L:$L,MATCH(A25&amp;"|"&amp;B25&amp;"|Gross Req",MRP_NetReq!$M:$M,0))/_xlfn.XLOOKUP(B25,Inputs!$A$35:$A$42,Inputs!$B$35:$B$42),1),INDEX(MRP_NetReq!$D:$K,MATCH(A25&amp;"|"&amp;B25&amp;"|Planned Receipt",MRP_NetReq!$M:$M,0),MATCH(C25,MRP_NetReq!$D$2:$K$2,0))/_xlfn.XLOOKUP(B25,Inputs!$A$35:$A$42,Inputs!$B$35:$B$42))</f>
        <v>0</v>
      </c>
      <c r="E25">
        <f>D25*_xlfn.XLOOKUP(B25,Inputs!$A$35:$A$42,Inputs!$B$35:$B$42)</f>
        <v>0</v>
      </c>
      <c r="F25" t="str">
        <f>IF(LEFT(B25,5)="Pieza","Unico",IF(B25="Parte A",Inputs!$B$69,IF(B25="Parte B",Inputs!$B$77,"A")))</f>
        <v>A</v>
      </c>
      <c r="G25">
        <f>IF(LEFT(B25,5)="Pieza",D25*_xlfn.XLOOKUP(B25,Inputs!$A$49:$A$54,Inputs!$B$49:$B$54),D25*IF(F25="B",IF(B25="Parte A",IF(D25&gt;=Inputs!$E$67,_xlfn.XLOOKUP(F25,Inputs!$A$66:$A$68,Inputs!$B$66:$B$68)*(1-Inputs!$B$111),_xlfn.XLOOKUP(F25,Inputs!$A$66:$A$68,Inputs!$B$66:$B$68)),IF(D25&gt;=Inputs!$E$75,_xlfn.XLOOKUP(F25,Inputs!$A$74:$A$76,Inputs!$B$74:$B$76)*(1-Inputs!$B$112),_xlfn.XLOOKUP(F25,Inputs!$A$74:$A$76,Inputs!$B$74:$B$76))),IF(B25="Parte A",_xlfn.XLOOKUP(F25,Inputs!$A$66:$A$68,Inputs!$B$66:$B$68),_xlfn.XLOOKUP(F25,Inputs!$A$74:$A$76,Inputs!$B$74:$B$76))) + IF(D25&gt;0,IF(B25="Parte A",Inputs!$B$59,Inputs!$B$60),0) + IF(F25="B",Inputs!$B$113*(E25/_xlfn.XLOOKUP(B25,BOM_Consumo!$A$6:$A$13,BOM_Consumo!$B$6:$B$13))*Inputs!$B$106,0) + (Inputs!$B$107*IF(F25="B",2,IF(F25="C",8,0))*D25*IF(B25="Parte A",_xlfn.XLOOKUP(F25,Inputs!$A$66:$A$68,Inputs!$B$66:$B$68),_xlfn.XLOOKUP(F25,Inputs!$A$74:$A$76,Inputs!$B$74:$B$76))))</f>
        <v>0</v>
      </c>
      <c r="H25" t="str">
        <f t="shared" si="0"/>
        <v>Q7</v>
      </c>
      <c r="I25" t="str">
        <f t="shared" si="1"/>
        <v/>
      </c>
    </row>
    <row r="26" spans="1:9" x14ac:dyDescent="0.3">
      <c r="A26" t="s">
        <v>266</v>
      </c>
      <c r="B26" t="s">
        <v>19</v>
      </c>
      <c r="C26" t="s">
        <v>11</v>
      </c>
      <c r="D26">
        <f>IF(C26="Q0",_xlfn.CEILING.MATH(INDEX(MRP_NetReq!$L:$L,MATCH(A26&amp;"|"&amp;B26&amp;"|Gross Req",MRP_NetReq!$M:$M,0))/_xlfn.XLOOKUP(B26,Inputs!$A$35:$A$42,Inputs!$B$35:$B$42),1),INDEX(MRP_NetReq!$D:$K,MATCH(A26&amp;"|"&amp;B26&amp;"|Planned Receipt",MRP_NetReq!$M:$M,0),MATCH(C26,MRP_NetReq!$D$2:$K$2,0))/_xlfn.XLOOKUP(B26,Inputs!$A$35:$A$42,Inputs!$B$35:$B$42))</f>
        <v>0</v>
      </c>
      <c r="E26">
        <f>D26*_xlfn.XLOOKUP(B26,Inputs!$A$35:$A$42,Inputs!$B$35:$B$42)</f>
        <v>0</v>
      </c>
      <c r="F26" t="str">
        <f>IF(LEFT(B26,5)="Pieza","Unico",IF(B26="Parte A",Inputs!$B$69,IF(B26="Parte B",Inputs!$B$77,"A")))</f>
        <v>A</v>
      </c>
      <c r="G26">
        <f>IF(LEFT(B26,5)="Pieza",D26*_xlfn.XLOOKUP(B26,Inputs!$A$49:$A$54,Inputs!$B$49:$B$54),D26*IF(F26="B",IF(B26="Parte A",IF(D26&gt;=Inputs!$E$67,_xlfn.XLOOKUP(F26,Inputs!$A$66:$A$68,Inputs!$B$66:$B$68)*(1-Inputs!$B$111),_xlfn.XLOOKUP(F26,Inputs!$A$66:$A$68,Inputs!$B$66:$B$68)),IF(D26&gt;=Inputs!$E$75,_xlfn.XLOOKUP(F26,Inputs!$A$74:$A$76,Inputs!$B$74:$B$76)*(1-Inputs!$B$112),_xlfn.XLOOKUP(F26,Inputs!$A$74:$A$76,Inputs!$B$74:$B$76))),IF(B26="Parte A",_xlfn.XLOOKUP(F26,Inputs!$A$66:$A$68,Inputs!$B$66:$B$68),_xlfn.XLOOKUP(F26,Inputs!$A$74:$A$76,Inputs!$B$74:$B$76))) + IF(D26&gt;0,IF(B26="Parte A",Inputs!$B$59,Inputs!$B$60),0) + IF(F26="B",Inputs!$B$113*(E26/_xlfn.XLOOKUP(B26,BOM_Consumo!$A$6:$A$13,BOM_Consumo!$B$6:$B$13))*Inputs!$B$106,0) + (Inputs!$B$107*IF(F26="B",2,IF(F26="C",8,0))*D26*IF(B26="Parte A",_xlfn.XLOOKUP(F26,Inputs!$A$66:$A$68,Inputs!$B$66:$B$68),_xlfn.XLOOKUP(F26,Inputs!$A$74:$A$76,Inputs!$B$74:$B$76))))</f>
        <v>0</v>
      </c>
      <c r="H26" t="str">
        <f t="shared" si="0"/>
        <v>Q8</v>
      </c>
      <c r="I26" t="str">
        <f t="shared" si="1"/>
        <v/>
      </c>
    </row>
    <row r="27" spans="1:9" x14ac:dyDescent="0.3">
      <c r="A27" t="s">
        <v>266</v>
      </c>
      <c r="B27" t="s">
        <v>22</v>
      </c>
      <c r="C27" t="s">
        <v>4</v>
      </c>
      <c r="D27">
        <f>IF(C27="Q0",_xlfn.CEILING.MATH(INDEX(MRP_NetReq!$L:$L,MATCH(A27&amp;"|"&amp;B27&amp;"|Gross Req",MRP_NetReq!$M:$M,0))/_xlfn.XLOOKUP(B27,Inputs!$A$35:$A$42,Inputs!$B$35:$B$42),1),INDEX(MRP_NetReq!$D:$K,MATCH(A27&amp;"|"&amp;B27&amp;"|Planned Receipt",MRP_NetReq!$M:$M,0),MATCH(C27,MRP_NetReq!$D$2:$K$2,0))/_xlfn.XLOOKUP(B27,Inputs!$A$35:$A$42,Inputs!$B$35:$B$42))</f>
        <v>0</v>
      </c>
      <c r="E27">
        <f>D27*_xlfn.XLOOKUP(B27,Inputs!$A$35:$A$42,Inputs!$B$35:$B$42)</f>
        <v>0</v>
      </c>
      <c r="F27" t="str">
        <f>IF(LEFT(B27,5)="Pieza","Unico",IF(B27="Parte A",Inputs!$B$69,IF(B27="Parte B",Inputs!$B$77,"A")))</f>
        <v>A</v>
      </c>
      <c r="G27">
        <f>IF(LEFT(B27,5)="Pieza",D27*_xlfn.XLOOKUP(B27,Inputs!$A$49:$A$54,Inputs!$B$49:$B$54),D27*IF(F27="B",IF(B27="Parte A",IF(D27&gt;=Inputs!$E$67,_xlfn.XLOOKUP(F27,Inputs!$A$66:$A$68,Inputs!$B$66:$B$68)*(1-Inputs!$B$111),_xlfn.XLOOKUP(F27,Inputs!$A$66:$A$68,Inputs!$B$66:$B$68)),IF(D27&gt;=Inputs!$E$75,_xlfn.XLOOKUP(F27,Inputs!$A$74:$A$76,Inputs!$B$74:$B$76)*(1-Inputs!$B$112),_xlfn.XLOOKUP(F27,Inputs!$A$74:$A$76,Inputs!$B$74:$B$76))),IF(B27="Parte A",_xlfn.XLOOKUP(F27,Inputs!$A$66:$A$68,Inputs!$B$66:$B$68),_xlfn.XLOOKUP(F27,Inputs!$A$74:$A$76,Inputs!$B$74:$B$76))) + IF(D27&gt;0,IF(B27="Parte A",Inputs!$B$59,Inputs!$B$60),0) + IF(F27="B",Inputs!$B$113*(E27/_xlfn.XLOOKUP(B27,BOM_Consumo!$A$6:$A$13,BOM_Consumo!$B$6:$B$13))*Inputs!$B$106,0) + (Inputs!$B$107*IF(F27="B",2,IF(F27="C",8,0))*D27*IF(B27="Parte A",_xlfn.XLOOKUP(F27,Inputs!$A$66:$A$68,Inputs!$B$66:$B$68),_xlfn.XLOOKUP(F27,Inputs!$A$74:$A$76,Inputs!$B$74:$B$76))))</f>
        <v>0</v>
      </c>
      <c r="H27" t="str">
        <f t="shared" si="0"/>
        <v>Q1</v>
      </c>
      <c r="I27" t="str">
        <f t="shared" si="1"/>
        <v/>
      </c>
    </row>
    <row r="28" spans="1:9" x14ac:dyDescent="0.3">
      <c r="A28" t="s">
        <v>266</v>
      </c>
      <c r="B28" t="s">
        <v>22</v>
      </c>
      <c r="C28" t="s">
        <v>5</v>
      </c>
      <c r="D28">
        <f>IF(C28="Q0",_xlfn.CEILING.MATH(INDEX(MRP_NetReq!$L:$L,MATCH(A28&amp;"|"&amp;B28&amp;"|Gross Req",MRP_NetReq!$M:$M,0))/_xlfn.XLOOKUP(B28,Inputs!$A$35:$A$42,Inputs!$B$35:$B$42),1),INDEX(MRP_NetReq!$D:$K,MATCH(A28&amp;"|"&amp;B28&amp;"|Planned Receipt",MRP_NetReq!$M:$M,0),MATCH(C28,MRP_NetReq!$D$2:$K$2,0))/_xlfn.XLOOKUP(B28,Inputs!$A$35:$A$42,Inputs!$B$35:$B$42))</f>
        <v>5</v>
      </c>
      <c r="E28">
        <f>D28*_xlfn.XLOOKUP(B28,Inputs!$A$35:$A$42,Inputs!$B$35:$B$42)</f>
        <v>60</v>
      </c>
      <c r="F28" t="str">
        <f>IF(LEFT(B28,5)="Pieza","Unico",IF(B28="Parte A",Inputs!$B$69,IF(B28="Parte B",Inputs!$B$77,"A")))</f>
        <v>A</v>
      </c>
      <c r="G28">
        <f>IF(LEFT(B28,5)="Pieza",D28*_xlfn.XLOOKUP(B28,Inputs!$A$49:$A$54,Inputs!$B$49:$B$54),D28*IF(F28="B",IF(B28="Parte A",IF(D28&gt;=Inputs!$E$67,_xlfn.XLOOKUP(F28,Inputs!$A$66:$A$68,Inputs!$B$66:$B$68)*(1-Inputs!$B$111),_xlfn.XLOOKUP(F28,Inputs!$A$66:$A$68,Inputs!$B$66:$B$68)),IF(D28&gt;=Inputs!$E$75,_xlfn.XLOOKUP(F28,Inputs!$A$74:$A$76,Inputs!$B$74:$B$76)*(1-Inputs!$B$112),_xlfn.XLOOKUP(F28,Inputs!$A$74:$A$76,Inputs!$B$74:$B$76))),IF(B28="Parte A",_xlfn.XLOOKUP(F28,Inputs!$A$66:$A$68,Inputs!$B$66:$B$68),_xlfn.XLOOKUP(F28,Inputs!$A$74:$A$76,Inputs!$B$74:$B$76))) + IF(D28&gt;0,IF(B28="Parte A",Inputs!$B$59,Inputs!$B$60),0) + IF(F28="B",Inputs!$B$113*(E28/_xlfn.XLOOKUP(B28,BOM_Consumo!$A$6:$A$13,BOM_Consumo!$B$6:$B$13))*Inputs!$B$106,0) + (Inputs!$B$107*IF(F28="B",2,IF(F28="C",8,0))*D28*IF(B28="Parte A",_xlfn.XLOOKUP(F28,Inputs!$A$66:$A$68,Inputs!$B$66:$B$68),_xlfn.XLOOKUP(F28,Inputs!$A$74:$A$76,Inputs!$B$74:$B$76))))</f>
        <v>7650</v>
      </c>
      <c r="H28" t="str">
        <f t="shared" si="0"/>
        <v>Q2</v>
      </c>
      <c r="I28" t="str">
        <f t="shared" si="1"/>
        <v/>
      </c>
    </row>
    <row r="29" spans="1:9" x14ac:dyDescent="0.3">
      <c r="A29" t="s">
        <v>266</v>
      </c>
      <c r="B29" t="s">
        <v>22</v>
      </c>
      <c r="C29" t="s">
        <v>6</v>
      </c>
      <c r="D29">
        <f>IF(C29="Q0",_xlfn.CEILING.MATH(INDEX(MRP_NetReq!$L:$L,MATCH(A29&amp;"|"&amp;B29&amp;"|Gross Req",MRP_NetReq!$M:$M,0))/_xlfn.XLOOKUP(B29,Inputs!$A$35:$A$42,Inputs!$B$35:$B$42),1),INDEX(MRP_NetReq!$D:$K,MATCH(A29&amp;"|"&amp;B29&amp;"|Planned Receipt",MRP_NetReq!$M:$M,0),MATCH(C29,MRP_NetReq!$D$2:$K$2,0))/_xlfn.XLOOKUP(B29,Inputs!$A$35:$A$42,Inputs!$B$35:$B$42))</f>
        <v>8</v>
      </c>
      <c r="E29">
        <f>D29*_xlfn.XLOOKUP(B29,Inputs!$A$35:$A$42,Inputs!$B$35:$B$42)</f>
        <v>96</v>
      </c>
      <c r="F29" t="str">
        <f>IF(LEFT(B29,5)="Pieza","Unico",IF(B29="Parte A",Inputs!$B$69,IF(B29="Parte B",Inputs!$B$77,"A")))</f>
        <v>A</v>
      </c>
      <c r="G29">
        <f>IF(LEFT(B29,5)="Pieza",D29*_xlfn.XLOOKUP(B29,Inputs!$A$49:$A$54,Inputs!$B$49:$B$54),D29*IF(F29="B",IF(B29="Parte A",IF(D29&gt;=Inputs!$E$67,_xlfn.XLOOKUP(F29,Inputs!$A$66:$A$68,Inputs!$B$66:$B$68)*(1-Inputs!$B$111),_xlfn.XLOOKUP(F29,Inputs!$A$66:$A$68,Inputs!$B$66:$B$68)),IF(D29&gt;=Inputs!$E$75,_xlfn.XLOOKUP(F29,Inputs!$A$74:$A$76,Inputs!$B$74:$B$76)*(1-Inputs!$B$112),_xlfn.XLOOKUP(F29,Inputs!$A$74:$A$76,Inputs!$B$74:$B$76))),IF(B29="Parte A",_xlfn.XLOOKUP(F29,Inputs!$A$66:$A$68,Inputs!$B$66:$B$68),_xlfn.XLOOKUP(F29,Inputs!$A$74:$A$76,Inputs!$B$74:$B$76))) + IF(D29&gt;0,IF(B29="Parte A",Inputs!$B$59,Inputs!$B$60),0) + IF(F29="B",Inputs!$B$113*(E29/_xlfn.XLOOKUP(B29,BOM_Consumo!$A$6:$A$13,BOM_Consumo!$B$6:$B$13))*Inputs!$B$106,0) + (Inputs!$B$107*IF(F29="B",2,IF(F29="C",8,0))*D29*IF(B29="Parte A",_xlfn.XLOOKUP(F29,Inputs!$A$66:$A$68,Inputs!$B$66:$B$68),_xlfn.XLOOKUP(F29,Inputs!$A$74:$A$76,Inputs!$B$74:$B$76))))</f>
        <v>8640</v>
      </c>
      <c r="H29" t="str">
        <f t="shared" si="0"/>
        <v>Q3</v>
      </c>
      <c r="I29" t="str">
        <f t="shared" si="1"/>
        <v/>
      </c>
    </row>
    <row r="30" spans="1:9" x14ac:dyDescent="0.3">
      <c r="A30" t="s">
        <v>266</v>
      </c>
      <c r="B30" t="s">
        <v>22</v>
      </c>
      <c r="C30" t="s">
        <v>7</v>
      </c>
      <c r="D30">
        <f>IF(C30="Q0",_xlfn.CEILING.MATH(INDEX(MRP_NetReq!$L:$L,MATCH(A30&amp;"|"&amp;B30&amp;"|Gross Req",MRP_NetReq!$M:$M,0))/_xlfn.XLOOKUP(B30,Inputs!$A$35:$A$42,Inputs!$B$35:$B$42),1),INDEX(MRP_NetReq!$D:$K,MATCH(A30&amp;"|"&amp;B30&amp;"|Planned Receipt",MRP_NetReq!$M:$M,0),MATCH(C30,MRP_NetReq!$D$2:$K$2,0))/_xlfn.XLOOKUP(B30,Inputs!$A$35:$A$42,Inputs!$B$35:$B$42))</f>
        <v>9</v>
      </c>
      <c r="E30">
        <f>D30*_xlfn.XLOOKUP(B30,Inputs!$A$35:$A$42,Inputs!$B$35:$B$42)</f>
        <v>108</v>
      </c>
      <c r="F30" t="str">
        <f>IF(LEFT(B30,5)="Pieza","Unico",IF(B30="Parte A",Inputs!$B$69,IF(B30="Parte B",Inputs!$B$77,"A")))</f>
        <v>A</v>
      </c>
      <c r="G30">
        <f>IF(LEFT(B30,5)="Pieza",D30*_xlfn.XLOOKUP(B30,Inputs!$A$49:$A$54,Inputs!$B$49:$B$54),D30*IF(F30="B",IF(B30="Parte A",IF(D30&gt;=Inputs!$E$67,_xlfn.XLOOKUP(F30,Inputs!$A$66:$A$68,Inputs!$B$66:$B$68)*(1-Inputs!$B$111),_xlfn.XLOOKUP(F30,Inputs!$A$66:$A$68,Inputs!$B$66:$B$68)),IF(D30&gt;=Inputs!$E$75,_xlfn.XLOOKUP(F30,Inputs!$A$74:$A$76,Inputs!$B$74:$B$76)*(1-Inputs!$B$112),_xlfn.XLOOKUP(F30,Inputs!$A$74:$A$76,Inputs!$B$74:$B$76))),IF(B30="Parte A",_xlfn.XLOOKUP(F30,Inputs!$A$66:$A$68,Inputs!$B$66:$B$68),_xlfn.XLOOKUP(F30,Inputs!$A$74:$A$76,Inputs!$B$74:$B$76))) + IF(D30&gt;0,IF(B30="Parte A",Inputs!$B$59,Inputs!$B$60),0) + IF(F30="B",Inputs!$B$113*(E30/_xlfn.XLOOKUP(B30,BOM_Consumo!$A$6:$A$13,BOM_Consumo!$B$6:$B$13))*Inputs!$B$106,0) + (Inputs!$B$107*IF(F30="B",2,IF(F30="C",8,0))*D30*IF(B30="Parte A",_xlfn.XLOOKUP(F30,Inputs!$A$66:$A$68,Inputs!$B$66:$B$68),_xlfn.XLOOKUP(F30,Inputs!$A$74:$A$76,Inputs!$B$74:$B$76))))</f>
        <v>8970</v>
      </c>
      <c r="H30" t="str">
        <f t="shared" si="0"/>
        <v>Q4</v>
      </c>
      <c r="I30" t="str">
        <f t="shared" si="1"/>
        <v/>
      </c>
    </row>
    <row r="31" spans="1:9" x14ac:dyDescent="0.3">
      <c r="A31" t="s">
        <v>266</v>
      </c>
      <c r="B31" t="s">
        <v>22</v>
      </c>
      <c r="C31" t="s">
        <v>8</v>
      </c>
      <c r="D31">
        <f>IF(C31="Q0",_xlfn.CEILING.MATH(INDEX(MRP_NetReq!$L:$L,MATCH(A31&amp;"|"&amp;B31&amp;"|Gross Req",MRP_NetReq!$M:$M,0))/_xlfn.XLOOKUP(B31,Inputs!$A$35:$A$42,Inputs!$B$35:$B$42),1),INDEX(MRP_NetReq!$D:$K,MATCH(A31&amp;"|"&amp;B31&amp;"|Planned Receipt",MRP_NetReq!$M:$M,0),MATCH(C31,MRP_NetReq!$D$2:$K$2,0))/_xlfn.XLOOKUP(B31,Inputs!$A$35:$A$42,Inputs!$B$35:$B$42))</f>
        <v>8</v>
      </c>
      <c r="E31">
        <f>D31*_xlfn.XLOOKUP(B31,Inputs!$A$35:$A$42,Inputs!$B$35:$B$42)</f>
        <v>96</v>
      </c>
      <c r="F31" t="str">
        <f>IF(LEFT(B31,5)="Pieza","Unico",IF(B31="Parte A",Inputs!$B$69,IF(B31="Parte B",Inputs!$B$77,"A")))</f>
        <v>A</v>
      </c>
      <c r="G31">
        <f>IF(LEFT(B31,5)="Pieza",D31*_xlfn.XLOOKUP(B31,Inputs!$A$49:$A$54,Inputs!$B$49:$B$54),D31*IF(F31="B",IF(B31="Parte A",IF(D31&gt;=Inputs!$E$67,_xlfn.XLOOKUP(F31,Inputs!$A$66:$A$68,Inputs!$B$66:$B$68)*(1-Inputs!$B$111),_xlfn.XLOOKUP(F31,Inputs!$A$66:$A$68,Inputs!$B$66:$B$68)),IF(D31&gt;=Inputs!$E$75,_xlfn.XLOOKUP(F31,Inputs!$A$74:$A$76,Inputs!$B$74:$B$76)*(1-Inputs!$B$112),_xlfn.XLOOKUP(F31,Inputs!$A$74:$A$76,Inputs!$B$74:$B$76))),IF(B31="Parte A",_xlfn.XLOOKUP(F31,Inputs!$A$66:$A$68,Inputs!$B$66:$B$68),_xlfn.XLOOKUP(F31,Inputs!$A$74:$A$76,Inputs!$B$74:$B$76))) + IF(D31&gt;0,IF(B31="Parte A",Inputs!$B$59,Inputs!$B$60),0) + IF(F31="B",Inputs!$B$113*(E31/_xlfn.XLOOKUP(B31,BOM_Consumo!$A$6:$A$13,BOM_Consumo!$B$6:$B$13))*Inputs!$B$106,0) + (Inputs!$B$107*IF(F31="B",2,IF(F31="C",8,0))*D31*IF(B31="Parte A",_xlfn.XLOOKUP(F31,Inputs!$A$66:$A$68,Inputs!$B$66:$B$68),_xlfn.XLOOKUP(F31,Inputs!$A$74:$A$76,Inputs!$B$74:$B$76))))</f>
        <v>8640</v>
      </c>
      <c r="H31" t="str">
        <f t="shared" si="0"/>
        <v>Q5</v>
      </c>
      <c r="I31" t="str">
        <f t="shared" si="1"/>
        <v/>
      </c>
    </row>
    <row r="32" spans="1:9" x14ac:dyDescent="0.3">
      <c r="A32" t="s">
        <v>266</v>
      </c>
      <c r="B32" t="s">
        <v>22</v>
      </c>
      <c r="C32" t="s">
        <v>9</v>
      </c>
      <c r="D32">
        <f>IF(C32="Q0",_xlfn.CEILING.MATH(INDEX(MRP_NetReq!$L:$L,MATCH(A32&amp;"|"&amp;B32&amp;"|Gross Req",MRP_NetReq!$M:$M,0))/_xlfn.XLOOKUP(B32,Inputs!$A$35:$A$42,Inputs!$B$35:$B$42),1),INDEX(MRP_NetReq!$D:$K,MATCH(A32&amp;"|"&amp;B32&amp;"|Planned Receipt",MRP_NetReq!$M:$M,0),MATCH(C32,MRP_NetReq!$D$2:$K$2,0))/_xlfn.XLOOKUP(B32,Inputs!$A$35:$A$42,Inputs!$B$35:$B$42))</f>
        <v>0</v>
      </c>
      <c r="E32">
        <f>D32*_xlfn.XLOOKUP(B32,Inputs!$A$35:$A$42,Inputs!$B$35:$B$42)</f>
        <v>0</v>
      </c>
      <c r="F32" t="str">
        <f>IF(LEFT(B32,5)="Pieza","Unico",IF(B32="Parte A",Inputs!$B$69,IF(B32="Parte B",Inputs!$B$77,"A")))</f>
        <v>A</v>
      </c>
      <c r="G32">
        <f>IF(LEFT(B32,5)="Pieza",D32*_xlfn.XLOOKUP(B32,Inputs!$A$49:$A$54,Inputs!$B$49:$B$54),D32*IF(F32="B",IF(B32="Parte A",IF(D32&gt;=Inputs!$E$67,_xlfn.XLOOKUP(F32,Inputs!$A$66:$A$68,Inputs!$B$66:$B$68)*(1-Inputs!$B$111),_xlfn.XLOOKUP(F32,Inputs!$A$66:$A$68,Inputs!$B$66:$B$68)),IF(D32&gt;=Inputs!$E$75,_xlfn.XLOOKUP(F32,Inputs!$A$74:$A$76,Inputs!$B$74:$B$76)*(1-Inputs!$B$112),_xlfn.XLOOKUP(F32,Inputs!$A$74:$A$76,Inputs!$B$74:$B$76))),IF(B32="Parte A",_xlfn.XLOOKUP(F32,Inputs!$A$66:$A$68,Inputs!$B$66:$B$68),_xlfn.XLOOKUP(F32,Inputs!$A$74:$A$76,Inputs!$B$74:$B$76))) + IF(D32&gt;0,IF(B32="Parte A",Inputs!$B$59,Inputs!$B$60),0) + IF(F32="B",Inputs!$B$113*(E32/_xlfn.XLOOKUP(B32,BOM_Consumo!$A$6:$A$13,BOM_Consumo!$B$6:$B$13))*Inputs!$B$106,0) + (Inputs!$B$107*IF(F32="B",2,IF(F32="C",8,0))*D32*IF(B32="Parte A",_xlfn.XLOOKUP(F32,Inputs!$A$66:$A$68,Inputs!$B$66:$B$68),_xlfn.XLOOKUP(F32,Inputs!$A$74:$A$76,Inputs!$B$74:$B$76))))</f>
        <v>0</v>
      </c>
      <c r="H32" t="str">
        <f t="shared" si="0"/>
        <v>Q6</v>
      </c>
      <c r="I32" t="str">
        <f t="shared" si="1"/>
        <v/>
      </c>
    </row>
    <row r="33" spans="1:9" x14ac:dyDescent="0.3">
      <c r="A33" t="s">
        <v>266</v>
      </c>
      <c r="B33" t="s">
        <v>22</v>
      </c>
      <c r="C33" t="s">
        <v>10</v>
      </c>
      <c r="D33">
        <f>IF(C33="Q0",_xlfn.CEILING.MATH(INDEX(MRP_NetReq!$L:$L,MATCH(A33&amp;"|"&amp;B33&amp;"|Gross Req",MRP_NetReq!$M:$M,0))/_xlfn.XLOOKUP(B33,Inputs!$A$35:$A$42,Inputs!$B$35:$B$42),1),INDEX(MRP_NetReq!$D:$K,MATCH(A33&amp;"|"&amp;B33&amp;"|Planned Receipt",MRP_NetReq!$M:$M,0),MATCH(C33,MRP_NetReq!$D$2:$K$2,0))/_xlfn.XLOOKUP(B33,Inputs!$A$35:$A$42,Inputs!$B$35:$B$42))</f>
        <v>0</v>
      </c>
      <c r="E33">
        <f>D33*_xlfn.XLOOKUP(B33,Inputs!$A$35:$A$42,Inputs!$B$35:$B$42)</f>
        <v>0</v>
      </c>
      <c r="F33" t="str">
        <f>IF(LEFT(B33,5)="Pieza","Unico",IF(B33="Parte A",Inputs!$B$69,IF(B33="Parte B",Inputs!$B$77,"A")))</f>
        <v>A</v>
      </c>
      <c r="G33">
        <f>IF(LEFT(B33,5)="Pieza",D33*_xlfn.XLOOKUP(B33,Inputs!$A$49:$A$54,Inputs!$B$49:$B$54),D33*IF(F33="B",IF(B33="Parte A",IF(D33&gt;=Inputs!$E$67,_xlfn.XLOOKUP(F33,Inputs!$A$66:$A$68,Inputs!$B$66:$B$68)*(1-Inputs!$B$111),_xlfn.XLOOKUP(F33,Inputs!$A$66:$A$68,Inputs!$B$66:$B$68)),IF(D33&gt;=Inputs!$E$75,_xlfn.XLOOKUP(F33,Inputs!$A$74:$A$76,Inputs!$B$74:$B$76)*(1-Inputs!$B$112),_xlfn.XLOOKUP(F33,Inputs!$A$74:$A$76,Inputs!$B$74:$B$76))),IF(B33="Parte A",_xlfn.XLOOKUP(F33,Inputs!$A$66:$A$68,Inputs!$B$66:$B$68),_xlfn.XLOOKUP(F33,Inputs!$A$74:$A$76,Inputs!$B$74:$B$76))) + IF(D33&gt;0,IF(B33="Parte A",Inputs!$B$59,Inputs!$B$60),0) + IF(F33="B",Inputs!$B$113*(E33/_xlfn.XLOOKUP(B33,BOM_Consumo!$A$6:$A$13,BOM_Consumo!$B$6:$B$13))*Inputs!$B$106,0) + (Inputs!$B$107*IF(F33="B",2,IF(F33="C",8,0))*D33*IF(B33="Parte A",_xlfn.XLOOKUP(F33,Inputs!$A$66:$A$68,Inputs!$B$66:$B$68),_xlfn.XLOOKUP(F33,Inputs!$A$74:$A$76,Inputs!$B$74:$B$76))))</f>
        <v>0</v>
      </c>
      <c r="H33" t="str">
        <f t="shared" si="0"/>
        <v>Q7</v>
      </c>
      <c r="I33" t="str">
        <f t="shared" si="1"/>
        <v/>
      </c>
    </row>
    <row r="34" spans="1:9" x14ac:dyDescent="0.3">
      <c r="A34" t="s">
        <v>266</v>
      </c>
      <c r="B34" t="s">
        <v>22</v>
      </c>
      <c r="C34" t="s">
        <v>11</v>
      </c>
      <c r="D34">
        <f>IF(C34="Q0",_xlfn.CEILING.MATH(INDEX(MRP_NetReq!$L:$L,MATCH(A34&amp;"|"&amp;B34&amp;"|Gross Req",MRP_NetReq!$M:$M,0))/_xlfn.XLOOKUP(B34,Inputs!$A$35:$A$42,Inputs!$B$35:$B$42),1),INDEX(MRP_NetReq!$D:$K,MATCH(A34&amp;"|"&amp;B34&amp;"|Planned Receipt",MRP_NetReq!$M:$M,0),MATCH(C34,MRP_NetReq!$D$2:$K$2,0))/_xlfn.XLOOKUP(B34,Inputs!$A$35:$A$42,Inputs!$B$35:$B$42))</f>
        <v>0</v>
      </c>
      <c r="E34">
        <f>D34*_xlfn.XLOOKUP(B34,Inputs!$A$35:$A$42,Inputs!$B$35:$B$42)</f>
        <v>0</v>
      </c>
      <c r="F34" t="str">
        <f>IF(LEFT(B34,5)="Pieza","Unico",IF(B34="Parte A",Inputs!$B$69,IF(B34="Parte B",Inputs!$B$77,"A")))</f>
        <v>A</v>
      </c>
      <c r="G34">
        <f>IF(LEFT(B34,5)="Pieza",D34*_xlfn.XLOOKUP(B34,Inputs!$A$49:$A$54,Inputs!$B$49:$B$54),D34*IF(F34="B",IF(B34="Parte A",IF(D34&gt;=Inputs!$E$67,_xlfn.XLOOKUP(F34,Inputs!$A$66:$A$68,Inputs!$B$66:$B$68)*(1-Inputs!$B$111),_xlfn.XLOOKUP(F34,Inputs!$A$66:$A$68,Inputs!$B$66:$B$68)),IF(D34&gt;=Inputs!$E$75,_xlfn.XLOOKUP(F34,Inputs!$A$74:$A$76,Inputs!$B$74:$B$76)*(1-Inputs!$B$112),_xlfn.XLOOKUP(F34,Inputs!$A$74:$A$76,Inputs!$B$74:$B$76))),IF(B34="Parte A",_xlfn.XLOOKUP(F34,Inputs!$A$66:$A$68,Inputs!$B$66:$B$68),_xlfn.XLOOKUP(F34,Inputs!$A$74:$A$76,Inputs!$B$74:$B$76))) + IF(D34&gt;0,IF(B34="Parte A",Inputs!$B$59,Inputs!$B$60),0) + IF(F34="B",Inputs!$B$113*(E34/_xlfn.XLOOKUP(B34,BOM_Consumo!$A$6:$A$13,BOM_Consumo!$B$6:$B$13))*Inputs!$B$106,0) + (Inputs!$B$107*IF(F34="B",2,IF(F34="C",8,0))*D34*IF(B34="Parte A",_xlfn.XLOOKUP(F34,Inputs!$A$66:$A$68,Inputs!$B$66:$B$68),_xlfn.XLOOKUP(F34,Inputs!$A$74:$A$76,Inputs!$B$74:$B$76))))</f>
        <v>0</v>
      </c>
      <c r="H34" t="str">
        <f t="shared" si="0"/>
        <v>Q8</v>
      </c>
      <c r="I34" t="str">
        <f t="shared" si="1"/>
        <v/>
      </c>
    </row>
    <row r="35" spans="1:9" x14ac:dyDescent="0.3">
      <c r="A35" t="s">
        <v>265</v>
      </c>
      <c r="B35" t="s">
        <v>23</v>
      </c>
      <c r="C35" t="s">
        <v>362</v>
      </c>
      <c r="D35">
        <f>IF(C35="Q0",_xlfn.CEILING.MATH(INDEX(MRP_NetReq!$L:$L,MATCH(A35&amp;"|"&amp;B35&amp;"|Gross Req",MRP_NetReq!$M:$M,0))/_xlfn.XLOOKUP(B35,Inputs!$A$35:$A$42,Inputs!$B$35:$B$42),1),INDEX(MRP_NetReq!$D:$K,MATCH(A35&amp;"|"&amp;B35&amp;"|Planned Receipt",MRP_NetReq!$M:$M,0),MATCH(C35,MRP_NetReq!$D$2:$K$2,0))/_xlfn.XLOOKUP(B35,Inputs!$A$35:$A$42,Inputs!$B$35:$B$42))</f>
        <v>94</v>
      </c>
      <c r="E35">
        <f>D35*_xlfn.XLOOKUP(B35,Inputs!$A$35:$A$42,Inputs!$B$35:$B$42)</f>
        <v>94</v>
      </c>
      <c r="F35" t="str">
        <f>IF(LEFT(B35,5)="Pieza","Unico",IF(B35="Parte A",Inputs!$B$69,IF(B35="Parte B",Inputs!$B$77,"A")))</f>
        <v>Unico</v>
      </c>
      <c r="G35">
        <f>IF(LEFT(B35,5)="Pieza",D35*_xlfn.XLOOKUP(B35,Inputs!$A$49:$A$54,Inputs!$B$49:$B$54),D35*IF(F35="B",IF(B35="Parte A",IF(D35&gt;=Inputs!$E$67,_xlfn.XLOOKUP(F35,Inputs!$A$66:$A$68,Inputs!$B$66:$B$68)*(1-Inputs!$B$111),_xlfn.XLOOKUP(F35,Inputs!$A$66:$A$68,Inputs!$B$66:$B$68)),IF(D35&gt;=Inputs!$E$75,_xlfn.XLOOKUP(F35,Inputs!$A$74:$A$76,Inputs!$B$74:$B$76)*(1-Inputs!$B$112),_xlfn.XLOOKUP(F35,Inputs!$A$74:$A$76,Inputs!$B$74:$B$76))),IF(B35="Parte A",_xlfn.XLOOKUP(F35,Inputs!$A$66:$A$68,Inputs!$B$66:$B$68),_xlfn.XLOOKUP(F35,Inputs!$A$74:$A$76,Inputs!$B$74:$B$76))) + IF(D35&gt;0,IF(B35="Parte A",Inputs!$B$59,Inputs!$B$60),0) + IF(F35="B",Inputs!$B$113*(E35/_xlfn.XLOOKUP(B35,BOM_Consumo!$A$6:$A$13,BOM_Consumo!$B$6:$B$13))*Inputs!$B$106,0) + (Inputs!$B$107*IF(F35="B",2,IF(F35="C",8,0))*D35*IF(B35="Parte A",_xlfn.XLOOKUP(F35,Inputs!$A$66:$A$68,Inputs!$B$66:$B$68),_xlfn.XLOOKUP(F35,Inputs!$A$74:$A$76,Inputs!$B$74:$B$76))))</f>
        <v>5640</v>
      </c>
      <c r="H35" t="str">
        <f t="shared" si="0"/>
        <v>Q0</v>
      </c>
      <c r="I35" t="str">
        <f t="shared" si="1"/>
        <v>Compra unica t=0</v>
      </c>
    </row>
    <row r="36" spans="1:9" x14ac:dyDescent="0.3">
      <c r="A36" t="s">
        <v>265</v>
      </c>
      <c r="B36" t="s">
        <v>24</v>
      </c>
      <c r="C36" t="s">
        <v>362</v>
      </c>
      <c r="D36">
        <f>IF(C36="Q0",_xlfn.CEILING.MATH(INDEX(MRP_NetReq!$L:$L,MATCH(A36&amp;"|"&amp;B36&amp;"|Gross Req",MRP_NetReq!$M:$M,0))/_xlfn.XLOOKUP(B36,Inputs!$A$35:$A$42,Inputs!$B$35:$B$42),1),INDEX(MRP_NetReq!$D:$K,MATCH(A36&amp;"|"&amp;B36&amp;"|Planned Receipt",MRP_NetReq!$M:$M,0),MATCH(C36,MRP_NetReq!$D$2:$K$2,0))/_xlfn.XLOOKUP(B36,Inputs!$A$35:$A$42,Inputs!$B$35:$B$42))</f>
        <v>756</v>
      </c>
      <c r="E36">
        <f>D36*_xlfn.XLOOKUP(B36,Inputs!$A$35:$A$42,Inputs!$B$35:$B$42)</f>
        <v>75600</v>
      </c>
      <c r="F36" t="str">
        <f>IF(LEFT(B36,5)="Pieza","Unico",IF(B36="Parte A",Inputs!$B$69,IF(B36="Parte B",Inputs!$B$77,"A")))</f>
        <v>Unico</v>
      </c>
      <c r="G36">
        <f>IF(LEFT(B36,5)="Pieza",D36*_xlfn.XLOOKUP(B36,Inputs!$A$49:$A$54,Inputs!$B$49:$B$54),D36*IF(F36="B",IF(B36="Parte A",IF(D36&gt;=Inputs!$E$67,_xlfn.XLOOKUP(F36,Inputs!$A$66:$A$68,Inputs!$B$66:$B$68)*(1-Inputs!$B$111),_xlfn.XLOOKUP(F36,Inputs!$A$66:$A$68,Inputs!$B$66:$B$68)),IF(D36&gt;=Inputs!$E$75,_xlfn.XLOOKUP(F36,Inputs!$A$74:$A$76,Inputs!$B$74:$B$76)*(1-Inputs!$B$112),_xlfn.XLOOKUP(F36,Inputs!$A$74:$A$76,Inputs!$B$74:$B$76))),IF(B36="Parte A",_xlfn.XLOOKUP(F36,Inputs!$A$66:$A$68,Inputs!$B$66:$B$68),_xlfn.XLOOKUP(F36,Inputs!$A$74:$A$76,Inputs!$B$74:$B$76))) + IF(D36&gt;0,IF(B36="Parte A",Inputs!$B$59,Inputs!$B$60),0) + IF(F36="B",Inputs!$B$113*(E36/_xlfn.XLOOKUP(B36,BOM_Consumo!$A$6:$A$13,BOM_Consumo!$B$6:$B$13))*Inputs!$B$106,0) + (Inputs!$B$107*IF(F36="B",2,IF(F36="C",8,0))*D36*IF(B36="Parte A",_xlfn.XLOOKUP(F36,Inputs!$A$66:$A$68,Inputs!$B$66:$B$68),_xlfn.XLOOKUP(F36,Inputs!$A$74:$A$76,Inputs!$B$74:$B$76))))</f>
        <v>5292</v>
      </c>
      <c r="H36" t="str">
        <f t="shared" si="0"/>
        <v>Q0</v>
      </c>
      <c r="I36" t="str">
        <f t="shared" si="1"/>
        <v>Compra unica t=0</v>
      </c>
    </row>
    <row r="37" spans="1:9" x14ac:dyDescent="0.3">
      <c r="A37" t="s">
        <v>265</v>
      </c>
      <c r="B37" t="s">
        <v>25</v>
      </c>
      <c r="C37" t="s">
        <v>362</v>
      </c>
      <c r="D37">
        <f>IF(C37="Q0",_xlfn.CEILING.MATH(INDEX(MRP_NetReq!$L:$L,MATCH(A37&amp;"|"&amp;B37&amp;"|Gross Req",MRP_NetReq!$M:$M,0))/_xlfn.XLOOKUP(B37,Inputs!$A$35:$A$42,Inputs!$B$35:$B$42),1),INDEX(MRP_NetReq!$D:$K,MATCH(A37&amp;"|"&amp;B37&amp;"|Planned Receipt",MRP_NetReq!$M:$M,0),MATCH(C37,MRP_NetReq!$D$2:$K$2,0))/_xlfn.XLOOKUP(B37,Inputs!$A$35:$A$42,Inputs!$B$35:$B$42))</f>
        <v>94</v>
      </c>
      <c r="E37">
        <f>D37*_xlfn.XLOOKUP(B37,Inputs!$A$35:$A$42,Inputs!$B$35:$B$42)</f>
        <v>2820</v>
      </c>
      <c r="F37" t="str">
        <f>IF(LEFT(B37,5)="Pieza","Unico",IF(B37="Parte A",Inputs!$B$69,IF(B37="Parte B",Inputs!$B$77,"A")))</f>
        <v>Unico</v>
      </c>
      <c r="G37">
        <f>IF(LEFT(B37,5)="Pieza",D37*_xlfn.XLOOKUP(B37,Inputs!$A$49:$A$54,Inputs!$B$49:$B$54),D37*IF(F37="B",IF(B37="Parte A",IF(D37&gt;=Inputs!$E$67,_xlfn.XLOOKUP(F37,Inputs!$A$66:$A$68,Inputs!$B$66:$B$68)*(1-Inputs!$B$111),_xlfn.XLOOKUP(F37,Inputs!$A$66:$A$68,Inputs!$B$66:$B$68)),IF(D37&gt;=Inputs!$E$75,_xlfn.XLOOKUP(F37,Inputs!$A$74:$A$76,Inputs!$B$74:$B$76)*(1-Inputs!$B$112),_xlfn.XLOOKUP(F37,Inputs!$A$74:$A$76,Inputs!$B$74:$B$76))),IF(B37="Parte A",_xlfn.XLOOKUP(F37,Inputs!$A$66:$A$68,Inputs!$B$66:$B$68),_xlfn.XLOOKUP(F37,Inputs!$A$74:$A$76,Inputs!$B$74:$B$76))) + IF(D37&gt;0,IF(B37="Parte A",Inputs!$B$59,Inputs!$B$60),0) + IF(F37="B",Inputs!$B$113*(E37/_xlfn.XLOOKUP(B37,BOM_Consumo!$A$6:$A$13,BOM_Consumo!$B$6:$B$13))*Inputs!$B$106,0) + (Inputs!$B$107*IF(F37="B",2,IF(F37="C",8,0))*D37*IF(B37="Parte A",_xlfn.XLOOKUP(F37,Inputs!$A$66:$A$68,Inputs!$B$66:$B$68),_xlfn.XLOOKUP(F37,Inputs!$A$74:$A$76,Inputs!$B$74:$B$76))))</f>
        <v>3384</v>
      </c>
      <c r="H37" t="str">
        <f t="shared" si="0"/>
        <v>Q0</v>
      </c>
      <c r="I37" t="str">
        <f t="shared" si="1"/>
        <v>Compra unica t=0</v>
      </c>
    </row>
    <row r="38" spans="1:9" x14ac:dyDescent="0.3">
      <c r="A38" t="s">
        <v>265</v>
      </c>
      <c r="B38" t="s">
        <v>26</v>
      </c>
      <c r="C38" t="s">
        <v>362</v>
      </c>
      <c r="D38">
        <f>IF(C38="Q0",_xlfn.CEILING.MATH(INDEX(MRP_NetReq!$L:$L,MATCH(A38&amp;"|"&amp;B38&amp;"|Gross Req",MRP_NetReq!$M:$M,0))/_xlfn.XLOOKUP(B38,Inputs!$A$35:$A$42,Inputs!$B$35:$B$42),1),INDEX(MRP_NetReq!$D:$K,MATCH(A38&amp;"|"&amp;B38&amp;"|Planned Receipt",MRP_NetReq!$M:$M,0),MATCH(C38,MRP_NetReq!$D$2:$K$2,0))/_xlfn.XLOOKUP(B38,Inputs!$A$35:$A$42,Inputs!$B$35:$B$42))</f>
        <v>94</v>
      </c>
      <c r="E38">
        <f>D38*_xlfn.XLOOKUP(B38,Inputs!$A$35:$A$42,Inputs!$B$35:$B$42)</f>
        <v>5640</v>
      </c>
      <c r="F38" t="str">
        <f>IF(LEFT(B38,5)="Pieza","Unico",IF(B38="Parte A",Inputs!$B$69,IF(B38="Parte B",Inputs!$B$77,"A")))</f>
        <v>Unico</v>
      </c>
      <c r="G38">
        <f>IF(LEFT(B38,5)="Pieza",D38*_xlfn.XLOOKUP(B38,Inputs!$A$49:$A$54,Inputs!$B$49:$B$54),D38*IF(F38="B",IF(B38="Parte A",IF(D38&gt;=Inputs!$E$67,_xlfn.XLOOKUP(F38,Inputs!$A$66:$A$68,Inputs!$B$66:$B$68)*(1-Inputs!$B$111),_xlfn.XLOOKUP(F38,Inputs!$A$66:$A$68,Inputs!$B$66:$B$68)),IF(D38&gt;=Inputs!$E$75,_xlfn.XLOOKUP(F38,Inputs!$A$74:$A$76,Inputs!$B$74:$B$76)*(1-Inputs!$B$112),_xlfn.XLOOKUP(F38,Inputs!$A$74:$A$76,Inputs!$B$74:$B$76))),IF(B38="Parte A",_xlfn.XLOOKUP(F38,Inputs!$A$66:$A$68,Inputs!$B$66:$B$68),_xlfn.XLOOKUP(F38,Inputs!$A$74:$A$76,Inputs!$B$74:$B$76))) + IF(D38&gt;0,IF(B38="Parte A",Inputs!$B$59,Inputs!$B$60),0) + IF(F38="B",Inputs!$B$113*(E38/_xlfn.XLOOKUP(B38,BOM_Consumo!$A$6:$A$13,BOM_Consumo!$B$6:$B$13))*Inputs!$B$106,0) + (Inputs!$B$107*IF(F38="B",2,IF(F38="C",8,0))*D38*IF(B38="Parte A",_xlfn.XLOOKUP(F38,Inputs!$A$66:$A$68,Inputs!$B$66:$B$68),_xlfn.XLOOKUP(F38,Inputs!$A$74:$A$76,Inputs!$B$74:$B$76))))</f>
        <v>2256</v>
      </c>
      <c r="H38" t="str">
        <f t="shared" si="0"/>
        <v>Q0</v>
      </c>
      <c r="I38" t="str">
        <f t="shared" si="1"/>
        <v>Compra unica t=0</v>
      </c>
    </row>
    <row r="39" spans="1:9" x14ac:dyDescent="0.3">
      <c r="A39" t="s">
        <v>265</v>
      </c>
      <c r="B39" t="s">
        <v>27</v>
      </c>
      <c r="C39" t="s">
        <v>362</v>
      </c>
      <c r="D39">
        <f>IF(C39="Q0",_xlfn.CEILING.MATH(INDEX(MRP_NetReq!$L:$L,MATCH(A39&amp;"|"&amp;B39&amp;"|Gross Req",MRP_NetReq!$M:$M,0))/_xlfn.XLOOKUP(B39,Inputs!$A$35:$A$42,Inputs!$B$35:$B$42),1),INDEX(MRP_NetReq!$D:$K,MATCH(A39&amp;"|"&amp;B39&amp;"|Planned Receipt",MRP_NetReq!$M:$M,0),MATCH(C39,MRP_NetReq!$D$2:$K$2,0))/_xlfn.XLOOKUP(B39,Inputs!$A$35:$A$42,Inputs!$B$35:$B$42))</f>
        <v>187</v>
      </c>
      <c r="E39">
        <f>D39*_xlfn.XLOOKUP(B39,Inputs!$A$35:$A$42,Inputs!$B$35:$B$42)</f>
        <v>18700</v>
      </c>
      <c r="F39" t="str">
        <f>IF(LEFT(B39,5)="Pieza","Unico",IF(B39="Parte A",Inputs!$B$69,IF(B39="Parte B",Inputs!$B$77,"A")))</f>
        <v>Unico</v>
      </c>
      <c r="G39">
        <f>IF(LEFT(B39,5)="Pieza",D39*_xlfn.XLOOKUP(B39,Inputs!$A$49:$A$54,Inputs!$B$49:$B$54),D39*IF(F39="B",IF(B39="Parte A",IF(D39&gt;=Inputs!$E$67,_xlfn.XLOOKUP(F39,Inputs!$A$66:$A$68,Inputs!$B$66:$B$68)*(1-Inputs!$B$111),_xlfn.XLOOKUP(F39,Inputs!$A$66:$A$68,Inputs!$B$66:$B$68)),IF(D39&gt;=Inputs!$E$75,_xlfn.XLOOKUP(F39,Inputs!$A$74:$A$76,Inputs!$B$74:$B$76)*(1-Inputs!$B$112),_xlfn.XLOOKUP(F39,Inputs!$A$74:$A$76,Inputs!$B$74:$B$76))),IF(B39="Parte A",_xlfn.XLOOKUP(F39,Inputs!$A$66:$A$68,Inputs!$B$66:$B$68),_xlfn.XLOOKUP(F39,Inputs!$A$74:$A$76,Inputs!$B$74:$B$76))) + IF(D39&gt;0,IF(B39="Parte A",Inputs!$B$59,Inputs!$B$60),0) + IF(F39="B",Inputs!$B$113*(E39/_xlfn.XLOOKUP(B39,BOM_Consumo!$A$6:$A$13,BOM_Consumo!$B$6:$B$13))*Inputs!$B$106,0) + (Inputs!$B$107*IF(F39="B",2,IF(F39="C",8,0))*D39*IF(B39="Parte A",_xlfn.XLOOKUP(F39,Inputs!$A$66:$A$68,Inputs!$B$66:$B$68),_xlfn.XLOOKUP(F39,Inputs!$A$74:$A$76,Inputs!$B$74:$B$76))))</f>
        <v>5610</v>
      </c>
      <c r="H39" t="str">
        <f t="shared" si="0"/>
        <v>Q0</v>
      </c>
      <c r="I39" t="str">
        <f t="shared" si="1"/>
        <v>Compra unica t=0</v>
      </c>
    </row>
    <row r="40" spans="1:9" x14ac:dyDescent="0.3">
      <c r="A40" t="s">
        <v>265</v>
      </c>
      <c r="B40" t="s">
        <v>28</v>
      </c>
      <c r="C40" t="s">
        <v>362</v>
      </c>
      <c r="D40">
        <f>IF(C40="Q0",_xlfn.CEILING.MATH(INDEX(MRP_NetReq!$L:$L,MATCH(A40&amp;"|"&amp;B40&amp;"|Gross Req",MRP_NetReq!$M:$M,0))/_xlfn.XLOOKUP(B40,Inputs!$A$35:$A$42,Inputs!$B$35:$B$42),1),INDEX(MRP_NetReq!$D:$K,MATCH(A40&amp;"|"&amp;B40&amp;"|Planned Receipt",MRP_NetReq!$M:$M,0),MATCH(C40,MRP_NetReq!$D$2:$K$2,0))/_xlfn.XLOOKUP(B40,Inputs!$A$35:$A$42,Inputs!$B$35:$B$42))</f>
        <v>48</v>
      </c>
      <c r="E40">
        <f>D40*_xlfn.XLOOKUP(B40,Inputs!$A$35:$A$42,Inputs!$B$35:$B$42)</f>
        <v>7200</v>
      </c>
      <c r="F40" t="str">
        <f>IF(LEFT(B40,5)="Pieza","Unico",IF(B40="Parte A",Inputs!$B$69,IF(B40="Parte B",Inputs!$B$77,"A")))</f>
        <v>Unico</v>
      </c>
      <c r="G40">
        <f>IF(LEFT(B40,5)="Pieza",D40*_xlfn.XLOOKUP(B40,Inputs!$A$49:$A$54,Inputs!$B$49:$B$54),D40*IF(F40="B",IF(B40="Parte A",IF(D40&gt;=Inputs!$E$67,_xlfn.XLOOKUP(F40,Inputs!$A$66:$A$68,Inputs!$B$66:$B$68)*(1-Inputs!$B$111),_xlfn.XLOOKUP(F40,Inputs!$A$66:$A$68,Inputs!$B$66:$B$68)),IF(D40&gt;=Inputs!$E$75,_xlfn.XLOOKUP(F40,Inputs!$A$74:$A$76,Inputs!$B$74:$B$76)*(1-Inputs!$B$112),_xlfn.XLOOKUP(F40,Inputs!$A$74:$A$76,Inputs!$B$74:$B$76))),IF(B40="Parte A",_xlfn.XLOOKUP(F40,Inputs!$A$66:$A$68,Inputs!$B$66:$B$68),_xlfn.XLOOKUP(F40,Inputs!$A$74:$A$76,Inputs!$B$74:$B$76))) + IF(D40&gt;0,IF(B40="Parte A",Inputs!$B$59,Inputs!$B$60),0) + IF(F40="B",Inputs!$B$113*(E40/_xlfn.XLOOKUP(B40,BOM_Consumo!$A$6:$A$13,BOM_Consumo!$B$6:$B$13))*Inputs!$B$106,0) + (Inputs!$B$107*IF(F40="B",2,IF(F40="C",8,0))*D40*IF(B40="Parte A",_xlfn.XLOOKUP(F40,Inputs!$A$66:$A$68,Inputs!$B$66:$B$68),_xlfn.XLOOKUP(F40,Inputs!$A$74:$A$76,Inputs!$B$74:$B$76))))</f>
        <v>1344</v>
      </c>
      <c r="H40" t="str">
        <f t="shared" si="0"/>
        <v>Q0</v>
      </c>
      <c r="I40" t="str">
        <f t="shared" si="1"/>
        <v>Compra unica t=0</v>
      </c>
    </row>
    <row r="41" spans="1:9" x14ac:dyDescent="0.3">
      <c r="A41" t="s">
        <v>266</v>
      </c>
      <c r="B41" t="s">
        <v>23</v>
      </c>
      <c r="C41" t="s">
        <v>362</v>
      </c>
      <c r="D41">
        <f>IF(C41="Q0",_xlfn.CEILING.MATH(INDEX(MRP_NetReq!$L:$L,MATCH(A41&amp;"|"&amp;B41&amp;"|Gross Req",MRP_NetReq!$M:$M,0))/_xlfn.XLOOKUP(B41,Inputs!$A$35:$A$42,Inputs!$B$35:$B$42),1),INDEX(MRP_NetReq!$D:$K,MATCH(A41&amp;"|"&amp;B41&amp;"|Planned Receipt",MRP_NetReq!$M:$M,0),MATCH(C41,MRP_NetReq!$D$2:$K$2,0))/_xlfn.XLOOKUP(B41,Inputs!$A$35:$A$42,Inputs!$B$35:$B$42))</f>
        <v>36</v>
      </c>
      <c r="E41">
        <f>D41*_xlfn.XLOOKUP(B41,Inputs!$A$35:$A$42,Inputs!$B$35:$B$42)</f>
        <v>36</v>
      </c>
      <c r="F41" t="str">
        <f>IF(LEFT(B41,5)="Pieza","Unico",IF(B41="Parte A",Inputs!$B$69,IF(B41="Parte B",Inputs!$B$77,"A")))</f>
        <v>Unico</v>
      </c>
      <c r="G41">
        <f>IF(LEFT(B41,5)="Pieza",D41*_xlfn.XLOOKUP(B41,Inputs!$A$49:$A$54,Inputs!$B$49:$B$54),D41*IF(F41="B",IF(B41="Parte A",IF(D41&gt;=Inputs!$E$67,_xlfn.XLOOKUP(F41,Inputs!$A$66:$A$68,Inputs!$B$66:$B$68)*(1-Inputs!$B$111),_xlfn.XLOOKUP(F41,Inputs!$A$66:$A$68,Inputs!$B$66:$B$68)),IF(D41&gt;=Inputs!$E$75,_xlfn.XLOOKUP(F41,Inputs!$A$74:$A$76,Inputs!$B$74:$B$76)*(1-Inputs!$B$112),_xlfn.XLOOKUP(F41,Inputs!$A$74:$A$76,Inputs!$B$74:$B$76))),IF(B41="Parte A",_xlfn.XLOOKUP(F41,Inputs!$A$66:$A$68,Inputs!$B$66:$B$68),_xlfn.XLOOKUP(F41,Inputs!$A$74:$A$76,Inputs!$B$74:$B$76))) + IF(D41&gt;0,IF(B41="Parte A",Inputs!$B$59,Inputs!$B$60),0) + IF(F41="B",Inputs!$B$113*(E41/_xlfn.XLOOKUP(B41,BOM_Consumo!$A$6:$A$13,BOM_Consumo!$B$6:$B$13))*Inputs!$B$106,0) + (Inputs!$B$107*IF(F41="B",2,IF(F41="C",8,0))*D41*IF(B41="Parte A",_xlfn.XLOOKUP(F41,Inputs!$A$66:$A$68,Inputs!$B$66:$B$68),_xlfn.XLOOKUP(F41,Inputs!$A$74:$A$76,Inputs!$B$74:$B$76))))</f>
        <v>2160</v>
      </c>
      <c r="H41" t="str">
        <f t="shared" si="0"/>
        <v>Q0</v>
      </c>
      <c r="I41" t="str">
        <f t="shared" si="1"/>
        <v>Compra unica t=0</v>
      </c>
    </row>
    <row r="42" spans="1:9" x14ac:dyDescent="0.3">
      <c r="A42" t="s">
        <v>266</v>
      </c>
      <c r="B42" t="s">
        <v>24</v>
      </c>
      <c r="C42" t="s">
        <v>362</v>
      </c>
      <c r="D42">
        <f>IF(C42="Q0",_xlfn.CEILING.MATH(INDEX(MRP_NetReq!$L:$L,MATCH(A42&amp;"|"&amp;B42&amp;"|Gross Req",MRP_NetReq!$M:$M,0))/_xlfn.XLOOKUP(B42,Inputs!$A$35:$A$42,Inputs!$B$35:$B$42),1),INDEX(MRP_NetReq!$D:$K,MATCH(A42&amp;"|"&amp;B42&amp;"|Planned Receipt",MRP_NetReq!$M:$M,0),MATCH(C42,MRP_NetReq!$D$2:$K$2,0))/_xlfn.XLOOKUP(B42,Inputs!$A$35:$A$42,Inputs!$B$35:$B$42))</f>
        <v>281</v>
      </c>
      <c r="E42">
        <f>D42*_xlfn.XLOOKUP(B42,Inputs!$A$35:$A$42,Inputs!$B$35:$B$42)</f>
        <v>28100</v>
      </c>
      <c r="F42" t="str">
        <f>IF(LEFT(B42,5)="Pieza","Unico",IF(B42="Parte A",Inputs!$B$69,IF(B42="Parte B",Inputs!$B$77,"A")))</f>
        <v>Unico</v>
      </c>
      <c r="G42">
        <f>IF(LEFT(B42,5)="Pieza",D42*_xlfn.XLOOKUP(B42,Inputs!$A$49:$A$54,Inputs!$B$49:$B$54),D42*IF(F42="B",IF(B42="Parte A",IF(D42&gt;=Inputs!$E$67,_xlfn.XLOOKUP(F42,Inputs!$A$66:$A$68,Inputs!$B$66:$B$68)*(1-Inputs!$B$111),_xlfn.XLOOKUP(F42,Inputs!$A$66:$A$68,Inputs!$B$66:$B$68)),IF(D42&gt;=Inputs!$E$75,_xlfn.XLOOKUP(F42,Inputs!$A$74:$A$76,Inputs!$B$74:$B$76)*(1-Inputs!$B$112),_xlfn.XLOOKUP(F42,Inputs!$A$74:$A$76,Inputs!$B$74:$B$76))),IF(B42="Parte A",_xlfn.XLOOKUP(F42,Inputs!$A$66:$A$68,Inputs!$B$66:$B$68),_xlfn.XLOOKUP(F42,Inputs!$A$74:$A$76,Inputs!$B$74:$B$76))) + IF(D42&gt;0,IF(B42="Parte A",Inputs!$B$59,Inputs!$B$60),0) + IF(F42="B",Inputs!$B$113*(E42/_xlfn.XLOOKUP(B42,BOM_Consumo!$A$6:$A$13,BOM_Consumo!$B$6:$B$13))*Inputs!$B$106,0) + (Inputs!$B$107*IF(F42="B",2,IF(F42="C",8,0))*D42*IF(B42="Parte A",_xlfn.XLOOKUP(F42,Inputs!$A$66:$A$68,Inputs!$B$66:$B$68),_xlfn.XLOOKUP(F42,Inputs!$A$74:$A$76,Inputs!$B$74:$B$76))))</f>
        <v>1967</v>
      </c>
      <c r="H42" t="str">
        <f t="shared" si="0"/>
        <v>Q0</v>
      </c>
      <c r="I42" t="str">
        <f t="shared" si="1"/>
        <v>Compra unica t=0</v>
      </c>
    </row>
    <row r="43" spans="1:9" x14ac:dyDescent="0.3">
      <c r="A43" t="s">
        <v>266</v>
      </c>
      <c r="B43" t="s">
        <v>25</v>
      </c>
      <c r="C43" t="s">
        <v>362</v>
      </c>
      <c r="D43">
        <f>IF(C43="Q0",_xlfn.CEILING.MATH(INDEX(MRP_NetReq!$L:$L,MATCH(A43&amp;"|"&amp;B43&amp;"|Gross Req",MRP_NetReq!$M:$M,0))/_xlfn.XLOOKUP(B43,Inputs!$A$35:$A$42,Inputs!$B$35:$B$42),1),INDEX(MRP_NetReq!$D:$K,MATCH(A43&amp;"|"&amp;B43&amp;"|Planned Receipt",MRP_NetReq!$M:$M,0),MATCH(C43,MRP_NetReq!$D$2:$K$2,0))/_xlfn.XLOOKUP(B43,Inputs!$A$35:$A$42,Inputs!$B$35:$B$42))</f>
        <v>37</v>
      </c>
      <c r="E43">
        <f>D43*_xlfn.XLOOKUP(B43,Inputs!$A$35:$A$42,Inputs!$B$35:$B$42)</f>
        <v>1110</v>
      </c>
      <c r="F43" t="str">
        <f>IF(LEFT(B43,5)="Pieza","Unico",IF(B43="Parte A",Inputs!$B$69,IF(B43="Parte B",Inputs!$B$77,"A")))</f>
        <v>Unico</v>
      </c>
      <c r="G43">
        <f>IF(LEFT(B43,5)="Pieza",D43*_xlfn.XLOOKUP(B43,Inputs!$A$49:$A$54,Inputs!$B$49:$B$54),D43*IF(F43="B",IF(B43="Parte A",IF(D43&gt;=Inputs!$E$67,_xlfn.XLOOKUP(F43,Inputs!$A$66:$A$68,Inputs!$B$66:$B$68)*(1-Inputs!$B$111),_xlfn.XLOOKUP(F43,Inputs!$A$66:$A$68,Inputs!$B$66:$B$68)),IF(D43&gt;=Inputs!$E$75,_xlfn.XLOOKUP(F43,Inputs!$A$74:$A$76,Inputs!$B$74:$B$76)*(1-Inputs!$B$112),_xlfn.XLOOKUP(F43,Inputs!$A$74:$A$76,Inputs!$B$74:$B$76))),IF(B43="Parte A",_xlfn.XLOOKUP(F43,Inputs!$A$66:$A$68,Inputs!$B$66:$B$68),_xlfn.XLOOKUP(F43,Inputs!$A$74:$A$76,Inputs!$B$74:$B$76))) + IF(D43&gt;0,IF(B43="Parte A",Inputs!$B$59,Inputs!$B$60),0) + IF(F43="B",Inputs!$B$113*(E43/_xlfn.XLOOKUP(B43,BOM_Consumo!$A$6:$A$13,BOM_Consumo!$B$6:$B$13))*Inputs!$B$106,0) + (Inputs!$B$107*IF(F43="B",2,IF(F43="C",8,0))*D43*IF(B43="Parte A",_xlfn.XLOOKUP(F43,Inputs!$A$66:$A$68,Inputs!$B$66:$B$68),_xlfn.XLOOKUP(F43,Inputs!$A$74:$A$76,Inputs!$B$74:$B$76))))</f>
        <v>1332</v>
      </c>
      <c r="H43" t="str">
        <f t="shared" si="0"/>
        <v>Q0</v>
      </c>
      <c r="I43" t="str">
        <f t="shared" si="1"/>
        <v>Compra unica t=0</v>
      </c>
    </row>
    <row r="44" spans="1:9" x14ac:dyDescent="0.3">
      <c r="A44" t="s">
        <v>266</v>
      </c>
      <c r="B44" t="s">
        <v>26</v>
      </c>
      <c r="C44" t="s">
        <v>362</v>
      </c>
      <c r="D44">
        <f>IF(C44="Q0",_xlfn.CEILING.MATH(INDEX(MRP_NetReq!$L:$L,MATCH(A44&amp;"|"&amp;B44&amp;"|Gross Req",MRP_NetReq!$M:$M,0))/_xlfn.XLOOKUP(B44,Inputs!$A$35:$A$42,Inputs!$B$35:$B$42),1),INDEX(MRP_NetReq!$D:$K,MATCH(A44&amp;"|"&amp;B44&amp;"|Planned Receipt",MRP_NetReq!$M:$M,0),MATCH(C44,MRP_NetReq!$D$2:$K$2,0))/_xlfn.XLOOKUP(B44,Inputs!$A$35:$A$42,Inputs!$B$35:$B$42))</f>
        <v>36</v>
      </c>
      <c r="E44">
        <f>D44*_xlfn.XLOOKUP(B44,Inputs!$A$35:$A$42,Inputs!$B$35:$B$42)</f>
        <v>2160</v>
      </c>
      <c r="F44" t="str">
        <f>IF(LEFT(B44,5)="Pieza","Unico",IF(B44="Parte A",Inputs!$B$69,IF(B44="Parte B",Inputs!$B$77,"A")))</f>
        <v>Unico</v>
      </c>
      <c r="G44">
        <f>IF(LEFT(B44,5)="Pieza",D44*_xlfn.XLOOKUP(B44,Inputs!$A$49:$A$54,Inputs!$B$49:$B$54),D44*IF(F44="B",IF(B44="Parte A",IF(D44&gt;=Inputs!$E$67,_xlfn.XLOOKUP(F44,Inputs!$A$66:$A$68,Inputs!$B$66:$B$68)*(1-Inputs!$B$111),_xlfn.XLOOKUP(F44,Inputs!$A$66:$A$68,Inputs!$B$66:$B$68)),IF(D44&gt;=Inputs!$E$75,_xlfn.XLOOKUP(F44,Inputs!$A$74:$A$76,Inputs!$B$74:$B$76)*(1-Inputs!$B$112),_xlfn.XLOOKUP(F44,Inputs!$A$74:$A$76,Inputs!$B$74:$B$76))),IF(B44="Parte A",_xlfn.XLOOKUP(F44,Inputs!$A$66:$A$68,Inputs!$B$66:$B$68),_xlfn.XLOOKUP(F44,Inputs!$A$74:$A$76,Inputs!$B$74:$B$76))) + IF(D44&gt;0,IF(B44="Parte A",Inputs!$B$59,Inputs!$B$60),0) + IF(F44="B",Inputs!$B$113*(E44/_xlfn.XLOOKUP(B44,BOM_Consumo!$A$6:$A$13,BOM_Consumo!$B$6:$B$13))*Inputs!$B$106,0) + (Inputs!$B$107*IF(F44="B",2,IF(F44="C",8,0))*D44*IF(B44="Parte A",_xlfn.XLOOKUP(F44,Inputs!$A$66:$A$68,Inputs!$B$66:$B$68),_xlfn.XLOOKUP(F44,Inputs!$A$74:$A$76,Inputs!$B$74:$B$76))))</f>
        <v>864</v>
      </c>
      <c r="H44" t="str">
        <f t="shared" si="0"/>
        <v>Q0</v>
      </c>
      <c r="I44" t="str">
        <f t="shared" si="1"/>
        <v>Compra unica t=0</v>
      </c>
    </row>
    <row r="45" spans="1:9" x14ac:dyDescent="0.3">
      <c r="A45" t="s">
        <v>266</v>
      </c>
      <c r="B45" t="s">
        <v>27</v>
      </c>
      <c r="C45" t="s">
        <v>362</v>
      </c>
      <c r="D45">
        <f>IF(C45="Q0",_xlfn.CEILING.MATH(INDEX(MRP_NetReq!$L:$L,MATCH(A45&amp;"|"&amp;B45&amp;"|Gross Req",MRP_NetReq!$M:$M,0))/_xlfn.XLOOKUP(B45,Inputs!$A$35:$A$42,Inputs!$B$35:$B$42),1),INDEX(MRP_NetReq!$D:$K,MATCH(A45&amp;"|"&amp;B45&amp;"|Planned Receipt",MRP_NetReq!$M:$M,0),MATCH(C45,MRP_NetReq!$D$2:$K$2,0))/_xlfn.XLOOKUP(B45,Inputs!$A$35:$A$42,Inputs!$B$35:$B$42))</f>
        <v>73</v>
      </c>
      <c r="E45">
        <f>D45*_xlfn.XLOOKUP(B45,Inputs!$A$35:$A$42,Inputs!$B$35:$B$42)</f>
        <v>7300</v>
      </c>
      <c r="F45" t="str">
        <f>IF(LEFT(B45,5)="Pieza","Unico",IF(B45="Parte A",Inputs!$B$69,IF(B45="Parte B",Inputs!$B$77,"A")))</f>
        <v>Unico</v>
      </c>
      <c r="G45">
        <f>IF(LEFT(B45,5)="Pieza",D45*_xlfn.XLOOKUP(B45,Inputs!$A$49:$A$54,Inputs!$B$49:$B$54),D45*IF(F45="B",IF(B45="Parte A",IF(D45&gt;=Inputs!$E$67,_xlfn.XLOOKUP(F45,Inputs!$A$66:$A$68,Inputs!$B$66:$B$68)*(1-Inputs!$B$111),_xlfn.XLOOKUP(F45,Inputs!$A$66:$A$68,Inputs!$B$66:$B$68)),IF(D45&gt;=Inputs!$E$75,_xlfn.XLOOKUP(F45,Inputs!$A$74:$A$76,Inputs!$B$74:$B$76)*(1-Inputs!$B$112),_xlfn.XLOOKUP(F45,Inputs!$A$74:$A$76,Inputs!$B$74:$B$76))),IF(B45="Parte A",_xlfn.XLOOKUP(F45,Inputs!$A$66:$A$68,Inputs!$B$66:$B$68),_xlfn.XLOOKUP(F45,Inputs!$A$74:$A$76,Inputs!$B$74:$B$76))) + IF(D45&gt;0,IF(B45="Parte A",Inputs!$B$59,Inputs!$B$60),0) + IF(F45="B",Inputs!$B$113*(E45/_xlfn.XLOOKUP(B45,BOM_Consumo!$A$6:$A$13,BOM_Consumo!$B$6:$B$13))*Inputs!$B$106,0) + (Inputs!$B$107*IF(F45="B",2,IF(F45="C",8,0))*D45*IF(B45="Parte A",_xlfn.XLOOKUP(F45,Inputs!$A$66:$A$68,Inputs!$B$66:$B$68),_xlfn.XLOOKUP(F45,Inputs!$A$74:$A$76,Inputs!$B$74:$B$76))))</f>
        <v>2190</v>
      </c>
      <c r="H45" t="str">
        <f t="shared" si="0"/>
        <v>Q0</v>
      </c>
      <c r="I45" t="str">
        <f t="shared" si="1"/>
        <v>Compra unica t=0</v>
      </c>
    </row>
    <row r="46" spans="1:9" x14ac:dyDescent="0.3">
      <c r="A46" t="s">
        <v>266</v>
      </c>
      <c r="B46" t="s">
        <v>28</v>
      </c>
      <c r="C46" t="s">
        <v>362</v>
      </c>
      <c r="D46">
        <f>IF(C46="Q0",_xlfn.CEILING.MATH(INDEX(MRP_NetReq!$L:$L,MATCH(A46&amp;"|"&amp;B46&amp;"|Gross Req",MRP_NetReq!$M:$M,0))/_xlfn.XLOOKUP(B46,Inputs!$A$35:$A$42,Inputs!$B$35:$B$42),1),INDEX(MRP_NetReq!$D:$K,MATCH(A46&amp;"|"&amp;B46&amp;"|Planned Receipt",MRP_NetReq!$M:$M,0),MATCH(C46,MRP_NetReq!$D$2:$K$2,0))/_xlfn.XLOOKUP(B46,Inputs!$A$35:$A$42,Inputs!$B$35:$B$42))</f>
        <v>18</v>
      </c>
      <c r="E46">
        <f>D46*_xlfn.XLOOKUP(B46,Inputs!$A$35:$A$42,Inputs!$B$35:$B$42)</f>
        <v>2700</v>
      </c>
      <c r="F46" t="str">
        <f>IF(LEFT(B46,5)="Pieza","Unico",IF(B46="Parte A",Inputs!$B$69,IF(B46="Parte B",Inputs!$B$77,"A")))</f>
        <v>Unico</v>
      </c>
      <c r="G46">
        <f>IF(LEFT(B46,5)="Pieza",D46*_xlfn.XLOOKUP(B46,Inputs!$A$49:$A$54,Inputs!$B$49:$B$54),D46*IF(F46="B",IF(B46="Parte A",IF(D46&gt;=Inputs!$E$67,_xlfn.XLOOKUP(F46,Inputs!$A$66:$A$68,Inputs!$B$66:$B$68)*(1-Inputs!$B$111),_xlfn.XLOOKUP(F46,Inputs!$A$66:$A$68,Inputs!$B$66:$B$68)),IF(D46&gt;=Inputs!$E$75,_xlfn.XLOOKUP(F46,Inputs!$A$74:$A$76,Inputs!$B$74:$B$76)*(1-Inputs!$B$112),_xlfn.XLOOKUP(F46,Inputs!$A$74:$A$76,Inputs!$B$74:$B$76))),IF(B46="Parte A",_xlfn.XLOOKUP(F46,Inputs!$A$66:$A$68,Inputs!$B$66:$B$68),_xlfn.XLOOKUP(F46,Inputs!$A$74:$A$76,Inputs!$B$74:$B$76))) + IF(D46&gt;0,IF(B46="Parte A",Inputs!$B$59,Inputs!$B$60),0) + IF(F46="B",Inputs!$B$113*(E46/_xlfn.XLOOKUP(B46,BOM_Consumo!$A$6:$A$13,BOM_Consumo!$B$6:$B$13))*Inputs!$B$106,0) + (Inputs!$B$107*IF(F46="B",2,IF(F46="C",8,0))*D46*IF(B46="Parte A",_xlfn.XLOOKUP(F46,Inputs!$A$66:$A$68,Inputs!$B$66:$B$68),_xlfn.XLOOKUP(F46,Inputs!$A$74:$A$76,Inputs!$B$74:$B$76))))</f>
        <v>504</v>
      </c>
      <c r="H46" t="str">
        <f t="shared" si="0"/>
        <v>Q0</v>
      </c>
      <c r="I46" t="str">
        <f t="shared" si="1"/>
        <v>Compra unica t=0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928A6-7983-4B6F-A007-D25FFAED40DF}">
  <dimension ref="A1:M114"/>
  <sheetViews>
    <sheetView topLeftCell="A2" workbookViewId="0">
      <selection activeCell="D5" sqref="D5"/>
    </sheetView>
  </sheetViews>
  <sheetFormatPr baseColWidth="10" defaultRowHeight="14.4" x14ac:dyDescent="0.3"/>
  <cols>
    <col min="1" max="1" width="44.77734375" bestFit="1" customWidth="1"/>
    <col min="2" max="2" width="9.77734375" customWidth="1"/>
    <col min="3" max="3" width="14.21875" bestFit="1" customWidth="1"/>
    <col min="4" max="12" width="12" bestFit="1" customWidth="1"/>
    <col min="13" max="13" width="27.77734375" bestFit="1" customWidth="1"/>
  </cols>
  <sheetData>
    <row r="1" spans="1:13" x14ac:dyDescent="0.3">
      <c r="A1" t="s">
        <v>347</v>
      </c>
    </row>
    <row r="2" spans="1:13" x14ac:dyDescent="0.3">
      <c r="A2" t="s">
        <v>348</v>
      </c>
      <c r="B2" t="s">
        <v>15</v>
      </c>
      <c r="C2" t="s">
        <v>349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350</v>
      </c>
      <c r="M2" t="s">
        <v>351</v>
      </c>
    </row>
    <row r="3" spans="1:13" x14ac:dyDescent="0.3">
      <c r="A3" t="s">
        <v>265</v>
      </c>
      <c r="B3" t="s">
        <v>19</v>
      </c>
      <c r="C3" t="s">
        <v>352</v>
      </c>
      <c r="D3">
        <f>INDEX(BOM_Consumo!$C$6:$J$13,MATCH($B3,BOM_Consumo!$A$6:$A$13,0),COLUMN()-COLUMN($D$2)+1)*IF($A3="Centro",_xlfn.XLOOKUP($B3,Multi_Planta!$A$6:$A$13,Multi_Planta!$G$6:$G$13),1-_xlfn.XLOOKUP($B3,Multi_Planta!$A$6:$A$13,Multi_Planta!$G$6:$G$13))</f>
        <v>1433.4219858156027</v>
      </c>
      <c r="E3">
        <f>INDEX(BOM_Consumo!$C$6:$J$13,MATCH($B3,BOM_Consumo!$A$6:$A$13,0),COLUMN()-COLUMN($D$2)+1)*IF($A3="Centro",_xlfn.XLOOKUP($B3,Multi_Planta!$A$6:$A$13,Multi_Planta!$G$6:$G$13),1-_xlfn.XLOOKUP($B3,Multi_Planta!$A$6:$A$13,Multi_Planta!$G$6:$G$13))</f>
        <v>1433.4219858156027</v>
      </c>
      <c r="F3">
        <f>INDEX(BOM_Consumo!$C$6:$J$13,MATCH($B3,BOM_Consumo!$A$6:$A$13,0),COLUMN()-COLUMN($D$2)+1)*IF($A3="Centro",_xlfn.XLOOKUP($B3,Multi_Planta!$A$6:$A$13,Multi_Planta!$G$6:$G$13),1-_xlfn.XLOOKUP($B3,Multi_Planta!$A$6:$A$13,Multi_Planta!$G$6:$G$13))</f>
        <v>1433.4219858156027</v>
      </c>
      <c r="G3">
        <f>INDEX(BOM_Consumo!$C$6:$J$13,MATCH($B3,BOM_Consumo!$A$6:$A$13,0),COLUMN()-COLUMN($D$2)+1)*IF($A3="Centro",_xlfn.XLOOKUP($B3,Multi_Planta!$A$6:$A$13,Multi_Planta!$G$6:$G$13),1-_xlfn.XLOOKUP($B3,Multi_Planta!$A$6:$A$13,Multi_Planta!$G$6:$G$13))</f>
        <v>1433.4219858156027</v>
      </c>
      <c r="H3">
        <f>INDEX(BOM_Consumo!$C$6:$J$13,MATCH($B3,BOM_Consumo!$A$6:$A$13,0),COLUMN()-COLUMN($D$2)+1)*IF($A3="Centro",_xlfn.XLOOKUP($B3,Multi_Planta!$A$6:$A$13,Multi_Planta!$G$6:$G$13),1-_xlfn.XLOOKUP($B3,Multi_Planta!$A$6:$A$13,Multi_Planta!$G$6:$G$13))</f>
        <v>0</v>
      </c>
      <c r="I3">
        <f>INDEX(BOM_Consumo!$C$6:$J$13,MATCH($B3,BOM_Consumo!$A$6:$A$13,0),COLUMN()-COLUMN($D$2)+1)*IF($A3="Centro",_xlfn.XLOOKUP($B3,Multi_Planta!$A$6:$A$13,Multi_Planta!$G$6:$G$13),1-_xlfn.XLOOKUP($B3,Multi_Planta!$A$6:$A$13,Multi_Planta!$G$6:$G$13))</f>
        <v>0</v>
      </c>
      <c r="J3">
        <f>INDEX(BOM_Consumo!$C$6:$J$13,MATCH($B3,BOM_Consumo!$A$6:$A$13,0),COLUMN()-COLUMN($D$2)+1)*IF($A3="Centro",_xlfn.XLOOKUP($B3,Multi_Planta!$A$6:$A$13,Multi_Planta!$G$6:$G$13),1-_xlfn.XLOOKUP($B3,Multi_Planta!$A$6:$A$13,Multi_Planta!$G$6:$G$13))</f>
        <v>0</v>
      </c>
      <c r="K3">
        <f>INDEX(BOM_Consumo!$C$6:$J$13,MATCH($B3,BOM_Consumo!$A$6:$A$13,0),COLUMN()-COLUMN($D$2)+1)*IF($A3="Centro",_xlfn.XLOOKUP($B3,Multi_Planta!$A$6:$A$13,Multi_Planta!$G$6:$G$13),1-_xlfn.XLOOKUP($B3,Multi_Planta!$A$6:$A$13,Multi_Planta!$G$6:$G$13))</f>
        <v>0</v>
      </c>
      <c r="L3">
        <f t="shared" ref="L3:L34" si="0">SUM(D3:K3)</f>
        <v>5733.687943262411</v>
      </c>
      <c r="M3" t="str">
        <f t="shared" ref="M3:M34" si="1">A3&amp;"|"&amp;B3&amp;"|"&amp;C3</f>
        <v>Centro|Parte A|Gross Req</v>
      </c>
    </row>
    <row r="4" spans="1:13" x14ac:dyDescent="0.3">
      <c r="A4" t="s">
        <v>265</v>
      </c>
      <c r="B4" t="s">
        <v>19</v>
      </c>
      <c r="C4" t="s">
        <v>81</v>
      </c>
      <c r="D4">
        <f>IFERROR(_xlfn.XLOOKUP($B4,Inputs!$A$82:$A$87,Inputs!$B$82:$B$87),0)*IF($A4="Centro",_xlfn.XLOOKUP($B4,Multi_Planta!$A$6:$A$13,Multi_Planta!$G$6:$G$13),1-_xlfn.XLOOKUP($B4,Multi_Planta!$A$6:$A$13,Multi_Planta!$G$6:$G$13))</f>
        <v>1549.6453900709218</v>
      </c>
      <c r="E4">
        <f>IFERROR(_xlfn.XLOOKUP($B4,Inputs!$A$82:$A$87,Inputs!$B$82:$B$87),0)*IF($A4="Centro",_xlfn.XLOOKUP($B4,Multi_Planta!$A$6:$A$13,Multi_Planta!$G$6:$G$13),1-_xlfn.XLOOKUP($B4,Multi_Planta!$A$6:$A$13,Multi_Planta!$G$6:$G$13))</f>
        <v>1549.6453900709218</v>
      </c>
      <c r="F4">
        <f>IFERROR(_xlfn.XLOOKUP($B4,Inputs!$A$82:$A$87,Inputs!$B$82:$B$87),0)*IF($A4="Centro",_xlfn.XLOOKUP($B4,Multi_Planta!$A$6:$A$13,Multi_Planta!$G$6:$G$13),1-_xlfn.XLOOKUP($B4,Multi_Planta!$A$6:$A$13,Multi_Planta!$G$6:$G$13))</f>
        <v>1549.6453900709218</v>
      </c>
      <c r="G4">
        <f>IFERROR(_xlfn.XLOOKUP($B4,Inputs!$A$82:$A$87,Inputs!$B$82:$B$87),0)*IF($A4="Centro",_xlfn.XLOOKUP($B4,Multi_Planta!$A$6:$A$13,Multi_Planta!$G$6:$G$13),1-_xlfn.XLOOKUP($B4,Multi_Planta!$A$6:$A$13,Multi_Planta!$G$6:$G$13))</f>
        <v>1549.6453900709218</v>
      </c>
      <c r="H4">
        <f>IFERROR(_xlfn.XLOOKUP($B4,Inputs!$A$82:$A$87,Inputs!$B$82:$B$87),0)*IF($A4="Centro",_xlfn.XLOOKUP($B4,Multi_Planta!$A$6:$A$13,Multi_Planta!$G$6:$G$13),1-_xlfn.XLOOKUP($B4,Multi_Planta!$A$6:$A$13,Multi_Planta!$G$6:$G$13))</f>
        <v>1549.6453900709218</v>
      </c>
      <c r="I4">
        <f>IFERROR(_xlfn.XLOOKUP($B4,Inputs!$A$82:$A$87,Inputs!$B$82:$B$87),0)*IF($A4="Centro",_xlfn.XLOOKUP($B4,Multi_Planta!$A$6:$A$13,Multi_Planta!$G$6:$G$13),1-_xlfn.XLOOKUP($B4,Multi_Planta!$A$6:$A$13,Multi_Planta!$G$6:$G$13))</f>
        <v>1549.6453900709218</v>
      </c>
      <c r="J4">
        <f>IFERROR(_xlfn.XLOOKUP($B4,Inputs!$A$82:$A$87,Inputs!$B$82:$B$87),0)*IF($A4="Centro",_xlfn.XLOOKUP($B4,Multi_Planta!$A$6:$A$13,Multi_Planta!$G$6:$G$13),1-_xlfn.XLOOKUP($B4,Multi_Planta!$A$6:$A$13,Multi_Planta!$G$6:$G$13))</f>
        <v>1549.6453900709218</v>
      </c>
      <c r="K4">
        <f>IFERROR(_xlfn.XLOOKUP($B4,Inputs!$A$82:$A$87,Inputs!$B$82:$B$87),0)*IF($A4="Centro",_xlfn.XLOOKUP($B4,Multi_Planta!$A$6:$A$13,Multi_Planta!$G$6:$G$13),1-_xlfn.XLOOKUP($B4,Multi_Planta!$A$6:$A$13,Multi_Planta!$G$6:$G$13))</f>
        <v>1549.6453900709218</v>
      </c>
      <c r="L4">
        <f t="shared" si="0"/>
        <v>12397.163120567375</v>
      </c>
      <c r="M4" t="str">
        <f t="shared" si="1"/>
        <v>Centro|Parte A|Safety Stock</v>
      </c>
    </row>
    <row r="5" spans="1:13" x14ac:dyDescent="0.3">
      <c r="A5" t="s">
        <v>265</v>
      </c>
      <c r="B5" t="s">
        <v>19</v>
      </c>
      <c r="C5" t="s">
        <v>353</v>
      </c>
      <c r="D5">
        <f>IF($A5="Centro",_xlfn.XLOOKUP($B5,Multi_Planta!$A$6:$A$13,Multi_Planta!$B$6:$B$13),_xlfn.XLOOKUP($B5,Multi_Planta!$A$6:$A$13,Multi_Planta!$C$6:$C$13))</f>
        <v>3496</v>
      </c>
      <c r="E5">
        <f t="shared" ref="E5:K5" si="2">D9</f>
        <v>2062.578014184397</v>
      </c>
      <c r="F5">
        <f t="shared" si="2"/>
        <v>1559.1560283687943</v>
      </c>
      <c r="G5">
        <f t="shared" si="2"/>
        <v>1565.7340425531913</v>
      </c>
      <c r="H5">
        <f t="shared" si="2"/>
        <v>1572.3120567375884</v>
      </c>
      <c r="I5">
        <f t="shared" si="2"/>
        <v>1572.3120567375884</v>
      </c>
      <c r="J5">
        <f t="shared" si="2"/>
        <v>1572.3120567375884</v>
      </c>
      <c r="K5">
        <f t="shared" si="2"/>
        <v>1572.3120567375884</v>
      </c>
      <c r="L5">
        <f t="shared" si="0"/>
        <v>14972.716312056735</v>
      </c>
      <c r="M5" t="str">
        <f t="shared" si="1"/>
        <v>Centro|Parte A|POH Start</v>
      </c>
    </row>
    <row r="6" spans="1:13" x14ac:dyDescent="0.3">
      <c r="A6" t="s">
        <v>265</v>
      </c>
      <c r="B6" t="s">
        <v>19</v>
      </c>
      <c r="C6" t="s">
        <v>354</v>
      </c>
      <c r="D6">
        <f t="shared" ref="D6:K6" si="3">MAX(0,D3+D4-D5)</f>
        <v>0</v>
      </c>
      <c r="E6">
        <f t="shared" si="3"/>
        <v>920.48936170212755</v>
      </c>
      <c r="F6">
        <f t="shared" si="3"/>
        <v>1423.9113475177303</v>
      </c>
      <c r="G6">
        <f t="shared" si="3"/>
        <v>1417.3333333333333</v>
      </c>
      <c r="H6">
        <f t="shared" si="3"/>
        <v>0</v>
      </c>
      <c r="I6">
        <f t="shared" si="3"/>
        <v>0</v>
      </c>
      <c r="J6">
        <f t="shared" si="3"/>
        <v>0</v>
      </c>
      <c r="K6">
        <f t="shared" si="3"/>
        <v>0</v>
      </c>
      <c r="L6">
        <f t="shared" si="0"/>
        <v>3761.7340425531911</v>
      </c>
      <c r="M6" t="str">
        <f t="shared" si="1"/>
        <v>Centro|Parte A|Net Req</v>
      </c>
    </row>
    <row r="7" spans="1:13" x14ac:dyDescent="0.3">
      <c r="A7" t="s">
        <v>265</v>
      </c>
      <c r="B7" t="s">
        <v>19</v>
      </c>
      <c r="C7" t="s">
        <v>355</v>
      </c>
      <c r="D7">
        <f>IF(AND(LEFT($B7,5)="Pieza",Inputs!$B$110=1),_xlfn.CEILING.MATH(L3,_xlfn.XLOOKUP($B7,Inputs!$A$35:$A$42,Inputs!$B$35:$B$42)),_xlfn.CEILING.MATH(D6,_xlfn.XLOOKUP($B7,Inputs!$A$35:$A$42,Inputs!$B$35:$B$42)))</f>
        <v>0</v>
      </c>
      <c r="E7">
        <f>IF(AND(LEFT($B7,5)="Pieza",Inputs!$B$110=1),0,_xlfn.CEILING.MATH(E6,_xlfn.XLOOKUP($B7,Inputs!$A$35:$A$42,Inputs!$B$35:$B$42)))</f>
        <v>930</v>
      </c>
      <c r="F7">
        <f>IF(AND(LEFT($B7,5)="Pieza",Inputs!$B$110=1),0,_xlfn.CEILING.MATH(F6,_xlfn.XLOOKUP($B7,Inputs!$A$35:$A$42,Inputs!$B$35:$B$42)))</f>
        <v>1440</v>
      </c>
      <c r="G7">
        <f>IF(AND(LEFT($B7,5)="Pieza",Inputs!$B$110=1),0,_xlfn.CEILING.MATH(G6,_xlfn.XLOOKUP($B7,Inputs!$A$35:$A$42,Inputs!$B$35:$B$42)))</f>
        <v>1440</v>
      </c>
      <c r="H7">
        <f>IF(AND(LEFT($B7,5)="Pieza",Inputs!$B$110=1),0,_xlfn.CEILING.MATH(H6,_xlfn.XLOOKUP($B7,Inputs!$A$35:$A$42,Inputs!$B$35:$B$42)))</f>
        <v>0</v>
      </c>
      <c r="I7">
        <f>IF(AND(LEFT($B7,5)="Pieza",Inputs!$B$110=1),0,_xlfn.CEILING.MATH(I6,_xlfn.XLOOKUP($B7,Inputs!$A$35:$A$42,Inputs!$B$35:$B$42)))</f>
        <v>0</v>
      </c>
      <c r="J7">
        <f>IF(AND(LEFT($B7,5)="Pieza",Inputs!$B$110=1),0,_xlfn.CEILING.MATH(J6,_xlfn.XLOOKUP($B7,Inputs!$A$35:$A$42,Inputs!$B$35:$B$42)))</f>
        <v>0</v>
      </c>
      <c r="K7">
        <f>IF(AND(LEFT($B7,5)="Pieza",Inputs!$B$110=1),0,_xlfn.CEILING.MATH(K6,_xlfn.XLOOKUP($B7,Inputs!$A$35:$A$42,Inputs!$B$35:$B$42)))</f>
        <v>0</v>
      </c>
      <c r="L7">
        <f t="shared" si="0"/>
        <v>3810</v>
      </c>
      <c r="M7" t="str">
        <f t="shared" si="1"/>
        <v>Centro|Parte A|Planned Receipt</v>
      </c>
    </row>
    <row r="8" spans="1:13" x14ac:dyDescent="0.3">
      <c r="A8" t="s">
        <v>265</v>
      </c>
      <c r="B8" t="s">
        <v>19</v>
      </c>
      <c r="C8" t="s">
        <v>356</v>
      </c>
      <c r="D8">
        <f t="shared" ref="D8:K8" si="4">D7</f>
        <v>0</v>
      </c>
      <c r="E8">
        <f t="shared" si="4"/>
        <v>930</v>
      </c>
      <c r="F8">
        <f t="shared" si="4"/>
        <v>1440</v>
      </c>
      <c r="G8">
        <f t="shared" si="4"/>
        <v>1440</v>
      </c>
      <c r="H8">
        <f t="shared" si="4"/>
        <v>0</v>
      </c>
      <c r="I8">
        <f t="shared" si="4"/>
        <v>0</v>
      </c>
      <c r="J8">
        <f t="shared" si="4"/>
        <v>0</v>
      </c>
      <c r="K8">
        <f t="shared" si="4"/>
        <v>0</v>
      </c>
      <c r="L8">
        <f t="shared" si="0"/>
        <v>3810</v>
      </c>
      <c r="M8" t="str">
        <f t="shared" si="1"/>
        <v>Centro|Parte A|Planned Release</v>
      </c>
    </row>
    <row r="9" spans="1:13" x14ac:dyDescent="0.3">
      <c r="A9" t="s">
        <v>265</v>
      </c>
      <c r="B9" t="s">
        <v>19</v>
      </c>
      <c r="C9" t="s">
        <v>357</v>
      </c>
      <c r="D9">
        <f t="shared" ref="D9:K9" si="5">D5+D7-D3</f>
        <v>2062.578014184397</v>
      </c>
      <c r="E9">
        <f t="shared" si="5"/>
        <v>1559.1560283687943</v>
      </c>
      <c r="F9">
        <f t="shared" si="5"/>
        <v>1565.7340425531913</v>
      </c>
      <c r="G9">
        <f t="shared" si="5"/>
        <v>1572.3120567375884</v>
      </c>
      <c r="H9">
        <f t="shared" si="5"/>
        <v>1572.3120567375884</v>
      </c>
      <c r="I9">
        <f t="shared" si="5"/>
        <v>1572.3120567375884</v>
      </c>
      <c r="J9">
        <f t="shared" si="5"/>
        <v>1572.3120567375884</v>
      </c>
      <c r="K9">
        <f t="shared" si="5"/>
        <v>1572.3120567375884</v>
      </c>
      <c r="L9">
        <f t="shared" si="0"/>
        <v>13049.028368794323</v>
      </c>
      <c r="M9" t="str">
        <f t="shared" si="1"/>
        <v>Centro|Parte A|POH End</v>
      </c>
    </row>
    <row r="10" spans="1:13" x14ac:dyDescent="0.3">
      <c r="A10" t="s">
        <v>265</v>
      </c>
      <c r="B10" t="s">
        <v>22</v>
      </c>
      <c r="C10" t="s">
        <v>352</v>
      </c>
      <c r="D10">
        <f>INDEX(BOM_Consumo!$C$6:$J$13,MATCH($B10,BOM_Consumo!$A$6:$A$13,0),COLUMN()-COLUMN($D$2)+1)*IF($A10="Centro",_xlfn.XLOOKUP($B10,Multi_Planta!$A$6:$A$13,Multi_Planta!$G$6:$G$13),1-_xlfn.XLOOKUP($B10,Multi_Planta!$A$6:$A$13,Multi_Planta!$G$6:$G$13))</f>
        <v>267.53308128544427</v>
      </c>
      <c r="E10">
        <f>INDEX(BOM_Consumo!$C$6:$J$13,MATCH($B10,BOM_Consumo!$A$6:$A$13,0),COLUMN()-COLUMN($D$2)+1)*IF($A10="Centro",_xlfn.XLOOKUP($B10,Multi_Planta!$A$6:$A$13,Multi_Planta!$G$6:$G$13),1-_xlfn.XLOOKUP($B10,Multi_Planta!$A$6:$A$13,Multi_Planta!$G$6:$G$13))</f>
        <v>267.53308128544427</v>
      </c>
      <c r="F10">
        <f>INDEX(BOM_Consumo!$C$6:$J$13,MATCH($B10,BOM_Consumo!$A$6:$A$13,0),COLUMN()-COLUMN($D$2)+1)*IF($A10="Centro",_xlfn.XLOOKUP($B10,Multi_Planta!$A$6:$A$13,Multi_Planta!$G$6:$G$13),1-_xlfn.XLOOKUP($B10,Multi_Planta!$A$6:$A$13,Multi_Planta!$G$6:$G$13))</f>
        <v>267.53308128544427</v>
      </c>
      <c r="G10">
        <f>INDEX(BOM_Consumo!$C$6:$J$13,MATCH($B10,BOM_Consumo!$A$6:$A$13,0),COLUMN()-COLUMN($D$2)+1)*IF($A10="Centro",_xlfn.XLOOKUP($B10,Multi_Planta!$A$6:$A$13,Multi_Planta!$G$6:$G$13),1-_xlfn.XLOOKUP($B10,Multi_Planta!$A$6:$A$13,Multi_Planta!$G$6:$G$13))</f>
        <v>267.53308128544427</v>
      </c>
      <c r="H10">
        <f>INDEX(BOM_Consumo!$C$6:$J$13,MATCH($B10,BOM_Consumo!$A$6:$A$13,0),COLUMN()-COLUMN($D$2)+1)*IF($A10="Centro",_xlfn.XLOOKUP($B10,Multi_Planta!$A$6:$A$13,Multi_Planta!$G$6:$G$13),1-_xlfn.XLOOKUP($B10,Multi_Planta!$A$6:$A$13,Multi_Planta!$G$6:$G$13))</f>
        <v>267.53308128544427</v>
      </c>
      <c r="I10">
        <f>INDEX(BOM_Consumo!$C$6:$J$13,MATCH($B10,BOM_Consumo!$A$6:$A$13,0),COLUMN()-COLUMN($D$2)+1)*IF($A10="Centro",_xlfn.XLOOKUP($B10,Multi_Planta!$A$6:$A$13,Multi_Planta!$G$6:$G$13),1-_xlfn.XLOOKUP($B10,Multi_Planta!$A$6:$A$13,Multi_Planta!$G$6:$G$13))</f>
        <v>0</v>
      </c>
      <c r="J10">
        <f>INDEX(BOM_Consumo!$C$6:$J$13,MATCH($B10,BOM_Consumo!$A$6:$A$13,0),COLUMN()-COLUMN($D$2)+1)*IF($A10="Centro",_xlfn.XLOOKUP($B10,Multi_Planta!$A$6:$A$13,Multi_Planta!$G$6:$G$13),1-_xlfn.XLOOKUP($B10,Multi_Planta!$A$6:$A$13,Multi_Planta!$G$6:$G$13))</f>
        <v>0</v>
      </c>
      <c r="K10">
        <f>INDEX(BOM_Consumo!$C$6:$J$13,MATCH($B10,BOM_Consumo!$A$6:$A$13,0),COLUMN()-COLUMN($D$2)+1)*IF($A10="Centro",_xlfn.XLOOKUP($B10,Multi_Planta!$A$6:$A$13,Multi_Planta!$G$6:$G$13),1-_xlfn.XLOOKUP($B10,Multi_Planta!$A$6:$A$13,Multi_Planta!$G$6:$G$13))</f>
        <v>0</v>
      </c>
      <c r="L10">
        <f t="shared" si="0"/>
        <v>1337.6654064272213</v>
      </c>
      <c r="M10" t="str">
        <f t="shared" si="1"/>
        <v>Centro|Parte B|Gross Req</v>
      </c>
    </row>
    <row r="11" spans="1:13" x14ac:dyDescent="0.3">
      <c r="A11" t="s">
        <v>265</v>
      </c>
      <c r="B11" t="s">
        <v>22</v>
      </c>
      <c r="C11" t="s">
        <v>81</v>
      </c>
      <c r="D11">
        <f>IFERROR(_xlfn.XLOOKUP($B11,Inputs!$A$82:$A$87,Inputs!$B$82:$B$87),0)*IF($A11="Centro",_xlfn.XLOOKUP($B11,Multi_Planta!$A$6:$A$13,Multi_Planta!$G$6:$G$13),1-_xlfn.XLOOKUP($B11,Multi_Planta!$A$6:$A$13,Multi_Planta!$G$6:$G$13))</f>
        <v>361.531190926276</v>
      </c>
      <c r="E11">
        <f>IFERROR(_xlfn.XLOOKUP($B11,Inputs!$A$82:$A$87,Inputs!$B$82:$B$87),0)*IF($A11="Centro",_xlfn.XLOOKUP($B11,Multi_Planta!$A$6:$A$13,Multi_Planta!$G$6:$G$13),1-_xlfn.XLOOKUP($B11,Multi_Planta!$A$6:$A$13,Multi_Planta!$G$6:$G$13))</f>
        <v>361.531190926276</v>
      </c>
      <c r="F11">
        <f>IFERROR(_xlfn.XLOOKUP($B11,Inputs!$A$82:$A$87,Inputs!$B$82:$B$87),0)*IF($A11="Centro",_xlfn.XLOOKUP($B11,Multi_Planta!$A$6:$A$13,Multi_Planta!$G$6:$G$13),1-_xlfn.XLOOKUP($B11,Multi_Planta!$A$6:$A$13,Multi_Planta!$G$6:$G$13))</f>
        <v>361.531190926276</v>
      </c>
      <c r="G11">
        <f>IFERROR(_xlfn.XLOOKUP($B11,Inputs!$A$82:$A$87,Inputs!$B$82:$B$87),0)*IF($A11="Centro",_xlfn.XLOOKUP($B11,Multi_Planta!$A$6:$A$13,Multi_Planta!$G$6:$G$13),1-_xlfn.XLOOKUP($B11,Multi_Planta!$A$6:$A$13,Multi_Planta!$G$6:$G$13))</f>
        <v>361.531190926276</v>
      </c>
      <c r="H11">
        <f>IFERROR(_xlfn.XLOOKUP($B11,Inputs!$A$82:$A$87,Inputs!$B$82:$B$87),0)*IF($A11="Centro",_xlfn.XLOOKUP($B11,Multi_Planta!$A$6:$A$13,Multi_Planta!$G$6:$G$13),1-_xlfn.XLOOKUP($B11,Multi_Planta!$A$6:$A$13,Multi_Planta!$G$6:$G$13))</f>
        <v>361.531190926276</v>
      </c>
      <c r="I11">
        <f>IFERROR(_xlfn.XLOOKUP($B11,Inputs!$A$82:$A$87,Inputs!$B$82:$B$87),0)*IF($A11="Centro",_xlfn.XLOOKUP($B11,Multi_Planta!$A$6:$A$13,Multi_Planta!$G$6:$G$13),1-_xlfn.XLOOKUP($B11,Multi_Planta!$A$6:$A$13,Multi_Planta!$G$6:$G$13))</f>
        <v>361.531190926276</v>
      </c>
      <c r="J11">
        <f>IFERROR(_xlfn.XLOOKUP($B11,Inputs!$A$82:$A$87,Inputs!$B$82:$B$87),0)*IF($A11="Centro",_xlfn.XLOOKUP($B11,Multi_Planta!$A$6:$A$13,Multi_Planta!$G$6:$G$13),1-_xlfn.XLOOKUP($B11,Multi_Planta!$A$6:$A$13,Multi_Planta!$G$6:$G$13))</f>
        <v>361.531190926276</v>
      </c>
      <c r="K11">
        <f>IFERROR(_xlfn.XLOOKUP($B11,Inputs!$A$82:$A$87,Inputs!$B$82:$B$87),0)*IF($A11="Centro",_xlfn.XLOOKUP($B11,Multi_Planta!$A$6:$A$13,Multi_Planta!$G$6:$G$13),1-_xlfn.XLOOKUP($B11,Multi_Planta!$A$6:$A$13,Multi_Planta!$G$6:$G$13))</f>
        <v>361.531190926276</v>
      </c>
      <c r="L11">
        <f t="shared" si="0"/>
        <v>2892.249527410208</v>
      </c>
      <c r="M11" t="str">
        <f t="shared" si="1"/>
        <v>Centro|Parte B|Safety Stock</v>
      </c>
    </row>
    <row r="12" spans="1:13" x14ac:dyDescent="0.3">
      <c r="A12" t="s">
        <v>265</v>
      </c>
      <c r="B12" t="s">
        <v>22</v>
      </c>
      <c r="C12" t="s">
        <v>353</v>
      </c>
      <c r="D12">
        <f>IF($A12="Centro",_xlfn.XLOOKUP($B12,Multi_Planta!$A$6:$A$13,Multi_Planta!$B$6:$B$13),_xlfn.XLOOKUP($B12,Multi_Planta!$A$6:$A$13,Multi_Planta!$C$6:$C$13))</f>
        <v>765</v>
      </c>
      <c r="E12">
        <f t="shared" ref="E12:K12" si="6">D16</f>
        <v>497.46691871455573</v>
      </c>
      <c r="F12">
        <f t="shared" si="6"/>
        <v>361.93383742911146</v>
      </c>
      <c r="G12">
        <f t="shared" si="6"/>
        <v>370.40075614366719</v>
      </c>
      <c r="H12">
        <f t="shared" si="6"/>
        <v>366.86767485822293</v>
      </c>
      <c r="I12">
        <f t="shared" si="6"/>
        <v>363.33459357277866</v>
      </c>
      <c r="J12">
        <f t="shared" si="6"/>
        <v>363.33459357277866</v>
      </c>
      <c r="K12">
        <f t="shared" si="6"/>
        <v>363.33459357277866</v>
      </c>
      <c r="L12">
        <f t="shared" si="0"/>
        <v>3451.6729678638931</v>
      </c>
      <c r="M12" t="str">
        <f t="shared" si="1"/>
        <v>Centro|Parte B|POH Start</v>
      </c>
    </row>
    <row r="13" spans="1:13" x14ac:dyDescent="0.3">
      <c r="A13" t="s">
        <v>265</v>
      </c>
      <c r="B13" t="s">
        <v>22</v>
      </c>
      <c r="C13" t="s">
        <v>354</v>
      </c>
      <c r="D13">
        <f t="shared" ref="D13:K13" si="7">MAX(0,D10+D11-D12)</f>
        <v>0</v>
      </c>
      <c r="E13">
        <f t="shared" si="7"/>
        <v>131.59735349716448</v>
      </c>
      <c r="F13">
        <f t="shared" si="7"/>
        <v>267.13043478260875</v>
      </c>
      <c r="G13">
        <f t="shared" si="7"/>
        <v>258.66351606805301</v>
      </c>
      <c r="H13">
        <f t="shared" si="7"/>
        <v>262.19659735349728</v>
      </c>
      <c r="I13">
        <f t="shared" si="7"/>
        <v>0</v>
      </c>
      <c r="J13">
        <f t="shared" si="7"/>
        <v>0</v>
      </c>
      <c r="K13">
        <f t="shared" si="7"/>
        <v>0</v>
      </c>
      <c r="L13">
        <f t="shared" si="0"/>
        <v>919.58790170132352</v>
      </c>
      <c r="M13" t="str">
        <f t="shared" si="1"/>
        <v>Centro|Parte B|Net Req</v>
      </c>
    </row>
    <row r="14" spans="1:13" x14ac:dyDescent="0.3">
      <c r="A14" t="s">
        <v>265</v>
      </c>
      <c r="B14" t="s">
        <v>22</v>
      </c>
      <c r="C14" t="s">
        <v>355</v>
      </c>
      <c r="D14">
        <f>IF(AND(LEFT($B14,5)="Pieza",Inputs!$B$110=1),_xlfn.CEILING.MATH(L10,_xlfn.XLOOKUP($B14,Inputs!$A$35:$A$42,Inputs!$B$35:$B$42)),_xlfn.CEILING.MATH(D13,_xlfn.XLOOKUP($B14,Inputs!$A$35:$A$42,Inputs!$B$35:$B$42)))</f>
        <v>0</v>
      </c>
      <c r="E14">
        <f>IF(AND(LEFT($B14,5)="Pieza",Inputs!$B$110=1),0,_xlfn.CEILING.MATH(E13,_xlfn.XLOOKUP($B14,Inputs!$A$35:$A$42,Inputs!$B$35:$B$42)))</f>
        <v>132</v>
      </c>
      <c r="F14">
        <f>IF(AND(LEFT($B14,5)="Pieza",Inputs!$B$110=1),0,_xlfn.CEILING.MATH(F13,_xlfn.XLOOKUP($B14,Inputs!$A$35:$A$42,Inputs!$B$35:$B$42)))</f>
        <v>276</v>
      </c>
      <c r="G14">
        <f>IF(AND(LEFT($B14,5)="Pieza",Inputs!$B$110=1),0,_xlfn.CEILING.MATH(G13,_xlfn.XLOOKUP($B14,Inputs!$A$35:$A$42,Inputs!$B$35:$B$42)))</f>
        <v>264</v>
      </c>
      <c r="H14">
        <f>IF(AND(LEFT($B14,5)="Pieza",Inputs!$B$110=1),0,_xlfn.CEILING.MATH(H13,_xlfn.XLOOKUP($B14,Inputs!$A$35:$A$42,Inputs!$B$35:$B$42)))</f>
        <v>264</v>
      </c>
      <c r="I14">
        <f>IF(AND(LEFT($B14,5)="Pieza",Inputs!$B$110=1),0,_xlfn.CEILING.MATH(I13,_xlfn.XLOOKUP($B14,Inputs!$A$35:$A$42,Inputs!$B$35:$B$42)))</f>
        <v>0</v>
      </c>
      <c r="J14">
        <f>IF(AND(LEFT($B14,5)="Pieza",Inputs!$B$110=1),0,_xlfn.CEILING.MATH(J13,_xlfn.XLOOKUP($B14,Inputs!$A$35:$A$42,Inputs!$B$35:$B$42)))</f>
        <v>0</v>
      </c>
      <c r="K14">
        <f>IF(AND(LEFT($B14,5)="Pieza",Inputs!$B$110=1),0,_xlfn.CEILING.MATH(K13,_xlfn.XLOOKUP($B14,Inputs!$A$35:$A$42,Inputs!$B$35:$B$42)))</f>
        <v>0</v>
      </c>
      <c r="L14">
        <f t="shared" si="0"/>
        <v>936</v>
      </c>
      <c r="M14" t="str">
        <f t="shared" si="1"/>
        <v>Centro|Parte B|Planned Receipt</v>
      </c>
    </row>
    <row r="15" spans="1:13" x14ac:dyDescent="0.3">
      <c r="A15" t="s">
        <v>265</v>
      </c>
      <c r="B15" t="s">
        <v>22</v>
      </c>
      <c r="C15" t="s">
        <v>356</v>
      </c>
      <c r="D15">
        <f t="shared" ref="D15:K15" si="8">D14</f>
        <v>0</v>
      </c>
      <c r="E15">
        <f t="shared" si="8"/>
        <v>132</v>
      </c>
      <c r="F15">
        <f t="shared" si="8"/>
        <v>276</v>
      </c>
      <c r="G15">
        <f t="shared" si="8"/>
        <v>264</v>
      </c>
      <c r="H15">
        <f t="shared" si="8"/>
        <v>264</v>
      </c>
      <c r="I15">
        <f t="shared" si="8"/>
        <v>0</v>
      </c>
      <c r="J15">
        <f t="shared" si="8"/>
        <v>0</v>
      </c>
      <c r="K15">
        <f t="shared" si="8"/>
        <v>0</v>
      </c>
      <c r="L15">
        <f t="shared" si="0"/>
        <v>936</v>
      </c>
      <c r="M15" t="str">
        <f t="shared" si="1"/>
        <v>Centro|Parte B|Planned Release</v>
      </c>
    </row>
    <row r="16" spans="1:13" x14ac:dyDescent="0.3">
      <c r="A16" t="s">
        <v>265</v>
      </c>
      <c r="B16" t="s">
        <v>22</v>
      </c>
      <c r="C16" t="s">
        <v>357</v>
      </c>
      <c r="D16">
        <f t="shared" ref="D16:K16" si="9">D12+D14-D10</f>
        <v>497.46691871455573</v>
      </c>
      <c r="E16">
        <f t="shared" si="9"/>
        <v>361.93383742911146</v>
      </c>
      <c r="F16">
        <f t="shared" si="9"/>
        <v>370.40075614366719</v>
      </c>
      <c r="G16">
        <f t="shared" si="9"/>
        <v>366.86767485822293</v>
      </c>
      <c r="H16">
        <f t="shared" si="9"/>
        <v>363.33459357277866</v>
      </c>
      <c r="I16">
        <f t="shared" si="9"/>
        <v>363.33459357277866</v>
      </c>
      <c r="J16">
        <f t="shared" si="9"/>
        <v>363.33459357277866</v>
      </c>
      <c r="K16">
        <f t="shared" si="9"/>
        <v>363.33459357277866</v>
      </c>
      <c r="L16">
        <f t="shared" si="0"/>
        <v>3050.0075614366715</v>
      </c>
      <c r="M16" t="str">
        <f t="shared" si="1"/>
        <v>Centro|Parte B|POH End</v>
      </c>
    </row>
    <row r="17" spans="1:13" x14ac:dyDescent="0.3">
      <c r="A17" t="s">
        <v>265</v>
      </c>
      <c r="B17" t="s">
        <v>23</v>
      </c>
      <c r="C17" t="s">
        <v>352</v>
      </c>
      <c r="D17">
        <f>INDEX(BOM_Consumo!$C$6:$J$13,MATCH($B17,BOM_Consumo!$A$6:$A$13,0),COLUMN()-COLUMN($D$2)+1)*IF($A17="Centro",_xlfn.XLOOKUP($B17,Multi_Planta!$A$6:$A$13,Multi_Planta!$G$6:$G$13),1-_xlfn.XLOOKUP($B17,Multi_Planta!$A$6:$A$13,Multi_Planta!$G$6:$G$13))</f>
        <v>13.376923076923077</v>
      </c>
      <c r="E17">
        <f>INDEX(BOM_Consumo!$C$6:$J$13,MATCH($B17,BOM_Consumo!$A$6:$A$13,0),COLUMN()-COLUMN($D$2)+1)*IF($A17="Centro",_xlfn.XLOOKUP($B17,Multi_Planta!$A$6:$A$13,Multi_Planta!$G$6:$G$13),1-_xlfn.XLOOKUP($B17,Multi_Planta!$A$6:$A$13,Multi_Planta!$G$6:$G$13))</f>
        <v>13.376923076923077</v>
      </c>
      <c r="F17">
        <f>INDEX(BOM_Consumo!$C$6:$J$13,MATCH($B17,BOM_Consumo!$A$6:$A$13,0),COLUMN()-COLUMN($D$2)+1)*IF($A17="Centro",_xlfn.XLOOKUP($B17,Multi_Planta!$A$6:$A$13,Multi_Planta!$G$6:$G$13),1-_xlfn.XLOOKUP($B17,Multi_Planta!$A$6:$A$13,Multi_Planta!$G$6:$G$13))</f>
        <v>13.376923076923077</v>
      </c>
      <c r="G17">
        <f>INDEX(BOM_Consumo!$C$6:$J$13,MATCH($B17,BOM_Consumo!$A$6:$A$13,0),COLUMN()-COLUMN($D$2)+1)*IF($A17="Centro",_xlfn.XLOOKUP($B17,Multi_Planta!$A$6:$A$13,Multi_Planta!$G$6:$G$13),1-_xlfn.XLOOKUP($B17,Multi_Planta!$A$6:$A$13,Multi_Planta!$G$6:$G$13))</f>
        <v>13.376923076923077</v>
      </c>
      <c r="H17">
        <f>INDEX(BOM_Consumo!$C$6:$J$13,MATCH($B17,BOM_Consumo!$A$6:$A$13,0),COLUMN()-COLUMN($D$2)+1)*IF($A17="Centro",_xlfn.XLOOKUP($B17,Multi_Planta!$A$6:$A$13,Multi_Planta!$G$6:$G$13),1-_xlfn.XLOOKUP($B17,Multi_Planta!$A$6:$A$13,Multi_Planta!$G$6:$G$13))</f>
        <v>13.376923076923077</v>
      </c>
      <c r="I17">
        <f>INDEX(BOM_Consumo!$C$6:$J$13,MATCH($B17,BOM_Consumo!$A$6:$A$13,0),COLUMN()-COLUMN($D$2)+1)*IF($A17="Centro",_xlfn.XLOOKUP($B17,Multi_Planta!$A$6:$A$13,Multi_Planta!$G$6:$G$13),1-_xlfn.XLOOKUP($B17,Multi_Planta!$A$6:$A$13,Multi_Planta!$G$6:$G$13))</f>
        <v>13.376923076923077</v>
      </c>
      <c r="J17">
        <f>INDEX(BOM_Consumo!$C$6:$J$13,MATCH($B17,BOM_Consumo!$A$6:$A$13,0),COLUMN()-COLUMN($D$2)+1)*IF($A17="Centro",_xlfn.XLOOKUP($B17,Multi_Planta!$A$6:$A$13,Multi_Planta!$G$6:$G$13),1-_xlfn.XLOOKUP($B17,Multi_Planta!$A$6:$A$13,Multi_Planta!$G$6:$G$13))</f>
        <v>13.376923076923077</v>
      </c>
      <c r="K17">
        <f>INDEX(BOM_Consumo!$C$6:$J$13,MATCH($B17,BOM_Consumo!$A$6:$A$13,0),COLUMN()-COLUMN($D$2)+1)*IF($A17="Centro",_xlfn.XLOOKUP($B17,Multi_Planta!$A$6:$A$13,Multi_Planta!$G$6:$G$13),1-_xlfn.XLOOKUP($B17,Multi_Planta!$A$6:$A$13,Multi_Planta!$G$6:$G$13))</f>
        <v>0</v>
      </c>
      <c r="L17">
        <f t="shared" si="0"/>
        <v>93.638461538461542</v>
      </c>
      <c r="M17" t="str">
        <f t="shared" si="1"/>
        <v>Centro|Pieza 1|Gross Req</v>
      </c>
    </row>
    <row r="18" spans="1:13" x14ac:dyDescent="0.3">
      <c r="A18" t="s">
        <v>265</v>
      </c>
      <c r="B18" t="s">
        <v>23</v>
      </c>
      <c r="C18" t="s">
        <v>81</v>
      </c>
      <c r="D18">
        <f>IFERROR(_xlfn.XLOOKUP($B18,Inputs!$A$82:$A$87,Inputs!$B$82:$B$87),0)*IF($A18="Centro",_xlfn.XLOOKUP($B18,Multi_Planta!$A$6:$A$13,Multi_Planta!$G$6:$G$13),1-_xlfn.XLOOKUP($B18,Multi_Planta!$A$6:$A$13,Multi_Planta!$G$6:$G$13))</f>
        <v>36.153846153846153</v>
      </c>
      <c r="E18">
        <f>IFERROR(_xlfn.XLOOKUP($B18,Inputs!$A$82:$A$87,Inputs!$B$82:$B$87),0)*IF($A18="Centro",_xlfn.XLOOKUP($B18,Multi_Planta!$A$6:$A$13,Multi_Planta!$G$6:$G$13),1-_xlfn.XLOOKUP($B18,Multi_Planta!$A$6:$A$13,Multi_Planta!$G$6:$G$13))</f>
        <v>36.153846153846153</v>
      </c>
      <c r="F18">
        <f>IFERROR(_xlfn.XLOOKUP($B18,Inputs!$A$82:$A$87,Inputs!$B$82:$B$87),0)*IF($A18="Centro",_xlfn.XLOOKUP($B18,Multi_Planta!$A$6:$A$13,Multi_Planta!$G$6:$G$13),1-_xlfn.XLOOKUP($B18,Multi_Planta!$A$6:$A$13,Multi_Planta!$G$6:$G$13))</f>
        <v>36.153846153846153</v>
      </c>
      <c r="G18">
        <f>IFERROR(_xlfn.XLOOKUP($B18,Inputs!$A$82:$A$87,Inputs!$B$82:$B$87),0)*IF($A18="Centro",_xlfn.XLOOKUP($B18,Multi_Planta!$A$6:$A$13,Multi_Planta!$G$6:$G$13),1-_xlfn.XLOOKUP($B18,Multi_Planta!$A$6:$A$13,Multi_Planta!$G$6:$G$13))</f>
        <v>36.153846153846153</v>
      </c>
      <c r="H18">
        <f>IFERROR(_xlfn.XLOOKUP($B18,Inputs!$A$82:$A$87,Inputs!$B$82:$B$87),0)*IF($A18="Centro",_xlfn.XLOOKUP($B18,Multi_Planta!$A$6:$A$13,Multi_Planta!$G$6:$G$13),1-_xlfn.XLOOKUP($B18,Multi_Planta!$A$6:$A$13,Multi_Planta!$G$6:$G$13))</f>
        <v>36.153846153846153</v>
      </c>
      <c r="I18">
        <f>IFERROR(_xlfn.XLOOKUP($B18,Inputs!$A$82:$A$87,Inputs!$B$82:$B$87),0)*IF($A18="Centro",_xlfn.XLOOKUP($B18,Multi_Planta!$A$6:$A$13,Multi_Planta!$G$6:$G$13),1-_xlfn.XLOOKUP($B18,Multi_Planta!$A$6:$A$13,Multi_Planta!$G$6:$G$13))</f>
        <v>36.153846153846153</v>
      </c>
      <c r="J18">
        <f>IFERROR(_xlfn.XLOOKUP($B18,Inputs!$A$82:$A$87,Inputs!$B$82:$B$87),0)*IF($A18="Centro",_xlfn.XLOOKUP($B18,Multi_Planta!$A$6:$A$13,Multi_Planta!$G$6:$G$13),1-_xlfn.XLOOKUP($B18,Multi_Planta!$A$6:$A$13,Multi_Planta!$G$6:$G$13))</f>
        <v>36.153846153846153</v>
      </c>
      <c r="K18">
        <f>IFERROR(_xlfn.XLOOKUP($B18,Inputs!$A$82:$A$87,Inputs!$B$82:$B$87),0)*IF($A18="Centro",_xlfn.XLOOKUP($B18,Multi_Planta!$A$6:$A$13,Multi_Planta!$G$6:$G$13),1-_xlfn.XLOOKUP($B18,Multi_Planta!$A$6:$A$13,Multi_Planta!$G$6:$G$13))</f>
        <v>36.153846153846153</v>
      </c>
      <c r="L18">
        <f t="shared" si="0"/>
        <v>289.23076923076923</v>
      </c>
      <c r="M18" t="str">
        <f t="shared" si="1"/>
        <v>Centro|Pieza 1|Safety Stock</v>
      </c>
    </row>
    <row r="19" spans="1:13" x14ac:dyDescent="0.3">
      <c r="A19" t="s">
        <v>265</v>
      </c>
      <c r="B19" t="s">
        <v>23</v>
      </c>
      <c r="C19" t="s">
        <v>353</v>
      </c>
      <c r="D19">
        <f>IF($A19="Centro",_xlfn.XLOOKUP($B19,Multi_Planta!$A$6:$A$13,Multi_Planta!$B$6:$B$13),_xlfn.XLOOKUP($B19,Multi_Planta!$A$6:$A$13,Multi_Planta!$C$6:$C$13))</f>
        <v>94</v>
      </c>
      <c r="E19">
        <f t="shared" ref="E19:K19" si="10">D23</f>
        <v>174.62307692307692</v>
      </c>
      <c r="F19">
        <f t="shared" si="10"/>
        <v>161.24615384615385</v>
      </c>
      <c r="G19">
        <f t="shared" si="10"/>
        <v>147.86923076923077</v>
      </c>
      <c r="H19">
        <f t="shared" si="10"/>
        <v>134.49230769230769</v>
      </c>
      <c r="I19">
        <f t="shared" si="10"/>
        <v>121.11538461538461</v>
      </c>
      <c r="J19">
        <f t="shared" si="10"/>
        <v>107.73846153846154</v>
      </c>
      <c r="K19">
        <f t="shared" si="10"/>
        <v>94.361538461538458</v>
      </c>
      <c r="L19">
        <f t="shared" si="0"/>
        <v>1035.4461538461539</v>
      </c>
      <c r="M19" t="str">
        <f t="shared" si="1"/>
        <v>Centro|Pieza 1|POH Start</v>
      </c>
    </row>
    <row r="20" spans="1:13" x14ac:dyDescent="0.3">
      <c r="A20" t="s">
        <v>265</v>
      </c>
      <c r="B20" t="s">
        <v>23</v>
      </c>
      <c r="C20" t="s">
        <v>354</v>
      </c>
      <c r="D20">
        <f t="shared" ref="D20:K20" si="11">MAX(0,D17+D18-D19)</f>
        <v>0</v>
      </c>
      <c r="E20">
        <f t="shared" si="11"/>
        <v>0</v>
      </c>
      <c r="F20">
        <f t="shared" si="11"/>
        <v>0</v>
      </c>
      <c r="G20">
        <f t="shared" si="11"/>
        <v>0</v>
      </c>
      <c r="H20">
        <f t="shared" si="11"/>
        <v>0</v>
      </c>
      <c r="I20">
        <f t="shared" si="11"/>
        <v>0</v>
      </c>
      <c r="J20">
        <f t="shared" si="11"/>
        <v>0</v>
      </c>
      <c r="K20">
        <f t="shared" si="11"/>
        <v>0</v>
      </c>
      <c r="L20">
        <f t="shared" si="0"/>
        <v>0</v>
      </c>
      <c r="M20" t="str">
        <f t="shared" si="1"/>
        <v>Centro|Pieza 1|Net Req</v>
      </c>
    </row>
    <row r="21" spans="1:13" x14ac:dyDescent="0.3">
      <c r="A21" t="s">
        <v>265</v>
      </c>
      <c r="B21" t="s">
        <v>23</v>
      </c>
      <c r="C21" t="s">
        <v>355</v>
      </c>
      <c r="D21">
        <f>IF(AND(LEFT($B21,5)="Pieza",Inputs!$B$110=1),_xlfn.CEILING.MATH(L17,_xlfn.XLOOKUP($B21,Inputs!$A$35:$A$42,Inputs!$B$35:$B$42)),_xlfn.CEILING.MATH(D20,_xlfn.XLOOKUP($B21,Inputs!$A$35:$A$42,Inputs!$B$35:$B$42)))</f>
        <v>94</v>
      </c>
      <c r="E21">
        <f>IF(AND(LEFT($B21,5)="Pieza",Inputs!$B$110=1),0,_xlfn.CEILING.MATH(E20,_xlfn.XLOOKUP($B21,Inputs!$A$35:$A$42,Inputs!$B$35:$B$42)))</f>
        <v>0</v>
      </c>
      <c r="F21">
        <f>IF(AND(LEFT($B21,5)="Pieza",Inputs!$B$110=1),0,_xlfn.CEILING.MATH(F20,_xlfn.XLOOKUP($B21,Inputs!$A$35:$A$42,Inputs!$B$35:$B$42)))</f>
        <v>0</v>
      </c>
      <c r="G21">
        <f>IF(AND(LEFT($B21,5)="Pieza",Inputs!$B$110=1),0,_xlfn.CEILING.MATH(G20,_xlfn.XLOOKUP($B21,Inputs!$A$35:$A$42,Inputs!$B$35:$B$42)))</f>
        <v>0</v>
      </c>
      <c r="H21">
        <f>IF(AND(LEFT($B21,5)="Pieza",Inputs!$B$110=1),0,_xlfn.CEILING.MATH(H20,_xlfn.XLOOKUP($B21,Inputs!$A$35:$A$42,Inputs!$B$35:$B$42)))</f>
        <v>0</v>
      </c>
      <c r="I21">
        <f>IF(AND(LEFT($B21,5)="Pieza",Inputs!$B$110=1),0,_xlfn.CEILING.MATH(I20,_xlfn.XLOOKUP($B21,Inputs!$A$35:$A$42,Inputs!$B$35:$B$42)))</f>
        <v>0</v>
      </c>
      <c r="J21">
        <f>IF(AND(LEFT($B21,5)="Pieza",Inputs!$B$110=1),0,_xlfn.CEILING.MATH(J20,_xlfn.XLOOKUP($B21,Inputs!$A$35:$A$42,Inputs!$B$35:$B$42)))</f>
        <v>0</v>
      </c>
      <c r="K21">
        <f>IF(AND(LEFT($B21,5)="Pieza",Inputs!$B$110=1),0,_xlfn.CEILING.MATH(K20,_xlfn.XLOOKUP($B21,Inputs!$A$35:$A$42,Inputs!$B$35:$B$42)))</f>
        <v>0</v>
      </c>
      <c r="L21">
        <f t="shared" si="0"/>
        <v>94</v>
      </c>
      <c r="M21" t="str">
        <f t="shared" si="1"/>
        <v>Centro|Pieza 1|Planned Receipt</v>
      </c>
    </row>
    <row r="22" spans="1:13" x14ac:dyDescent="0.3">
      <c r="A22" t="s">
        <v>265</v>
      </c>
      <c r="B22" t="s">
        <v>23</v>
      </c>
      <c r="C22" t="s">
        <v>356</v>
      </c>
      <c r="D22">
        <f t="shared" ref="D22:K22" si="12">D21</f>
        <v>94</v>
      </c>
      <c r="E22">
        <f t="shared" si="12"/>
        <v>0</v>
      </c>
      <c r="F22">
        <f t="shared" si="12"/>
        <v>0</v>
      </c>
      <c r="G22">
        <f t="shared" si="12"/>
        <v>0</v>
      </c>
      <c r="H22">
        <f t="shared" si="12"/>
        <v>0</v>
      </c>
      <c r="I22">
        <f t="shared" si="12"/>
        <v>0</v>
      </c>
      <c r="J22">
        <f t="shared" si="12"/>
        <v>0</v>
      </c>
      <c r="K22">
        <f t="shared" si="12"/>
        <v>0</v>
      </c>
      <c r="L22">
        <f t="shared" si="0"/>
        <v>94</v>
      </c>
      <c r="M22" t="str">
        <f t="shared" si="1"/>
        <v>Centro|Pieza 1|Planned Release</v>
      </c>
    </row>
    <row r="23" spans="1:13" x14ac:dyDescent="0.3">
      <c r="A23" t="s">
        <v>265</v>
      </c>
      <c r="B23" t="s">
        <v>23</v>
      </c>
      <c r="C23" t="s">
        <v>357</v>
      </c>
      <c r="D23">
        <f t="shared" ref="D23:K23" si="13">D19+D21-D17</f>
        <v>174.62307692307692</v>
      </c>
      <c r="E23">
        <f t="shared" si="13"/>
        <v>161.24615384615385</v>
      </c>
      <c r="F23">
        <f t="shared" si="13"/>
        <v>147.86923076923077</v>
      </c>
      <c r="G23">
        <f t="shared" si="13"/>
        <v>134.49230769230769</v>
      </c>
      <c r="H23">
        <f t="shared" si="13"/>
        <v>121.11538461538461</v>
      </c>
      <c r="I23">
        <f t="shared" si="13"/>
        <v>107.73846153846154</v>
      </c>
      <c r="J23">
        <f t="shared" si="13"/>
        <v>94.361538461538458</v>
      </c>
      <c r="K23">
        <f t="shared" si="13"/>
        <v>94.361538461538458</v>
      </c>
      <c r="L23">
        <f t="shared" si="0"/>
        <v>1035.8076923076922</v>
      </c>
      <c r="M23" t="str">
        <f t="shared" si="1"/>
        <v>Centro|Pieza 1|POH End</v>
      </c>
    </row>
    <row r="24" spans="1:13" x14ac:dyDescent="0.3">
      <c r="A24" t="s">
        <v>265</v>
      </c>
      <c r="B24" t="s">
        <v>24</v>
      </c>
      <c r="C24" t="s">
        <v>352</v>
      </c>
      <c r="D24">
        <f>INDEX(BOM_Consumo!$C$6:$J$13,MATCH($B24,BOM_Consumo!$A$6:$A$13,0),COLUMN()-COLUMN($D$2)+1)*IF($A24="Centro",_xlfn.XLOOKUP($B24,Multi_Planta!$A$6:$A$13,Multi_Planta!$G$6:$G$13),1-_xlfn.XLOOKUP($B24,Multi_Planta!$A$6:$A$13,Multi_Planta!$G$6:$G$13))</f>
        <v>10799.392558845861</v>
      </c>
      <c r="E24">
        <f>INDEX(BOM_Consumo!$C$6:$J$13,MATCH($B24,BOM_Consumo!$A$6:$A$13,0),COLUMN()-COLUMN($D$2)+1)*IF($A24="Centro",_xlfn.XLOOKUP($B24,Multi_Planta!$A$6:$A$13,Multi_Planta!$G$6:$G$13),1-_xlfn.XLOOKUP($B24,Multi_Planta!$A$6:$A$13,Multi_Planta!$G$6:$G$13))</f>
        <v>10799.392558845861</v>
      </c>
      <c r="F24">
        <f>INDEX(BOM_Consumo!$C$6:$J$13,MATCH($B24,BOM_Consumo!$A$6:$A$13,0),COLUMN()-COLUMN($D$2)+1)*IF($A24="Centro",_xlfn.XLOOKUP($B24,Multi_Planta!$A$6:$A$13,Multi_Planta!$G$6:$G$13),1-_xlfn.XLOOKUP($B24,Multi_Planta!$A$6:$A$13,Multi_Planta!$G$6:$G$13))</f>
        <v>10799.392558845861</v>
      </c>
      <c r="G24">
        <f>INDEX(BOM_Consumo!$C$6:$J$13,MATCH($B24,BOM_Consumo!$A$6:$A$13,0),COLUMN()-COLUMN($D$2)+1)*IF($A24="Centro",_xlfn.XLOOKUP($B24,Multi_Planta!$A$6:$A$13,Multi_Planta!$G$6:$G$13),1-_xlfn.XLOOKUP($B24,Multi_Planta!$A$6:$A$13,Multi_Planta!$G$6:$G$13))</f>
        <v>10799.392558845861</v>
      </c>
      <c r="H24">
        <f>INDEX(BOM_Consumo!$C$6:$J$13,MATCH($B24,BOM_Consumo!$A$6:$A$13,0),COLUMN()-COLUMN($D$2)+1)*IF($A24="Centro",_xlfn.XLOOKUP($B24,Multi_Planta!$A$6:$A$13,Multi_Planta!$G$6:$G$13),1-_xlfn.XLOOKUP($B24,Multi_Planta!$A$6:$A$13,Multi_Planta!$G$6:$G$13))</f>
        <v>10799.392558845861</v>
      </c>
      <c r="I24">
        <f>INDEX(BOM_Consumo!$C$6:$J$13,MATCH($B24,BOM_Consumo!$A$6:$A$13,0),COLUMN()-COLUMN($D$2)+1)*IF($A24="Centro",_xlfn.XLOOKUP($B24,Multi_Planta!$A$6:$A$13,Multi_Planta!$G$6:$G$13),1-_xlfn.XLOOKUP($B24,Multi_Planta!$A$6:$A$13,Multi_Planta!$G$6:$G$13))</f>
        <v>10799.392558845861</v>
      </c>
      <c r="J24">
        <f>INDEX(BOM_Consumo!$C$6:$J$13,MATCH($B24,BOM_Consumo!$A$6:$A$13,0),COLUMN()-COLUMN($D$2)+1)*IF($A24="Centro",_xlfn.XLOOKUP($B24,Multi_Planta!$A$6:$A$13,Multi_Planta!$G$6:$G$13),1-_xlfn.XLOOKUP($B24,Multi_Planta!$A$6:$A$13,Multi_Planta!$G$6:$G$13))</f>
        <v>10799.392558845861</v>
      </c>
      <c r="K24">
        <f>INDEX(BOM_Consumo!$C$6:$J$13,MATCH($B24,BOM_Consumo!$A$6:$A$13,0),COLUMN()-COLUMN($D$2)+1)*IF($A24="Centro",_xlfn.XLOOKUP($B24,Multi_Planta!$A$6:$A$13,Multi_Planta!$G$6:$G$13),1-_xlfn.XLOOKUP($B24,Multi_Planta!$A$6:$A$13,Multi_Planta!$G$6:$G$13))</f>
        <v>0</v>
      </c>
      <c r="L24">
        <f t="shared" si="0"/>
        <v>75595.747911921018</v>
      </c>
      <c r="M24" t="str">
        <f t="shared" si="1"/>
        <v>Centro|Pieza 2|Gross Req</v>
      </c>
    </row>
    <row r="25" spans="1:13" x14ac:dyDescent="0.3">
      <c r="A25" t="s">
        <v>265</v>
      </c>
      <c r="B25" t="s">
        <v>24</v>
      </c>
      <c r="C25" t="s">
        <v>81</v>
      </c>
      <c r="D25">
        <f>IFERROR(_xlfn.XLOOKUP($B25,Inputs!$A$82:$A$87,Inputs!$B$82:$B$87),0)*IF($A25="Centro",_xlfn.XLOOKUP($B25,Multi_Planta!$A$6:$A$13,Multi_Planta!$G$6:$G$13),1-_xlfn.XLOOKUP($B25,Multi_Planta!$A$6:$A$13,Multi_Planta!$G$6:$G$13))</f>
        <v>7296.8868640850415</v>
      </c>
      <c r="E25">
        <f>IFERROR(_xlfn.XLOOKUP($B25,Inputs!$A$82:$A$87,Inputs!$B$82:$B$87),0)*IF($A25="Centro",_xlfn.XLOOKUP($B25,Multi_Planta!$A$6:$A$13,Multi_Planta!$G$6:$G$13),1-_xlfn.XLOOKUP($B25,Multi_Planta!$A$6:$A$13,Multi_Planta!$G$6:$G$13))</f>
        <v>7296.8868640850415</v>
      </c>
      <c r="F25">
        <f>IFERROR(_xlfn.XLOOKUP($B25,Inputs!$A$82:$A$87,Inputs!$B$82:$B$87),0)*IF($A25="Centro",_xlfn.XLOOKUP($B25,Multi_Planta!$A$6:$A$13,Multi_Planta!$G$6:$G$13),1-_xlfn.XLOOKUP($B25,Multi_Planta!$A$6:$A$13,Multi_Planta!$G$6:$G$13))</f>
        <v>7296.8868640850415</v>
      </c>
      <c r="G25">
        <f>IFERROR(_xlfn.XLOOKUP($B25,Inputs!$A$82:$A$87,Inputs!$B$82:$B$87),0)*IF($A25="Centro",_xlfn.XLOOKUP($B25,Multi_Planta!$A$6:$A$13,Multi_Planta!$G$6:$G$13),1-_xlfn.XLOOKUP($B25,Multi_Planta!$A$6:$A$13,Multi_Planta!$G$6:$G$13))</f>
        <v>7296.8868640850415</v>
      </c>
      <c r="H25">
        <f>IFERROR(_xlfn.XLOOKUP($B25,Inputs!$A$82:$A$87,Inputs!$B$82:$B$87),0)*IF($A25="Centro",_xlfn.XLOOKUP($B25,Multi_Planta!$A$6:$A$13,Multi_Planta!$G$6:$G$13),1-_xlfn.XLOOKUP($B25,Multi_Planta!$A$6:$A$13,Multi_Planta!$G$6:$G$13))</f>
        <v>7296.8868640850415</v>
      </c>
      <c r="I25">
        <f>IFERROR(_xlfn.XLOOKUP($B25,Inputs!$A$82:$A$87,Inputs!$B$82:$B$87),0)*IF($A25="Centro",_xlfn.XLOOKUP($B25,Multi_Planta!$A$6:$A$13,Multi_Planta!$G$6:$G$13),1-_xlfn.XLOOKUP($B25,Multi_Planta!$A$6:$A$13,Multi_Planta!$G$6:$G$13))</f>
        <v>7296.8868640850415</v>
      </c>
      <c r="J25">
        <f>IFERROR(_xlfn.XLOOKUP($B25,Inputs!$A$82:$A$87,Inputs!$B$82:$B$87),0)*IF($A25="Centro",_xlfn.XLOOKUP($B25,Multi_Planta!$A$6:$A$13,Multi_Planta!$G$6:$G$13),1-_xlfn.XLOOKUP($B25,Multi_Planta!$A$6:$A$13,Multi_Planta!$G$6:$G$13))</f>
        <v>7296.8868640850415</v>
      </c>
      <c r="K25">
        <f>IFERROR(_xlfn.XLOOKUP($B25,Inputs!$A$82:$A$87,Inputs!$B$82:$B$87),0)*IF($A25="Centro",_xlfn.XLOOKUP($B25,Multi_Planta!$A$6:$A$13,Multi_Planta!$G$6:$G$13),1-_xlfn.XLOOKUP($B25,Multi_Planta!$A$6:$A$13,Multi_Planta!$G$6:$G$13))</f>
        <v>7296.8868640850415</v>
      </c>
      <c r="L25">
        <f t="shared" si="0"/>
        <v>58375.094912680332</v>
      </c>
      <c r="M25" t="str">
        <f t="shared" si="1"/>
        <v>Centro|Pieza 2|Safety Stock</v>
      </c>
    </row>
    <row r="26" spans="1:13" x14ac:dyDescent="0.3">
      <c r="A26" t="s">
        <v>265</v>
      </c>
      <c r="B26" t="s">
        <v>24</v>
      </c>
      <c r="C26" t="s">
        <v>353</v>
      </c>
      <c r="D26">
        <f>IF($A26="Centro",_xlfn.XLOOKUP($B26,Multi_Planta!$A$6:$A$13,Multi_Planta!$B$6:$B$13),_xlfn.XLOOKUP($B26,Multi_Planta!$A$6:$A$13,Multi_Planta!$C$6:$C$13))</f>
        <v>3844</v>
      </c>
      <c r="E26">
        <f t="shared" ref="E26:K26" si="14">D30</f>
        <v>68644.607441154134</v>
      </c>
      <c r="F26">
        <f t="shared" si="14"/>
        <v>57845.214882308275</v>
      </c>
      <c r="G26">
        <f t="shared" si="14"/>
        <v>47045.822323462417</v>
      </c>
      <c r="H26">
        <f t="shared" si="14"/>
        <v>36246.429764616558</v>
      </c>
      <c r="I26">
        <f t="shared" si="14"/>
        <v>25447.037205770699</v>
      </c>
      <c r="J26">
        <f t="shared" si="14"/>
        <v>14647.644646924839</v>
      </c>
      <c r="K26">
        <f t="shared" si="14"/>
        <v>3848.252088078978</v>
      </c>
      <c r="L26">
        <f t="shared" si="0"/>
        <v>257569.00835231587</v>
      </c>
      <c r="M26" t="str">
        <f t="shared" si="1"/>
        <v>Centro|Pieza 2|POH Start</v>
      </c>
    </row>
    <row r="27" spans="1:13" x14ac:dyDescent="0.3">
      <c r="A27" t="s">
        <v>265</v>
      </c>
      <c r="B27" t="s">
        <v>24</v>
      </c>
      <c r="C27" t="s">
        <v>354</v>
      </c>
      <c r="D27">
        <f t="shared" ref="D27:K27" si="15">MAX(0,D24+D25-D26)</f>
        <v>14252.2794229309</v>
      </c>
      <c r="E27">
        <f t="shared" si="15"/>
        <v>0</v>
      </c>
      <c r="F27">
        <f t="shared" si="15"/>
        <v>0</v>
      </c>
      <c r="G27">
        <f t="shared" si="15"/>
        <v>0</v>
      </c>
      <c r="H27">
        <f t="shared" si="15"/>
        <v>0</v>
      </c>
      <c r="I27">
        <f t="shared" si="15"/>
        <v>0</v>
      </c>
      <c r="J27">
        <f t="shared" si="15"/>
        <v>3448.6347760060617</v>
      </c>
      <c r="K27">
        <f t="shared" si="15"/>
        <v>3448.6347760060635</v>
      </c>
      <c r="L27">
        <f t="shared" si="0"/>
        <v>21149.548974943023</v>
      </c>
      <c r="M27" t="str">
        <f t="shared" si="1"/>
        <v>Centro|Pieza 2|Net Req</v>
      </c>
    </row>
    <row r="28" spans="1:13" x14ac:dyDescent="0.3">
      <c r="A28" t="s">
        <v>265</v>
      </c>
      <c r="B28" t="s">
        <v>24</v>
      </c>
      <c r="C28" t="s">
        <v>355</v>
      </c>
      <c r="D28">
        <f>IF(AND(LEFT($B28,5)="Pieza",Inputs!$B$110=1),_xlfn.CEILING.MATH(L24,_xlfn.XLOOKUP($B28,Inputs!$A$35:$A$42,Inputs!$B$35:$B$42)),_xlfn.CEILING.MATH(D27,_xlfn.XLOOKUP($B28,Inputs!$A$35:$A$42,Inputs!$B$35:$B$42)))</f>
        <v>75600</v>
      </c>
      <c r="E28">
        <f>IF(AND(LEFT($B28,5)="Pieza",Inputs!$B$110=1),0,_xlfn.CEILING.MATH(E27,_xlfn.XLOOKUP($B28,Inputs!$A$35:$A$42,Inputs!$B$35:$B$42)))</f>
        <v>0</v>
      </c>
      <c r="F28">
        <f>IF(AND(LEFT($B28,5)="Pieza",Inputs!$B$110=1),0,_xlfn.CEILING.MATH(F27,_xlfn.XLOOKUP($B28,Inputs!$A$35:$A$42,Inputs!$B$35:$B$42)))</f>
        <v>0</v>
      </c>
      <c r="G28">
        <f>IF(AND(LEFT($B28,5)="Pieza",Inputs!$B$110=1),0,_xlfn.CEILING.MATH(G27,_xlfn.XLOOKUP($B28,Inputs!$A$35:$A$42,Inputs!$B$35:$B$42)))</f>
        <v>0</v>
      </c>
      <c r="H28">
        <f>IF(AND(LEFT($B28,5)="Pieza",Inputs!$B$110=1),0,_xlfn.CEILING.MATH(H27,_xlfn.XLOOKUP($B28,Inputs!$A$35:$A$42,Inputs!$B$35:$B$42)))</f>
        <v>0</v>
      </c>
      <c r="I28">
        <f>IF(AND(LEFT($B28,5)="Pieza",Inputs!$B$110=1),0,_xlfn.CEILING.MATH(I27,_xlfn.XLOOKUP($B28,Inputs!$A$35:$A$42,Inputs!$B$35:$B$42)))</f>
        <v>0</v>
      </c>
      <c r="J28">
        <f>IF(AND(LEFT($B28,5)="Pieza",Inputs!$B$110=1),0,_xlfn.CEILING.MATH(J27,_xlfn.XLOOKUP($B28,Inputs!$A$35:$A$42,Inputs!$B$35:$B$42)))</f>
        <v>0</v>
      </c>
      <c r="K28">
        <f>IF(AND(LEFT($B28,5)="Pieza",Inputs!$B$110=1),0,_xlfn.CEILING.MATH(K27,_xlfn.XLOOKUP($B28,Inputs!$A$35:$A$42,Inputs!$B$35:$B$42)))</f>
        <v>0</v>
      </c>
      <c r="L28">
        <f t="shared" si="0"/>
        <v>75600</v>
      </c>
      <c r="M28" t="str">
        <f t="shared" si="1"/>
        <v>Centro|Pieza 2|Planned Receipt</v>
      </c>
    </row>
    <row r="29" spans="1:13" x14ac:dyDescent="0.3">
      <c r="A29" t="s">
        <v>265</v>
      </c>
      <c r="B29" t="s">
        <v>24</v>
      </c>
      <c r="C29" t="s">
        <v>356</v>
      </c>
      <c r="D29">
        <f t="shared" ref="D29:K29" si="16">D28</f>
        <v>75600</v>
      </c>
      <c r="E29">
        <f t="shared" si="16"/>
        <v>0</v>
      </c>
      <c r="F29">
        <f t="shared" si="16"/>
        <v>0</v>
      </c>
      <c r="G29">
        <f t="shared" si="16"/>
        <v>0</v>
      </c>
      <c r="H29">
        <f t="shared" si="16"/>
        <v>0</v>
      </c>
      <c r="I29">
        <f t="shared" si="16"/>
        <v>0</v>
      </c>
      <c r="J29">
        <f t="shared" si="16"/>
        <v>0</v>
      </c>
      <c r="K29">
        <f t="shared" si="16"/>
        <v>0</v>
      </c>
      <c r="L29">
        <f t="shared" si="0"/>
        <v>75600</v>
      </c>
      <c r="M29" t="str">
        <f t="shared" si="1"/>
        <v>Centro|Pieza 2|Planned Release</v>
      </c>
    </row>
    <row r="30" spans="1:13" x14ac:dyDescent="0.3">
      <c r="A30" t="s">
        <v>265</v>
      </c>
      <c r="B30" t="s">
        <v>24</v>
      </c>
      <c r="C30" t="s">
        <v>357</v>
      </c>
      <c r="D30">
        <f t="shared" ref="D30:K30" si="17">D26+D28-D24</f>
        <v>68644.607441154134</v>
      </c>
      <c r="E30">
        <f t="shared" si="17"/>
        <v>57845.214882308275</v>
      </c>
      <c r="F30">
        <f t="shared" si="17"/>
        <v>47045.822323462417</v>
      </c>
      <c r="G30">
        <f t="shared" si="17"/>
        <v>36246.429764616558</v>
      </c>
      <c r="H30">
        <f t="shared" si="17"/>
        <v>25447.037205770699</v>
      </c>
      <c r="I30">
        <f t="shared" si="17"/>
        <v>14647.644646924839</v>
      </c>
      <c r="J30">
        <f t="shared" si="17"/>
        <v>3848.252088078978</v>
      </c>
      <c r="K30">
        <f t="shared" si="17"/>
        <v>3848.252088078978</v>
      </c>
      <c r="L30">
        <f t="shared" si="0"/>
        <v>257573.26044039484</v>
      </c>
      <c r="M30" t="str">
        <f t="shared" si="1"/>
        <v>Centro|Pieza 2|POH End</v>
      </c>
    </row>
    <row r="31" spans="1:13" x14ac:dyDescent="0.3">
      <c r="A31" t="s">
        <v>265</v>
      </c>
      <c r="B31" t="s">
        <v>25</v>
      </c>
      <c r="C31" t="s">
        <v>352</v>
      </c>
      <c r="D31">
        <f>INDEX(BOM_Consumo!$C$6:$J$13,MATCH($B31,BOM_Consumo!$A$6:$A$13,0),COLUMN()-COLUMN($D$2)+1)*IF($A31="Centro",_xlfn.XLOOKUP($B31,Multi_Planta!$A$6:$A$13,Multi_Planta!$G$6:$G$13),1-_xlfn.XLOOKUP($B31,Multi_Planta!$A$6:$A$13,Multi_Planta!$G$6:$G$13))</f>
        <v>400.2711747057466</v>
      </c>
      <c r="E31">
        <f>INDEX(BOM_Consumo!$C$6:$J$13,MATCH($B31,BOM_Consumo!$A$6:$A$13,0),COLUMN()-COLUMN($D$2)+1)*IF($A31="Centro",_xlfn.XLOOKUP($B31,Multi_Planta!$A$6:$A$13,Multi_Planta!$G$6:$G$13),1-_xlfn.XLOOKUP($B31,Multi_Planta!$A$6:$A$13,Multi_Planta!$G$6:$G$13))</f>
        <v>400.2711747057466</v>
      </c>
      <c r="F31">
        <f>INDEX(BOM_Consumo!$C$6:$J$13,MATCH($B31,BOM_Consumo!$A$6:$A$13,0),COLUMN()-COLUMN($D$2)+1)*IF($A31="Centro",_xlfn.XLOOKUP($B31,Multi_Planta!$A$6:$A$13,Multi_Planta!$G$6:$G$13),1-_xlfn.XLOOKUP($B31,Multi_Planta!$A$6:$A$13,Multi_Planta!$G$6:$G$13))</f>
        <v>400.2711747057466</v>
      </c>
      <c r="G31">
        <f>INDEX(BOM_Consumo!$C$6:$J$13,MATCH($B31,BOM_Consumo!$A$6:$A$13,0),COLUMN()-COLUMN($D$2)+1)*IF($A31="Centro",_xlfn.XLOOKUP($B31,Multi_Planta!$A$6:$A$13,Multi_Planta!$G$6:$G$13),1-_xlfn.XLOOKUP($B31,Multi_Planta!$A$6:$A$13,Multi_Planta!$G$6:$G$13))</f>
        <v>400.2711747057466</v>
      </c>
      <c r="H31">
        <f>INDEX(BOM_Consumo!$C$6:$J$13,MATCH($B31,BOM_Consumo!$A$6:$A$13,0),COLUMN()-COLUMN($D$2)+1)*IF($A31="Centro",_xlfn.XLOOKUP($B31,Multi_Planta!$A$6:$A$13,Multi_Planta!$G$6:$G$13),1-_xlfn.XLOOKUP($B31,Multi_Planta!$A$6:$A$13,Multi_Planta!$G$6:$G$13))</f>
        <v>400.2711747057466</v>
      </c>
      <c r="I31">
        <f>INDEX(BOM_Consumo!$C$6:$J$13,MATCH($B31,BOM_Consumo!$A$6:$A$13,0),COLUMN()-COLUMN($D$2)+1)*IF($A31="Centro",_xlfn.XLOOKUP($B31,Multi_Planta!$A$6:$A$13,Multi_Planta!$G$6:$G$13),1-_xlfn.XLOOKUP($B31,Multi_Planta!$A$6:$A$13,Multi_Planta!$G$6:$G$13))</f>
        <v>400.2711747057466</v>
      </c>
      <c r="J31">
        <f>INDEX(BOM_Consumo!$C$6:$J$13,MATCH($B31,BOM_Consumo!$A$6:$A$13,0),COLUMN()-COLUMN($D$2)+1)*IF($A31="Centro",_xlfn.XLOOKUP($B31,Multi_Planta!$A$6:$A$13,Multi_Planta!$G$6:$G$13),1-_xlfn.XLOOKUP($B31,Multi_Planta!$A$6:$A$13,Multi_Planta!$G$6:$G$13))</f>
        <v>400.2711747057466</v>
      </c>
      <c r="K31">
        <f>INDEX(BOM_Consumo!$C$6:$J$13,MATCH($B31,BOM_Consumo!$A$6:$A$13,0),COLUMN()-COLUMN($D$2)+1)*IF($A31="Centro",_xlfn.XLOOKUP($B31,Multi_Planta!$A$6:$A$13,Multi_Planta!$G$6:$G$13),1-_xlfn.XLOOKUP($B31,Multi_Planta!$A$6:$A$13,Multi_Planta!$G$6:$G$13))</f>
        <v>0</v>
      </c>
      <c r="L31">
        <f t="shared" si="0"/>
        <v>2801.8982229402259</v>
      </c>
      <c r="M31" t="str">
        <f t="shared" si="1"/>
        <v>Centro|Pieza 3|Gross Req</v>
      </c>
    </row>
    <row r="32" spans="1:13" x14ac:dyDescent="0.3">
      <c r="A32" t="s">
        <v>265</v>
      </c>
      <c r="B32" t="s">
        <v>25</v>
      </c>
      <c r="C32" t="s">
        <v>81</v>
      </c>
      <c r="D32">
        <f>IFERROR(_xlfn.XLOOKUP($B32,Inputs!$A$82:$A$87,Inputs!$B$82:$B$87),0)*IF($A32="Centro",_xlfn.XLOOKUP($B32,Multi_Planta!$A$6:$A$13,Multi_Planta!$G$6:$G$13),1-_xlfn.XLOOKUP($B32,Multi_Planta!$A$6:$A$13,Multi_Planta!$G$6:$G$13))</f>
        <v>721.20932379413807</v>
      </c>
      <c r="E32">
        <f>IFERROR(_xlfn.XLOOKUP($B32,Inputs!$A$82:$A$87,Inputs!$B$82:$B$87),0)*IF($A32="Centro",_xlfn.XLOOKUP($B32,Multi_Planta!$A$6:$A$13,Multi_Planta!$G$6:$G$13),1-_xlfn.XLOOKUP($B32,Multi_Planta!$A$6:$A$13,Multi_Planta!$G$6:$G$13))</f>
        <v>721.20932379413807</v>
      </c>
      <c r="F32">
        <f>IFERROR(_xlfn.XLOOKUP($B32,Inputs!$A$82:$A$87,Inputs!$B$82:$B$87),0)*IF($A32="Centro",_xlfn.XLOOKUP($B32,Multi_Planta!$A$6:$A$13,Multi_Planta!$G$6:$G$13),1-_xlfn.XLOOKUP($B32,Multi_Planta!$A$6:$A$13,Multi_Planta!$G$6:$G$13))</f>
        <v>721.20932379413807</v>
      </c>
      <c r="G32">
        <f>IFERROR(_xlfn.XLOOKUP($B32,Inputs!$A$82:$A$87,Inputs!$B$82:$B$87),0)*IF($A32="Centro",_xlfn.XLOOKUP($B32,Multi_Planta!$A$6:$A$13,Multi_Planta!$G$6:$G$13),1-_xlfn.XLOOKUP($B32,Multi_Planta!$A$6:$A$13,Multi_Planta!$G$6:$G$13))</f>
        <v>721.20932379413807</v>
      </c>
      <c r="H32">
        <f>IFERROR(_xlfn.XLOOKUP($B32,Inputs!$A$82:$A$87,Inputs!$B$82:$B$87),0)*IF($A32="Centro",_xlfn.XLOOKUP($B32,Multi_Planta!$A$6:$A$13,Multi_Planta!$G$6:$G$13),1-_xlfn.XLOOKUP($B32,Multi_Planta!$A$6:$A$13,Multi_Planta!$G$6:$G$13))</f>
        <v>721.20932379413807</v>
      </c>
      <c r="I32">
        <f>IFERROR(_xlfn.XLOOKUP($B32,Inputs!$A$82:$A$87,Inputs!$B$82:$B$87),0)*IF($A32="Centro",_xlfn.XLOOKUP($B32,Multi_Planta!$A$6:$A$13,Multi_Planta!$G$6:$G$13),1-_xlfn.XLOOKUP($B32,Multi_Planta!$A$6:$A$13,Multi_Planta!$G$6:$G$13))</f>
        <v>721.20932379413807</v>
      </c>
      <c r="J32">
        <f>IFERROR(_xlfn.XLOOKUP($B32,Inputs!$A$82:$A$87,Inputs!$B$82:$B$87),0)*IF($A32="Centro",_xlfn.XLOOKUP($B32,Multi_Planta!$A$6:$A$13,Multi_Planta!$G$6:$G$13),1-_xlfn.XLOOKUP($B32,Multi_Planta!$A$6:$A$13,Multi_Planta!$G$6:$G$13))</f>
        <v>721.20932379413807</v>
      </c>
      <c r="K32">
        <f>IFERROR(_xlfn.XLOOKUP($B32,Inputs!$A$82:$A$87,Inputs!$B$82:$B$87),0)*IF($A32="Centro",_xlfn.XLOOKUP($B32,Multi_Planta!$A$6:$A$13,Multi_Planta!$G$6:$G$13),1-_xlfn.XLOOKUP($B32,Multi_Planta!$A$6:$A$13,Multi_Planta!$G$6:$G$13))</f>
        <v>721.20932379413807</v>
      </c>
      <c r="L32">
        <f t="shared" si="0"/>
        <v>5769.6745903531046</v>
      </c>
      <c r="M32" t="str">
        <f t="shared" si="1"/>
        <v>Centro|Pieza 3|Safety Stock</v>
      </c>
    </row>
    <row r="33" spans="1:13" x14ac:dyDescent="0.3">
      <c r="A33" t="s">
        <v>265</v>
      </c>
      <c r="B33" t="s">
        <v>25</v>
      </c>
      <c r="C33" t="s">
        <v>353</v>
      </c>
      <c r="D33">
        <f>IF($A33="Centro",_xlfn.XLOOKUP($B33,Multi_Planta!$A$6:$A$13,Multi_Planta!$B$6:$B$13),_xlfn.XLOOKUP($B33,Multi_Planta!$A$6:$A$13,Multi_Planta!$C$6:$C$13))</f>
        <v>3125</v>
      </c>
      <c r="E33">
        <f t="shared" ref="E33:K33" si="18">D37</f>
        <v>5544.7288252942535</v>
      </c>
      <c r="F33">
        <f t="shared" si="18"/>
        <v>5144.457650588507</v>
      </c>
      <c r="G33">
        <f t="shared" si="18"/>
        <v>4744.1864758827605</v>
      </c>
      <c r="H33">
        <f t="shared" si="18"/>
        <v>4343.915301177014</v>
      </c>
      <c r="I33">
        <f t="shared" si="18"/>
        <v>3943.6441264712676</v>
      </c>
      <c r="J33">
        <f t="shared" si="18"/>
        <v>3543.3729517655211</v>
      </c>
      <c r="K33">
        <f t="shared" si="18"/>
        <v>3143.1017770597746</v>
      </c>
      <c r="L33">
        <f t="shared" si="0"/>
        <v>33532.407108239095</v>
      </c>
      <c r="M33" t="str">
        <f t="shared" si="1"/>
        <v>Centro|Pieza 3|POH Start</v>
      </c>
    </row>
    <row r="34" spans="1:13" x14ac:dyDescent="0.3">
      <c r="A34" t="s">
        <v>265</v>
      </c>
      <c r="B34" t="s">
        <v>25</v>
      </c>
      <c r="C34" t="s">
        <v>354</v>
      </c>
      <c r="D34">
        <f t="shared" ref="D34:K34" si="19">MAX(0,D31+D32-D33)</f>
        <v>0</v>
      </c>
      <c r="E34">
        <f t="shared" si="19"/>
        <v>0</v>
      </c>
      <c r="F34">
        <f t="shared" si="19"/>
        <v>0</v>
      </c>
      <c r="G34">
        <f t="shared" si="19"/>
        <v>0</v>
      </c>
      <c r="H34">
        <f t="shared" si="19"/>
        <v>0</v>
      </c>
      <c r="I34">
        <f t="shared" si="19"/>
        <v>0</v>
      </c>
      <c r="J34">
        <f t="shared" si="19"/>
        <v>0</v>
      </c>
      <c r="K34">
        <f t="shared" si="19"/>
        <v>0</v>
      </c>
      <c r="L34">
        <f t="shared" si="0"/>
        <v>0</v>
      </c>
      <c r="M34" t="str">
        <f t="shared" si="1"/>
        <v>Centro|Pieza 3|Net Req</v>
      </c>
    </row>
    <row r="35" spans="1:13" x14ac:dyDescent="0.3">
      <c r="A35" t="s">
        <v>265</v>
      </c>
      <c r="B35" t="s">
        <v>25</v>
      </c>
      <c r="C35" t="s">
        <v>355</v>
      </c>
      <c r="D35">
        <f>IF(AND(LEFT($B35,5)="Pieza",Inputs!$B$110=1),_xlfn.CEILING.MATH(L31,_xlfn.XLOOKUP($B35,Inputs!$A$35:$A$42,Inputs!$B$35:$B$42)),_xlfn.CEILING.MATH(D34,_xlfn.XLOOKUP($B35,Inputs!$A$35:$A$42,Inputs!$B$35:$B$42)))</f>
        <v>2820</v>
      </c>
      <c r="E35">
        <f>IF(AND(LEFT($B35,5)="Pieza",Inputs!$B$110=1),0,_xlfn.CEILING.MATH(E34,_xlfn.XLOOKUP($B35,Inputs!$A$35:$A$42,Inputs!$B$35:$B$42)))</f>
        <v>0</v>
      </c>
      <c r="F35">
        <f>IF(AND(LEFT($B35,5)="Pieza",Inputs!$B$110=1),0,_xlfn.CEILING.MATH(F34,_xlfn.XLOOKUP($B35,Inputs!$A$35:$A$42,Inputs!$B$35:$B$42)))</f>
        <v>0</v>
      </c>
      <c r="G35">
        <f>IF(AND(LEFT($B35,5)="Pieza",Inputs!$B$110=1),0,_xlfn.CEILING.MATH(G34,_xlfn.XLOOKUP($B35,Inputs!$A$35:$A$42,Inputs!$B$35:$B$42)))</f>
        <v>0</v>
      </c>
      <c r="H35">
        <f>IF(AND(LEFT($B35,5)="Pieza",Inputs!$B$110=1),0,_xlfn.CEILING.MATH(H34,_xlfn.XLOOKUP($B35,Inputs!$A$35:$A$42,Inputs!$B$35:$B$42)))</f>
        <v>0</v>
      </c>
      <c r="I35">
        <f>IF(AND(LEFT($B35,5)="Pieza",Inputs!$B$110=1),0,_xlfn.CEILING.MATH(I34,_xlfn.XLOOKUP($B35,Inputs!$A$35:$A$42,Inputs!$B$35:$B$42)))</f>
        <v>0</v>
      </c>
      <c r="J35">
        <f>IF(AND(LEFT($B35,5)="Pieza",Inputs!$B$110=1),0,_xlfn.CEILING.MATH(J34,_xlfn.XLOOKUP($B35,Inputs!$A$35:$A$42,Inputs!$B$35:$B$42)))</f>
        <v>0</v>
      </c>
      <c r="K35">
        <f>IF(AND(LEFT($B35,5)="Pieza",Inputs!$B$110=1),0,_xlfn.CEILING.MATH(K34,_xlfn.XLOOKUP($B35,Inputs!$A$35:$A$42,Inputs!$B$35:$B$42)))</f>
        <v>0</v>
      </c>
      <c r="L35">
        <f t="shared" ref="L35:L66" si="20">SUM(D35:K35)</f>
        <v>2820</v>
      </c>
      <c r="M35" t="str">
        <f t="shared" ref="M35:M66" si="21">A35&amp;"|"&amp;B35&amp;"|"&amp;C35</f>
        <v>Centro|Pieza 3|Planned Receipt</v>
      </c>
    </row>
    <row r="36" spans="1:13" x14ac:dyDescent="0.3">
      <c r="A36" t="s">
        <v>265</v>
      </c>
      <c r="B36" t="s">
        <v>25</v>
      </c>
      <c r="C36" t="s">
        <v>356</v>
      </c>
      <c r="D36">
        <f t="shared" ref="D36:K36" si="22">D35</f>
        <v>2820</v>
      </c>
      <c r="E36">
        <f t="shared" si="22"/>
        <v>0</v>
      </c>
      <c r="F36">
        <f t="shared" si="22"/>
        <v>0</v>
      </c>
      <c r="G36">
        <f t="shared" si="22"/>
        <v>0</v>
      </c>
      <c r="H36">
        <f t="shared" si="22"/>
        <v>0</v>
      </c>
      <c r="I36">
        <f t="shared" si="22"/>
        <v>0</v>
      </c>
      <c r="J36">
        <f t="shared" si="22"/>
        <v>0</v>
      </c>
      <c r="K36">
        <f t="shared" si="22"/>
        <v>0</v>
      </c>
      <c r="L36">
        <f t="shared" si="20"/>
        <v>2820</v>
      </c>
      <c r="M36" t="str">
        <f t="shared" si="21"/>
        <v>Centro|Pieza 3|Planned Release</v>
      </c>
    </row>
    <row r="37" spans="1:13" x14ac:dyDescent="0.3">
      <c r="A37" t="s">
        <v>265</v>
      </c>
      <c r="B37" t="s">
        <v>25</v>
      </c>
      <c r="C37" t="s">
        <v>357</v>
      </c>
      <c r="D37">
        <f t="shared" ref="D37:K37" si="23">D33+D35-D31</f>
        <v>5544.7288252942535</v>
      </c>
      <c r="E37">
        <f t="shared" si="23"/>
        <v>5144.457650588507</v>
      </c>
      <c r="F37">
        <f t="shared" si="23"/>
        <v>4744.1864758827605</v>
      </c>
      <c r="G37">
        <f t="shared" si="23"/>
        <v>4343.915301177014</v>
      </c>
      <c r="H37">
        <f t="shared" si="23"/>
        <v>3943.6441264712676</v>
      </c>
      <c r="I37">
        <f t="shared" si="23"/>
        <v>3543.3729517655211</v>
      </c>
      <c r="J37">
        <f t="shared" si="23"/>
        <v>3143.1017770597746</v>
      </c>
      <c r="K37">
        <f t="shared" si="23"/>
        <v>3143.1017770597746</v>
      </c>
      <c r="L37">
        <f t="shared" si="20"/>
        <v>33550.508885298877</v>
      </c>
      <c r="M37" t="str">
        <f t="shared" si="21"/>
        <v>Centro|Pieza 3|POH End</v>
      </c>
    </row>
    <row r="38" spans="1:13" x14ac:dyDescent="0.3">
      <c r="A38" t="s">
        <v>265</v>
      </c>
      <c r="B38" t="s">
        <v>26</v>
      </c>
      <c r="C38" t="s">
        <v>352</v>
      </c>
      <c r="D38">
        <f>INDEX(BOM_Consumo!$C$6:$J$13,MATCH($B38,BOM_Consumo!$A$6:$A$13,0),COLUMN()-COLUMN($D$2)+1)*IF($A38="Centro",_xlfn.XLOOKUP($B38,Multi_Planta!$A$6:$A$13,Multi_Planta!$G$6:$G$13),1-_xlfn.XLOOKUP($B38,Multi_Planta!$A$6:$A$13,Multi_Planta!$G$6:$G$13))</f>
        <v>801.8628490632733</v>
      </c>
      <c r="E38">
        <f>INDEX(BOM_Consumo!$C$6:$J$13,MATCH($B38,BOM_Consumo!$A$6:$A$13,0),COLUMN()-COLUMN($D$2)+1)*IF($A38="Centro",_xlfn.XLOOKUP($B38,Multi_Planta!$A$6:$A$13,Multi_Planta!$G$6:$G$13),1-_xlfn.XLOOKUP($B38,Multi_Planta!$A$6:$A$13,Multi_Planta!$G$6:$G$13))</f>
        <v>801.8628490632733</v>
      </c>
      <c r="F38">
        <f>INDEX(BOM_Consumo!$C$6:$J$13,MATCH($B38,BOM_Consumo!$A$6:$A$13,0),COLUMN()-COLUMN($D$2)+1)*IF($A38="Centro",_xlfn.XLOOKUP($B38,Multi_Planta!$A$6:$A$13,Multi_Planta!$G$6:$G$13),1-_xlfn.XLOOKUP($B38,Multi_Planta!$A$6:$A$13,Multi_Planta!$G$6:$G$13))</f>
        <v>801.8628490632733</v>
      </c>
      <c r="G38">
        <f>INDEX(BOM_Consumo!$C$6:$J$13,MATCH($B38,BOM_Consumo!$A$6:$A$13,0),COLUMN()-COLUMN($D$2)+1)*IF($A38="Centro",_xlfn.XLOOKUP($B38,Multi_Planta!$A$6:$A$13,Multi_Planta!$G$6:$G$13),1-_xlfn.XLOOKUP($B38,Multi_Planta!$A$6:$A$13,Multi_Planta!$G$6:$G$13))</f>
        <v>801.8628490632733</v>
      </c>
      <c r="H38">
        <f>INDEX(BOM_Consumo!$C$6:$J$13,MATCH($B38,BOM_Consumo!$A$6:$A$13,0),COLUMN()-COLUMN($D$2)+1)*IF($A38="Centro",_xlfn.XLOOKUP($B38,Multi_Planta!$A$6:$A$13,Multi_Planta!$G$6:$G$13),1-_xlfn.XLOOKUP($B38,Multi_Planta!$A$6:$A$13,Multi_Planta!$G$6:$G$13))</f>
        <v>801.8628490632733</v>
      </c>
      <c r="I38">
        <f>INDEX(BOM_Consumo!$C$6:$J$13,MATCH($B38,BOM_Consumo!$A$6:$A$13,0),COLUMN()-COLUMN($D$2)+1)*IF($A38="Centro",_xlfn.XLOOKUP($B38,Multi_Planta!$A$6:$A$13,Multi_Planta!$G$6:$G$13),1-_xlfn.XLOOKUP($B38,Multi_Planta!$A$6:$A$13,Multi_Planta!$G$6:$G$13))</f>
        <v>801.8628490632733</v>
      </c>
      <c r="J38">
        <f>INDEX(BOM_Consumo!$C$6:$J$13,MATCH($B38,BOM_Consumo!$A$6:$A$13,0),COLUMN()-COLUMN($D$2)+1)*IF($A38="Centro",_xlfn.XLOOKUP($B38,Multi_Planta!$A$6:$A$13,Multi_Planta!$G$6:$G$13),1-_xlfn.XLOOKUP($B38,Multi_Planta!$A$6:$A$13,Multi_Planta!$G$6:$G$13))</f>
        <v>801.8628490632733</v>
      </c>
      <c r="K38">
        <f>INDEX(BOM_Consumo!$C$6:$J$13,MATCH($B38,BOM_Consumo!$A$6:$A$13,0),COLUMN()-COLUMN($D$2)+1)*IF($A38="Centro",_xlfn.XLOOKUP($B38,Multi_Planta!$A$6:$A$13,Multi_Planta!$G$6:$G$13),1-_xlfn.XLOOKUP($B38,Multi_Planta!$A$6:$A$13,Multi_Planta!$G$6:$G$13))</f>
        <v>0</v>
      </c>
      <c r="L38">
        <f t="shared" si="20"/>
        <v>5613.0399434429137</v>
      </c>
      <c r="M38" t="str">
        <f t="shared" si="21"/>
        <v>Centro|Pieza 4|Gross Req</v>
      </c>
    </row>
    <row r="39" spans="1:13" x14ac:dyDescent="0.3">
      <c r="A39" t="s">
        <v>265</v>
      </c>
      <c r="B39" t="s">
        <v>26</v>
      </c>
      <c r="C39" t="s">
        <v>81</v>
      </c>
      <c r="D39">
        <f>IFERROR(_xlfn.XLOOKUP($B39,Inputs!$A$82:$A$87,Inputs!$B$82:$B$87),0)*IF($A39="Centro",_xlfn.XLOOKUP($B39,Multi_Planta!$A$6:$A$13,Multi_Planta!$G$6:$G$13),1-_xlfn.XLOOKUP($B39,Multi_Planta!$A$6:$A$13,Multi_Planta!$G$6:$G$13))</f>
        <v>1444.797926240132</v>
      </c>
      <c r="E39">
        <f>IFERROR(_xlfn.XLOOKUP($B39,Inputs!$A$82:$A$87,Inputs!$B$82:$B$87),0)*IF($A39="Centro",_xlfn.XLOOKUP($B39,Multi_Planta!$A$6:$A$13,Multi_Planta!$G$6:$G$13),1-_xlfn.XLOOKUP($B39,Multi_Planta!$A$6:$A$13,Multi_Planta!$G$6:$G$13))</f>
        <v>1444.797926240132</v>
      </c>
      <c r="F39">
        <f>IFERROR(_xlfn.XLOOKUP($B39,Inputs!$A$82:$A$87,Inputs!$B$82:$B$87),0)*IF($A39="Centro",_xlfn.XLOOKUP($B39,Multi_Planta!$A$6:$A$13,Multi_Planta!$G$6:$G$13),1-_xlfn.XLOOKUP($B39,Multi_Planta!$A$6:$A$13,Multi_Planta!$G$6:$G$13))</f>
        <v>1444.797926240132</v>
      </c>
      <c r="G39">
        <f>IFERROR(_xlfn.XLOOKUP($B39,Inputs!$A$82:$A$87,Inputs!$B$82:$B$87),0)*IF($A39="Centro",_xlfn.XLOOKUP($B39,Multi_Planta!$A$6:$A$13,Multi_Planta!$G$6:$G$13),1-_xlfn.XLOOKUP($B39,Multi_Planta!$A$6:$A$13,Multi_Planta!$G$6:$G$13))</f>
        <v>1444.797926240132</v>
      </c>
      <c r="H39">
        <f>IFERROR(_xlfn.XLOOKUP($B39,Inputs!$A$82:$A$87,Inputs!$B$82:$B$87),0)*IF($A39="Centro",_xlfn.XLOOKUP($B39,Multi_Planta!$A$6:$A$13,Multi_Planta!$G$6:$G$13),1-_xlfn.XLOOKUP($B39,Multi_Planta!$A$6:$A$13,Multi_Planta!$G$6:$G$13))</f>
        <v>1444.797926240132</v>
      </c>
      <c r="I39">
        <f>IFERROR(_xlfn.XLOOKUP($B39,Inputs!$A$82:$A$87,Inputs!$B$82:$B$87),0)*IF($A39="Centro",_xlfn.XLOOKUP($B39,Multi_Planta!$A$6:$A$13,Multi_Planta!$G$6:$G$13),1-_xlfn.XLOOKUP($B39,Multi_Planta!$A$6:$A$13,Multi_Planta!$G$6:$G$13))</f>
        <v>1444.797926240132</v>
      </c>
      <c r="J39">
        <f>IFERROR(_xlfn.XLOOKUP($B39,Inputs!$A$82:$A$87,Inputs!$B$82:$B$87),0)*IF($A39="Centro",_xlfn.XLOOKUP($B39,Multi_Planta!$A$6:$A$13,Multi_Planta!$G$6:$G$13),1-_xlfn.XLOOKUP($B39,Multi_Planta!$A$6:$A$13,Multi_Planta!$G$6:$G$13))</f>
        <v>1444.797926240132</v>
      </c>
      <c r="K39">
        <f>IFERROR(_xlfn.XLOOKUP($B39,Inputs!$A$82:$A$87,Inputs!$B$82:$B$87),0)*IF($A39="Centro",_xlfn.XLOOKUP($B39,Multi_Planta!$A$6:$A$13,Multi_Planta!$G$6:$G$13),1-_xlfn.XLOOKUP($B39,Multi_Planta!$A$6:$A$13,Multi_Planta!$G$6:$G$13))</f>
        <v>1444.797926240132</v>
      </c>
      <c r="L39">
        <f t="shared" si="20"/>
        <v>11558.383409921054</v>
      </c>
      <c r="M39" t="str">
        <f t="shared" si="21"/>
        <v>Centro|Pieza 4|Safety Stock</v>
      </c>
    </row>
    <row r="40" spans="1:13" x14ac:dyDescent="0.3">
      <c r="A40" t="s">
        <v>265</v>
      </c>
      <c r="B40" t="s">
        <v>26</v>
      </c>
      <c r="C40" t="s">
        <v>353</v>
      </c>
      <c r="D40">
        <f>IF($A40="Centro",_xlfn.XLOOKUP($B40,Multi_Planta!$A$6:$A$13,Multi_Planta!$B$6:$B$13),_xlfn.XLOOKUP($B40,Multi_Planta!$A$6:$A$13,Multi_Planta!$C$6:$C$13))</f>
        <v>6131</v>
      </c>
      <c r="E40">
        <f t="shared" ref="E40:K40" si="24">D44</f>
        <v>10969.137150936727</v>
      </c>
      <c r="F40">
        <f t="shared" si="24"/>
        <v>10167.274301873455</v>
      </c>
      <c r="G40">
        <f t="shared" si="24"/>
        <v>9365.4114528101818</v>
      </c>
      <c r="H40">
        <f t="shared" si="24"/>
        <v>8563.5486037469091</v>
      </c>
      <c r="I40">
        <f t="shared" si="24"/>
        <v>7761.6857546836354</v>
      </c>
      <c r="J40">
        <f t="shared" si="24"/>
        <v>6959.8229056203618</v>
      </c>
      <c r="K40">
        <f t="shared" si="24"/>
        <v>6157.9600565570881</v>
      </c>
      <c r="L40">
        <f t="shared" si="20"/>
        <v>66075.840226228363</v>
      </c>
      <c r="M40" t="str">
        <f t="shared" si="21"/>
        <v>Centro|Pieza 4|POH Start</v>
      </c>
    </row>
    <row r="41" spans="1:13" x14ac:dyDescent="0.3">
      <c r="A41" t="s">
        <v>265</v>
      </c>
      <c r="B41" t="s">
        <v>26</v>
      </c>
      <c r="C41" t="s">
        <v>354</v>
      </c>
      <c r="D41">
        <f t="shared" ref="D41:K41" si="25">MAX(0,D38+D39-D40)</f>
        <v>0</v>
      </c>
      <c r="E41">
        <f t="shared" si="25"/>
        <v>0</v>
      </c>
      <c r="F41">
        <f t="shared" si="25"/>
        <v>0</v>
      </c>
      <c r="G41">
        <f t="shared" si="25"/>
        <v>0</v>
      </c>
      <c r="H41">
        <f t="shared" si="25"/>
        <v>0</v>
      </c>
      <c r="I41">
        <f t="shared" si="25"/>
        <v>0</v>
      </c>
      <c r="J41">
        <f t="shared" si="25"/>
        <v>0</v>
      </c>
      <c r="K41">
        <f t="shared" si="25"/>
        <v>0</v>
      </c>
      <c r="L41">
        <f t="shared" si="20"/>
        <v>0</v>
      </c>
      <c r="M41" t="str">
        <f t="shared" si="21"/>
        <v>Centro|Pieza 4|Net Req</v>
      </c>
    </row>
    <row r="42" spans="1:13" x14ac:dyDescent="0.3">
      <c r="A42" t="s">
        <v>265</v>
      </c>
      <c r="B42" t="s">
        <v>26</v>
      </c>
      <c r="C42" t="s">
        <v>355</v>
      </c>
      <c r="D42">
        <f>IF(AND(LEFT($B42,5)="Pieza",Inputs!$B$110=1),_xlfn.CEILING.MATH(L38,_xlfn.XLOOKUP($B42,Inputs!$A$35:$A$42,Inputs!$B$35:$B$42)),_xlfn.CEILING.MATH(D41,_xlfn.XLOOKUP($B42,Inputs!$A$35:$A$42,Inputs!$B$35:$B$42)))</f>
        <v>5640</v>
      </c>
      <c r="E42">
        <f>IF(AND(LEFT($B42,5)="Pieza",Inputs!$B$110=1),0,_xlfn.CEILING.MATH(E41,_xlfn.XLOOKUP($B42,Inputs!$A$35:$A$42,Inputs!$B$35:$B$42)))</f>
        <v>0</v>
      </c>
      <c r="F42">
        <f>IF(AND(LEFT($B42,5)="Pieza",Inputs!$B$110=1),0,_xlfn.CEILING.MATH(F41,_xlfn.XLOOKUP($B42,Inputs!$A$35:$A$42,Inputs!$B$35:$B$42)))</f>
        <v>0</v>
      </c>
      <c r="G42">
        <f>IF(AND(LEFT($B42,5)="Pieza",Inputs!$B$110=1),0,_xlfn.CEILING.MATH(G41,_xlfn.XLOOKUP($B42,Inputs!$A$35:$A$42,Inputs!$B$35:$B$42)))</f>
        <v>0</v>
      </c>
      <c r="H42">
        <f>IF(AND(LEFT($B42,5)="Pieza",Inputs!$B$110=1),0,_xlfn.CEILING.MATH(H41,_xlfn.XLOOKUP($B42,Inputs!$A$35:$A$42,Inputs!$B$35:$B$42)))</f>
        <v>0</v>
      </c>
      <c r="I42">
        <f>IF(AND(LEFT($B42,5)="Pieza",Inputs!$B$110=1),0,_xlfn.CEILING.MATH(I41,_xlfn.XLOOKUP($B42,Inputs!$A$35:$A$42,Inputs!$B$35:$B$42)))</f>
        <v>0</v>
      </c>
      <c r="J42">
        <f>IF(AND(LEFT($B42,5)="Pieza",Inputs!$B$110=1),0,_xlfn.CEILING.MATH(J41,_xlfn.XLOOKUP($B42,Inputs!$A$35:$A$42,Inputs!$B$35:$B$42)))</f>
        <v>0</v>
      </c>
      <c r="K42">
        <f>IF(AND(LEFT($B42,5)="Pieza",Inputs!$B$110=1),0,_xlfn.CEILING.MATH(K41,_xlfn.XLOOKUP($B42,Inputs!$A$35:$A$42,Inputs!$B$35:$B$42)))</f>
        <v>0</v>
      </c>
      <c r="L42">
        <f t="shared" si="20"/>
        <v>5640</v>
      </c>
      <c r="M42" t="str">
        <f t="shared" si="21"/>
        <v>Centro|Pieza 4|Planned Receipt</v>
      </c>
    </row>
    <row r="43" spans="1:13" x14ac:dyDescent="0.3">
      <c r="A43" t="s">
        <v>265</v>
      </c>
      <c r="B43" t="s">
        <v>26</v>
      </c>
      <c r="C43" t="s">
        <v>356</v>
      </c>
      <c r="D43">
        <f t="shared" ref="D43:K43" si="26">D42</f>
        <v>5640</v>
      </c>
      <c r="E43">
        <f t="shared" si="26"/>
        <v>0</v>
      </c>
      <c r="F43">
        <f t="shared" si="26"/>
        <v>0</v>
      </c>
      <c r="G43">
        <f t="shared" si="26"/>
        <v>0</v>
      </c>
      <c r="H43">
        <f t="shared" si="26"/>
        <v>0</v>
      </c>
      <c r="I43">
        <f t="shared" si="26"/>
        <v>0</v>
      </c>
      <c r="J43">
        <f t="shared" si="26"/>
        <v>0</v>
      </c>
      <c r="K43">
        <f t="shared" si="26"/>
        <v>0</v>
      </c>
      <c r="L43">
        <f t="shared" si="20"/>
        <v>5640</v>
      </c>
      <c r="M43" t="str">
        <f t="shared" si="21"/>
        <v>Centro|Pieza 4|Planned Release</v>
      </c>
    </row>
    <row r="44" spans="1:13" x14ac:dyDescent="0.3">
      <c r="A44" t="s">
        <v>265</v>
      </c>
      <c r="B44" t="s">
        <v>26</v>
      </c>
      <c r="C44" t="s">
        <v>357</v>
      </c>
      <c r="D44">
        <f t="shared" ref="D44:K44" si="27">D40+D42-D38</f>
        <v>10969.137150936727</v>
      </c>
      <c r="E44">
        <f t="shared" si="27"/>
        <v>10167.274301873455</v>
      </c>
      <c r="F44">
        <f t="shared" si="27"/>
        <v>9365.4114528101818</v>
      </c>
      <c r="G44">
        <f t="shared" si="27"/>
        <v>8563.5486037469091</v>
      </c>
      <c r="H44">
        <f t="shared" si="27"/>
        <v>7761.6857546836354</v>
      </c>
      <c r="I44">
        <f t="shared" si="27"/>
        <v>6959.8229056203618</v>
      </c>
      <c r="J44">
        <f t="shared" si="27"/>
        <v>6157.9600565570881</v>
      </c>
      <c r="K44">
        <f t="shared" si="27"/>
        <v>6157.9600565570881</v>
      </c>
      <c r="L44">
        <f t="shared" si="20"/>
        <v>66102.800282785451</v>
      </c>
      <c r="M44" t="str">
        <f t="shared" si="21"/>
        <v>Centro|Pieza 4|POH End</v>
      </c>
    </row>
    <row r="45" spans="1:13" x14ac:dyDescent="0.3">
      <c r="A45" t="s">
        <v>265</v>
      </c>
      <c r="B45" t="s">
        <v>27</v>
      </c>
      <c r="C45" t="s">
        <v>352</v>
      </c>
      <c r="D45">
        <f>INDEX(BOM_Consumo!$C$6:$J$13,MATCH($B45,BOM_Consumo!$A$6:$A$13,0),COLUMN()-COLUMN($D$2)+1)*IF($A45="Centro",_xlfn.XLOOKUP($B45,Multi_Planta!$A$6:$A$13,Multi_Planta!$G$6:$G$13),1-_xlfn.XLOOKUP($B45,Multi_Planta!$A$6:$A$13,Multi_Planta!$G$6:$G$13))</f>
        <v>2670.0241462573299</v>
      </c>
      <c r="E45">
        <f>INDEX(BOM_Consumo!$C$6:$J$13,MATCH($B45,BOM_Consumo!$A$6:$A$13,0),COLUMN()-COLUMN($D$2)+1)*IF($A45="Centro",_xlfn.XLOOKUP($B45,Multi_Planta!$A$6:$A$13,Multi_Planta!$G$6:$G$13),1-_xlfn.XLOOKUP($B45,Multi_Planta!$A$6:$A$13,Multi_Planta!$G$6:$G$13))</f>
        <v>2670.0241462573299</v>
      </c>
      <c r="F45">
        <f>INDEX(BOM_Consumo!$C$6:$J$13,MATCH($B45,BOM_Consumo!$A$6:$A$13,0),COLUMN()-COLUMN($D$2)+1)*IF($A45="Centro",_xlfn.XLOOKUP($B45,Multi_Planta!$A$6:$A$13,Multi_Planta!$G$6:$G$13),1-_xlfn.XLOOKUP($B45,Multi_Planta!$A$6:$A$13,Multi_Planta!$G$6:$G$13))</f>
        <v>2670.0241462573299</v>
      </c>
      <c r="G45">
        <f>INDEX(BOM_Consumo!$C$6:$J$13,MATCH($B45,BOM_Consumo!$A$6:$A$13,0),COLUMN()-COLUMN($D$2)+1)*IF($A45="Centro",_xlfn.XLOOKUP($B45,Multi_Planta!$A$6:$A$13,Multi_Planta!$G$6:$G$13),1-_xlfn.XLOOKUP($B45,Multi_Planta!$A$6:$A$13,Multi_Planta!$G$6:$G$13))</f>
        <v>2670.0241462573299</v>
      </c>
      <c r="H45">
        <f>INDEX(BOM_Consumo!$C$6:$J$13,MATCH($B45,BOM_Consumo!$A$6:$A$13,0),COLUMN()-COLUMN($D$2)+1)*IF($A45="Centro",_xlfn.XLOOKUP($B45,Multi_Planta!$A$6:$A$13,Multi_Planta!$G$6:$G$13),1-_xlfn.XLOOKUP($B45,Multi_Planta!$A$6:$A$13,Multi_Planta!$G$6:$G$13))</f>
        <v>2670.0241462573299</v>
      </c>
      <c r="I45">
        <f>INDEX(BOM_Consumo!$C$6:$J$13,MATCH($B45,BOM_Consumo!$A$6:$A$13,0),COLUMN()-COLUMN($D$2)+1)*IF($A45="Centro",_xlfn.XLOOKUP($B45,Multi_Planta!$A$6:$A$13,Multi_Planta!$G$6:$G$13),1-_xlfn.XLOOKUP($B45,Multi_Planta!$A$6:$A$13,Multi_Planta!$G$6:$G$13))</f>
        <v>2670.0241462573299</v>
      </c>
      <c r="J45">
        <f>INDEX(BOM_Consumo!$C$6:$J$13,MATCH($B45,BOM_Consumo!$A$6:$A$13,0),COLUMN()-COLUMN($D$2)+1)*IF($A45="Centro",_xlfn.XLOOKUP($B45,Multi_Planta!$A$6:$A$13,Multi_Planta!$G$6:$G$13),1-_xlfn.XLOOKUP($B45,Multi_Planta!$A$6:$A$13,Multi_Planta!$G$6:$G$13))</f>
        <v>2670.0241462573299</v>
      </c>
      <c r="K45">
        <f>INDEX(BOM_Consumo!$C$6:$J$13,MATCH($B45,BOM_Consumo!$A$6:$A$13,0),COLUMN()-COLUMN($D$2)+1)*IF($A45="Centro",_xlfn.XLOOKUP($B45,Multi_Planta!$A$6:$A$13,Multi_Planta!$G$6:$G$13),1-_xlfn.XLOOKUP($B45,Multi_Planta!$A$6:$A$13,Multi_Planta!$G$6:$G$13))</f>
        <v>0</v>
      </c>
      <c r="L45">
        <f t="shared" si="20"/>
        <v>18690.169023801311</v>
      </c>
      <c r="M45" t="str">
        <f t="shared" si="21"/>
        <v>Centro|Pieza 5|Gross Req</v>
      </c>
    </row>
    <row r="46" spans="1:13" x14ac:dyDescent="0.3">
      <c r="A46" t="s">
        <v>265</v>
      </c>
      <c r="B46" t="s">
        <v>27</v>
      </c>
      <c r="C46" t="s">
        <v>81</v>
      </c>
      <c r="D46">
        <f>IFERROR(_xlfn.XLOOKUP($B46,Inputs!$A$82:$A$87,Inputs!$B$82:$B$87),0)*IF($A46="Centro",_xlfn.XLOOKUP($B46,Multi_Planta!$A$6:$A$13,Multi_Planta!$G$6:$G$13),1-_xlfn.XLOOKUP($B46,Multi_Planta!$A$6:$A$13,Multi_Planta!$G$6:$G$13))</f>
        <v>0</v>
      </c>
      <c r="E46">
        <f>IFERROR(_xlfn.XLOOKUP($B46,Inputs!$A$82:$A$87,Inputs!$B$82:$B$87),0)*IF($A46="Centro",_xlfn.XLOOKUP($B46,Multi_Planta!$A$6:$A$13,Multi_Planta!$G$6:$G$13),1-_xlfn.XLOOKUP($B46,Multi_Planta!$A$6:$A$13,Multi_Planta!$G$6:$G$13))</f>
        <v>0</v>
      </c>
      <c r="F46">
        <f>IFERROR(_xlfn.XLOOKUP($B46,Inputs!$A$82:$A$87,Inputs!$B$82:$B$87),0)*IF($A46="Centro",_xlfn.XLOOKUP($B46,Multi_Planta!$A$6:$A$13,Multi_Planta!$G$6:$G$13),1-_xlfn.XLOOKUP($B46,Multi_Planta!$A$6:$A$13,Multi_Planta!$G$6:$G$13))</f>
        <v>0</v>
      </c>
      <c r="G46">
        <f>IFERROR(_xlfn.XLOOKUP($B46,Inputs!$A$82:$A$87,Inputs!$B$82:$B$87),0)*IF($A46="Centro",_xlfn.XLOOKUP($B46,Multi_Planta!$A$6:$A$13,Multi_Planta!$G$6:$G$13),1-_xlfn.XLOOKUP($B46,Multi_Planta!$A$6:$A$13,Multi_Planta!$G$6:$G$13))</f>
        <v>0</v>
      </c>
      <c r="H46">
        <f>IFERROR(_xlfn.XLOOKUP($B46,Inputs!$A$82:$A$87,Inputs!$B$82:$B$87),0)*IF($A46="Centro",_xlfn.XLOOKUP($B46,Multi_Planta!$A$6:$A$13,Multi_Planta!$G$6:$G$13),1-_xlfn.XLOOKUP($B46,Multi_Planta!$A$6:$A$13,Multi_Planta!$G$6:$G$13))</f>
        <v>0</v>
      </c>
      <c r="I46">
        <f>IFERROR(_xlfn.XLOOKUP($B46,Inputs!$A$82:$A$87,Inputs!$B$82:$B$87),0)*IF($A46="Centro",_xlfn.XLOOKUP($B46,Multi_Planta!$A$6:$A$13,Multi_Planta!$G$6:$G$13),1-_xlfn.XLOOKUP($B46,Multi_Planta!$A$6:$A$13,Multi_Planta!$G$6:$G$13))</f>
        <v>0</v>
      </c>
      <c r="J46">
        <f>IFERROR(_xlfn.XLOOKUP($B46,Inputs!$A$82:$A$87,Inputs!$B$82:$B$87),0)*IF($A46="Centro",_xlfn.XLOOKUP($B46,Multi_Planta!$A$6:$A$13,Multi_Planta!$G$6:$G$13),1-_xlfn.XLOOKUP($B46,Multi_Planta!$A$6:$A$13,Multi_Planta!$G$6:$G$13))</f>
        <v>0</v>
      </c>
      <c r="K46">
        <f>IFERROR(_xlfn.XLOOKUP($B46,Inputs!$A$82:$A$87,Inputs!$B$82:$B$87),0)*IF($A46="Centro",_xlfn.XLOOKUP($B46,Multi_Planta!$A$6:$A$13,Multi_Planta!$G$6:$G$13),1-_xlfn.XLOOKUP($B46,Multi_Planta!$A$6:$A$13,Multi_Planta!$G$6:$G$13))</f>
        <v>0</v>
      </c>
      <c r="L46">
        <f t="shared" si="20"/>
        <v>0</v>
      </c>
      <c r="M46" t="str">
        <f t="shared" si="21"/>
        <v>Centro|Pieza 5|Safety Stock</v>
      </c>
    </row>
    <row r="47" spans="1:13" x14ac:dyDescent="0.3">
      <c r="A47" t="s">
        <v>265</v>
      </c>
      <c r="B47" t="s">
        <v>27</v>
      </c>
      <c r="C47" t="s">
        <v>353</v>
      </c>
      <c r="D47">
        <f>IF($A47="Centro",_xlfn.XLOOKUP($B47,Multi_Planta!$A$6:$A$13,Multi_Planta!$B$6:$B$13),_xlfn.XLOOKUP($B47,Multi_Planta!$A$6:$A$13,Multi_Planta!$C$6:$C$13))</f>
        <v>16736</v>
      </c>
      <c r="E47">
        <f t="shared" ref="E47:K47" si="28">D51</f>
        <v>32765.975853742671</v>
      </c>
      <c r="F47">
        <f t="shared" si="28"/>
        <v>30095.951707485343</v>
      </c>
      <c r="G47">
        <f t="shared" si="28"/>
        <v>27425.927561228014</v>
      </c>
      <c r="H47">
        <f t="shared" si="28"/>
        <v>24755.903414970686</v>
      </c>
      <c r="I47">
        <f t="shared" si="28"/>
        <v>22085.879268713357</v>
      </c>
      <c r="J47">
        <f t="shared" si="28"/>
        <v>19415.855122456029</v>
      </c>
      <c r="K47">
        <f t="shared" si="28"/>
        <v>16745.8309761987</v>
      </c>
      <c r="L47">
        <f t="shared" si="20"/>
        <v>190027.32390479479</v>
      </c>
      <c r="M47" t="str">
        <f t="shared" si="21"/>
        <v>Centro|Pieza 5|POH Start</v>
      </c>
    </row>
    <row r="48" spans="1:13" x14ac:dyDescent="0.3">
      <c r="A48" t="s">
        <v>265</v>
      </c>
      <c r="B48" t="s">
        <v>27</v>
      </c>
      <c r="C48" t="s">
        <v>354</v>
      </c>
      <c r="D48">
        <f t="shared" ref="D48:K48" si="29">MAX(0,D45+D46-D47)</f>
        <v>0</v>
      </c>
      <c r="E48">
        <f t="shared" si="29"/>
        <v>0</v>
      </c>
      <c r="F48">
        <f t="shared" si="29"/>
        <v>0</v>
      </c>
      <c r="G48">
        <f t="shared" si="29"/>
        <v>0</v>
      </c>
      <c r="H48">
        <f t="shared" si="29"/>
        <v>0</v>
      </c>
      <c r="I48">
        <f t="shared" si="29"/>
        <v>0</v>
      </c>
      <c r="J48">
        <f t="shared" si="29"/>
        <v>0</v>
      </c>
      <c r="K48">
        <f t="shared" si="29"/>
        <v>0</v>
      </c>
      <c r="L48">
        <f t="shared" si="20"/>
        <v>0</v>
      </c>
      <c r="M48" t="str">
        <f t="shared" si="21"/>
        <v>Centro|Pieza 5|Net Req</v>
      </c>
    </row>
    <row r="49" spans="1:13" x14ac:dyDescent="0.3">
      <c r="A49" t="s">
        <v>265</v>
      </c>
      <c r="B49" t="s">
        <v>27</v>
      </c>
      <c r="C49" t="s">
        <v>355</v>
      </c>
      <c r="D49">
        <f>IF(AND(LEFT($B49,5)="Pieza",Inputs!$B$110=1),_xlfn.CEILING.MATH(L45,_xlfn.XLOOKUP($B49,Inputs!$A$35:$A$42,Inputs!$B$35:$B$42)),_xlfn.CEILING.MATH(D48,_xlfn.XLOOKUP($B49,Inputs!$A$35:$A$42,Inputs!$B$35:$B$42)))</f>
        <v>18700</v>
      </c>
      <c r="E49">
        <f>IF(AND(LEFT($B49,5)="Pieza",Inputs!$B$110=1),0,_xlfn.CEILING.MATH(E48,_xlfn.XLOOKUP($B49,Inputs!$A$35:$A$42,Inputs!$B$35:$B$42)))</f>
        <v>0</v>
      </c>
      <c r="F49">
        <f>IF(AND(LEFT($B49,5)="Pieza",Inputs!$B$110=1),0,_xlfn.CEILING.MATH(F48,_xlfn.XLOOKUP($B49,Inputs!$A$35:$A$42,Inputs!$B$35:$B$42)))</f>
        <v>0</v>
      </c>
      <c r="G49">
        <f>IF(AND(LEFT($B49,5)="Pieza",Inputs!$B$110=1),0,_xlfn.CEILING.MATH(G48,_xlfn.XLOOKUP($B49,Inputs!$A$35:$A$42,Inputs!$B$35:$B$42)))</f>
        <v>0</v>
      </c>
      <c r="H49">
        <f>IF(AND(LEFT($B49,5)="Pieza",Inputs!$B$110=1),0,_xlfn.CEILING.MATH(H48,_xlfn.XLOOKUP($B49,Inputs!$A$35:$A$42,Inputs!$B$35:$B$42)))</f>
        <v>0</v>
      </c>
      <c r="I49">
        <f>IF(AND(LEFT($B49,5)="Pieza",Inputs!$B$110=1),0,_xlfn.CEILING.MATH(I48,_xlfn.XLOOKUP($B49,Inputs!$A$35:$A$42,Inputs!$B$35:$B$42)))</f>
        <v>0</v>
      </c>
      <c r="J49">
        <f>IF(AND(LEFT($B49,5)="Pieza",Inputs!$B$110=1),0,_xlfn.CEILING.MATH(J48,_xlfn.XLOOKUP($B49,Inputs!$A$35:$A$42,Inputs!$B$35:$B$42)))</f>
        <v>0</v>
      </c>
      <c r="K49">
        <f>IF(AND(LEFT($B49,5)="Pieza",Inputs!$B$110=1),0,_xlfn.CEILING.MATH(K48,_xlfn.XLOOKUP($B49,Inputs!$A$35:$A$42,Inputs!$B$35:$B$42)))</f>
        <v>0</v>
      </c>
      <c r="L49">
        <f t="shared" si="20"/>
        <v>18700</v>
      </c>
      <c r="M49" t="str">
        <f t="shared" si="21"/>
        <v>Centro|Pieza 5|Planned Receipt</v>
      </c>
    </row>
    <row r="50" spans="1:13" x14ac:dyDescent="0.3">
      <c r="A50" t="s">
        <v>265</v>
      </c>
      <c r="B50" t="s">
        <v>27</v>
      </c>
      <c r="C50" t="s">
        <v>356</v>
      </c>
      <c r="D50">
        <f t="shared" ref="D50:K50" si="30">D49</f>
        <v>18700</v>
      </c>
      <c r="E50">
        <f t="shared" si="30"/>
        <v>0</v>
      </c>
      <c r="F50">
        <f t="shared" si="30"/>
        <v>0</v>
      </c>
      <c r="G50">
        <f t="shared" si="30"/>
        <v>0</v>
      </c>
      <c r="H50">
        <f t="shared" si="30"/>
        <v>0</v>
      </c>
      <c r="I50">
        <f t="shared" si="30"/>
        <v>0</v>
      </c>
      <c r="J50">
        <f t="shared" si="30"/>
        <v>0</v>
      </c>
      <c r="K50">
        <f t="shared" si="30"/>
        <v>0</v>
      </c>
      <c r="L50">
        <f t="shared" si="20"/>
        <v>18700</v>
      </c>
      <c r="M50" t="str">
        <f t="shared" si="21"/>
        <v>Centro|Pieza 5|Planned Release</v>
      </c>
    </row>
    <row r="51" spans="1:13" x14ac:dyDescent="0.3">
      <c r="A51" t="s">
        <v>265</v>
      </c>
      <c r="B51" t="s">
        <v>27</v>
      </c>
      <c r="C51" t="s">
        <v>357</v>
      </c>
      <c r="D51">
        <f t="shared" ref="D51:K51" si="31">D47+D49-D45</f>
        <v>32765.975853742671</v>
      </c>
      <c r="E51">
        <f t="shared" si="31"/>
        <v>30095.951707485343</v>
      </c>
      <c r="F51">
        <f t="shared" si="31"/>
        <v>27425.927561228014</v>
      </c>
      <c r="G51">
        <f t="shared" si="31"/>
        <v>24755.903414970686</v>
      </c>
      <c r="H51">
        <f t="shared" si="31"/>
        <v>22085.879268713357</v>
      </c>
      <c r="I51">
        <f t="shared" si="31"/>
        <v>19415.855122456029</v>
      </c>
      <c r="J51">
        <f t="shared" si="31"/>
        <v>16745.8309761987</v>
      </c>
      <c r="K51">
        <f t="shared" si="31"/>
        <v>16745.8309761987</v>
      </c>
      <c r="L51">
        <f t="shared" si="20"/>
        <v>190037.1548809935</v>
      </c>
      <c r="M51" t="str">
        <f t="shared" si="21"/>
        <v>Centro|Pieza 5|POH End</v>
      </c>
    </row>
    <row r="52" spans="1:13" x14ac:dyDescent="0.3">
      <c r="A52" t="s">
        <v>265</v>
      </c>
      <c r="B52" t="s">
        <v>28</v>
      </c>
      <c r="C52" t="s">
        <v>352</v>
      </c>
      <c r="D52">
        <f>INDEX(BOM_Consumo!$C$6:$J$13,MATCH($B52,BOM_Consumo!$A$6:$A$13,0),COLUMN()-COLUMN($D$2)+1)*IF($A52="Centro",_xlfn.XLOOKUP($B52,Multi_Planta!$A$6:$A$13,Multi_Planta!$G$6:$G$13),1-_xlfn.XLOOKUP($B52,Multi_Planta!$A$6:$A$13,Multi_Planta!$G$6:$G$13))</f>
        <v>1020.5654515327258</v>
      </c>
      <c r="E52">
        <f>INDEX(BOM_Consumo!$C$6:$J$13,MATCH($B52,BOM_Consumo!$A$6:$A$13,0),COLUMN()-COLUMN($D$2)+1)*IF($A52="Centro",_xlfn.XLOOKUP($B52,Multi_Planta!$A$6:$A$13,Multi_Planta!$G$6:$G$13),1-_xlfn.XLOOKUP($B52,Multi_Planta!$A$6:$A$13,Multi_Planta!$G$6:$G$13))</f>
        <v>1020.5654515327258</v>
      </c>
      <c r="F52">
        <f>INDEX(BOM_Consumo!$C$6:$J$13,MATCH($B52,BOM_Consumo!$A$6:$A$13,0),COLUMN()-COLUMN($D$2)+1)*IF($A52="Centro",_xlfn.XLOOKUP($B52,Multi_Planta!$A$6:$A$13,Multi_Planta!$G$6:$G$13),1-_xlfn.XLOOKUP($B52,Multi_Planta!$A$6:$A$13,Multi_Planta!$G$6:$G$13))</f>
        <v>1020.5654515327258</v>
      </c>
      <c r="G52">
        <f>INDEX(BOM_Consumo!$C$6:$J$13,MATCH($B52,BOM_Consumo!$A$6:$A$13,0),COLUMN()-COLUMN($D$2)+1)*IF($A52="Centro",_xlfn.XLOOKUP($B52,Multi_Planta!$A$6:$A$13,Multi_Planta!$G$6:$G$13),1-_xlfn.XLOOKUP($B52,Multi_Planta!$A$6:$A$13,Multi_Planta!$G$6:$G$13))</f>
        <v>1020.5654515327258</v>
      </c>
      <c r="H52">
        <f>INDEX(BOM_Consumo!$C$6:$J$13,MATCH($B52,BOM_Consumo!$A$6:$A$13,0),COLUMN()-COLUMN($D$2)+1)*IF($A52="Centro",_xlfn.XLOOKUP($B52,Multi_Planta!$A$6:$A$13,Multi_Planta!$G$6:$G$13),1-_xlfn.XLOOKUP($B52,Multi_Planta!$A$6:$A$13,Multi_Planta!$G$6:$G$13))</f>
        <v>1020.5654515327258</v>
      </c>
      <c r="I52">
        <f>INDEX(BOM_Consumo!$C$6:$J$13,MATCH($B52,BOM_Consumo!$A$6:$A$13,0),COLUMN()-COLUMN($D$2)+1)*IF($A52="Centro",_xlfn.XLOOKUP($B52,Multi_Planta!$A$6:$A$13,Multi_Planta!$G$6:$G$13),1-_xlfn.XLOOKUP($B52,Multi_Planta!$A$6:$A$13,Multi_Planta!$G$6:$G$13))</f>
        <v>1020.5654515327258</v>
      </c>
      <c r="J52">
        <f>INDEX(BOM_Consumo!$C$6:$J$13,MATCH($B52,BOM_Consumo!$A$6:$A$13,0),COLUMN()-COLUMN($D$2)+1)*IF($A52="Centro",_xlfn.XLOOKUP($B52,Multi_Planta!$A$6:$A$13,Multi_Planta!$G$6:$G$13),1-_xlfn.XLOOKUP($B52,Multi_Planta!$A$6:$A$13,Multi_Planta!$G$6:$G$13))</f>
        <v>1020.5654515327258</v>
      </c>
      <c r="K52">
        <f>INDEX(BOM_Consumo!$C$6:$J$13,MATCH($B52,BOM_Consumo!$A$6:$A$13,0),COLUMN()-COLUMN($D$2)+1)*IF($A52="Centro",_xlfn.XLOOKUP($B52,Multi_Planta!$A$6:$A$13,Multi_Planta!$G$6:$G$13),1-_xlfn.XLOOKUP($B52,Multi_Planta!$A$6:$A$13,Multi_Planta!$G$6:$G$13))</f>
        <v>0</v>
      </c>
      <c r="L52">
        <f t="shared" si="20"/>
        <v>7143.9581607290811</v>
      </c>
      <c r="M52" t="str">
        <f t="shared" si="21"/>
        <v>Centro|Pieza 6|Gross Req</v>
      </c>
    </row>
    <row r="53" spans="1:13" x14ac:dyDescent="0.3">
      <c r="A53" t="s">
        <v>265</v>
      </c>
      <c r="B53" t="s">
        <v>28</v>
      </c>
      <c r="C53" t="s">
        <v>81</v>
      </c>
      <c r="D53">
        <f>IFERROR(_xlfn.XLOOKUP($B53,Inputs!$A$82:$A$87,Inputs!$B$82:$B$87),0)*IF($A53="Centro",_xlfn.XLOOKUP($B53,Multi_Planta!$A$6:$A$13,Multi_Planta!$G$6:$G$13),1-_xlfn.XLOOKUP($B53,Multi_Planta!$A$6:$A$13,Multi_Planta!$G$6:$G$13))</f>
        <v>0</v>
      </c>
      <c r="E53">
        <f>IFERROR(_xlfn.XLOOKUP($B53,Inputs!$A$82:$A$87,Inputs!$B$82:$B$87),0)*IF($A53="Centro",_xlfn.XLOOKUP($B53,Multi_Planta!$A$6:$A$13,Multi_Planta!$G$6:$G$13),1-_xlfn.XLOOKUP($B53,Multi_Planta!$A$6:$A$13,Multi_Planta!$G$6:$G$13))</f>
        <v>0</v>
      </c>
      <c r="F53">
        <f>IFERROR(_xlfn.XLOOKUP($B53,Inputs!$A$82:$A$87,Inputs!$B$82:$B$87),0)*IF($A53="Centro",_xlfn.XLOOKUP($B53,Multi_Planta!$A$6:$A$13,Multi_Planta!$G$6:$G$13),1-_xlfn.XLOOKUP($B53,Multi_Planta!$A$6:$A$13,Multi_Planta!$G$6:$G$13))</f>
        <v>0</v>
      </c>
      <c r="G53">
        <f>IFERROR(_xlfn.XLOOKUP($B53,Inputs!$A$82:$A$87,Inputs!$B$82:$B$87),0)*IF($A53="Centro",_xlfn.XLOOKUP($B53,Multi_Planta!$A$6:$A$13,Multi_Planta!$G$6:$G$13),1-_xlfn.XLOOKUP($B53,Multi_Planta!$A$6:$A$13,Multi_Planta!$G$6:$G$13))</f>
        <v>0</v>
      </c>
      <c r="H53">
        <f>IFERROR(_xlfn.XLOOKUP($B53,Inputs!$A$82:$A$87,Inputs!$B$82:$B$87),0)*IF($A53="Centro",_xlfn.XLOOKUP($B53,Multi_Planta!$A$6:$A$13,Multi_Planta!$G$6:$G$13),1-_xlfn.XLOOKUP($B53,Multi_Planta!$A$6:$A$13,Multi_Planta!$G$6:$G$13))</f>
        <v>0</v>
      </c>
      <c r="I53">
        <f>IFERROR(_xlfn.XLOOKUP($B53,Inputs!$A$82:$A$87,Inputs!$B$82:$B$87),0)*IF($A53="Centro",_xlfn.XLOOKUP($B53,Multi_Planta!$A$6:$A$13,Multi_Planta!$G$6:$G$13),1-_xlfn.XLOOKUP($B53,Multi_Planta!$A$6:$A$13,Multi_Planta!$G$6:$G$13))</f>
        <v>0</v>
      </c>
      <c r="J53">
        <f>IFERROR(_xlfn.XLOOKUP($B53,Inputs!$A$82:$A$87,Inputs!$B$82:$B$87),0)*IF($A53="Centro",_xlfn.XLOOKUP($B53,Multi_Planta!$A$6:$A$13,Multi_Planta!$G$6:$G$13),1-_xlfn.XLOOKUP($B53,Multi_Planta!$A$6:$A$13,Multi_Planta!$G$6:$G$13))</f>
        <v>0</v>
      </c>
      <c r="K53">
        <f>IFERROR(_xlfn.XLOOKUP($B53,Inputs!$A$82:$A$87,Inputs!$B$82:$B$87),0)*IF($A53="Centro",_xlfn.XLOOKUP($B53,Multi_Planta!$A$6:$A$13,Multi_Planta!$G$6:$G$13),1-_xlfn.XLOOKUP($B53,Multi_Planta!$A$6:$A$13,Multi_Planta!$G$6:$G$13))</f>
        <v>0</v>
      </c>
      <c r="L53">
        <f t="shared" si="20"/>
        <v>0</v>
      </c>
      <c r="M53" t="str">
        <f t="shared" si="21"/>
        <v>Centro|Pieza 6|Safety Stock</v>
      </c>
    </row>
    <row r="54" spans="1:13" x14ac:dyDescent="0.3">
      <c r="A54" t="s">
        <v>265</v>
      </c>
      <c r="B54" t="s">
        <v>28</v>
      </c>
      <c r="C54" t="s">
        <v>353</v>
      </c>
      <c r="D54">
        <f>IF($A54="Centro",_xlfn.XLOOKUP($B54,Multi_Planta!$A$6:$A$13,Multi_Planta!$B$6:$B$13),_xlfn.XLOOKUP($B54,Multi_Planta!$A$6:$A$13,Multi_Planta!$C$6:$C$13))</f>
        <v>4439</v>
      </c>
      <c r="E54">
        <f t="shared" ref="E54:K54" si="32">D58</f>
        <v>10618.434548467274</v>
      </c>
      <c r="F54">
        <f t="shared" si="32"/>
        <v>9597.869096934548</v>
      </c>
      <c r="G54">
        <f t="shared" si="32"/>
        <v>8577.303645401822</v>
      </c>
      <c r="H54">
        <f t="shared" si="32"/>
        <v>7556.738193869096</v>
      </c>
      <c r="I54">
        <f t="shared" si="32"/>
        <v>6536.17274233637</v>
      </c>
      <c r="J54">
        <f t="shared" si="32"/>
        <v>5515.607290803644</v>
      </c>
      <c r="K54">
        <f t="shared" si="32"/>
        <v>4495.041839270918</v>
      </c>
      <c r="L54">
        <f t="shared" si="20"/>
        <v>57336.167357083672</v>
      </c>
      <c r="M54" t="str">
        <f t="shared" si="21"/>
        <v>Centro|Pieza 6|POH Start</v>
      </c>
    </row>
    <row r="55" spans="1:13" x14ac:dyDescent="0.3">
      <c r="A55" t="s">
        <v>265</v>
      </c>
      <c r="B55" t="s">
        <v>28</v>
      </c>
      <c r="C55" t="s">
        <v>354</v>
      </c>
      <c r="D55">
        <f t="shared" ref="D55:K55" si="33">MAX(0,D52+D53-D54)</f>
        <v>0</v>
      </c>
      <c r="E55">
        <f t="shared" si="33"/>
        <v>0</v>
      </c>
      <c r="F55">
        <f t="shared" si="33"/>
        <v>0</v>
      </c>
      <c r="G55">
        <f t="shared" si="33"/>
        <v>0</v>
      </c>
      <c r="H55">
        <f t="shared" si="33"/>
        <v>0</v>
      </c>
      <c r="I55">
        <f t="shared" si="33"/>
        <v>0</v>
      </c>
      <c r="J55">
        <f t="shared" si="33"/>
        <v>0</v>
      </c>
      <c r="K55">
        <f t="shared" si="33"/>
        <v>0</v>
      </c>
      <c r="L55">
        <f t="shared" si="20"/>
        <v>0</v>
      </c>
      <c r="M55" t="str">
        <f t="shared" si="21"/>
        <v>Centro|Pieza 6|Net Req</v>
      </c>
    </row>
    <row r="56" spans="1:13" x14ac:dyDescent="0.3">
      <c r="A56" t="s">
        <v>265</v>
      </c>
      <c r="B56" t="s">
        <v>28</v>
      </c>
      <c r="C56" t="s">
        <v>355</v>
      </c>
      <c r="D56">
        <f>IF(AND(LEFT($B56,5)="Pieza",Inputs!$B$110=1),_xlfn.CEILING.MATH(L52,_xlfn.XLOOKUP($B56,Inputs!$A$35:$A$42,Inputs!$B$35:$B$42)),_xlfn.CEILING.MATH(D55,_xlfn.XLOOKUP($B56,Inputs!$A$35:$A$42,Inputs!$B$35:$B$42)))</f>
        <v>7200</v>
      </c>
      <c r="E56">
        <f>IF(AND(LEFT($B56,5)="Pieza",Inputs!$B$110=1),0,_xlfn.CEILING.MATH(E55,_xlfn.XLOOKUP($B56,Inputs!$A$35:$A$42,Inputs!$B$35:$B$42)))</f>
        <v>0</v>
      </c>
      <c r="F56">
        <f>IF(AND(LEFT($B56,5)="Pieza",Inputs!$B$110=1),0,_xlfn.CEILING.MATH(F55,_xlfn.XLOOKUP($B56,Inputs!$A$35:$A$42,Inputs!$B$35:$B$42)))</f>
        <v>0</v>
      </c>
      <c r="G56">
        <f>IF(AND(LEFT($B56,5)="Pieza",Inputs!$B$110=1),0,_xlfn.CEILING.MATH(G55,_xlfn.XLOOKUP($B56,Inputs!$A$35:$A$42,Inputs!$B$35:$B$42)))</f>
        <v>0</v>
      </c>
      <c r="H56">
        <f>IF(AND(LEFT($B56,5)="Pieza",Inputs!$B$110=1),0,_xlfn.CEILING.MATH(H55,_xlfn.XLOOKUP($B56,Inputs!$A$35:$A$42,Inputs!$B$35:$B$42)))</f>
        <v>0</v>
      </c>
      <c r="I56">
        <f>IF(AND(LEFT($B56,5)="Pieza",Inputs!$B$110=1),0,_xlfn.CEILING.MATH(I55,_xlfn.XLOOKUP($B56,Inputs!$A$35:$A$42,Inputs!$B$35:$B$42)))</f>
        <v>0</v>
      </c>
      <c r="J56">
        <f>IF(AND(LEFT($B56,5)="Pieza",Inputs!$B$110=1),0,_xlfn.CEILING.MATH(J55,_xlfn.XLOOKUP($B56,Inputs!$A$35:$A$42,Inputs!$B$35:$B$42)))</f>
        <v>0</v>
      </c>
      <c r="K56">
        <f>IF(AND(LEFT($B56,5)="Pieza",Inputs!$B$110=1),0,_xlfn.CEILING.MATH(K55,_xlfn.XLOOKUP($B56,Inputs!$A$35:$A$42,Inputs!$B$35:$B$42)))</f>
        <v>0</v>
      </c>
      <c r="L56">
        <f t="shared" si="20"/>
        <v>7200</v>
      </c>
      <c r="M56" t="str">
        <f t="shared" si="21"/>
        <v>Centro|Pieza 6|Planned Receipt</v>
      </c>
    </row>
    <row r="57" spans="1:13" x14ac:dyDescent="0.3">
      <c r="A57" t="s">
        <v>265</v>
      </c>
      <c r="B57" t="s">
        <v>28</v>
      </c>
      <c r="C57" t="s">
        <v>356</v>
      </c>
      <c r="D57">
        <f t="shared" ref="D57:K57" si="34">D56</f>
        <v>7200</v>
      </c>
      <c r="E57">
        <f t="shared" si="34"/>
        <v>0</v>
      </c>
      <c r="F57">
        <f t="shared" si="34"/>
        <v>0</v>
      </c>
      <c r="G57">
        <f t="shared" si="34"/>
        <v>0</v>
      </c>
      <c r="H57">
        <f t="shared" si="34"/>
        <v>0</v>
      </c>
      <c r="I57">
        <f t="shared" si="34"/>
        <v>0</v>
      </c>
      <c r="J57">
        <f t="shared" si="34"/>
        <v>0</v>
      </c>
      <c r="K57">
        <f t="shared" si="34"/>
        <v>0</v>
      </c>
      <c r="L57">
        <f t="shared" si="20"/>
        <v>7200</v>
      </c>
      <c r="M57" t="str">
        <f t="shared" si="21"/>
        <v>Centro|Pieza 6|Planned Release</v>
      </c>
    </row>
    <row r="58" spans="1:13" x14ac:dyDescent="0.3">
      <c r="A58" t="s">
        <v>265</v>
      </c>
      <c r="B58" t="s">
        <v>28</v>
      </c>
      <c r="C58" t="s">
        <v>357</v>
      </c>
      <c r="D58">
        <f t="shared" ref="D58:K58" si="35">D54+D56-D52</f>
        <v>10618.434548467274</v>
      </c>
      <c r="E58">
        <f t="shared" si="35"/>
        <v>9597.869096934548</v>
      </c>
      <c r="F58">
        <f t="shared" si="35"/>
        <v>8577.303645401822</v>
      </c>
      <c r="G58">
        <f t="shared" si="35"/>
        <v>7556.738193869096</v>
      </c>
      <c r="H58">
        <f t="shared" si="35"/>
        <v>6536.17274233637</v>
      </c>
      <c r="I58">
        <f t="shared" si="35"/>
        <v>5515.607290803644</v>
      </c>
      <c r="J58">
        <f t="shared" si="35"/>
        <v>4495.041839270918</v>
      </c>
      <c r="K58">
        <f t="shared" si="35"/>
        <v>4495.041839270918</v>
      </c>
      <c r="L58">
        <f t="shared" si="20"/>
        <v>57392.20919635459</v>
      </c>
      <c r="M58" t="str">
        <f t="shared" si="21"/>
        <v>Centro|Pieza 6|POH End</v>
      </c>
    </row>
    <row r="59" spans="1:13" x14ac:dyDescent="0.3">
      <c r="A59" t="s">
        <v>266</v>
      </c>
      <c r="B59" t="s">
        <v>19</v>
      </c>
      <c r="C59" t="s">
        <v>352</v>
      </c>
      <c r="D59">
        <f>INDEX(BOM_Consumo!$C$6:$J$13,MATCH($B59,BOM_Consumo!$A$6:$A$13,0),COLUMN()-COLUMN($D$2)+1)*IF($A59="Centro",_xlfn.XLOOKUP($B59,Multi_Planta!$A$6:$A$13,Multi_Planta!$G$6:$G$13),1-_xlfn.XLOOKUP($B59,Multi_Planta!$A$6:$A$13,Multi_Planta!$G$6:$G$13))</f>
        <v>416.5780141843972</v>
      </c>
      <c r="E59">
        <f>INDEX(BOM_Consumo!$C$6:$J$13,MATCH($B59,BOM_Consumo!$A$6:$A$13,0),COLUMN()-COLUMN($D$2)+1)*IF($A59="Centro",_xlfn.XLOOKUP($B59,Multi_Planta!$A$6:$A$13,Multi_Planta!$G$6:$G$13),1-_xlfn.XLOOKUP($B59,Multi_Planta!$A$6:$A$13,Multi_Planta!$G$6:$G$13))</f>
        <v>416.5780141843972</v>
      </c>
      <c r="F59">
        <f>INDEX(BOM_Consumo!$C$6:$J$13,MATCH($B59,BOM_Consumo!$A$6:$A$13,0),COLUMN()-COLUMN($D$2)+1)*IF($A59="Centro",_xlfn.XLOOKUP($B59,Multi_Planta!$A$6:$A$13,Multi_Planta!$G$6:$G$13),1-_xlfn.XLOOKUP($B59,Multi_Planta!$A$6:$A$13,Multi_Planta!$G$6:$G$13))</f>
        <v>416.5780141843972</v>
      </c>
      <c r="G59">
        <f>INDEX(BOM_Consumo!$C$6:$J$13,MATCH($B59,BOM_Consumo!$A$6:$A$13,0),COLUMN()-COLUMN($D$2)+1)*IF($A59="Centro",_xlfn.XLOOKUP($B59,Multi_Planta!$A$6:$A$13,Multi_Planta!$G$6:$G$13),1-_xlfn.XLOOKUP($B59,Multi_Planta!$A$6:$A$13,Multi_Planta!$G$6:$G$13))</f>
        <v>416.5780141843972</v>
      </c>
      <c r="H59">
        <f>INDEX(BOM_Consumo!$C$6:$J$13,MATCH($B59,BOM_Consumo!$A$6:$A$13,0),COLUMN()-COLUMN($D$2)+1)*IF($A59="Centro",_xlfn.XLOOKUP($B59,Multi_Planta!$A$6:$A$13,Multi_Planta!$G$6:$G$13),1-_xlfn.XLOOKUP($B59,Multi_Planta!$A$6:$A$13,Multi_Planta!$G$6:$G$13))</f>
        <v>0</v>
      </c>
      <c r="I59">
        <f>INDEX(BOM_Consumo!$C$6:$J$13,MATCH($B59,BOM_Consumo!$A$6:$A$13,0),COLUMN()-COLUMN($D$2)+1)*IF($A59="Centro",_xlfn.XLOOKUP($B59,Multi_Planta!$A$6:$A$13,Multi_Planta!$G$6:$G$13),1-_xlfn.XLOOKUP($B59,Multi_Planta!$A$6:$A$13,Multi_Planta!$G$6:$G$13))</f>
        <v>0</v>
      </c>
      <c r="J59">
        <f>INDEX(BOM_Consumo!$C$6:$J$13,MATCH($B59,BOM_Consumo!$A$6:$A$13,0),COLUMN()-COLUMN($D$2)+1)*IF($A59="Centro",_xlfn.XLOOKUP($B59,Multi_Planta!$A$6:$A$13,Multi_Planta!$G$6:$G$13),1-_xlfn.XLOOKUP($B59,Multi_Planta!$A$6:$A$13,Multi_Planta!$G$6:$G$13))</f>
        <v>0</v>
      </c>
      <c r="K59">
        <f>INDEX(BOM_Consumo!$C$6:$J$13,MATCH($B59,BOM_Consumo!$A$6:$A$13,0),COLUMN()-COLUMN($D$2)+1)*IF($A59="Centro",_xlfn.XLOOKUP($B59,Multi_Planta!$A$6:$A$13,Multi_Planta!$G$6:$G$13),1-_xlfn.XLOOKUP($B59,Multi_Planta!$A$6:$A$13,Multi_Planta!$G$6:$G$13))</f>
        <v>0</v>
      </c>
      <c r="L59">
        <f t="shared" si="20"/>
        <v>1666.3120567375888</v>
      </c>
      <c r="M59" t="str">
        <f t="shared" si="21"/>
        <v>Oeste|Parte A|Gross Req</v>
      </c>
    </row>
    <row r="60" spans="1:13" x14ac:dyDescent="0.3">
      <c r="A60" t="s">
        <v>266</v>
      </c>
      <c r="B60" t="s">
        <v>19</v>
      </c>
      <c r="C60" t="s">
        <v>81</v>
      </c>
      <c r="D60">
        <f>IFERROR(_xlfn.XLOOKUP($B60,Inputs!$A$82:$A$87,Inputs!$B$82:$B$87),0)*IF($A60="Centro",_xlfn.XLOOKUP($B60,Multi_Planta!$A$6:$A$13,Multi_Planta!$G$6:$G$13),1-_xlfn.XLOOKUP($B60,Multi_Planta!$A$6:$A$13,Multi_Planta!$G$6:$G$13))</f>
        <v>450.35460992907804</v>
      </c>
      <c r="E60">
        <f>IFERROR(_xlfn.XLOOKUP($B60,Inputs!$A$82:$A$87,Inputs!$B$82:$B$87),0)*IF($A60="Centro",_xlfn.XLOOKUP($B60,Multi_Planta!$A$6:$A$13,Multi_Planta!$G$6:$G$13),1-_xlfn.XLOOKUP($B60,Multi_Planta!$A$6:$A$13,Multi_Planta!$G$6:$G$13))</f>
        <v>450.35460992907804</v>
      </c>
      <c r="F60">
        <f>IFERROR(_xlfn.XLOOKUP($B60,Inputs!$A$82:$A$87,Inputs!$B$82:$B$87),0)*IF($A60="Centro",_xlfn.XLOOKUP($B60,Multi_Planta!$A$6:$A$13,Multi_Planta!$G$6:$G$13),1-_xlfn.XLOOKUP($B60,Multi_Planta!$A$6:$A$13,Multi_Planta!$G$6:$G$13))</f>
        <v>450.35460992907804</v>
      </c>
      <c r="G60">
        <f>IFERROR(_xlfn.XLOOKUP($B60,Inputs!$A$82:$A$87,Inputs!$B$82:$B$87),0)*IF($A60="Centro",_xlfn.XLOOKUP($B60,Multi_Planta!$A$6:$A$13,Multi_Planta!$G$6:$G$13),1-_xlfn.XLOOKUP($B60,Multi_Planta!$A$6:$A$13,Multi_Planta!$G$6:$G$13))</f>
        <v>450.35460992907804</v>
      </c>
      <c r="H60">
        <f>IFERROR(_xlfn.XLOOKUP($B60,Inputs!$A$82:$A$87,Inputs!$B$82:$B$87),0)*IF($A60="Centro",_xlfn.XLOOKUP($B60,Multi_Planta!$A$6:$A$13,Multi_Planta!$G$6:$G$13),1-_xlfn.XLOOKUP($B60,Multi_Planta!$A$6:$A$13,Multi_Planta!$G$6:$G$13))</f>
        <v>450.35460992907804</v>
      </c>
      <c r="I60">
        <f>IFERROR(_xlfn.XLOOKUP($B60,Inputs!$A$82:$A$87,Inputs!$B$82:$B$87),0)*IF($A60="Centro",_xlfn.XLOOKUP($B60,Multi_Planta!$A$6:$A$13,Multi_Planta!$G$6:$G$13),1-_xlfn.XLOOKUP($B60,Multi_Planta!$A$6:$A$13,Multi_Planta!$G$6:$G$13))</f>
        <v>450.35460992907804</v>
      </c>
      <c r="J60">
        <f>IFERROR(_xlfn.XLOOKUP($B60,Inputs!$A$82:$A$87,Inputs!$B$82:$B$87),0)*IF($A60="Centro",_xlfn.XLOOKUP($B60,Multi_Planta!$A$6:$A$13,Multi_Planta!$G$6:$G$13),1-_xlfn.XLOOKUP($B60,Multi_Planta!$A$6:$A$13,Multi_Planta!$G$6:$G$13))</f>
        <v>450.35460992907804</v>
      </c>
      <c r="K60">
        <f>IFERROR(_xlfn.XLOOKUP($B60,Inputs!$A$82:$A$87,Inputs!$B$82:$B$87),0)*IF($A60="Centro",_xlfn.XLOOKUP($B60,Multi_Planta!$A$6:$A$13,Multi_Planta!$G$6:$G$13),1-_xlfn.XLOOKUP($B60,Multi_Planta!$A$6:$A$13,Multi_Planta!$G$6:$G$13))</f>
        <v>450.35460992907804</v>
      </c>
      <c r="L60">
        <f t="shared" si="20"/>
        <v>3602.8368794326238</v>
      </c>
      <c r="M60" t="str">
        <f t="shared" si="21"/>
        <v>Oeste|Parte A|Safety Stock</v>
      </c>
    </row>
    <row r="61" spans="1:13" x14ac:dyDescent="0.3">
      <c r="A61" t="s">
        <v>266</v>
      </c>
      <c r="B61" t="s">
        <v>19</v>
      </c>
      <c r="C61" t="s">
        <v>353</v>
      </c>
      <c r="D61">
        <f>IF($A61="Centro",_xlfn.XLOOKUP($B61,Multi_Planta!$A$6:$A$13,Multi_Planta!$B$6:$B$13),_xlfn.XLOOKUP($B61,Multi_Planta!$A$6:$A$13,Multi_Planta!$C$6:$C$13))</f>
        <v>1016</v>
      </c>
      <c r="E61">
        <f t="shared" ref="E61:K61" si="36">D65</f>
        <v>599.42198581560274</v>
      </c>
      <c r="F61">
        <f t="shared" si="36"/>
        <v>452.84397163120553</v>
      </c>
      <c r="G61">
        <f t="shared" si="36"/>
        <v>456.26595744680827</v>
      </c>
      <c r="H61">
        <f t="shared" si="36"/>
        <v>459.68794326241101</v>
      </c>
      <c r="I61">
        <f t="shared" si="36"/>
        <v>459.68794326241101</v>
      </c>
      <c r="J61">
        <f t="shared" si="36"/>
        <v>459.68794326241101</v>
      </c>
      <c r="K61">
        <f t="shared" si="36"/>
        <v>459.68794326241101</v>
      </c>
      <c r="L61">
        <f t="shared" si="20"/>
        <v>4363.2836879432607</v>
      </c>
      <c r="M61" t="str">
        <f t="shared" si="21"/>
        <v>Oeste|Parte A|POH Start</v>
      </c>
    </row>
    <row r="62" spans="1:13" x14ac:dyDescent="0.3">
      <c r="A62" t="s">
        <v>266</v>
      </c>
      <c r="B62" t="s">
        <v>19</v>
      </c>
      <c r="C62" t="s">
        <v>354</v>
      </c>
      <c r="D62">
        <f t="shared" ref="D62:K62" si="37">MAX(0,D59+D60-D61)</f>
        <v>0</v>
      </c>
      <c r="E62">
        <f t="shared" si="37"/>
        <v>267.51063829787245</v>
      </c>
      <c r="F62">
        <f t="shared" si="37"/>
        <v>414.08865248226965</v>
      </c>
      <c r="G62">
        <f t="shared" si="37"/>
        <v>410.66666666666691</v>
      </c>
      <c r="H62">
        <f t="shared" si="37"/>
        <v>0</v>
      </c>
      <c r="I62">
        <f t="shared" si="37"/>
        <v>0</v>
      </c>
      <c r="J62">
        <f t="shared" si="37"/>
        <v>0</v>
      </c>
      <c r="K62">
        <f t="shared" si="37"/>
        <v>0</v>
      </c>
      <c r="L62">
        <f t="shared" si="20"/>
        <v>1092.2659574468091</v>
      </c>
      <c r="M62" t="str">
        <f t="shared" si="21"/>
        <v>Oeste|Parte A|Net Req</v>
      </c>
    </row>
    <row r="63" spans="1:13" x14ac:dyDescent="0.3">
      <c r="A63" t="s">
        <v>266</v>
      </c>
      <c r="B63" t="s">
        <v>19</v>
      </c>
      <c r="C63" t="s">
        <v>355</v>
      </c>
      <c r="D63">
        <f>IF(AND(LEFT($B63,5)="Pieza",Inputs!$B$110=1),_xlfn.CEILING.MATH(L59,_xlfn.XLOOKUP($B63,Inputs!$A$35:$A$42,Inputs!$B$35:$B$42)),_xlfn.CEILING.MATH(D62,_xlfn.XLOOKUP($B63,Inputs!$A$35:$A$42,Inputs!$B$35:$B$42)))</f>
        <v>0</v>
      </c>
      <c r="E63">
        <f>IF(AND(LEFT($B63,5)="Pieza",Inputs!$B$110=1),0,_xlfn.CEILING.MATH(E62,_xlfn.XLOOKUP($B63,Inputs!$A$35:$A$42,Inputs!$B$35:$B$42)))</f>
        <v>270</v>
      </c>
      <c r="F63">
        <f>IF(AND(LEFT($B63,5)="Pieza",Inputs!$B$110=1),0,_xlfn.CEILING.MATH(F62,_xlfn.XLOOKUP($B63,Inputs!$A$35:$A$42,Inputs!$B$35:$B$42)))</f>
        <v>420</v>
      </c>
      <c r="G63">
        <f>IF(AND(LEFT($B63,5)="Pieza",Inputs!$B$110=1),0,_xlfn.CEILING.MATH(G62,_xlfn.XLOOKUP($B63,Inputs!$A$35:$A$42,Inputs!$B$35:$B$42)))</f>
        <v>420</v>
      </c>
      <c r="H63">
        <f>IF(AND(LEFT($B63,5)="Pieza",Inputs!$B$110=1),0,_xlfn.CEILING.MATH(H62,_xlfn.XLOOKUP($B63,Inputs!$A$35:$A$42,Inputs!$B$35:$B$42)))</f>
        <v>0</v>
      </c>
      <c r="I63">
        <f>IF(AND(LEFT($B63,5)="Pieza",Inputs!$B$110=1),0,_xlfn.CEILING.MATH(I62,_xlfn.XLOOKUP($B63,Inputs!$A$35:$A$42,Inputs!$B$35:$B$42)))</f>
        <v>0</v>
      </c>
      <c r="J63">
        <f>IF(AND(LEFT($B63,5)="Pieza",Inputs!$B$110=1),0,_xlfn.CEILING.MATH(J62,_xlfn.XLOOKUP($B63,Inputs!$A$35:$A$42,Inputs!$B$35:$B$42)))</f>
        <v>0</v>
      </c>
      <c r="K63">
        <f>IF(AND(LEFT($B63,5)="Pieza",Inputs!$B$110=1),0,_xlfn.CEILING.MATH(K62,_xlfn.XLOOKUP($B63,Inputs!$A$35:$A$42,Inputs!$B$35:$B$42)))</f>
        <v>0</v>
      </c>
      <c r="L63">
        <f t="shared" si="20"/>
        <v>1110</v>
      </c>
      <c r="M63" t="str">
        <f t="shared" si="21"/>
        <v>Oeste|Parte A|Planned Receipt</v>
      </c>
    </row>
    <row r="64" spans="1:13" x14ac:dyDescent="0.3">
      <c r="A64" t="s">
        <v>266</v>
      </c>
      <c r="B64" t="s">
        <v>19</v>
      </c>
      <c r="C64" t="s">
        <v>356</v>
      </c>
      <c r="D64">
        <f t="shared" ref="D64:K64" si="38">D63</f>
        <v>0</v>
      </c>
      <c r="E64">
        <f t="shared" si="38"/>
        <v>270</v>
      </c>
      <c r="F64">
        <f t="shared" si="38"/>
        <v>420</v>
      </c>
      <c r="G64">
        <f t="shared" si="38"/>
        <v>420</v>
      </c>
      <c r="H64">
        <f t="shared" si="38"/>
        <v>0</v>
      </c>
      <c r="I64">
        <f t="shared" si="38"/>
        <v>0</v>
      </c>
      <c r="J64">
        <f t="shared" si="38"/>
        <v>0</v>
      </c>
      <c r="K64">
        <f t="shared" si="38"/>
        <v>0</v>
      </c>
      <c r="L64">
        <f t="shared" si="20"/>
        <v>1110</v>
      </c>
      <c r="M64" t="str">
        <f t="shared" si="21"/>
        <v>Oeste|Parte A|Planned Release</v>
      </c>
    </row>
    <row r="65" spans="1:13" x14ac:dyDescent="0.3">
      <c r="A65" t="s">
        <v>266</v>
      </c>
      <c r="B65" t="s">
        <v>19</v>
      </c>
      <c r="C65" t="s">
        <v>357</v>
      </c>
      <c r="D65">
        <f t="shared" ref="D65:K65" si="39">D61+D63-D59</f>
        <v>599.42198581560274</v>
      </c>
      <c r="E65">
        <f t="shared" si="39"/>
        <v>452.84397163120553</v>
      </c>
      <c r="F65">
        <f t="shared" si="39"/>
        <v>456.26595744680827</v>
      </c>
      <c r="G65">
        <f t="shared" si="39"/>
        <v>459.68794326241101</v>
      </c>
      <c r="H65">
        <f t="shared" si="39"/>
        <v>459.68794326241101</v>
      </c>
      <c r="I65">
        <f t="shared" si="39"/>
        <v>459.68794326241101</v>
      </c>
      <c r="J65">
        <f t="shared" si="39"/>
        <v>459.68794326241101</v>
      </c>
      <c r="K65">
        <f t="shared" si="39"/>
        <v>459.68794326241101</v>
      </c>
      <c r="L65">
        <f t="shared" si="20"/>
        <v>3806.9716312056712</v>
      </c>
      <c r="M65" t="str">
        <f t="shared" si="21"/>
        <v>Oeste|Parte A|POH End</v>
      </c>
    </row>
    <row r="66" spans="1:13" x14ac:dyDescent="0.3">
      <c r="A66" t="s">
        <v>266</v>
      </c>
      <c r="B66" t="s">
        <v>22</v>
      </c>
      <c r="C66" t="s">
        <v>352</v>
      </c>
      <c r="D66">
        <f>INDEX(BOM_Consumo!$C$6:$J$13,MATCH($B66,BOM_Consumo!$A$6:$A$13,0),COLUMN()-COLUMN($D$2)+1)*IF($A66="Centro",_xlfn.XLOOKUP($B66,Multi_Planta!$A$6:$A$13,Multi_Planta!$G$6:$G$13),1-_xlfn.XLOOKUP($B66,Multi_Planta!$A$6:$A$13,Multi_Planta!$G$6:$G$13))</f>
        <v>102.46691871455576</v>
      </c>
      <c r="E66">
        <f>INDEX(BOM_Consumo!$C$6:$J$13,MATCH($B66,BOM_Consumo!$A$6:$A$13,0),COLUMN()-COLUMN($D$2)+1)*IF($A66="Centro",_xlfn.XLOOKUP($B66,Multi_Planta!$A$6:$A$13,Multi_Planta!$G$6:$G$13),1-_xlfn.XLOOKUP($B66,Multi_Planta!$A$6:$A$13,Multi_Planta!$G$6:$G$13))</f>
        <v>102.46691871455576</v>
      </c>
      <c r="F66">
        <f>INDEX(BOM_Consumo!$C$6:$J$13,MATCH($B66,BOM_Consumo!$A$6:$A$13,0),COLUMN()-COLUMN($D$2)+1)*IF($A66="Centro",_xlfn.XLOOKUP($B66,Multi_Planta!$A$6:$A$13,Multi_Planta!$G$6:$G$13),1-_xlfn.XLOOKUP($B66,Multi_Planta!$A$6:$A$13,Multi_Planta!$G$6:$G$13))</f>
        <v>102.46691871455576</v>
      </c>
      <c r="G66">
        <f>INDEX(BOM_Consumo!$C$6:$J$13,MATCH($B66,BOM_Consumo!$A$6:$A$13,0),COLUMN()-COLUMN($D$2)+1)*IF($A66="Centro",_xlfn.XLOOKUP($B66,Multi_Planta!$A$6:$A$13,Multi_Planta!$G$6:$G$13),1-_xlfn.XLOOKUP($B66,Multi_Planta!$A$6:$A$13,Multi_Planta!$G$6:$G$13))</f>
        <v>102.46691871455576</v>
      </c>
      <c r="H66">
        <f>INDEX(BOM_Consumo!$C$6:$J$13,MATCH($B66,BOM_Consumo!$A$6:$A$13,0),COLUMN()-COLUMN($D$2)+1)*IF($A66="Centro",_xlfn.XLOOKUP($B66,Multi_Planta!$A$6:$A$13,Multi_Planta!$G$6:$G$13),1-_xlfn.XLOOKUP($B66,Multi_Planta!$A$6:$A$13,Multi_Planta!$G$6:$G$13))</f>
        <v>102.46691871455576</v>
      </c>
      <c r="I66">
        <f>INDEX(BOM_Consumo!$C$6:$J$13,MATCH($B66,BOM_Consumo!$A$6:$A$13,0),COLUMN()-COLUMN($D$2)+1)*IF($A66="Centro",_xlfn.XLOOKUP($B66,Multi_Planta!$A$6:$A$13,Multi_Planta!$G$6:$G$13),1-_xlfn.XLOOKUP($B66,Multi_Planta!$A$6:$A$13,Multi_Planta!$G$6:$G$13))</f>
        <v>0</v>
      </c>
      <c r="J66">
        <f>INDEX(BOM_Consumo!$C$6:$J$13,MATCH($B66,BOM_Consumo!$A$6:$A$13,0),COLUMN()-COLUMN($D$2)+1)*IF($A66="Centro",_xlfn.XLOOKUP($B66,Multi_Planta!$A$6:$A$13,Multi_Planta!$G$6:$G$13),1-_xlfn.XLOOKUP($B66,Multi_Planta!$A$6:$A$13,Multi_Planta!$G$6:$G$13))</f>
        <v>0</v>
      </c>
      <c r="K66">
        <f>INDEX(BOM_Consumo!$C$6:$J$13,MATCH($B66,BOM_Consumo!$A$6:$A$13,0),COLUMN()-COLUMN($D$2)+1)*IF($A66="Centro",_xlfn.XLOOKUP($B66,Multi_Planta!$A$6:$A$13,Multi_Planta!$G$6:$G$13),1-_xlfn.XLOOKUP($B66,Multi_Planta!$A$6:$A$13,Multi_Planta!$G$6:$G$13))</f>
        <v>0</v>
      </c>
      <c r="L66">
        <f t="shared" si="20"/>
        <v>512.33459357277877</v>
      </c>
      <c r="M66" t="str">
        <f t="shared" si="21"/>
        <v>Oeste|Parte B|Gross Req</v>
      </c>
    </row>
    <row r="67" spans="1:13" x14ac:dyDescent="0.3">
      <c r="A67" t="s">
        <v>266</v>
      </c>
      <c r="B67" t="s">
        <v>22</v>
      </c>
      <c r="C67" t="s">
        <v>81</v>
      </c>
      <c r="D67">
        <f>IFERROR(_xlfn.XLOOKUP($B67,Inputs!$A$82:$A$87,Inputs!$B$82:$B$87),0)*IF($A67="Centro",_xlfn.XLOOKUP($B67,Multi_Planta!$A$6:$A$13,Multi_Planta!$G$6:$G$13),1-_xlfn.XLOOKUP($B67,Multi_Planta!$A$6:$A$13,Multi_Planta!$G$6:$G$13))</f>
        <v>138.468809073724</v>
      </c>
      <c r="E67">
        <f>IFERROR(_xlfn.XLOOKUP($B67,Inputs!$A$82:$A$87,Inputs!$B$82:$B$87),0)*IF($A67="Centro",_xlfn.XLOOKUP($B67,Multi_Planta!$A$6:$A$13,Multi_Planta!$G$6:$G$13),1-_xlfn.XLOOKUP($B67,Multi_Planta!$A$6:$A$13,Multi_Planta!$G$6:$G$13))</f>
        <v>138.468809073724</v>
      </c>
      <c r="F67">
        <f>IFERROR(_xlfn.XLOOKUP($B67,Inputs!$A$82:$A$87,Inputs!$B$82:$B$87),0)*IF($A67="Centro",_xlfn.XLOOKUP($B67,Multi_Planta!$A$6:$A$13,Multi_Planta!$G$6:$G$13),1-_xlfn.XLOOKUP($B67,Multi_Planta!$A$6:$A$13,Multi_Planta!$G$6:$G$13))</f>
        <v>138.468809073724</v>
      </c>
      <c r="G67">
        <f>IFERROR(_xlfn.XLOOKUP($B67,Inputs!$A$82:$A$87,Inputs!$B$82:$B$87),0)*IF($A67="Centro",_xlfn.XLOOKUP($B67,Multi_Planta!$A$6:$A$13,Multi_Planta!$G$6:$G$13),1-_xlfn.XLOOKUP($B67,Multi_Planta!$A$6:$A$13,Multi_Planta!$G$6:$G$13))</f>
        <v>138.468809073724</v>
      </c>
      <c r="H67">
        <f>IFERROR(_xlfn.XLOOKUP($B67,Inputs!$A$82:$A$87,Inputs!$B$82:$B$87),0)*IF($A67="Centro",_xlfn.XLOOKUP($B67,Multi_Planta!$A$6:$A$13,Multi_Planta!$G$6:$G$13),1-_xlfn.XLOOKUP($B67,Multi_Planta!$A$6:$A$13,Multi_Planta!$G$6:$G$13))</f>
        <v>138.468809073724</v>
      </c>
      <c r="I67">
        <f>IFERROR(_xlfn.XLOOKUP($B67,Inputs!$A$82:$A$87,Inputs!$B$82:$B$87),0)*IF($A67="Centro",_xlfn.XLOOKUP($B67,Multi_Planta!$A$6:$A$13,Multi_Planta!$G$6:$G$13),1-_xlfn.XLOOKUP($B67,Multi_Planta!$A$6:$A$13,Multi_Planta!$G$6:$G$13))</f>
        <v>138.468809073724</v>
      </c>
      <c r="J67">
        <f>IFERROR(_xlfn.XLOOKUP($B67,Inputs!$A$82:$A$87,Inputs!$B$82:$B$87),0)*IF($A67="Centro",_xlfn.XLOOKUP($B67,Multi_Planta!$A$6:$A$13,Multi_Planta!$G$6:$G$13),1-_xlfn.XLOOKUP($B67,Multi_Planta!$A$6:$A$13,Multi_Planta!$G$6:$G$13))</f>
        <v>138.468809073724</v>
      </c>
      <c r="K67">
        <f>IFERROR(_xlfn.XLOOKUP($B67,Inputs!$A$82:$A$87,Inputs!$B$82:$B$87),0)*IF($A67="Centro",_xlfn.XLOOKUP($B67,Multi_Planta!$A$6:$A$13,Multi_Planta!$G$6:$G$13),1-_xlfn.XLOOKUP($B67,Multi_Planta!$A$6:$A$13,Multi_Planta!$G$6:$G$13))</f>
        <v>138.468809073724</v>
      </c>
      <c r="L67">
        <f t="shared" ref="L67:L98" si="40">SUM(D67:K67)</f>
        <v>1107.7504725897923</v>
      </c>
      <c r="M67" t="str">
        <f t="shared" ref="M67:M98" si="41">A67&amp;"|"&amp;B67&amp;"|"&amp;C67</f>
        <v>Oeste|Parte B|Safety Stock</v>
      </c>
    </row>
    <row r="68" spans="1:13" x14ac:dyDescent="0.3">
      <c r="A68" t="s">
        <v>266</v>
      </c>
      <c r="B68" t="s">
        <v>22</v>
      </c>
      <c r="C68" t="s">
        <v>353</v>
      </c>
      <c r="D68">
        <f>IF($A68="Centro",_xlfn.XLOOKUP($B68,Multi_Planta!$A$6:$A$13,Multi_Planta!$B$6:$B$13),_xlfn.XLOOKUP($B68,Multi_Planta!$A$6:$A$13,Multi_Planta!$C$6:$C$13))</f>
        <v>293</v>
      </c>
      <c r="E68">
        <f t="shared" ref="E68:K68" si="42">D72</f>
        <v>190.53308128544424</v>
      </c>
      <c r="F68">
        <f t="shared" si="42"/>
        <v>148.06616257088848</v>
      </c>
      <c r="G68">
        <f t="shared" si="42"/>
        <v>141.59924385633272</v>
      </c>
      <c r="H68">
        <f t="shared" si="42"/>
        <v>147.13232514177696</v>
      </c>
      <c r="I68">
        <f t="shared" si="42"/>
        <v>140.6654064272212</v>
      </c>
      <c r="J68">
        <f t="shared" si="42"/>
        <v>140.6654064272212</v>
      </c>
      <c r="K68">
        <f t="shared" si="42"/>
        <v>140.6654064272212</v>
      </c>
      <c r="L68">
        <f t="shared" si="40"/>
        <v>1342.3270321361058</v>
      </c>
      <c r="M68" t="str">
        <f t="shared" si="41"/>
        <v>Oeste|Parte B|POH Start</v>
      </c>
    </row>
    <row r="69" spans="1:13" x14ac:dyDescent="0.3">
      <c r="A69" t="s">
        <v>266</v>
      </c>
      <c r="B69" t="s">
        <v>22</v>
      </c>
      <c r="C69" t="s">
        <v>354</v>
      </c>
      <c r="D69">
        <f t="shared" ref="D69:K69" si="43">MAX(0,D66+D67-D68)</f>
        <v>0</v>
      </c>
      <c r="E69">
        <f t="shared" si="43"/>
        <v>50.402646502835523</v>
      </c>
      <c r="F69">
        <f t="shared" si="43"/>
        <v>92.869565217391283</v>
      </c>
      <c r="G69">
        <f t="shared" si="43"/>
        <v>99.336483931947043</v>
      </c>
      <c r="H69">
        <f t="shared" si="43"/>
        <v>93.803402646502803</v>
      </c>
      <c r="I69">
        <f t="shared" si="43"/>
        <v>0</v>
      </c>
      <c r="J69">
        <f t="shared" si="43"/>
        <v>0</v>
      </c>
      <c r="K69">
        <f t="shared" si="43"/>
        <v>0</v>
      </c>
      <c r="L69">
        <f t="shared" si="40"/>
        <v>336.41209829867665</v>
      </c>
      <c r="M69" t="str">
        <f t="shared" si="41"/>
        <v>Oeste|Parte B|Net Req</v>
      </c>
    </row>
    <row r="70" spans="1:13" x14ac:dyDescent="0.3">
      <c r="A70" t="s">
        <v>266</v>
      </c>
      <c r="B70" t="s">
        <v>22</v>
      </c>
      <c r="C70" t="s">
        <v>355</v>
      </c>
      <c r="D70">
        <f>IF(AND(LEFT($B70,5)="Pieza",Inputs!$B$110=1),_xlfn.CEILING.MATH(L66,_xlfn.XLOOKUP($B70,Inputs!$A$35:$A$42,Inputs!$B$35:$B$42)),_xlfn.CEILING.MATH(D69,_xlfn.XLOOKUP($B70,Inputs!$A$35:$A$42,Inputs!$B$35:$B$42)))</f>
        <v>0</v>
      </c>
      <c r="E70">
        <f>IF(AND(LEFT($B70,5)="Pieza",Inputs!$B$110=1),0,_xlfn.CEILING.MATH(E69,_xlfn.XLOOKUP($B70,Inputs!$A$35:$A$42,Inputs!$B$35:$B$42)))</f>
        <v>60</v>
      </c>
      <c r="F70">
        <f>IF(AND(LEFT($B70,5)="Pieza",Inputs!$B$110=1),0,_xlfn.CEILING.MATH(F69,_xlfn.XLOOKUP($B70,Inputs!$A$35:$A$42,Inputs!$B$35:$B$42)))</f>
        <v>96</v>
      </c>
      <c r="G70">
        <f>IF(AND(LEFT($B70,5)="Pieza",Inputs!$B$110=1),0,_xlfn.CEILING.MATH(G69,_xlfn.XLOOKUP($B70,Inputs!$A$35:$A$42,Inputs!$B$35:$B$42)))</f>
        <v>108</v>
      </c>
      <c r="H70">
        <f>IF(AND(LEFT($B70,5)="Pieza",Inputs!$B$110=1),0,_xlfn.CEILING.MATH(H69,_xlfn.XLOOKUP($B70,Inputs!$A$35:$A$42,Inputs!$B$35:$B$42)))</f>
        <v>96</v>
      </c>
      <c r="I70">
        <f>IF(AND(LEFT($B70,5)="Pieza",Inputs!$B$110=1),0,_xlfn.CEILING.MATH(I69,_xlfn.XLOOKUP($B70,Inputs!$A$35:$A$42,Inputs!$B$35:$B$42)))</f>
        <v>0</v>
      </c>
      <c r="J70">
        <f>IF(AND(LEFT($B70,5)="Pieza",Inputs!$B$110=1),0,_xlfn.CEILING.MATH(J69,_xlfn.XLOOKUP($B70,Inputs!$A$35:$A$42,Inputs!$B$35:$B$42)))</f>
        <v>0</v>
      </c>
      <c r="K70">
        <f>IF(AND(LEFT($B70,5)="Pieza",Inputs!$B$110=1),0,_xlfn.CEILING.MATH(K69,_xlfn.XLOOKUP($B70,Inputs!$A$35:$A$42,Inputs!$B$35:$B$42)))</f>
        <v>0</v>
      </c>
      <c r="L70">
        <f t="shared" si="40"/>
        <v>360</v>
      </c>
      <c r="M70" t="str">
        <f t="shared" si="41"/>
        <v>Oeste|Parte B|Planned Receipt</v>
      </c>
    </row>
    <row r="71" spans="1:13" x14ac:dyDescent="0.3">
      <c r="A71" t="s">
        <v>266</v>
      </c>
      <c r="B71" t="s">
        <v>22</v>
      </c>
      <c r="C71" t="s">
        <v>356</v>
      </c>
      <c r="D71">
        <f t="shared" ref="D71:K71" si="44">D70</f>
        <v>0</v>
      </c>
      <c r="E71">
        <f t="shared" si="44"/>
        <v>60</v>
      </c>
      <c r="F71">
        <f t="shared" si="44"/>
        <v>96</v>
      </c>
      <c r="G71">
        <f t="shared" si="44"/>
        <v>108</v>
      </c>
      <c r="H71">
        <f t="shared" si="44"/>
        <v>96</v>
      </c>
      <c r="I71">
        <f t="shared" si="44"/>
        <v>0</v>
      </c>
      <c r="J71">
        <f t="shared" si="44"/>
        <v>0</v>
      </c>
      <c r="K71">
        <f t="shared" si="44"/>
        <v>0</v>
      </c>
      <c r="L71">
        <f t="shared" si="40"/>
        <v>360</v>
      </c>
      <c r="M71" t="str">
        <f t="shared" si="41"/>
        <v>Oeste|Parte B|Planned Release</v>
      </c>
    </row>
    <row r="72" spans="1:13" x14ac:dyDescent="0.3">
      <c r="A72" t="s">
        <v>266</v>
      </c>
      <c r="B72" t="s">
        <v>22</v>
      </c>
      <c r="C72" t="s">
        <v>357</v>
      </c>
      <c r="D72">
        <f t="shared" ref="D72:K72" si="45">D68+D70-D66</f>
        <v>190.53308128544424</v>
      </c>
      <c r="E72">
        <f t="shared" si="45"/>
        <v>148.06616257088848</v>
      </c>
      <c r="F72">
        <f t="shared" si="45"/>
        <v>141.59924385633272</v>
      </c>
      <c r="G72">
        <f t="shared" si="45"/>
        <v>147.13232514177696</v>
      </c>
      <c r="H72">
        <f t="shared" si="45"/>
        <v>140.6654064272212</v>
      </c>
      <c r="I72">
        <f t="shared" si="45"/>
        <v>140.6654064272212</v>
      </c>
      <c r="J72">
        <f t="shared" si="45"/>
        <v>140.6654064272212</v>
      </c>
      <c r="K72">
        <f t="shared" si="45"/>
        <v>140.6654064272212</v>
      </c>
      <c r="L72">
        <f t="shared" si="40"/>
        <v>1189.9924385633271</v>
      </c>
      <c r="M72" t="str">
        <f t="shared" si="41"/>
        <v>Oeste|Parte B|POH End</v>
      </c>
    </row>
    <row r="73" spans="1:13" x14ac:dyDescent="0.3">
      <c r="A73" t="s">
        <v>266</v>
      </c>
      <c r="B73" t="s">
        <v>23</v>
      </c>
      <c r="C73" t="s">
        <v>352</v>
      </c>
      <c r="D73">
        <f>INDEX(BOM_Consumo!$C$6:$J$13,MATCH($B73,BOM_Consumo!$A$6:$A$13,0),COLUMN()-COLUMN($D$2)+1)*IF($A73="Centro",_xlfn.XLOOKUP($B73,Multi_Planta!$A$6:$A$13,Multi_Planta!$G$6:$G$13),1-_xlfn.XLOOKUP($B73,Multi_Planta!$A$6:$A$13,Multi_Planta!$G$6:$G$13))</f>
        <v>5.1230769230769235</v>
      </c>
      <c r="E73">
        <f>INDEX(BOM_Consumo!$C$6:$J$13,MATCH($B73,BOM_Consumo!$A$6:$A$13,0),COLUMN()-COLUMN($D$2)+1)*IF($A73="Centro",_xlfn.XLOOKUP($B73,Multi_Planta!$A$6:$A$13,Multi_Planta!$G$6:$G$13),1-_xlfn.XLOOKUP($B73,Multi_Planta!$A$6:$A$13,Multi_Planta!$G$6:$G$13))</f>
        <v>5.1230769230769235</v>
      </c>
      <c r="F73">
        <f>INDEX(BOM_Consumo!$C$6:$J$13,MATCH($B73,BOM_Consumo!$A$6:$A$13,0),COLUMN()-COLUMN($D$2)+1)*IF($A73="Centro",_xlfn.XLOOKUP($B73,Multi_Planta!$A$6:$A$13,Multi_Planta!$G$6:$G$13),1-_xlfn.XLOOKUP($B73,Multi_Planta!$A$6:$A$13,Multi_Planta!$G$6:$G$13))</f>
        <v>5.1230769230769235</v>
      </c>
      <c r="G73">
        <f>INDEX(BOM_Consumo!$C$6:$J$13,MATCH($B73,BOM_Consumo!$A$6:$A$13,0),COLUMN()-COLUMN($D$2)+1)*IF($A73="Centro",_xlfn.XLOOKUP($B73,Multi_Planta!$A$6:$A$13,Multi_Planta!$G$6:$G$13),1-_xlfn.XLOOKUP($B73,Multi_Planta!$A$6:$A$13,Multi_Planta!$G$6:$G$13))</f>
        <v>5.1230769230769235</v>
      </c>
      <c r="H73">
        <f>INDEX(BOM_Consumo!$C$6:$J$13,MATCH($B73,BOM_Consumo!$A$6:$A$13,0),COLUMN()-COLUMN($D$2)+1)*IF($A73="Centro",_xlfn.XLOOKUP($B73,Multi_Planta!$A$6:$A$13,Multi_Planta!$G$6:$G$13),1-_xlfn.XLOOKUP($B73,Multi_Planta!$A$6:$A$13,Multi_Planta!$G$6:$G$13))</f>
        <v>5.1230769230769235</v>
      </c>
      <c r="I73">
        <f>INDEX(BOM_Consumo!$C$6:$J$13,MATCH($B73,BOM_Consumo!$A$6:$A$13,0),COLUMN()-COLUMN($D$2)+1)*IF($A73="Centro",_xlfn.XLOOKUP($B73,Multi_Planta!$A$6:$A$13,Multi_Planta!$G$6:$G$13),1-_xlfn.XLOOKUP($B73,Multi_Planta!$A$6:$A$13,Multi_Planta!$G$6:$G$13))</f>
        <v>5.1230769230769235</v>
      </c>
      <c r="J73">
        <f>INDEX(BOM_Consumo!$C$6:$J$13,MATCH($B73,BOM_Consumo!$A$6:$A$13,0),COLUMN()-COLUMN($D$2)+1)*IF($A73="Centro",_xlfn.XLOOKUP($B73,Multi_Planta!$A$6:$A$13,Multi_Planta!$G$6:$G$13),1-_xlfn.XLOOKUP($B73,Multi_Planta!$A$6:$A$13,Multi_Planta!$G$6:$G$13))</f>
        <v>5.1230769230769235</v>
      </c>
      <c r="K73">
        <f>INDEX(BOM_Consumo!$C$6:$J$13,MATCH($B73,BOM_Consumo!$A$6:$A$13,0),COLUMN()-COLUMN($D$2)+1)*IF($A73="Centro",_xlfn.XLOOKUP($B73,Multi_Planta!$A$6:$A$13,Multi_Planta!$G$6:$G$13),1-_xlfn.XLOOKUP($B73,Multi_Planta!$A$6:$A$13,Multi_Planta!$G$6:$G$13))</f>
        <v>0</v>
      </c>
      <c r="L73">
        <f t="shared" si="40"/>
        <v>35.861538461538466</v>
      </c>
      <c r="M73" t="str">
        <f t="shared" si="41"/>
        <v>Oeste|Pieza 1|Gross Req</v>
      </c>
    </row>
    <row r="74" spans="1:13" x14ac:dyDescent="0.3">
      <c r="A74" t="s">
        <v>266</v>
      </c>
      <c r="B74" t="s">
        <v>23</v>
      </c>
      <c r="C74" t="s">
        <v>81</v>
      </c>
      <c r="D74">
        <f>IFERROR(_xlfn.XLOOKUP($B74,Inputs!$A$82:$A$87,Inputs!$B$82:$B$87),0)*IF($A74="Centro",_xlfn.XLOOKUP($B74,Multi_Planta!$A$6:$A$13,Multi_Planta!$G$6:$G$13),1-_xlfn.XLOOKUP($B74,Multi_Planta!$A$6:$A$13,Multi_Planta!$G$6:$G$13))</f>
        <v>13.846153846153847</v>
      </c>
      <c r="E74">
        <f>IFERROR(_xlfn.XLOOKUP($B74,Inputs!$A$82:$A$87,Inputs!$B$82:$B$87),0)*IF($A74="Centro",_xlfn.XLOOKUP($B74,Multi_Planta!$A$6:$A$13,Multi_Planta!$G$6:$G$13),1-_xlfn.XLOOKUP($B74,Multi_Planta!$A$6:$A$13,Multi_Planta!$G$6:$G$13))</f>
        <v>13.846153846153847</v>
      </c>
      <c r="F74">
        <f>IFERROR(_xlfn.XLOOKUP($B74,Inputs!$A$82:$A$87,Inputs!$B$82:$B$87),0)*IF($A74="Centro",_xlfn.XLOOKUP($B74,Multi_Planta!$A$6:$A$13,Multi_Planta!$G$6:$G$13),1-_xlfn.XLOOKUP($B74,Multi_Planta!$A$6:$A$13,Multi_Planta!$G$6:$G$13))</f>
        <v>13.846153846153847</v>
      </c>
      <c r="G74">
        <f>IFERROR(_xlfn.XLOOKUP($B74,Inputs!$A$82:$A$87,Inputs!$B$82:$B$87),0)*IF($A74="Centro",_xlfn.XLOOKUP($B74,Multi_Planta!$A$6:$A$13,Multi_Planta!$G$6:$G$13),1-_xlfn.XLOOKUP($B74,Multi_Planta!$A$6:$A$13,Multi_Planta!$G$6:$G$13))</f>
        <v>13.846153846153847</v>
      </c>
      <c r="H74">
        <f>IFERROR(_xlfn.XLOOKUP($B74,Inputs!$A$82:$A$87,Inputs!$B$82:$B$87),0)*IF($A74="Centro",_xlfn.XLOOKUP($B74,Multi_Planta!$A$6:$A$13,Multi_Planta!$G$6:$G$13),1-_xlfn.XLOOKUP($B74,Multi_Planta!$A$6:$A$13,Multi_Planta!$G$6:$G$13))</f>
        <v>13.846153846153847</v>
      </c>
      <c r="I74">
        <f>IFERROR(_xlfn.XLOOKUP($B74,Inputs!$A$82:$A$87,Inputs!$B$82:$B$87),0)*IF($A74="Centro",_xlfn.XLOOKUP($B74,Multi_Planta!$A$6:$A$13,Multi_Planta!$G$6:$G$13),1-_xlfn.XLOOKUP($B74,Multi_Planta!$A$6:$A$13,Multi_Planta!$G$6:$G$13))</f>
        <v>13.846153846153847</v>
      </c>
      <c r="J74">
        <f>IFERROR(_xlfn.XLOOKUP($B74,Inputs!$A$82:$A$87,Inputs!$B$82:$B$87),0)*IF($A74="Centro",_xlfn.XLOOKUP($B74,Multi_Planta!$A$6:$A$13,Multi_Planta!$G$6:$G$13),1-_xlfn.XLOOKUP($B74,Multi_Planta!$A$6:$A$13,Multi_Planta!$G$6:$G$13))</f>
        <v>13.846153846153847</v>
      </c>
      <c r="K74">
        <f>IFERROR(_xlfn.XLOOKUP($B74,Inputs!$A$82:$A$87,Inputs!$B$82:$B$87),0)*IF($A74="Centro",_xlfn.XLOOKUP($B74,Multi_Planta!$A$6:$A$13,Multi_Planta!$G$6:$G$13),1-_xlfn.XLOOKUP($B74,Multi_Planta!$A$6:$A$13,Multi_Planta!$G$6:$G$13))</f>
        <v>13.846153846153847</v>
      </c>
      <c r="L74">
        <f t="shared" si="40"/>
        <v>110.76923076923075</v>
      </c>
      <c r="M74" t="str">
        <f t="shared" si="41"/>
        <v>Oeste|Pieza 1|Safety Stock</v>
      </c>
    </row>
    <row r="75" spans="1:13" x14ac:dyDescent="0.3">
      <c r="A75" t="s">
        <v>266</v>
      </c>
      <c r="B75" t="s">
        <v>23</v>
      </c>
      <c r="C75" t="s">
        <v>353</v>
      </c>
      <c r="D75">
        <f>IF($A75="Centro",_xlfn.XLOOKUP($B75,Multi_Planta!$A$6:$A$13,Multi_Planta!$B$6:$B$13),_xlfn.XLOOKUP($B75,Multi_Planta!$A$6:$A$13,Multi_Planta!$C$6:$C$13))</f>
        <v>36</v>
      </c>
      <c r="E75">
        <f t="shared" ref="E75:K75" si="46">D79</f>
        <v>66.876923076923077</v>
      </c>
      <c r="F75">
        <f t="shared" si="46"/>
        <v>61.753846153846155</v>
      </c>
      <c r="G75">
        <f t="shared" si="46"/>
        <v>56.630769230769232</v>
      </c>
      <c r="H75">
        <f t="shared" si="46"/>
        <v>51.507692307692309</v>
      </c>
      <c r="I75">
        <f t="shared" si="46"/>
        <v>46.384615384615387</v>
      </c>
      <c r="J75">
        <f t="shared" si="46"/>
        <v>41.261538461538464</v>
      </c>
      <c r="K75">
        <f t="shared" si="46"/>
        <v>36.138461538461542</v>
      </c>
      <c r="L75">
        <f t="shared" si="40"/>
        <v>396.55384615384617</v>
      </c>
      <c r="M75" t="str">
        <f t="shared" si="41"/>
        <v>Oeste|Pieza 1|POH Start</v>
      </c>
    </row>
    <row r="76" spans="1:13" x14ac:dyDescent="0.3">
      <c r="A76" t="s">
        <v>266</v>
      </c>
      <c r="B76" t="s">
        <v>23</v>
      </c>
      <c r="C76" t="s">
        <v>354</v>
      </c>
      <c r="D76">
        <f t="shared" ref="D76:K76" si="47">MAX(0,D73+D74-D75)</f>
        <v>0</v>
      </c>
      <c r="E76">
        <f t="shared" si="47"/>
        <v>0</v>
      </c>
      <c r="F76">
        <f t="shared" si="47"/>
        <v>0</v>
      </c>
      <c r="G76">
        <f t="shared" si="47"/>
        <v>0</v>
      </c>
      <c r="H76">
        <f t="shared" si="47"/>
        <v>0</v>
      </c>
      <c r="I76">
        <f t="shared" si="47"/>
        <v>0</v>
      </c>
      <c r="J76">
        <f t="shared" si="47"/>
        <v>0</v>
      </c>
      <c r="K76">
        <f t="shared" si="47"/>
        <v>0</v>
      </c>
      <c r="L76">
        <f t="shared" si="40"/>
        <v>0</v>
      </c>
      <c r="M76" t="str">
        <f t="shared" si="41"/>
        <v>Oeste|Pieza 1|Net Req</v>
      </c>
    </row>
    <row r="77" spans="1:13" x14ac:dyDescent="0.3">
      <c r="A77" t="s">
        <v>266</v>
      </c>
      <c r="B77" t="s">
        <v>23</v>
      </c>
      <c r="C77" t="s">
        <v>355</v>
      </c>
      <c r="D77">
        <f>IF(AND(LEFT($B77,5)="Pieza",Inputs!$B$110=1),_xlfn.CEILING.MATH(L73,_xlfn.XLOOKUP($B77,Inputs!$A$35:$A$42,Inputs!$B$35:$B$42)),_xlfn.CEILING.MATH(D76,_xlfn.XLOOKUP($B77,Inputs!$A$35:$A$42,Inputs!$B$35:$B$42)))</f>
        <v>36</v>
      </c>
      <c r="E77">
        <f>IF(AND(LEFT($B77,5)="Pieza",Inputs!$B$110=1),0,_xlfn.CEILING.MATH(E76,_xlfn.XLOOKUP($B77,Inputs!$A$35:$A$42,Inputs!$B$35:$B$42)))</f>
        <v>0</v>
      </c>
      <c r="F77">
        <f>IF(AND(LEFT($B77,5)="Pieza",Inputs!$B$110=1),0,_xlfn.CEILING.MATH(F76,_xlfn.XLOOKUP($B77,Inputs!$A$35:$A$42,Inputs!$B$35:$B$42)))</f>
        <v>0</v>
      </c>
      <c r="G77">
        <f>IF(AND(LEFT($B77,5)="Pieza",Inputs!$B$110=1),0,_xlfn.CEILING.MATH(G76,_xlfn.XLOOKUP($B77,Inputs!$A$35:$A$42,Inputs!$B$35:$B$42)))</f>
        <v>0</v>
      </c>
      <c r="H77">
        <f>IF(AND(LEFT($B77,5)="Pieza",Inputs!$B$110=1),0,_xlfn.CEILING.MATH(H76,_xlfn.XLOOKUP($B77,Inputs!$A$35:$A$42,Inputs!$B$35:$B$42)))</f>
        <v>0</v>
      </c>
      <c r="I77">
        <f>IF(AND(LEFT($B77,5)="Pieza",Inputs!$B$110=1),0,_xlfn.CEILING.MATH(I76,_xlfn.XLOOKUP($B77,Inputs!$A$35:$A$42,Inputs!$B$35:$B$42)))</f>
        <v>0</v>
      </c>
      <c r="J77">
        <f>IF(AND(LEFT($B77,5)="Pieza",Inputs!$B$110=1),0,_xlfn.CEILING.MATH(J76,_xlfn.XLOOKUP($B77,Inputs!$A$35:$A$42,Inputs!$B$35:$B$42)))</f>
        <v>0</v>
      </c>
      <c r="K77">
        <f>IF(AND(LEFT($B77,5)="Pieza",Inputs!$B$110=1),0,_xlfn.CEILING.MATH(K76,_xlfn.XLOOKUP($B77,Inputs!$A$35:$A$42,Inputs!$B$35:$B$42)))</f>
        <v>0</v>
      </c>
      <c r="L77">
        <f t="shared" si="40"/>
        <v>36</v>
      </c>
      <c r="M77" t="str">
        <f t="shared" si="41"/>
        <v>Oeste|Pieza 1|Planned Receipt</v>
      </c>
    </row>
    <row r="78" spans="1:13" x14ac:dyDescent="0.3">
      <c r="A78" t="s">
        <v>266</v>
      </c>
      <c r="B78" t="s">
        <v>23</v>
      </c>
      <c r="C78" t="s">
        <v>356</v>
      </c>
      <c r="D78">
        <f t="shared" ref="D78:K78" si="48">D77</f>
        <v>36</v>
      </c>
      <c r="E78">
        <f t="shared" si="48"/>
        <v>0</v>
      </c>
      <c r="F78">
        <f t="shared" si="48"/>
        <v>0</v>
      </c>
      <c r="G78">
        <f t="shared" si="48"/>
        <v>0</v>
      </c>
      <c r="H78">
        <f t="shared" si="48"/>
        <v>0</v>
      </c>
      <c r="I78">
        <f t="shared" si="48"/>
        <v>0</v>
      </c>
      <c r="J78">
        <f t="shared" si="48"/>
        <v>0</v>
      </c>
      <c r="K78">
        <f t="shared" si="48"/>
        <v>0</v>
      </c>
      <c r="L78">
        <f t="shared" si="40"/>
        <v>36</v>
      </c>
      <c r="M78" t="str">
        <f t="shared" si="41"/>
        <v>Oeste|Pieza 1|Planned Release</v>
      </c>
    </row>
    <row r="79" spans="1:13" x14ac:dyDescent="0.3">
      <c r="A79" t="s">
        <v>266</v>
      </c>
      <c r="B79" t="s">
        <v>23</v>
      </c>
      <c r="C79" t="s">
        <v>357</v>
      </c>
      <c r="D79">
        <f t="shared" ref="D79:K79" si="49">D75+D77-D73</f>
        <v>66.876923076923077</v>
      </c>
      <c r="E79">
        <f t="shared" si="49"/>
        <v>61.753846153846155</v>
      </c>
      <c r="F79">
        <f t="shared" si="49"/>
        <v>56.630769230769232</v>
      </c>
      <c r="G79">
        <f t="shared" si="49"/>
        <v>51.507692307692309</v>
      </c>
      <c r="H79">
        <f t="shared" si="49"/>
        <v>46.384615384615387</v>
      </c>
      <c r="I79">
        <f t="shared" si="49"/>
        <v>41.261538461538464</v>
      </c>
      <c r="J79">
        <f t="shared" si="49"/>
        <v>36.138461538461542</v>
      </c>
      <c r="K79">
        <f t="shared" si="49"/>
        <v>36.138461538461542</v>
      </c>
      <c r="L79">
        <f t="shared" si="40"/>
        <v>396.69230769230774</v>
      </c>
      <c r="M79" t="str">
        <f t="shared" si="41"/>
        <v>Oeste|Pieza 1|POH End</v>
      </c>
    </row>
    <row r="80" spans="1:13" x14ac:dyDescent="0.3">
      <c r="A80" t="s">
        <v>266</v>
      </c>
      <c r="B80" t="s">
        <v>24</v>
      </c>
      <c r="C80" t="s">
        <v>352</v>
      </c>
      <c r="D80">
        <f>INDEX(BOM_Consumo!$C$6:$J$13,MATCH($B80,BOM_Consumo!$A$6:$A$13,0),COLUMN()-COLUMN($D$2)+1)*IF($A80="Centro",_xlfn.XLOOKUP($B80,Multi_Planta!$A$6:$A$13,Multi_Planta!$G$6:$G$13),1-_xlfn.XLOOKUP($B80,Multi_Planta!$A$6:$A$13,Multi_Planta!$G$6:$G$13))</f>
        <v>4000.6074411541385</v>
      </c>
      <c r="E80">
        <f>INDEX(BOM_Consumo!$C$6:$J$13,MATCH($B80,BOM_Consumo!$A$6:$A$13,0),COLUMN()-COLUMN($D$2)+1)*IF($A80="Centro",_xlfn.XLOOKUP($B80,Multi_Planta!$A$6:$A$13,Multi_Planta!$G$6:$G$13),1-_xlfn.XLOOKUP($B80,Multi_Planta!$A$6:$A$13,Multi_Planta!$G$6:$G$13))</f>
        <v>4000.6074411541385</v>
      </c>
      <c r="F80">
        <f>INDEX(BOM_Consumo!$C$6:$J$13,MATCH($B80,BOM_Consumo!$A$6:$A$13,0),COLUMN()-COLUMN($D$2)+1)*IF($A80="Centro",_xlfn.XLOOKUP($B80,Multi_Planta!$A$6:$A$13,Multi_Planta!$G$6:$G$13),1-_xlfn.XLOOKUP($B80,Multi_Planta!$A$6:$A$13,Multi_Planta!$G$6:$G$13))</f>
        <v>4000.6074411541385</v>
      </c>
      <c r="G80">
        <f>INDEX(BOM_Consumo!$C$6:$J$13,MATCH($B80,BOM_Consumo!$A$6:$A$13,0),COLUMN()-COLUMN($D$2)+1)*IF($A80="Centro",_xlfn.XLOOKUP($B80,Multi_Planta!$A$6:$A$13,Multi_Planta!$G$6:$G$13),1-_xlfn.XLOOKUP($B80,Multi_Planta!$A$6:$A$13,Multi_Planta!$G$6:$G$13))</f>
        <v>4000.6074411541385</v>
      </c>
      <c r="H80">
        <f>INDEX(BOM_Consumo!$C$6:$J$13,MATCH($B80,BOM_Consumo!$A$6:$A$13,0),COLUMN()-COLUMN($D$2)+1)*IF($A80="Centro",_xlfn.XLOOKUP($B80,Multi_Planta!$A$6:$A$13,Multi_Planta!$G$6:$G$13),1-_xlfn.XLOOKUP($B80,Multi_Planta!$A$6:$A$13,Multi_Planta!$G$6:$G$13))</f>
        <v>4000.6074411541385</v>
      </c>
      <c r="I80">
        <f>INDEX(BOM_Consumo!$C$6:$J$13,MATCH($B80,BOM_Consumo!$A$6:$A$13,0),COLUMN()-COLUMN($D$2)+1)*IF($A80="Centro",_xlfn.XLOOKUP($B80,Multi_Planta!$A$6:$A$13,Multi_Planta!$G$6:$G$13),1-_xlfn.XLOOKUP($B80,Multi_Planta!$A$6:$A$13,Multi_Planta!$G$6:$G$13))</f>
        <v>4000.6074411541385</v>
      </c>
      <c r="J80">
        <f>INDEX(BOM_Consumo!$C$6:$J$13,MATCH($B80,BOM_Consumo!$A$6:$A$13,0),COLUMN()-COLUMN($D$2)+1)*IF($A80="Centro",_xlfn.XLOOKUP($B80,Multi_Planta!$A$6:$A$13,Multi_Planta!$G$6:$G$13),1-_xlfn.XLOOKUP($B80,Multi_Planta!$A$6:$A$13,Multi_Planta!$G$6:$G$13))</f>
        <v>4000.6074411541385</v>
      </c>
      <c r="K80">
        <f>INDEX(BOM_Consumo!$C$6:$J$13,MATCH($B80,BOM_Consumo!$A$6:$A$13,0),COLUMN()-COLUMN($D$2)+1)*IF($A80="Centro",_xlfn.XLOOKUP($B80,Multi_Planta!$A$6:$A$13,Multi_Planta!$G$6:$G$13),1-_xlfn.XLOOKUP($B80,Multi_Planta!$A$6:$A$13,Multi_Planta!$G$6:$G$13))</f>
        <v>0</v>
      </c>
      <c r="L80">
        <f t="shared" si="40"/>
        <v>28004.252088078967</v>
      </c>
      <c r="M80" t="str">
        <f t="shared" si="41"/>
        <v>Oeste|Pieza 2|Gross Req</v>
      </c>
    </row>
    <row r="81" spans="1:13" x14ac:dyDescent="0.3">
      <c r="A81" t="s">
        <v>266</v>
      </c>
      <c r="B81" t="s">
        <v>24</v>
      </c>
      <c r="C81" t="s">
        <v>81</v>
      </c>
      <c r="D81">
        <f>IFERROR(_xlfn.XLOOKUP($B81,Inputs!$A$82:$A$87,Inputs!$B$82:$B$87),0)*IF($A81="Centro",_xlfn.XLOOKUP($B81,Multi_Planta!$A$6:$A$13,Multi_Planta!$G$6:$G$13),1-_xlfn.XLOOKUP($B81,Multi_Planta!$A$6:$A$13,Multi_Planta!$G$6:$G$13))</f>
        <v>2703.1131359149585</v>
      </c>
      <c r="E81">
        <f>IFERROR(_xlfn.XLOOKUP($B81,Inputs!$A$82:$A$87,Inputs!$B$82:$B$87),0)*IF($A81="Centro",_xlfn.XLOOKUP($B81,Multi_Planta!$A$6:$A$13,Multi_Planta!$G$6:$G$13),1-_xlfn.XLOOKUP($B81,Multi_Planta!$A$6:$A$13,Multi_Planta!$G$6:$G$13))</f>
        <v>2703.1131359149585</v>
      </c>
      <c r="F81">
        <f>IFERROR(_xlfn.XLOOKUP($B81,Inputs!$A$82:$A$87,Inputs!$B$82:$B$87),0)*IF($A81="Centro",_xlfn.XLOOKUP($B81,Multi_Planta!$A$6:$A$13,Multi_Planta!$G$6:$G$13),1-_xlfn.XLOOKUP($B81,Multi_Planta!$A$6:$A$13,Multi_Planta!$G$6:$G$13))</f>
        <v>2703.1131359149585</v>
      </c>
      <c r="G81">
        <f>IFERROR(_xlfn.XLOOKUP($B81,Inputs!$A$82:$A$87,Inputs!$B$82:$B$87),0)*IF($A81="Centro",_xlfn.XLOOKUP($B81,Multi_Planta!$A$6:$A$13,Multi_Planta!$G$6:$G$13),1-_xlfn.XLOOKUP($B81,Multi_Planta!$A$6:$A$13,Multi_Planta!$G$6:$G$13))</f>
        <v>2703.1131359149585</v>
      </c>
      <c r="H81">
        <f>IFERROR(_xlfn.XLOOKUP($B81,Inputs!$A$82:$A$87,Inputs!$B$82:$B$87),0)*IF($A81="Centro",_xlfn.XLOOKUP($B81,Multi_Planta!$A$6:$A$13,Multi_Planta!$G$6:$G$13),1-_xlfn.XLOOKUP($B81,Multi_Planta!$A$6:$A$13,Multi_Planta!$G$6:$G$13))</f>
        <v>2703.1131359149585</v>
      </c>
      <c r="I81">
        <f>IFERROR(_xlfn.XLOOKUP($B81,Inputs!$A$82:$A$87,Inputs!$B$82:$B$87),0)*IF($A81="Centro",_xlfn.XLOOKUP($B81,Multi_Planta!$A$6:$A$13,Multi_Planta!$G$6:$G$13),1-_xlfn.XLOOKUP($B81,Multi_Planta!$A$6:$A$13,Multi_Planta!$G$6:$G$13))</f>
        <v>2703.1131359149585</v>
      </c>
      <c r="J81">
        <f>IFERROR(_xlfn.XLOOKUP($B81,Inputs!$A$82:$A$87,Inputs!$B$82:$B$87),0)*IF($A81="Centro",_xlfn.XLOOKUP($B81,Multi_Planta!$A$6:$A$13,Multi_Planta!$G$6:$G$13),1-_xlfn.XLOOKUP($B81,Multi_Planta!$A$6:$A$13,Multi_Planta!$G$6:$G$13))</f>
        <v>2703.1131359149585</v>
      </c>
      <c r="K81">
        <f>IFERROR(_xlfn.XLOOKUP($B81,Inputs!$A$82:$A$87,Inputs!$B$82:$B$87),0)*IF($A81="Centro",_xlfn.XLOOKUP($B81,Multi_Planta!$A$6:$A$13,Multi_Planta!$G$6:$G$13),1-_xlfn.XLOOKUP($B81,Multi_Planta!$A$6:$A$13,Multi_Planta!$G$6:$G$13))</f>
        <v>2703.1131359149585</v>
      </c>
      <c r="L81">
        <f t="shared" si="40"/>
        <v>21624.905087319668</v>
      </c>
      <c r="M81" t="str">
        <f t="shared" si="41"/>
        <v>Oeste|Pieza 2|Safety Stock</v>
      </c>
    </row>
    <row r="82" spans="1:13" x14ac:dyDescent="0.3">
      <c r="A82" t="s">
        <v>266</v>
      </c>
      <c r="B82" t="s">
        <v>24</v>
      </c>
      <c r="C82" t="s">
        <v>353</v>
      </c>
      <c r="D82">
        <f>IF($A82="Centro",_xlfn.XLOOKUP($B82,Multi_Planta!$A$6:$A$13,Multi_Planta!$B$6:$B$13),_xlfn.XLOOKUP($B82,Multi_Planta!$A$6:$A$13,Multi_Planta!$C$6:$C$13))</f>
        <v>1424</v>
      </c>
      <c r="E82">
        <f t="shared" ref="E82:K82" si="50">D86</f>
        <v>25523.392558845862</v>
      </c>
      <c r="F82">
        <f t="shared" si="50"/>
        <v>21522.785117691725</v>
      </c>
      <c r="G82">
        <f t="shared" si="50"/>
        <v>17522.177676537587</v>
      </c>
      <c r="H82">
        <f t="shared" si="50"/>
        <v>13521.570235383449</v>
      </c>
      <c r="I82">
        <f t="shared" si="50"/>
        <v>9520.9627942293118</v>
      </c>
      <c r="J82">
        <f t="shared" si="50"/>
        <v>5520.3553530751733</v>
      </c>
      <c r="K82">
        <f t="shared" si="50"/>
        <v>1519.7479119210348</v>
      </c>
      <c r="L82">
        <f t="shared" si="40"/>
        <v>96074.991647684132</v>
      </c>
      <c r="M82" t="str">
        <f t="shared" si="41"/>
        <v>Oeste|Pieza 2|POH Start</v>
      </c>
    </row>
    <row r="83" spans="1:13" x14ac:dyDescent="0.3">
      <c r="A83" t="s">
        <v>266</v>
      </c>
      <c r="B83" t="s">
        <v>24</v>
      </c>
      <c r="C83" t="s">
        <v>354</v>
      </c>
      <c r="D83">
        <f t="shared" ref="D83:K83" si="51">MAX(0,D80+D81-D82)</f>
        <v>5279.7205770690971</v>
      </c>
      <c r="E83">
        <f t="shared" si="51"/>
        <v>0</v>
      </c>
      <c r="F83">
        <f t="shared" si="51"/>
        <v>0</v>
      </c>
      <c r="G83">
        <f t="shared" si="51"/>
        <v>0</v>
      </c>
      <c r="H83">
        <f t="shared" si="51"/>
        <v>0</v>
      </c>
      <c r="I83">
        <f t="shared" si="51"/>
        <v>0</v>
      </c>
      <c r="J83">
        <f t="shared" si="51"/>
        <v>1183.3652239939238</v>
      </c>
      <c r="K83">
        <f t="shared" si="51"/>
        <v>1183.3652239939238</v>
      </c>
      <c r="L83">
        <f t="shared" si="40"/>
        <v>7646.4510250569447</v>
      </c>
      <c r="M83" t="str">
        <f t="shared" si="41"/>
        <v>Oeste|Pieza 2|Net Req</v>
      </c>
    </row>
    <row r="84" spans="1:13" x14ac:dyDescent="0.3">
      <c r="A84" t="s">
        <v>266</v>
      </c>
      <c r="B84" t="s">
        <v>24</v>
      </c>
      <c r="C84" t="s">
        <v>355</v>
      </c>
      <c r="D84">
        <f>IF(AND(LEFT($B84,5)="Pieza",Inputs!$B$110=1),_xlfn.CEILING.MATH(L80,_xlfn.XLOOKUP($B84,Inputs!$A$35:$A$42,Inputs!$B$35:$B$42)),_xlfn.CEILING.MATH(D83,_xlfn.XLOOKUP($B84,Inputs!$A$35:$A$42,Inputs!$B$35:$B$42)))</f>
        <v>28100</v>
      </c>
      <c r="E84">
        <f>IF(AND(LEFT($B84,5)="Pieza",Inputs!$B$110=1),0,_xlfn.CEILING.MATH(E83,_xlfn.XLOOKUP($B84,Inputs!$A$35:$A$42,Inputs!$B$35:$B$42)))</f>
        <v>0</v>
      </c>
      <c r="F84">
        <f>IF(AND(LEFT($B84,5)="Pieza",Inputs!$B$110=1),0,_xlfn.CEILING.MATH(F83,_xlfn.XLOOKUP($B84,Inputs!$A$35:$A$42,Inputs!$B$35:$B$42)))</f>
        <v>0</v>
      </c>
      <c r="G84">
        <f>IF(AND(LEFT($B84,5)="Pieza",Inputs!$B$110=1),0,_xlfn.CEILING.MATH(G83,_xlfn.XLOOKUP($B84,Inputs!$A$35:$A$42,Inputs!$B$35:$B$42)))</f>
        <v>0</v>
      </c>
      <c r="H84">
        <f>IF(AND(LEFT($B84,5)="Pieza",Inputs!$B$110=1),0,_xlfn.CEILING.MATH(H83,_xlfn.XLOOKUP($B84,Inputs!$A$35:$A$42,Inputs!$B$35:$B$42)))</f>
        <v>0</v>
      </c>
      <c r="I84">
        <f>IF(AND(LEFT($B84,5)="Pieza",Inputs!$B$110=1),0,_xlfn.CEILING.MATH(I83,_xlfn.XLOOKUP($B84,Inputs!$A$35:$A$42,Inputs!$B$35:$B$42)))</f>
        <v>0</v>
      </c>
      <c r="J84">
        <f>IF(AND(LEFT($B84,5)="Pieza",Inputs!$B$110=1),0,_xlfn.CEILING.MATH(J83,_xlfn.XLOOKUP($B84,Inputs!$A$35:$A$42,Inputs!$B$35:$B$42)))</f>
        <v>0</v>
      </c>
      <c r="K84">
        <f>IF(AND(LEFT($B84,5)="Pieza",Inputs!$B$110=1),0,_xlfn.CEILING.MATH(K83,_xlfn.XLOOKUP($B84,Inputs!$A$35:$A$42,Inputs!$B$35:$B$42)))</f>
        <v>0</v>
      </c>
      <c r="L84">
        <f t="shared" si="40"/>
        <v>28100</v>
      </c>
      <c r="M84" t="str">
        <f t="shared" si="41"/>
        <v>Oeste|Pieza 2|Planned Receipt</v>
      </c>
    </row>
    <row r="85" spans="1:13" x14ac:dyDescent="0.3">
      <c r="A85" t="s">
        <v>266</v>
      </c>
      <c r="B85" t="s">
        <v>24</v>
      </c>
      <c r="C85" t="s">
        <v>356</v>
      </c>
      <c r="D85">
        <f t="shared" ref="D85:K85" si="52">D84</f>
        <v>28100</v>
      </c>
      <c r="E85">
        <f t="shared" si="52"/>
        <v>0</v>
      </c>
      <c r="F85">
        <f t="shared" si="52"/>
        <v>0</v>
      </c>
      <c r="G85">
        <f t="shared" si="52"/>
        <v>0</v>
      </c>
      <c r="H85">
        <f t="shared" si="52"/>
        <v>0</v>
      </c>
      <c r="I85">
        <f t="shared" si="52"/>
        <v>0</v>
      </c>
      <c r="J85">
        <f t="shared" si="52"/>
        <v>0</v>
      </c>
      <c r="K85">
        <f t="shared" si="52"/>
        <v>0</v>
      </c>
      <c r="L85">
        <f t="shared" si="40"/>
        <v>28100</v>
      </c>
      <c r="M85" t="str">
        <f t="shared" si="41"/>
        <v>Oeste|Pieza 2|Planned Release</v>
      </c>
    </row>
    <row r="86" spans="1:13" x14ac:dyDescent="0.3">
      <c r="A86" t="s">
        <v>266</v>
      </c>
      <c r="B86" t="s">
        <v>24</v>
      </c>
      <c r="C86" t="s">
        <v>357</v>
      </c>
      <c r="D86">
        <f t="shared" ref="D86:K86" si="53">D82+D84-D80</f>
        <v>25523.392558845862</v>
      </c>
      <c r="E86">
        <f t="shared" si="53"/>
        <v>21522.785117691725</v>
      </c>
      <c r="F86">
        <f t="shared" si="53"/>
        <v>17522.177676537587</v>
      </c>
      <c r="G86">
        <f t="shared" si="53"/>
        <v>13521.570235383449</v>
      </c>
      <c r="H86">
        <f t="shared" si="53"/>
        <v>9520.9627942293118</v>
      </c>
      <c r="I86">
        <f t="shared" si="53"/>
        <v>5520.3553530751733</v>
      </c>
      <c r="J86">
        <f t="shared" si="53"/>
        <v>1519.7479119210348</v>
      </c>
      <c r="K86">
        <f t="shared" si="53"/>
        <v>1519.7479119210348</v>
      </c>
      <c r="L86">
        <f t="shared" si="40"/>
        <v>96170.739559605165</v>
      </c>
      <c r="M86" t="str">
        <f t="shared" si="41"/>
        <v>Oeste|Pieza 2|POH End</v>
      </c>
    </row>
    <row r="87" spans="1:13" x14ac:dyDescent="0.3">
      <c r="A87" t="s">
        <v>266</v>
      </c>
      <c r="B87" t="s">
        <v>25</v>
      </c>
      <c r="C87" t="s">
        <v>352</v>
      </c>
      <c r="D87">
        <f>INDEX(BOM_Consumo!$C$6:$J$13,MATCH($B87,BOM_Consumo!$A$6:$A$13,0),COLUMN()-COLUMN($D$2)+1)*IF($A87="Centro",_xlfn.XLOOKUP($B87,Multi_Planta!$A$6:$A$13,Multi_Planta!$G$6:$G$13),1-_xlfn.XLOOKUP($B87,Multi_Planta!$A$6:$A$13,Multi_Planta!$G$6:$G$13))</f>
        <v>154.7288252942534</v>
      </c>
      <c r="E87">
        <f>INDEX(BOM_Consumo!$C$6:$J$13,MATCH($B87,BOM_Consumo!$A$6:$A$13,0),COLUMN()-COLUMN($D$2)+1)*IF($A87="Centro",_xlfn.XLOOKUP($B87,Multi_Planta!$A$6:$A$13,Multi_Planta!$G$6:$G$13),1-_xlfn.XLOOKUP($B87,Multi_Planta!$A$6:$A$13,Multi_Planta!$G$6:$G$13))</f>
        <v>154.7288252942534</v>
      </c>
      <c r="F87">
        <f>INDEX(BOM_Consumo!$C$6:$J$13,MATCH($B87,BOM_Consumo!$A$6:$A$13,0),COLUMN()-COLUMN($D$2)+1)*IF($A87="Centro",_xlfn.XLOOKUP($B87,Multi_Planta!$A$6:$A$13,Multi_Planta!$G$6:$G$13),1-_xlfn.XLOOKUP($B87,Multi_Planta!$A$6:$A$13,Multi_Planta!$G$6:$G$13))</f>
        <v>154.7288252942534</v>
      </c>
      <c r="G87">
        <f>INDEX(BOM_Consumo!$C$6:$J$13,MATCH($B87,BOM_Consumo!$A$6:$A$13,0),COLUMN()-COLUMN($D$2)+1)*IF($A87="Centro",_xlfn.XLOOKUP($B87,Multi_Planta!$A$6:$A$13,Multi_Planta!$G$6:$G$13),1-_xlfn.XLOOKUP($B87,Multi_Planta!$A$6:$A$13,Multi_Planta!$G$6:$G$13))</f>
        <v>154.7288252942534</v>
      </c>
      <c r="H87">
        <f>INDEX(BOM_Consumo!$C$6:$J$13,MATCH($B87,BOM_Consumo!$A$6:$A$13,0),COLUMN()-COLUMN($D$2)+1)*IF($A87="Centro",_xlfn.XLOOKUP($B87,Multi_Planta!$A$6:$A$13,Multi_Planta!$G$6:$G$13),1-_xlfn.XLOOKUP($B87,Multi_Planta!$A$6:$A$13,Multi_Planta!$G$6:$G$13))</f>
        <v>154.7288252942534</v>
      </c>
      <c r="I87">
        <f>INDEX(BOM_Consumo!$C$6:$J$13,MATCH($B87,BOM_Consumo!$A$6:$A$13,0),COLUMN()-COLUMN($D$2)+1)*IF($A87="Centro",_xlfn.XLOOKUP($B87,Multi_Planta!$A$6:$A$13,Multi_Planta!$G$6:$G$13),1-_xlfn.XLOOKUP($B87,Multi_Planta!$A$6:$A$13,Multi_Planta!$G$6:$G$13))</f>
        <v>154.7288252942534</v>
      </c>
      <c r="J87">
        <f>INDEX(BOM_Consumo!$C$6:$J$13,MATCH($B87,BOM_Consumo!$A$6:$A$13,0),COLUMN()-COLUMN($D$2)+1)*IF($A87="Centro",_xlfn.XLOOKUP($B87,Multi_Planta!$A$6:$A$13,Multi_Planta!$G$6:$G$13),1-_xlfn.XLOOKUP($B87,Multi_Planta!$A$6:$A$13,Multi_Planta!$G$6:$G$13))</f>
        <v>154.7288252942534</v>
      </c>
      <c r="K87">
        <f>INDEX(BOM_Consumo!$C$6:$J$13,MATCH($B87,BOM_Consumo!$A$6:$A$13,0),COLUMN()-COLUMN($D$2)+1)*IF($A87="Centro",_xlfn.XLOOKUP($B87,Multi_Planta!$A$6:$A$13,Multi_Planta!$G$6:$G$13),1-_xlfn.XLOOKUP($B87,Multi_Planta!$A$6:$A$13,Multi_Planta!$G$6:$G$13))</f>
        <v>0</v>
      </c>
      <c r="L87">
        <f t="shared" si="40"/>
        <v>1083.1017770597737</v>
      </c>
      <c r="M87" t="str">
        <f t="shared" si="41"/>
        <v>Oeste|Pieza 3|Gross Req</v>
      </c>
    </row>
    <row r="88" spans="1:13" x14ac:dyDescent="0.3">
      <c r="A88" t="s">
        <v>266</v>
      </c>
      <c r="B88" t="s">
        <v>25</v>
      </c>
      <c r="C88" t="s">
        <v>81</v>
      </c>
      <c r="D88">
        <f>IFERROR(_xlfn.XLOOKUP($B88,Inputs!$A$82:$A$87,Inputs!$B$82:$B$87),0)*IF($A88="Centro",_xlfn.XLOOKUP($B88,Multi_Planta!$A$6:$A$13,Multi_Planta!$G$6:$G$13),1-_xlfn.XLOOKUP($B88,Multi_Planta!$A$6:$A$13,Multi_Planta!$G$6:$G$13))</f>
        <v>278.79067620586193</v>
      </c>
      <c r="E88">
        <f>IFERROR(_xlfn.XLOOKUP($B88,Inputs!$A$82:$A$87,Inputs!$B$82:$B$87),0)*IF($A88="Centro",_xlfn.XLOOKUP($B88,Multi_Planta!$A$6:$A$13,Multi_Planta!$G$6:$G$13),1-_xlfn.XLOOKUP($B88,Multi_Planta!$A$6:$A$13,Multi_Planta!$G$6:$G$13))</f>
        <v>278.79067620586193</v>
      </c>
      <c r="F88">
        <f>IFERROR(_xlfn.XLOOKUP($B88,Inputs!$A$82:$A$87,Inputs!$B$82:$B$87),0)*IF($A88="Centro",_xlfn.XLOOKUP($B88,Multi_Planta!$A$6:$A$13,Multi_Planta!$G$6:$G$13),1-_xlfn.XLOOKUP($B88,Multi_Planta!$A$6:$A$13,Multi_Planta!$G$6:$G$13))</f>
        <v>278.79067620586193</v>
      </c>
      <c r="G88">
        <f>IFERROR(_xlfn.XLOOKUP($B88,Inputs!$A$82:$A$87,Inputs!$B$82:$B$87),0)*IF($A88="Centro",_xlfn.XLOOKUP($B88,Multi_Planta!$A$6:$A$13,Multi_Planta!$G$6:$G$13),1-_xlfn.XLOOKUP($B88,Multi_Planta!$A$6:$A$13,Multi_Planta!$G$6:$G$13))</f>
        <v>278.79067620586193</v>
      </c>
      <c r="H88">
        <f>IFERROR(_xlfn.XLOOKUP($B88,Inputs!$A$82:$A$87,Inputs!$B$82:$B$87),0)*IF($A88="Centro",_xlfn.XLOOKUP($B88,Multi_Planta!$A$6:$A$13,Multi_Planta!$G$6:$G$13),1-_xlfn.XLOOKUP($B88,Multi_Planta!$A$6:$A$13,Multi_Planta!$G$6:$G$13))</f>
        <v>278.79067620586193</v>
      </c>
      <c r="I88">
        <f>IFERROR(_xlfn.XLOOKUP($B88,Inputs!$A$82:$A$87,Inputs!$B$82:$B$87),0)*IF($A88="Centro",_xlfn.XLOOKUP($B88,Multi_Planta!$A$6:$A$13,Multi_Planta!$G$6:$G$13),1-_xlfn.XLOOKUP($B88,Multi_Planta!$A$6:$A$13,Multi_Planta!$G$6:$G$13))</f>
        <v>278.79067620586193</v>
      </c>
      <c r="J88">
        <f>IFERROR(_xlfn.XLOOKUP($B88,Inputs!$A$82:$A$87,Inputs!$B$82:$B$87),0)*IF($A88="Centro",_xlfn.XLOOKUP($B88,Multi_Planta!$A$6:$A$13,Multi_Planta!$G$6:$G$13),1-_xlfn.XLOOKUP($B88,Multi_Planta!$A$6:$A$13,Multi_Planta!$G$6:$G$13))</f>
        <v>278.79067620586193</v>
      </c>
      <c r="K88">
        <f>IFERROR(_xlfn.XLOOKUP($B88,Inputs!$A$82:$A$87,Inputs!$B$82:$B$87),0)*IF($A88="Centro",_xlfn.XLOOKUP($B88,Multi_Planta!$A$6:$A$13,Multi_Planta!$G$6:$G$13),1-_xlfn.XLOOKUP($B88,Multi_Planta!$A$6:$A$13,Multi_Planta!$G$6:$G$13))</f>
        <v>278.79067620586193</v>
      </c>
      <c r="L88">
        <f t="shared" si="40"/>
        <v>2230.3254096468954</v>
      </c>
      <c r="M88" t="str">
        <f t="shared" si="41"/>
        <v>Oeste|Pieza 3|Safety Stock</v>
      </c>
    </row>
    <row r="89" spans="1:13" x14ac:dyDescent="0.3">
      <c r="A89" t="s">
        <v>266</v>
      </c>
      <c r="B89" t="s">
        <v>25</v>
      </c>
      <c r="C89" t="s">
        <v>353</v>
      </c>
      <c r="D89">
        <f>IF($A89="Centro",_xlfn.XLOOKUP($B89,Multi_Planta!$A$6:$A$13,Multi_Planta!$B$6:$B$13),_xlfn.XLOOKUP($B89,Multi_Planta!$A$6:$A$13,Multi_Planta!$C$6:$C$13))</f>
        <v>1208</v>
      </c>
      <c r="E89">
        <f t="shared" ref="E89:K89" si="54">D93</f>
        <v>2163.2711747057465</v>
      </c>
      <c r="F89">
        <f t="shared" si="54"/>
        <v>2008.542349411493</v>
      </c>
      <c r="G89">
        <f t="shared" si="54"/>
        <v>1853.8135241172395</v>
      </c>
      <c r="H89">
        <f t="shared" si="54"/>
        <v>1699.084698822986</v>
      </c>
      <c r="I89">
        <f t="shared" si="54"/>
        <v>1544.3558735287324</v>
      </c>
      <c r="J89">
        <f t="shared" si="54"/>
        <v>1389.6270482344789</v>
      </c>
      <c r="K89">
        <f t="shared" si="54"/>
        <v>1234.8982229402254</v>
      </c>
      <c r="L89">
        <f t="shared" si="40"/>
        <v>13101.592891760902</v>
      </c>
      <c r="M89" t="str">
        <f t="shared" si="41"/>
        <v>Oeste|Pieza 3|POH Start</v>
      </c>
    </row>
    <row r="90" spans="1:13" x14ac:dyDescent="0.3">
      <c r="A90" t="s">
        <v>266</v>
      </c>
      <c r="B90" t="s">
        <v>25</v>
      </c>
      <c r="C90" t="s">
        <v>354</v>
      </c>
      <c r="D90">
        <f t="shared" ref="D90:K90" si="55">MAX(0,D87+D88-D89)</f>
        <v>0</v>
      </c>
      <c r="E90">
        <f t="shared" si="55"/>
        <v>0</v>
      </c>
      <c r="F90">
        <f t="shared" si="55"/>
        <v>0</v>
      </c>
      <c r="G90">
        <f t="shared" si="55"/>
        <v>0</v>
      </c>
      <c r="H90">
        <f t="shared" si="55"/>
        <v>0</v>
      </c>
      <c r="I90">
        <f t="shared" si="55"/>
        <v>0</v>
      </c>
      <c r="J90">
        <f t="shared" si="55"/>
        <v>0</v>
      </c>
      <c r="K90">
        <f t="shared" si="55"/>
        <v>0</v>
      </c>
      <c r="L90">
        <f t="shared" si="40"/>
        <v>0</v>
      </c>
      <c r="M90" t="str">
        <f t="shared" si="41"/>
        <v>Oeste|Pieza 3|Net Req</v>
      </c>
    </row>
    <row r="91" spans="1:13" x14ac:dyDescent="0.3">
      <c r="A91" t="s">
        <v>266</v>
      </c>
      <c r="B91" t="s">
        <v>25</v>
      </c>
      <c r="C91" t="s">
        <v>355</v>
      </c>
      <c r="D91">
        <f>IF(AND(LEFT($B91,5)="Pieza",Inputs!$B$110=1),_xlfn.CEILING.MATH(L87,_xlfn.XLOOKUP($B91,Inputs!$A$35:$A$42,Inputs!$B$35:$B$42)),_xlfn.CEILING.MATH(D90,_xlfn.XLOOKUP($B91,Inputs!$A$35:$A$42,Inputs!$B$35:$B$42)))</f>
        <v>1110</v>
      </c>
      <c r="E91">
        <f>IF(AND(LEFT($B91,5)="Pieza",Inputs!$B$110=1),0,_xlfn.CEILING.MATH(E90,_xlfn.XLOOKUP($B91,Inputs!$A$35:$A$42,Inputs!$B$35:$B$42)))</f>
        <v>0</v>
      </c>
      <c r="F91">
        <f>IF(AND(LEFT($B91,5)="Pieza",Inputs!$B$110=1),0,_xlfn.CEILING.MATH(F90,_xlfn.XLOOKUP($B91,Inputs!$A$35:$A$42,Inputs!$B$35:$B$42)))</f>
        <v>0</v>
      </c>
      <c r="G91">
        <f>IF(AND(LEFT($B91,5)="Pieza",Inputs!$B$110=1),0,_xlfn.CEILING.MATH(G90,_xlfn.XLOOKUP($B91,Inputs!$A$35:$A$42,Inputs!$B$35:$B$42)))</f>
        <v>0</v>
      </c>
      <c r="H91">
        <f>IF(AND(LEFT($B91,5)="Pieza",Inputs!$B$110=1),0,_xlfn.CEILING.MATH(H90,_xlfn.XLOOKUP($B91,Inputs!$A$35:$A$42,Inputs!$B$35:$B$42)))</f>
        <v>0</v>
      </c>
      <c r="I91">
        <f>IF(AND(LEFT($B91,5)="Pieza",Inputs!$B$110=1),0,_xlfn.CEILING.MATH(I90,_xlfn.XLOOKUP($B91,Inputs!$A$35:$A$42,Inputs!$B$35:$B$42)))</f>
        <v>0</v>
      </c>
      <c r="J91">
        <f>IF(AND(LEFT($B91,5)="Pieza",Inputs!$B$110=1),0,_xlfn.CEILING.MATH(J90,_xlfn.XLOOKUP($B91,Inputs!$A$35:$A$42,Inputs!$B$35:$B$42)))</f>
        <v>0</v>
      </c>
      <c r="K91">
        <f>IF(AND(LEFT($B91,5)="Pieza",Inputs!$B$110=1),0,_xlfn.CEILING.MATH(K90,_xlfn.XLOOKUP($B91,Inputs!$A$35:$A$42,Inputs!$B$35:$B$42)))</f>
        <v>0</v>
      </c>
      <c r="L91">
        <f t="shared" si="40"/>
        <v>1110</v>
      </c>
      <c r="M91" t="str">
        <f t="shared" si="41"/>
        <v>Oeste|Pieza 3|Planned Receipt</v>
      </c>
    </row>
    <row r="92" spans="1:13" x14ac:dyDescent="0.3">
      <c r="A92" t="s">
        <v>266</v>
      </c>
      <c r="B92" t="s">
        <v>25</v>
      </c>
      <c r="C92" t="s">
        <v>356</v>
      </c>
      <c r="D92">
        <f t="shared" ref="D92:K92" si="56">D91</f>
        <v>1110</v>
      </c>
      <c r="E92">
        <f t="shared" si="56"/>
        <v>0</v>
      </c>
      <c r="F92">
        <f t="shared" si="56"/>
        <v>0</v>
      </c>
      <c r="G92">
        <f t="shared" si="56"/>
        <v>0</v>
      </c>
      <c r="H92">
        <f t="shared" si="56"/>
        <v>0</v>
      </c>
      <c r="I92">
        <f t="shared" si="56"/>
        <v>0</v>
      </c>
      <c r="J92">
        <f t="shared" si="56"/>
        <v>0</v>
      </c>
      <c r="K92">
        <f t="shared" si="56"/>
        <v>0</v>
      </c>
      <c r="L92">
        <f t="shared" si="40"/>
        <v>1110</v>
      </c>
      <c r="M92" t="str">
        <f t="shared" si="41"/>
        <v>Oeste|Pieza 3|Planned Release</v>
      </c>
    </row>
    <row r="93" spans="1:13" x14ac:dyDescent="0.3">
      <c r="A93" t="s">
        <v>266</v>
      </c>
      <c r="B93" t="s">
        <v>25</v>
      </c>
      <c r="C93" t="s">
        <v>357</v>
      </c>
      <c r="D93">
        <f t="shared" ref="D93:K93" si="57">D89+D91-D87</f>
        <v>2163.2711747057465</v>
      </c>
      <c r="E93">
        <f t="shared" si="57"/>
        <v>2008.542349411493</v>
      </c>
      <c r="F93">
        <f t="shared" si="57"/>
        <v>1853.8135241172395</v>
      </c>
      <c r="G93">
        <f t="shared" si="57"/>
        <v>1699.084698822986</v>
      </c>
      <c r="H93">
        <f t="shared" si="57"/>
        <v>1544.3558735287324</v>
      </c>
      <c r="I93">
        <f t="shared" si="57"/>
        <v>1389.6270482344789</v>
      </c>
      <c r="J93">
        <f t="shared" si="57"/>
        <v>1234.8982229402254</v>
      </c>
      <c r="K93">
        <f t="shared" si="57"/>
        <v>1234.8982229402254</v>
      </c>
      <c r="L93">
        <f t="shared" si="40"/>
        <v>13128.491114701126</v>
      </c>
      <c r="M93" t="str">
        <f t="shared" si="41"/>
        <v>Oeste|Pieza 3|POH End</v>
      </c>
    </row>
    <row r="94" spans="1:13" x14ac:dyDescent="0.3">
      <c r="A94" t="s">
        <v>266</v>
      </c>
      <c r="B94" t="s">
        <v>26</v>
      </c>
      <c r="C94" t="s">
        <v>352</v>
      </c>
      <c r="D94">
        <f>INDEX(BOM_Consumo!$C$6:$J$13,MATCH($B94,BOM_Consumo!$A$6:$A$13,0),COLUMN()-COLUMN($D$2)+1)*IF($A94="Centro",_xlfn.XLOOKUP($B94,Multi_Planta!$A$6:$A$13,Multi_Planta!$G$6:$G$13),1-_xlfn.XLOOKUP($B94,Multi_Planta!$A$6:$A$13,Multi_Planta!$G$6:$G$13))</f>
        <v>308.1371509367267</v>
      </c>
      <c r="E94">
        <f>INDEX(BOM_Consumo!$C$6:$J$13,MATCH($B94,BOM_Consumo!$A$6:$A$13,0),COLUMN()-COLUMN($D$2)+1)*IF($A94="Centro",_xlfn.XLOOKUP($B94,Multi_Planta!$A$6:$A$13,Multi_Planta!$G$6:$G$13),1-_xlfn.XLOOKUP($B94,Multi_Planta!$A$6:$A$13,Multi_Planta!$G$6:$G$13))</f>
        <v>308.1371509367267</v>
      </c>
      <c r="F94">
        <f>INDEX(BOM_Consumo!$C$6:$J$13,MATCH($B94,BOM_Consumo!$A$6:$A$13,0),COLUMN()-COLUMN($D$2)+1)*IF($A94="Centro",_xlfn.XLOOKUP($B94,Multi_Planta!$A$6:$A$13,Multi_Planta!$G$6:$G$13),1-_xlfn.XLOOKUP($B94,Multi_Planta!$A$6:$A$13,Multi_Planta!$G$6:$G$13))</f>
        <v>308.1371509367267</v>
      </c>
      <c r="G94">
        <f>INDEX(BOM_Consumo!$C$6:$J$13,MATCH($B94,BOM_Consumo!$A$6:$A$13,0),COLUMN()-COLUMN($D$2)+1)*IF($A94="Centro",_xlfn.XLOOKUP($B94,Multi_Planta!$A$6:$A$13,Multi_Planta!$G$6:$G$13),1-_xlfn.XLOOKUP($B94,Multi_Planta!$A$6:$A$13,Multi_Planta!$G$6:$G$13))</f>
        <v>308.1371509367267</v>
      </c>
      <c r="H94">
        <f>INDEX(BOM_Consumo!$C$6:$J$13,MATCH($B94,BOM_Consumo!$A$6:$A$13,0),COLUMN()-COLUMN($D$2)+1)*IF($A94="Centro",_xlfn.XLOOKUP($B94,Multi_Planta!$A$6:$A$13,Multi_Planta!$G$6:$G$13),1-_xlfn.XLOOKUP($B94,Multi_Planta!$A$6:$A$13,Multi_Planta!$G$6:$G$13))</f>
        <v>308.1371509367267</v>
      </c>
      <c r="I94">
        <f>INDEX(BOM_Consumo!$C$6:$J$13,MATCH($B94,BOM_Consumo!$A$6:$A$13,0),COLUMN()-COLUMN($D$2)+1)*IF($A94="Centro",_xlfn.XLOOKUP($B94,Multi_Planta!$A$6:$A$13,Multi_Planta!$G$6:$G$13),1-_xlfn.XLOOKUP($B94,Multi_Planta!$A$6:$A$13,Multi_Planta!$G$6:$G$13))</f>
        <v>308.1371509367267</v>
      </c>
      <c r="J94">
        <f>INDEX(BOM_Consumo!$C$6:$J$13,MATCH($B94,BOM_Consumo!$A$6:$A$13,0),COLUMN()-COLUMN($D$2)+1)*IF($A94="Centro",_xlfn.XLOOKUP($B94,Multi_Planta!$A$6:$A$13,Multi_Planta!$G$6:$G$13),1-_xlfn.XLOOKUP($B94,Multi_Planta!$A$6:$A$13,Multi_Planta!$G$6:$G$13))</f>
        <v>308.1371509367267</v>
      </c>
      <c r="K94">
        <f>INDEX(BOM_Consumo!$C$6:$J$13,MATCH($B94,BOM_Consumo!$A$6:$A$13,0),COLUMN()-COLUMN($D$2)+1)*IF($A94="Centro",_xlfn.XLOOKUP($B94,Multi_Planta!$A$6:$A$13,Multi_Planta!$G$6:$G$13),1-_xlfn.XLOOKUP($B94,Multi_Planta!$A$6:$A$13,Multi_Planta!$G$6:$G$13))</f>
        <v>0</v>
      </c>
      <c r="L94">
        <f t="shared" si="40"/>
        <v>2156.9600565570872</v>
      </c>
      <c r="M94" t="str">
        <f t="shared" si="41"/>
        <v>Oeste|Pieza 4|Gross Req</v>
      </c>
    </row>
    <row r="95" spans="1:13" x14ac:dyDescent="0.3">
      <c r="A95" t="s">
        <v>266</v>
      </c>
      <c r="B95" t="s">
        <v>26</v>
      </c>
      <c r="C95" t="s">
        <v>81</v>
      </c>
      <c r="D95">
        <f>IFERROR(_xlfn.XLOOKUP($B95,Inputs!$A$82:$A$87,Inputs!$B$82:$B$87),0)*IF($A95="Centro",_xlfn.XLOOKUP($B95,Multi_Planta!$A$6:$A$13,Multi_Planta!$G$6:$G$13),1-_xlfn.XLOOKUP($B95,Multi_Planta!$A$6:$A$13,Multi_Planta!$G$6:$G$13))</f>
        <v>555.20207375986797</v>
      </c>
      <c r="E95">
        <f>IFERROR(_xlfn.XLOOKUP($B95,Inputs!$A$82:$A$87,Inputs!$B$82:$B$87),0)*IF($A95="Centro",_xlfn.XLOOKUP($B95,Multi_Planta!$A$6:$A$13,Multi_Planta!$G$6:$G$13),1-_xlfn.XLOOKUP($B95,Multi_Planta!$A$6:$A$13,Multi_Planta!$G$6:$G$13))</f>
        <v>555.20207375986797</v>
      </c>
      <c r="F95">
        <f>IFERROR(_xlfn.XLOOKUP($B95,Inputs!$A$82:$A$87,Inputs!$B$82:$B$87),0)*IF($A95="Centro",_xlfn.XLOOKUP($B95,Multi_Planta!$A$6:$A$13,Multi_Planta!$G$6:$G$13),1-_xlfn.XLOOKUP($B95,Multi_Planta!$A$6:$A$13,Multi_Planta!$G$6:$G$13))</f>
        <v>555.20207375986797</v>
      </c>
      <c r="G95">
        <f>IFERROR(_xlfn.XLOOKUP($B95,Inputs!$A$82:$A$87,Inputs!$B$82:$B$87),0)*IF($A95="Centro",_xlfn.XLOOKUP($B95,Multi_Planta!$A$6:$A$13,Multi_Planta!$G$6:$G$13),1-_xlfn.XLOOKUP($B95,Multi_Planta!$A$6:$A$13,Multi_Planta!$G$6:$G$13))</f>
        <v>555.20207375986797</v>
      </c>
      <c r="H95">
        <f>IFERROR(_xlfn.XLOOKUP($B95,Inputs!$A$82:$A$87,Inputs!$B$82:$B$87),0)*IF($A95="Centro",_xlfn.XLOOKUP($B95,Multi_Planta!$A$6:$A$13,Multi_Planta!$G$6:$G$13),1-_xlfn.XLOOKUP($B95,Multi_Planta!$A$6:$A$13,Multi_Planta!$G$6:$G$13))</f>
        <v>555.20207375986797</v>
      </c>
      <c r="I95">
        <f>IFERROR(_xlfn.XLOOKUP($B95,Inputs!$A$82:$A$87,Inputs!$B$82:$B$87),0)*IF($A95="Centro",_xlfn.XLOOKUP($B95,Multi_Planta!$A$6:$A$13,Multi_Planta!$G$6:$G$13),1-_xlfn.XLOOKUP($B95,Multi_Planta!$A$6:$A$13,Multi_Planta!$G$6:$G$13))</f>
        <v>555.20207375986797</v>
      </c>
      <c r="J95">
        <f>IFERROR(_xlfn.XLOOKUP($B95,Inputs!$A$82:$A$87,Inputs!$B$82:$B$87),0)*IF($A95="Centro",_xlfn.XLOOKUP($B95,Multi_Planta!$A$6:$A$13,Multi_Planta!$G$6:$G$13),1-_xlfn.XLOOKUP($B95,Multi_Planta!$A$6:$A$13,Multi_Planta!$G$6:$G$13))</f>
        <v>555.20207375986797</v>
      </c>
      <c r="K95">
        <f>IFERROR(_xlfn.XLOOKUP($B95,Inputs!$A$82:$A$87,Inputs!$B$82:$B$87),0)*IF($A95="Centro",_xlfn.XLOOKUP($B95,Multi_Planta!$A$6:$A$13,Multi_Planta!$G$6:$G$13),1-_xlfn.XLOOKUP($B95,Multi_Planta!$A$6:$A$13,Multi_Planta!$G$6:$G$13))</f>
        <v>555.20207375986797</v>
      </c>
      <c r="L95">
        <f t="shared" si="40"/>
        <v>4441.6165900789429</v>
      </c>
      <c r="M95" t="str">
        <f t="shared" si="41"/>
        <v>Oeste|Pieza 4|Safety Stock</v>
      </c>
    </row>
    <row r="96" spans="1:13" x14ac:dyDescent="0.3">
      <c r="A96" t="s">
        <v>266</v>
      </c>
      <c r="B96" t="s">
        <v>26</v>
      </c>
      <c r="C96" t="s">
        <v>353</v>
      </c>
      <c r="D96">
        <f>IF($A96="Centro",_xlfn.XLOOKUP($B96,Multi_Planta!$A$6:$A$13,Multi_Planta!$B$6:$B$13),_xlfn.XLOOKUP($B96,Multi_Planta!$A$6:$A$13,Multi_Planta!$C$6:$C$13))</f>
        <v>2356</v>
      </c>
      <c r="E96">
        <f t="shared" ref="E96:K96" si="58">D100</f>
        <v>4207.8628490632736</v>
      </c>
      <c r="F96">
        <f t="shared" si="58"/>
        <v>3899.7256981265468</v>
      </c>
      <c r="G96">
        <f t="shared" si="58"/>
        <v>3591.58854718982</v>
      </c>
      <c r="H96">
        <f t="shared" si="58"/>
        <v>3283.4513962530932</v>
      </c>
      <c r="I96">
        <f t="shared" si="58"/>
        <v>2975.3142453163664</v>
      </c>
      <c r="J96">
        <f t="shared" si="58"/>
        <v>2667.1770943796396</v>
      </c>
      <c r="K96">
        <f t="shared" si="58"/>
        <v>2359.0399434429128</v>
      </c>
      <c r="L96">
        <f t="shared" si="40"/>
        <v>25340.159773771655</v>
      </c>
      <c r="M96" t="str">
        <f t="shared" si="41"/>
        <v>Oeste|Pieza 4|POH Start</v>
      </c>
    </row>
    <row r="97" spans="1:13" x14ac:dyDescent="0.3">
      <c r="A97" t="s">
        <v>266</v>
      </c>
      <c r="B97" t="s">
        <v>26</v>
      </c>
      <c r="C97" t="s">
        <v>354</v>
      </c>
      <c r="D97">
        <f t="shared" ref="D97:K97" si="59">MAX(0,D94+D95-D96)</f>
        <v>0</v>
      </c>
      <c r="E97">
        <f t="shared" si="59"/>
        <v>0</v>
      </c>
      <c r="F97">
        <f t="shared" si="59"/>
        <v>0</v>
      </c>
      <c r="G97">
        <f t="shared" si="59"/>
        <v>0</v>
      </c>
      <c r="H97">
        <f t="shared" si="59"/>
        <v>0</v>
      </c>
      <c r="I97">
        <f t="shared" si="59"/>
        <v>0</v>
      </c>
      <c r="J97">
        <f t="shared" si="59"/>
        <v>0</v>
      </c>
      <c r="K97">
        <f t="shared" si="59"/>
        <v>0</v>
      </c>
      <c r="L97">
        <f t="shared" si="40"/>
        <v>0</v>
      </c>
      <c r="M97" t="str">
        <f t="shared" si="41"/>
        <v>Oeste|Pieza 4|Net Req</v>
      </c>
    </row>
    <row r="98" spans="1:13" x14ac:dyDescent="0.3">
      <c r="A98" t="s">
        <v>266</v>
      </c>
      <c r="B98" t="s">
        <v>26</v>
      </c>
      <c r="C98" t="s">
        <v>355</v>
      </c>
      <c r="D98">
        <f>IF(AND(LEFT($B98,5)="Pieza",Inputs!$B$110=1),_xlfn.CEILING.MATH(L94,_xlfn.XLOOKUP($B98,Inputs!$A$35:$A$42,Inputs!$B$35:$B$42)),_xlfn.CEILING.MATH(D97,_xlfn.XLOOKUP($B98,Inputs!$A$35:$A$42,Inputs!$B$35:$B$42)))</f>
        <v>2160</v>
      </c>
      <c r="E98">
        <f>IF(AND(LEFT($B98,5)="Pieza",Inputs!$B$110=1),0,_xlfn.CEILING.MATH(E97,_xlfn.XLOOKUP($B98,Inputs!$A$35:$A$42,Inputs!$B$35:$B$42)))</f>
        <v>0</v>
      </c>
      <c r="F98">
        <f>IF(AND(LEFT($B98,5)="Pieza",Inputs!$B$110=1),0,_xlfn.CEILING.MATH(F97,_xlfn.XLOOKUP($B98,Inputs!$A$35:$A$42,Inputs!$B$35:$B$42)))</f>
        <v>0</v>
      </c>
      <c r="G98">
        <f>IF(AND(LEFT($B98,5)="Pieza",Inputs!$B$110=1),0,_xlfn.CEILING.MATH(G97,_xlfn.XLOOKUP($B98,Inputs!$A$35:$A$42,Inputs!$B$35:$B$42)))</f>
        <v>0</v>
      </c>
      <c r="H98">
        <f>IF(AND(LEFT($B98,5)="Pieza",Inputs!$B$110=1),0,_xlfn.CEILING.MATH(H97,_xlfn.XLOOKUP($B98,Inputs!$A$35:$A$42,Inputs!$B$35:$B$42)))</f>
        <v>0</v>
      </c>
      <c r="I98">
        <f>IF(AND(LEFT($B98,5)="Pieza",Inputs!$B$110=1),0,_xlfn.CEILING.MATH(I97,_xlfn.XLOOKUP($B98,Inputs!$A$35:$A$42,Inputs!$B$35:$B$42)))</f>
        <v>0</v>
      </c>
      <c r="J98">
        <f>IF(AND(LEFT($B98,5)="Pieza",Inputs!$B$110=1),0,_xlfn.CEILING.MATH(J97,_xlfn.XLOOKUP($B98,Inputs!$A$35:$A$42,Inputs!$B$35:$B$42)))</f>
        <v>0</v>
      </c>
      <c r="K98">
        <f>IF(AND(LEFT($B98,5)="Pieza",Inputs!$B$110=1),0,_xlfn.CEILING.MATH(K97,_xlfn.XLOOKUP($B98,Inputs!$A$35:$A$42,Inputs!$B$35:$B$42)))</f>
        <v>0</v>
      </c>
      <c r="L98">
        <f t="shared" si="40"/>
        <v>2160</v>
      </c>
      <c r="M98" t="str">
        <f t="shared" si="41"/>
        <v>Oeste|Pieza 4|Planned Receipt</v>
      </c>
    </row>
    <row r="99" spans="1:13" x14ac:dyDescent="0.3">
      <c r="A99" t="s">
        <v>266</v>
      </c>
      <c r="B99" t="s">
        <v>26</v>
      </c>
      <c r="C99" t="s">
        <v>356</v>
      </c>
      <c r="D99">
        <f t="shared" ref="D99:K99" si="60">D98</f>
        <v>2160</v>
      </c>
      <c r="E99">
        <f t="shared" si="60"/>
        <v>0</v>
      </c>
      <c r="F99">
        <f t="shared" si="60"/>
        <v>0</v>
      </c>
      <c r="G99">
        <f t="shared" si="60"/>
        <v>0</v>
      </c>
      <c r="H99">
        <f t="shared" si="60"/>
        <v>0</v>
      </c>
      <c r="I99">
        <f t="shared" si="60"/>
        <v>0</v>
      </c>
      <c r="J99">
        <f t="shared" si="60"/>
        <v>0</v>
      </c>
      <c r="K99">
        <f t="shared" si="60"/>
        <v>0</v>
      </c>
      <c r="L99">
        <f t="shared" ref="L99:L114" si="61">SUM(D99:K99)</f>
        <v>2160</v>
      </c>
      <c r="M99" t="str">
        <f t="shared" ref="M99:M114" si="62">A99&amp;"|"&amp;B99&amp;"|"&amp;C99</f>
        <v>Oeste|Pieza 4|Planned Release</v>
      </c>
    </row>
    <row r="100" spans="1:13" x14ac:dyDescent="0.3">
      <c r="A100" t="s">
        <v>266</v>
      </c>
      <c r="B100" t="s">
        <v>26</v>
      </c>
      <c r="C100" t="s">
        <v>357</v>
      </c>
      <c r="D100">
        <f t="shared" ref="D100:K100" si="63">D96+D98-D94</f>
        <v>4207.8628490632736</v>
      </c>
      <c r="E100">
        <f t="shared" si="63"/>
        <v>3899.7256981265468</v>
      </c>
      <c r="F100">
        <f t="shared" si="63"/>
        <v>3591.58854718982</v>
      </c>
      <c r="G100">
        <f t="shared" si="63"/>
        <v>3283.4513962530932</v>
      </c>
      <c r="H100">
        <f t="shared" si="63"/>
        <v>2975.3142453163664</v>
      </c>
      <c r="I100">
        <f t="shared" si="63"/>
        <v>2667.1770943796396</v>
      </c>
      <c r="J100">
        <f t="shared" si="63"/>
        <v>2359.0399434429128</v>
      </c>
      <c r="K100">
        <f t="shared" si="63"/>
        <v>2359.0399434429128</v>
      </c>
      <c r="L100">
        <f t="shared" si="61"/>
        <v>25343.199717214564</v>
      </c>
      <c r="M100" t="str">
        <f t="shared" si="62"/>
        <v>Oeste|Pieza 4|POH End</v>
      </c>
    </row>
    <row r="101" spans="1:13" x14ac:dyDescent="0.3">
      <c r="A101" t="s">
        <v>266</v>
      </c>
      <c r="B101" t="s">
        <v>27</v>
      </c>
      <c r="C101" t="s">
        <v>352</v>
      </c>
      <c r="D101">
        <f>INDEX(BOM_Consumo!$C$6:$J$13,MATCH($B101,BOM_Consumo!$A$6:$A$13,0),COLUMN()-COLUMN($D$2)+1)*IF($A101="Centro",_xlfn.XLOOKUP($B101,Multi_Planta!$A$6:$A$13,Multi_Planta!$G$6:$G$13),1-_xlfn.XLOOKUP($B101,Multi_Planta!$A$6:$A$13,Multi_Planta!$G$6:$G$13))</f>
        <v>1029.9758537426699</v>
      </c>
      <c r="E101">
        <f>INDEX(BOM_Consumo!$C$6:$J$13,MATCH($B101,BOM_Consumo!$A$6:$A$13,0),COLUMN()-COLUMN($D$2)+1)*IF($A101="Centro",_xlfn.XLOOKUP($B101,Multi_Planta!$A$6:$A$13,Multi_Planta!$G$6:$G$13),1-_xlfn.XLOOKUP($B101,Multi_Planta!$A$6:$A$13,Multi_Planta!$G$6:$G$13))</f>
        <v>1029.9758537426699</v>
      </c>
      <c r="F101">
        <f>INDEX(BOM_Consumo!$C$6:$J$13,MATCH($B101,BOM_Consumo!$A$6:$A$13,0),COLUMN()-COLUMN($D$2)+1)*IF($A101="Centro",_xlfn.XLOOKUP($B101,Multi_Planta!$A$6:$A$13,Multi_Planta!$G$6:$G$13),1-_xlfn.XLOOKUP($B101,Multi_Planta!$A$6:$A$13,Multi_Planta!$G$6:$G$13))</f>
        <v>1029.9758537426699</v>
      </c>
      <c r="G101">
        <f>INDEX(BOM_Consumo!$C$6:$J$13,MATCH($B101,BOM_Consumo!$A$6:$A$13,0),COLUMN()-COLUMN($D$2)+1)*IF($A101="Centro",_xlfn.XLOOKUP($B101,Multi_Planta!$A$6:$A$13,Multi_Planta!$G$6:$G$13),1-_xlfn.XLOOKUP($B101,Multi_Planta!$A$6:$A$13,Multi_Planta!$G$6:$G$13))</f>
        <v>1029.9758537426699</v>
      </c>
      <c r="H101">
        <f>INDEX(BOM_Consumo!$C$6:$J$13,MATCH($B101,BOM_Consumo!$A$6:$A$13,0),COLUMN()-COLUMN($D$2)+1)*IF($A101="Centro",_xlfn.XLOOKUP($B101,Multi_Planta!$A$6:$A$13,Multi_Planta!$G$6:$G$13),1-_xlfn.XLOOKUP($B101,Multi_Planta!$A$6:$A$13,Multi_Planta!$G$6:$G$13))</f>
        <v>1029.9758537426699</v>
      </c>
      <c r="I101">
        <f>INDEX(BOM_Consumo!$C$6:$J$13,MATCH($B101,BOM_Consumo!$A$6:$A$13,0),COLUMN()-COLUMN($D$2)+1)*IF($A101="Centro",_xlfn.XLOOKUP($B101,Multi_Planta!$A$6:$A$13,Multi_Planta!$G$6:$G$13),1-_xlfn.XLOOKUP($B101,Multi_Planta!$A$6:$A$13,Multi_Planta!$G$6:$G$13))</f>
        <v>1029.9758537426699</v>
      </c>
      <c r="J101">
        <f>INDEX(BOM_Consumo!$C$6:$J$13,MATCH($B101,BOM_Consumo!$A$6:$A$13,0),COLUMN()-COLUMN($D$2)+1)*IF($A101="Centro",_xlfn.XLOOKUP($B101,Multi_Planta!$A$6:$A$13,Multi_Planta!$G$6:$G$13),1-_xlfn.XLOOKUP($B101,Multi_Planta!$A$6:$A$13,Multi_Planta!$G$6:$G$13))</f>
        <v>1029.9758537426699</v>
      </c>
      <c r="K101">
        <f>INDEX(BOM_Consumo!$C$6:$J$13,MATCH($B101,BOM_Consumo!$A$6:$A$13,0),COLUMN()-COLUMN($D$2)+1)*IF($A101="Centro",_xlfn.XLOOKUP($B101,Multi_Planta!$A$6:$A$13,Multi_Planta!$G$6:$G$13),1-_xlfn.XLOOKUP($B101,Multi_Planta!$A$6:$A$13,Multi_Planta!$G$6:$G$13))</f>
        <v>0</v>
      </c>
      <c r="L101">
        <f t="shared" si="61"/>
        <v>7209.8309761986884</v>
      </c>
      <c r="M101" t="str">
        <f t="shared" si="62"/>
        <v>Oeste|Pieza 5|Gross Req</v>
      </c>
    </row>
    <row r="102" spans="1:13" x14ac:dyDescent="0.3">
      <c r="A102" t="s">
        <v>266</v>
      </c>
      <c r="B102" t="s">
        <v>27</v>
      </c>
      <c r="C102" t="s">
        <v>81</v>
      </c>
      <c r="D102">
        <f>IFERROR(_xlfn.XLOOKUP($B102,Inputs!$A$82:$A$87,Inputs!$B$82:$B$87),0)*IF($A102="Centro",_xlfn.XLOOKUP($B102,Multi_Planta!$A$6:$A$13,Multi_Planta!$G$6:$G$13),1-_xlfn.XLOOKUP($B102,Multi_Planta!$A$6:$A$13,Multi_Planta!$G$6:$G$13))</f>
        <v>0</v>
      </c>
      <c r="E102">
        <f>IFERROR(_xlfn.XLOOKUP($B102,Inputs!$A$82:$A$87,Inputs!$B$82:$B$87),0)*IF($A102="Centro",_xlfn.XLOOKUP($B102,Multi_Planta!$A$6:$A$13,Multi_Planta!$G$6:$G$13),1-_xlfn.XLOOKUP($B102,Multi_Planta!$A$6:$A$13,Multi_Planta!$G$6:$G$13))</f>
        <v>0</v>
      </c>
      <c r="F102">
        <f>IFERROR(_xlfn.XLOOKUP($B102,Inputs!$A$82:$A$87,Inputs!$B$82:$B$87),0)*IF($A102="Centro",_xlfn.XLOOKUP($B102,Multi_Planta!$A$6:$A$13,Multi_Planta!$G$6:$G$13),1-_xlfn.XLOOKUP($B102,Multi_Planta!$A$6:$A$13,Multi_Planta!$G$6:$G$13))</f>
        <v>0</v>
      </c>
      <c r="G102">
        <f>IFERROR(_xlfn.XLOOKUP($B102,Inputs!$A$82:$A$87,Inputs!$B$82:$B$87),0)*IF($A102="Centro",_xlfn.XLOOKUP($B102,Multi_Planta!$A$6:$A$13,Multi_Planta!$G$6:$G$13),1-_xlfn.XLOOKUP($B102,Multi_Planta!$A$6:$A$13,Multi_Planta!$G$6:$G$13))</f>
        <v>0</v>
      </c>
      <c r="H102">
        <f>IFERROR(_xlfn.XLOOKUP($B102,Inputs!$A$82:$A$87,Inputs!$B$82:$B$87),0)*IF($A102="Centro",_xlfn.XLOOKUP($B102,Multi_Planta!$A$6:$A$13,Multi_Planta!$G$6:$G$13),1-_xlfn.XLOOKUP($B102,Multi_Planta!$A$6:$A$13,Multi_Planta!$G$6:$G$13))</f>
        <v>0</v>
      </c>
      <c r="I102">
        <f>IFERROR(_xlfn.XLOOKUP($B102,Inputs!$A$82:$A$87,Inputs!$B$82:$B$87),0)*IF($A102="Centro",_xlfn.XLOOKUP($B102,Multi_Planta!$A$6:$A$13,Multi_Planta!$G$6:$G$13),1-_xlfn.XLOOKUP($B102,Multi_Planta!$A$6:$A$13,Multi_Planta!$G$6:$G$13))</f>
        <v>0</v>
      </c>
      <c r="J102">
        <f>IFERROR(_xlfn.XLOOKUP($B102,Inputs!$A$82:$A$87,Inputs!$B$82:$B$87),0)*IF($A102="Centro",_xlfn.XLOOKUP($B102,Multi_Planta!$A$6:$A$13,Multi_Planta!$G$6:$G$13),1-_xlfn.XLOOKUP($B102,Multi_Planta!$A$6:$A$13,Multi_Planta!$G$6:$G$13))</f>
        <v>0</v>
      </c>
      <c r="K102">
        <f>IFERROR(_xlfn.XLOOKUP($B102,Inputs!$A$82:$A$87,Inputs!$B$82:$B$87),0)*IF($A102="Centro",_xlfn.XLOOKUP($B102,Multi_Planta!$A$6:$A$13,Multi_Planta!$G$6:$G$13),1-_xlfn.XLOOKUP($B102,Multi_Planta!$A$6:$A$13,Multi_Planta!$G$6:$G$13))</f>
        <v>0</v>
      </c>
      <c r="L102">
        <f t="shared" si="61"/>
        <v>0</v>
      </c>
      <c r="M102" t="str">
        <f t="shared" si="62"/>
        <v>Oeste|Pieza 5|Safety Stock</v>
      </c>
    </row>
    <row r="103" spans="1:13" x14ac:dyDescent="0.3">
      <c r="A103" t="s">
        <v>266</v>
      </c>
      <c r="B103" t="s">
        <v>27</v>
      </c>
      <c r="C103" t="s">
        <v>353</v>
      </c>
      <c r="D103">
        <f>IF($A103="Centro",_xlfn.XLOOKUP($B103,Multi_Planta!$A$6:$A$13,Multi_Planta!$B$6:$B$13),_xlfn.XLOOKUP($B103,Multi_Planta!$A$6:$A$13,Multi_Planta!$C$6:$C$13))</f>
        <v>6456</v>
      </c>
      <c r="E103">
        <f t="shared" ref="E103:K103" si="64">D107</f>
        <v>12726.02414625733</v>
      </c>
      <c r="F103">
        <f t="shared" si="64"/>
        <v>11696.048292514661</v>
      </c>
      <c r="G103">
        <f t="shared" si="64"/>
        <v>10666.072438771991</v>
      </c>
      <c r="H103">
        <f t="shared" si="64"/>
        <v>9636.0965850293214</v>
      </c>
      <c r="I103">
        <f t="shared" si="64"/>
        <v>8606.1207312866518</v>
      </c>
      <c r="J103">
        <f t="shared" si="64"/>
        <v>7576.1448775439821</v>
      </c>
      <c r="K103">
        <f t="shared" si="64"/>
        <v>6546.1690238013125</v>
      </c>
      <c r="L103">
        <f t="shared" si="61"/>
        <v>73908.676095205257</v>
      </c>
      <c r="M103" t="str">
        <f t="shared" si="62"/>
        <v>Oeste|Pieza 5|POH Start</v>
      </c>
    </row>
    <row r="104" spans="1:13" x14ac:dyDescent="0.3">
      <c r="A104" t="s">
        <v>266</v>
      </c>
      <c r="B104" t="s">
        <v>27</v>
      </c>
      <c r="C104" t="s">
        <v>354</v>
      </c>
      <c r="D104">
        <f t="shared" ref="D104:K104" si="65">MAX(0,D101+D102-D103)</f>
        <v>0</v>
      </c>
      <c r="E104">
        <f t="shared" si="65"/>
        <v>0</v>
      </c>
      <c r="F104">
        <f t="shared" si="65"/>
        <v>0</v>
      </c>
      <c r="G104">
        <f t="shared" si="65"/>
        <v>0</v>
      </c>
      <c r="H104">
        <f t="shared" si="65"/>
        <v>0</v>
      </c>
      <c r="I104">
        <f t="shared" si="65"/>
        <v>0</v>
      </c>
      <c r="J104">
        <f t="shared" si="65"/>
        <v>0</v>
      </c>
      <c r="K104">
        <f t="shared" si="65"/>
        <v>0</v>
      </c>
      <c r="L104">
        <f t="shared" si="61"/>
        <v>0</v>
      </c>
      <c r="M104" t="str">
        <f t="shared" si="62"/>
        <v>Oeste|Pieza 5|Net Req</v>
      </c>
    </row>
    <row r="105" spans="1:13" x14ac:dyDescent="0.3">
      <c r="A105" t="s">
        <v>266</v>
      </c>
      <c r="B105" t="s">
        <v>27</v>
      </c>
      <c r="C105" t="s">
        <v>355</v>
      </c>
      <c r="D105">
        <f>IF(AND(LEFT($B105,5)="Pieza",Inputs!$B$110=1),_xlfn.CEILING.MATH(L101,_xlfn.XLOOKUP($B105,Inputs!$A$35:$A$42,Inputs!$B$35:$B$42)),_xlfn.CEILING.MATH(D104,_xlfn.XLOOKUP($B105,Inputs!$A$35:$A$42,Inputs!$B$35:$B$42)))</f>
        <v>7300</v>
      </c>
      <c r="E105">
        <f>IF(AND(LEFT($B105,5)="Pieza",Inputs!$B$110=1),0,_xlfn.CEILING.MATH(E104,_xlfn.XLOOKUP($B105,Inputs!$A$35:$A$42,Inputs!$B$35:$B$42)))</f>
        <v>0</v>
      </c>
      <c r="F105">
        <f>IF(AND(LEFT($B105,5)="Pieza",Inputs!$B$110=1),0,_xlfn.CEILING.MATH(F104,_xlfn.XLOOKUP($B105,Inputs!$A$35:$A$42,Inputs!$B$35:$B$42)))</f>
        <v>0</v>
      </c>
      <c r="G105">
        <f>IF(AND(LEFT($B105,5)="Pieza",Inputs!$B$110=1),0,_xlfn.CEILING.MATH(G104,_xlfn.XLOOKUP($B105,Inputs!$A$35:$A$42,Inputs!$B$35:$B$42)))</f>
        <v>0</v>
      </c>
      <c r="H105">
        <f>IF(AND(LEFT($B105,5)="Pieza",Inputs!$B$110=1),0,_xlfn.CEILING.MATH(H104,_xlfn.XLOOKUP($B105,Inputs!$A$35:$A$42,Inputs!$B$35:$B$42)))</f>
        <v>0</v>
      </c>
      <c r="I105">
        <f>IF(AND(LEFT($B105,5)="Pieza",Inputs!$B$110=1),0,_xlfn.CEILING.MATH(I104,_xlfn.XLOOKUP($B105,Inputs!$A$35:$A$42,Inputs!$B$35:$B$42)))</f>
        <v>0</v>
      </c>
      <c r="J105">
        <f>IF(AND(LEFT($B105,5)="Pieza",Inputs!$B$110=1),0,_xlfn.CEILING.MATH(J104,_xlfn.XLOOKUP($B105,Inputs!$A$35:$A$42,Inputs!$B$35:$B$42)))</f>
        <v>0</v>
      </c>
      <c r="K105">
        <f>IF(AND(LEFT($B105,5)="Pieza",Inputs!$B$110=1),0,_xlfn.CEILING.MATH(K104,_xlfn.XLOOKUP($B105,Inputs!$A$35:$A$42,Inputs!$B$35:$B$42)))</f>
        <v>0</v>
      </c>
      <c r="L105">
        <f t="shared" si="61"/>
        <v>7300</v>
      </c>
      <c r="M105" t="str">
        <f t="shared" si="62"/>
        <v>Oeste|Pieza 5|Planned Receipt</v>
      </c>
    </row>
    <row r="106" spans="1:13" x14ac:dyDescent="0.3">
      <c r="A106" t="s">
        <v>266</v>
      </c>
      <c r="B106" t="s">
        <v>27</v>
      </c>
      <c r="C106" t="s">
        <v>356</v>
      </c>
      <c r="D106">
        <f t="shared" ref="D106:K106" si="66">D105</f>
        <v>7300</v>
      </c>
      <c r="E106">
        <f t="shared" si="66"/>
        <v>0</v>
      </c>
      <c r="F106">
        <f t="shared" si="66"/>
        <v>0</v>
      </c>
      <c r="G106">
        <f t="shared" si="66"/>
        <v>0</v>
      </c>
      <c r="H106">
        <f t="shared" si="66"/>
        <v>0</v>
      </c>
      <c r="I106">
        <f t="shared" si="66"/>
        <v>0</v>
      </c>
      <c r="J106">
        <f t="shared" si="66"/>
        <v>0</v>
      </c>
      <c r="K106">
        <f t="shared" si="66"/>
        <v>0</v>
      </c>
      <c r="L106">
        <f t="shared" si="61"/>
        <v>7300</v>
      </c>
      <c r="M106" t="str">
        <f t="shared" si="62"/>
        <v>Oeste|Pieza 5|Planned Release</v>
      </c>
    </row>
    <row r="107" spans="1:13" x14ac:dyDescent="0.3">
      <c r="A107" t="s">
        <v>266</v>
      </c>
      <c r="B107" t="s">
        <v>27</v>
      </c>
      <c r="C107" t="s">
        <v>357</v>
      </c>
      <c r="D107">
        <f t="shared" ref="D107:K107" si="67">D103+D105-D101</f>
        <v>12726.02414625733</v>
      </c>
      <c r="E107">
        <f t="shared" si="67"/>
        <v>11696.048292514661</v>
      </c>
      <c r="F107">
        <f t="shared" si="67"/>
        <v>10666.072438771991</v>
      </c>
      <c r="G107">
        <f t="shared" si="67"/>
        <v>9636.0965850293214</v>
      </c>
      <c r="H107">
        <f t="shared" si="67"/>
        <v>8606.1207312866518</v>
      </c>
      <c r="I107">
        <f t="shared" si="67"/>
        <v>7576.1448775439821</v>
      </c>
      <c r="J107">
        <f t="shared" si="67"/>
        <v>6546.1690238013125</v>
      </c>
      <c r="K107">
        <f t="shared" si="67"/>
        <v>6546.1690238013125</v>
      </c>
      <c r="L107">
        <f t="shared" si="61"/>
        <v>73998.845119006553</v>
      </c>
      <c r="M107" t="str">
        <f t="shared" si="62"/>
        <v>Oeste|Pieza 5|POH End</v>
      </c>
    </row>
    <row r="108" spans="1:13" x14ac:dyDescent="0.3">
      <c r="A108" t="s">
        <v>266</v>
      </c>
      <c r="B108" t="s">
        <v>28</v>
      </c>
      <c r="C108" t="s">
        <v>352</v>
      </c>
      <c r="D108">
        <f>INDEX(BOM_Consumo!$C$6:$J$13,MATCH($B108,BOM_Consumo!$A$6:$A$13,0),COLUMN()-COLUMN($D$2)+1)*IF($A108="Centro",_xlfn.XLOOKUP($B108,Multi_Planta!$A$6:$A$13,Multi_Planta!$G$6:$G$13),1-_xlfn.XLOOKUP($B108,Multi_Planta!$A$6:$A$13,Multi_Planta!$G$6:$G$13))</f>
        <v>366.93454846727417</v>
      </c>
      <c r="E108">
        <f>INDEX(BOM_Consumo!$C$6:$J$13,MATCH($B108,BOM_Consumo!$A$6:$A$13,0),COLUMN()-COLUMN($D$2)+1)*IF($A108="Centro",_xlfn.XLOOKUP($B108,Multi_Planta!$A$6:$A$13,Multi_Planta!$G$6:$G$13),1-_xlfn.XLOOKUP($B108,Multi_Planta!$A$6:$A$13,Multi_Planta!$G$6:$G$13))</f>
        <v>366.93454846727417</v>
      </c>
      <c r="F108">
        <f>INDEX(BOM_Consumo!$C$6:$J$13,MATCH($B108,BOM_Consumo!$A$6:$A$13,0),COLUMN()-COLUMN($D$2)+1)*IF($A108="Centro",_xlfn.XLOOKUP($B108,Multi_Planta!$A$6:$A$13,Multi_Planta!$G$6:$G$13),1-_xlfn.XLOOKUP($B108,Multi_Planta!$A$6:$A$13,Multi_Planta!$G$6:$G$13))</f>
        <v>366.93454846727417</v>
      </c>
      <c r="G108">
        <f>INDEX(BOM_Consumo!$C$6:$J$13,MATCH($B108,BOM_Consumo!$A$6:$A$13,0),COLUMN()-COLUMN($D$2)+1)*IF($A108="Centro",_xlfn.XLOOKUP($B108,Multi_Planta!$A$6:$A$13,Multi_Planta!$G$6:$G$13),1-_xlfn.XLOOKUP($B108,Multi_Planta!$A$6:$A$13,Multi_Planta!$G$6:$G$13))</f>
        <v>366.93454846727417</v>
      </c>
      <c r="H108">
        <f>INDEX(BOM_Consumo!$C$6:$J$13,MATCH($B108,BOM_Consumo!$A$6:$A$13,0),COLUMN()-COLUMN($D$2)+1)*IF($A108="Centro",_xlfn.XLOOKUP($B108,Multi_Planta!$A$6:$A$13,Multi_Planta!$G$6:$G$13),1-_xlfn.XLOOKUP($B108,Multi_Planta!$A$6:$A$13,Multi_Planta!$G$6:$G$13))</f>
        <v>366.93454846727417</v>
      </c>
      <c r="I108">
        <f>INDEX(BOM_Consumo!$C$6:$J$13,MATCH($B108,BOM_Consumo!$A$6:$A$13,0),COLUMN()-COLUMN($D$2)+1)*IF($A108="Centro",_xlfn.XLOOKUP($B108,Multi_Planta!$A$6:$A$13,Multi_Planta!$G$6:$G$13),1-_xlfn.XLOOKUP($B108,Multi_Planta!$A$6:$A$13,Multi_Planta!$G$6:$G$13))</f>
        <v>366.93454846727417</v>
      </c>
      <c r="J108">
        <f>INDEX(BOM_Consumo!$C$6:$J$13,MATCH($B108,BOM_Consumo!$A$6:$A$13,0),COLUMN()-COLUMN($D$2)+1)*IF($A108="Centro",_xlfn.XLOOKUP($B108,Multi_Planta!$A$6:$A$13,Multi_Planta!$G$6:$G$13),1-_xlfn.XLOOKUP($B108,Multi_Planta!$A$6:$A$13,Multi_Planta!$G$6:$G$13))</f>
        <v>366.93454846727417</v>
      </c>
      <c r="K108">
        <f>INDEX(BOM_Consumo!$C$6:$J$13,MATCH($B108,BOM_Consumo!$A$6:$A$13,0),COLUMN()-COLUMN($D$2)+1)*IF($A108="Centro",_xlfn.XLOOKUP($B108,Multi_Planta!$A$6:$A$13,Multi_Planta!$G$6:$G$13),1-_xlfn.XLOOKUP($B108,Multi_Planta!$A$6:$A$13,Multi_Planta!$G$6:$G$13))</f>
        <v>0</v>
      </c>
      <c r="L108">
        <f t="shared" si="61"/>
        <v>2568.5418392709189</v>
      </c>
      <c r="M108" t="str">
        <f t="shared" si="62"/>
        <v>Oeste|Pieza 6|Gross Req</v>
      </c>
    </row>
    <row r="109" spans="1:13" x14ac:dyDescent="0.3">
      <c r="A109" t="s">
        <v>266</v>
      </c>
      <c r="B109" t="s">
        <v>28</v>
      </c>
      <c r="C109" t="s">
        <v>81</v>
      </c>
      <c r="D109">
        <f>IFERROR(_xlfn.XLOOKUP($B109,Inputs!$A$82:$A$87,Inputs!$B$82:$B$87),0)*IF($A109="Centro",_xlfn.XLOOKUP($B109,Multi_Planta!$A$6:$A$13,Multi_Planta!$G$6:$G$13),1-_xlfn.XLOOKUP($B109,Multi_Planta!$A$6:$A$13,Multi_Planta!$G$6:$G$13))</f>
        <v>0</v>
      </c>
      <c r="E109">
        <f>IFERROR(_xlfn.XLOOKUP($B109,Inputs!$A$82:$A$87,Inputs!$B$82:$B$87),0)*IF($A109="Centro",_xlfn.XLOOKUP($B109,Multi_Planta!$A$6:$A$13,Multi_Planta!$G$6:$G$13),1-_xlfn.XLOOKUP($B109,Multi_Planta!$A$6:$A$13,Multi_Planta!$G$6:$G$13))</f>
        <v>0</v>
      </c>
      <c r="F109">
        <f>IFERROR(_xlfn.XLOOKUP($B109,Inputs!$A$82:$A$87,Inputs!$B$82:$B$87),0)*IF($A109="Centro",_xlfn.XLOOKUP($B109,Multi_Planta!$A$6:$A$13,Multi_Planta!$G$6:$G$13),1-_xlfn.XLOOKUP($B109,Multi_Planta!$A$6:$A$13,Multi_Planta!$G$6:$G$13))</f>
        <v>0</v>
      </c>
      <c r="G109">
        <f>IFERROR(_xlfn.XLOOKUP($B109,Inputs!$A$82:$A$87,Inputs!$B$82:$B$87),0)*IF($A109="Centro",_xlfn.XLOOKUP($B109,Multi_Planta!$A$6:$A$13,Multi_Planta!$G$6:$G$13),1-_xlfn.XLOOKUP($B109,Multi_Planta!$A$6:$A$13,Multi_Planta!$G$6:$G$13))</f>
        <v>0</v>
      </c>
      <c r="H109">
        <f>IFERROR(_xlfn.XLOOKUP($B109,Inputs!$A$82:$A$87,Inputs!$B$82:$B$87),0)*IF($A109="Centro",_xlfn.XLOOKUP($B109,Multi_Planta!$A$6:$A$13,Multi_Planta!$G$6:$G$13),1-_xlfn.XLOOKUP($B109,Multi_Planta!$A$6:$A$13,Multi_Planta!$G$6:$G$13))</f>
        <v>0</v>
      </c>
      <c r="I109">
        <f>IFERROR(_xlfn.XLOOKUP($B109,Inputs!$A$82:$A$87,Inputs!$B$82:$B$87),0)*IF($A109="Centro",_xlfn.XLOOKUP($B109,Multi_Planta!$A$6:$A$13,Multi_Planta!$G$6:$G$13),1-_xlfn.XLOOKUP($B109,Multi_Planta!$A$6:$A$13,Multi_Planta!$G$6:$G$13))</f>
        <v>0</v>
      </c>
      <c r="J109">
        <f>IFERROR(_xlfn.XLOOKUP($B109,Inputs!$A$82:$A$87,Inputs!$B$82:$B$87),0)*IF($A109="Centro",_xlfn.XLOOKUP($B109,Multi_Planta!$A$6:$A$13,Multi_Planta!$G$6:$G$13),1-_xlfn.XLOOKUP($B109,Multi_Planta!$A$6:$A$13,Multi_Planta!$G$6:$G$13))</f>
        <v>0</v>
      </c>
      <c r="K109">
        <f>IFERROR(_xlfn.XLOOKUP($B109,Inputs!$A$82:$A$87,Inputs!$B$82:$B$87),0)*IF($A109="Centro",_xlfn.XLOOKUP($B109,Multi_Planta!$A$6:$A$13,Multi_Planta!$G$6:$G$13),1-_xlfn.XLOOKUP($B109,Multi_Planta!$A$6:$A$13,Multi_Planta!$G$6:$G$13))</f>
        <v>0</v>
      </c>
      <c r="L109">
        <f t="shared" si="61"/>
        <v>0</v>
      </c>
      <c r="M109" t="str">
        <f t="shared" si="62"/>
        <v>Oeste|Pieza 6|Safety Stock</v>
      </c>
    </row>
    <row r="110" spans="1:13" x14ac:dyDescent="0.3">
      <c r="A110" t="s">
        <v>266</v>
      </c>
      <c r="B110" t="s">
        <v>28</v>
      </c>
      <c r="C110" t="s">
        <v>353</v>
      </c>
      <c r="D110">
        <f>IF($A110="Centro",_xlfn.XLOOKUP($B110,Multi_Planta!$A$6:$A$13,Multi_Planta!$B$6:$B$13),_xlfn.XLOOKUP($B110,Multi_Planta!$A$6:$A$13,Multi_Planta!$C$6:$C$13))</f>
        <v>1596</v>
      </c>
      <c r="E110">
        <f t="shared" ref="E110:K110" si="68">D114</f>
        <v>3929.065451532726</v>
      </c>
      <c r="F110">
        <f t="shared" si="68"/>
        <v>3562.130903065452</v>
      </c>
      <c r="G110">
        <f t="shared" si="68"/>
        <v>3195.196354598178</v>
      </c>
      <c r="H110">
        <f t="shared" si="68"/>
        <v>2828.261806130904</v>
      </c>
      <c r="I110">
        <f t="shared" si="68"/>
        <v>2461.32725766363</v>
      </c>
      <c r="J110">
        <f t="shared" si="68"/>
        <v>2094.392709196356</v>
      </c>
      <c r="K110">
        <f t="shared" si="68"/>
        <v>1727.4581607290818</v>
      </c>
      <c r="L110">
        <f t="shared" si="61"/>
        <v>21393.832642916328</v>
      </c>
      <c r="M110" t="str">
        <f t="shared" si="62"/>
        <v>Oeste|Pieza 6|POH Start</v>
      </c>
    </row>
    <row r="111" spans="1:13" x14ac:dyDescent="0.3">
      <c r="A111" t="s">
        <v>266</v>
      </c>
      <c r="B111" t="s">
        <v>28</v>
      </c>
      <c r="C111" t="s">
        <v>354</v>
      </c>
      <c r="D111">
        <f t="shared" ref="D111:K111" si="69">MAX(0,D108+D109-D110)</f>
        <v>0</v>
      </c>
      <c r="E111">
        <f t="shared" si="69"/>
        <v>0</v>
      </c>
      <c r="F111">
        <f t="shared" si="69"/>
        <v>0</v>
      </c>
      <c r="G111">
        <f t="shared" si="69"/>
        <v>0</v>
      </c>
      <c r="H111">
        <f t="shared" si="69"/>
        <v>0</v>
      </c>
      <c r="I111">
        <f t="shared" si="69"/>
        <v>0</v>
      </c>
      <c r="J111">
        <f t="shared" si="69"/>
        <v>0</v>
      </c>
      <c r="K111">
        <f t="shared" si="69"/>
        <v>0</v>
      </c>
      <c r="L111">
        <f t="shared" si="61"/>
        <v>0</v>
      </c>
      <c r="M111" t="str">
        <f t="shared" si="62"/>
        <v>Oeste|Pieza 6|Net Req</v>
      </c>
    </row>
    <row r="112" spans="1:13" x14ac:dyDescent="0.3">
      <c r="A112" t="s">
        <v>266</v>
      </c>
      <c r="B112" t="s">
        <v>28</v>
      </c>
      <c r="C112" t="s">
        <v>355</v>
      </c>
      <c r="D112">
        <f>IF(AND(LEFT($B112,5)="Pieza",Inputs!$B$110=1),_xlfn.CEILING.MATH(L108,_xlfn.XLOOKUP($B112,Inputs!$A$35:$A$42,Inputs!$B$35:$B$42)),_xlfn.CEILING.MATH(D111,_xlfn.XLOOKUP($B112,Inputs!$A$35:$A$42,Inputs!$B$35:$B$42)))</f>
        <v>2700</v>
      </c>
      <c r="E112">
        <f>IF(AND(LEFT($B112,5)="Pieza",Inputs!$B$110=1),0,_xlfn.CEILING.MATH(E111,_xlfn.XLOOKUP($B112,Inputs!$A$35:$A$42,Inputs!$B$35:$B$42)))</f>
        <v>0</v>
      </c>
      <c r="F112">
        <f>IF(AND(LEFT($B112,5)="Pieza",Inputs!$B$110=1),0,_xlfn.CEILING.MATH(F111,_xlfn.XLOOKUP($B112,Inputs!$A$35:$A$42,Inputs!$B$35:$B$42)))</f>
        <v>0</v>
      </c>
      <c r="G112">
        <f>IF(AND(LEFT($B112,5)="Pieza",Inputs!$B$110=1),0,_xlfn.CEILING.MATH(G111,_xlfn.XLOOKUP($B112,Inputs!$A$35:$A$42,Inputs!$B$35:$B$42)))</f>
        <v>0</v>
      </c>
      <c r="H112">
        <f>IF(AND(LEFT($B112,5)="Pieza",Inputs!$B$110=1),0,_xlfn.CEILING.MATH(H111,_xlfn.XLOOKUP($B112,Inputs!$A$35:$A$42,Inputs!$B$35:$B$42)))</f>
        <v>0</v>
      </c>
      <c r="I112">
        <f>IF(AND(LEFT($B112,5)="Pieza",Inputs!$B$110=1),0,_xlfn.CEILING.MATH(I111,_xlfn.XLOOKUP($B112,Inputs!$A$35:$A$42,Inputs!$B$35:$B$42)))</f>
        <v>0</v>
      </c>
      <c r="J112">
        <f>IF(AND(LEFT($B112,5)="Pieza",Inputs!$B$110=1),0,_xlfn.CEILING.MATH(J111,_xlfn.XLOOKUP($B112,Inputs!$A$35:$A$42,Inputs!$B$35:$B$42)))</f>
        <v>0</v>
      </c>
      <c r="K112">
        <f>IF(AND(LEFT($B112,5)="Pieza",Inputs!$B$110=1),0,_xlfn.CEILING.MATH(K111,_xlfn.XLOOKUP($B112,Inputs!$A$35:$A$42,Inputs!$B$35:$B$42)))</f>
        <v>0</v>
      </c>
      <c r="L112">
        <f t="shared" si="61"/>
        <v>2700</v>
      </c>
      <c r="M112" t="str">
        <f t="shared" si="62"/>
        <v>Oeste|Pieza 6|Planned Receipt</v>
      </c>
    </row>
    <row r="113" spans="1:13" x14ac:dyDescent="0.3">
      <c r="A113" t="s">
        <v>266</v>
      </c>
      <c r="B113" t="s">
        <v>28</v>
      </c>
      <c r="C113" t="s">
        <v>356</v>
      </c>
      <c r="D113">
        <f t="shared" ref="D113:K113" si="70">D112</f>
        <v>2700</v>
      </c>
      <c r="E113">
        <f t="shared" si="70"/>
        <v>0</v>
      </c>
      <c r="F113">
        <f t="shared" si="70"/>
        <v>0</v>
      </c>
      <c r="G113">
        <f t="shared" si="70"/>
        <v>0</v>
      </c>
      <c r="H113">
        <f t="shared" si="70"/>
        <v>0</v>
      </c>
      <c r="I113">
        <f t="shared" si="70"/>
        <v>0</v>
      </c>
      <c r="J113">
        <f t="shared" si="70"/>
        <v>0</v>
      </c>
      <c r="K113">
        <f t="shared" si="70"/>
        <v>0</v>
      </c>
      <c r="L113">
        <f t="shared" si="61"/>
        <v>2700</v>
      </c>
      <c r="M113" t="str">
        <f t="shared" si="62"/>
        <v>Oeste|Pieza 6|Planned Release</v>
      </c>
    </row>
    <row r="114" spans="1:13" x14ac:dyDescent="0.3">
      <c r="A114" t="s">
        <v>266</v>
      </c>
      <c r="B114" t="s">
        <v>28</v>
      </c>
      <c r="C114" t="s">
        <v>357</v>
      </c>
      <c r="D114">
        <f t="shared" ref="D114:K114" si="71">D110+D112-D108</f>
        <v>3929.065451532726</v>
      </c>
      <c r="E114">
        <f t="shared" si="71"/>
        <v>3562.130903065452</v>
      </c>
      <c r="F114">
        <f t="shared" si="71"/>
        <v>3195.196354598178</v>
      </c>
      <c r="G114">
        <f t="shared" si="71"/>
        <v>2828.261806130904</v>
      </c>
      <c r="H114">
        <f t="shared" si="71"/>
        <v>2461.32725766363</v>
      </c>
      <c r="I114">
        <f t="shared" si="71"/>
        <v>2094.392709196356</v>
      </c>
      <c r="J114">
        <f t="shared" si="71"/>
        <v>1727.4581607290818</v>
      </c>
      <c r="K114">
        <f t="shared" si="71"/>
        <v>1727.4581607290818</v>
      </c>
      <c r="L114">
        <f t="shared" si="61"/>
        <v>21525.29080364541</v>
      </c>
      <c r="M114" t="str">
        <f t="shared" si="62"/>
        <v>Oeste|Pieza 6|POH End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3"/>
  <sheetViews>
    <sheetView zoomScaleNormal="100" workbookViewId="0">
      <selection activeCell="C37" sqref="C37"/>
    </sheetView>
  </sheetViews>
  <sheetFormatPr baseColWidth="10" defaultColWidth="8.6640625" defaultRowHeight="14.4" x14ac:dyDescent="0.3"/>
  <cols>
    <col min="1" max="1" width="25" customWidth="1"/>
    <col min="2" max="2" width="15" customWidth="1"/>
    <col min="3" max="3" width="26.6640625" bestFit="1" customWidth="1"/>
    <col min="4" max="4" width="30.44140625" bestFit="1" customWidth="1"/>
    <col min="5" max="7" width="15" customWidth="1"/>
  </cols>
  <sheetData>
    <row r="1" spans="1:11" ht="17.25" customHeight="1" x14ac:dyDescent="0.3">
      <c r="A1" s="77" t="s">
        <v>0</v>
      </c>
      <c r="B1" s="77"/>
      <c r="C1" s="77"/>
      <c r="D1" s="77"/>
      <c r="E1" s="77"/>
      <c r="F1" s="77"/>
      <c r="G1" s="77"/>
      <c r="H1" s="77"/>
      <c r="I1" s="77"/>
      <c r="J1" s="77"/>
      <c r="K1" s="77"/>
    </row>
    <row r="2" spans="1:11" ht="15" customHeight="1" x14ac:dyDescent="0.3">
      <c r="A2" s="78" t="s">
        <v>1</v>
      </c>
      <c r="B2" s="78"/>
      <c r="C2" s="78"/>
      <c r="D2" s="78"/>
      <c r="E2" s="78"/>
      <c r="F2" s="78"/>
      <c r="G2" s="78"/>
      <c r="H2" s="78"/>
      <c r="I2" s="78"/>
      <c r="J2" s="78"/>
      <c r="K2" s="78"/>
    </row>
    <row r="4" spans="1:11" ht="15" customHeight="1" x14ac:dyDescent="0.3">
      <c r="A4" s="79" t="s">
        <v>2</v>
      </c>
      <c r="B4" s="79"/>
      <c r="C4" s="79"/>
      <c r="D4" s="79"/>
      <c r="E4" s="79"/>
      <c r="F4" s="79"/>
      <c r="G4" s="79"/>
      <c r="H4" s="79"/>
      <c r="I4" s="79"/>
      <c r="J4" s="79"/>
      <c r="K4" s="79"/>
    </row>
    <row r="5" spans="1:11" ht="15" customHeight="1" x14ac:dyDescent="0.3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</row>
    <row r="6" spans="1:11" ht="15" customHeight="1" x14ac:dyDescent="0.3">
      <c r="A6" s="5" t="s">
        <v>13</v>
      </c>
      <c r="B6" s="6">
        <v>1850</v>
      </c>
      <c r="C6" s="6">
        <v>1850</v>
      </c>
      <c r="D6" s="6">
        <v>1850</v>
      </c>
      <c r="E6" s="6">
        <v>1850</v>
      </c>
      <c r="F6" s="6">
        <v>1850</v>
      </c>
      <c r="G6" s="6">
        <v>1850</v>
      </c>
      <c r="H6" s="6">
        <v>1850</v>
      </c>
      <c r="I6" s="6">
        <v>1850</v>
      </c>
      <c r="J6" s="7">
        <f>SUM(B6:I6)</f>
        <v>14800</v>
      </c>
    </row>
    <row r="9" spans="1:11" ht="15" customHeight="1" x14ac:dyDescent="0.3">
      <c r="A9" s="79" t="s">
        <v>14</v>
      </c>
      <c r="B9" s="79"/>
      <c r="C9" s="79"/>
      <c r="D9" s="79"/>
    </row>
    <row r="10" spans="1:11" ht="15" customHeight="1" x14ac:dyDescent="0.3">
      <c r="A10" s="8" t="s">
        <v>15</v>
      </c>
      <c r="B10" s="8" t="s">
        <v>16</v>
      </c>
      <c r="C10" s="8" t="s">
        <v>17</v>
      </c>
      <c r="D10" s="8" t="s">
        <v>18</v>
      </c>
    </row>
    <row r="11" spans="1:11" ht="15" customHeight="1" x14ac:dyDescent="0.3">
      <c r="A11" s="9" t="s">
        <v>19</v>
      </c>
      <c r="B11" s="6">
        <v>4512</v>
      </c>
      <c r="C11" s="10" t="s">
        <v>20</v>
      </c>
      <c r="D11" s="11" t="s">
        <v>21</v>
      </c>
    </row>
    <row r="12" spans="1:11" ht="15" customHeight="1" x14ac:dyDescent="0.3">
      <c r="A12" s="9" t="s">
        <v>22</v>
      </c>
      <c r="B12" s="6">
        <v>1058</v>
      </c>
      <c r="C12" s="10" t="s">
        <v>20</v>
      </c>
      <c r="D12" s="11" t="s">
        <v>21</v>
      </c>
    </row>
    <row r="13" spans="1:11" ht="15" customHeight="1" x14ac:dyDescent="0.3">
      <c r="A13" s="9" t="s">
        <v>23</v>
      </c>
      <c r="B13" s="6">
        <v>130</v>
      </c>
      <c r="C13" s="10" t="s">
        <v>20</v>
      </c>
      <c r="D13" s="11" t="s">
        <v>21</v>
      </c>
    </row>
    <row r="14" spans="1:11" ht="15" customHeight="1" x14ac:dyDescent="0.3">
      <c r="A14" s="9" t="s">
        <v>24</v>
      </c>
      <c r="B14" s="6">
        <v>5268</v>
      </c>
      <c r="C14" s="10" t="s">
        <v>20</v>
      </c>
      <c r="D14" s="11" t="s">
        <v>21</v>
      </c>
    </row>
    <row r="15" spans="1:11" ht="15" customHeight="1" x14ac:dyDescent="0.3">
      <c r="A15" s="9" t="s">
        <v>25</v>
      </c>
      <c r="B15" s="6">
        <v>4333</v>
      </c>
      <c r="C15" s="10" t="s">
        <v>20</v>
      </c>
      <c r="D15" s="11" t="s">
        <v>21</v>
      </c>
    </row>
    <row r="16" spans="1:11" ht="15" customHeight="1" x14ac:dyDescent="0.3">
      <c r="A16" s="9" t="s">
        <v>26</v>
      </c>
      <c r="B16" s="6">
        <v>8487</v>
      </c>
      <c r="C16" s="10" t="s">
        <v>20</v>
      </c>
      <c r="D16" s="11" t="s">
        <v>21</v>
      </c>
    </row>
    <row r="17" spans="1:4" ht="15" customHeight="1" x14ac:dyDescent="0.3">
      <c r="A17" s="9" t="s">
        <v>27</v>
      </c>
      <c r="B17" s="6">
        <v>23192</v>
      </c>
      <c r="C17" s="10" t="s">
        <v>20</v>
      </c>
      <c r="D17" s="11" t="s">
        <v>21</v>
      </c>
    </row>
    <row r="18" spans="1:4" ht="15" customHeight="1" x14ac:dyDescent="0.3">
      <c r="A18" s="9" t="s">
        <v>28</v>
      </c>
      <c r="B18" s="6">
        <v>6035</v>
      </c>
      <c r="C18" s="10" t="s">
        <v>20</v>
      </c>
      <c r="D18" s="11" t="s">
        <v>21</v>
      </c>
    </row>
    <row r="21" spans="1:4" ht="15" customHeight="1" x14ac:dyDescent="0.3">
      <c r="A21" s="79" t="s">
        <v>29</v>
      </c>
      <c r="B21" s="79"/>
      <c r="C21" s="79"/>
      <c r="D21" s="79"/>
    </row>
    <row r="22" spans="1:4" ht="15" customHeight="1" x14ac:dyDescent="0.3">
      <c r="A22" s="8" t="s">
        <v>15</v>
      </c>
      <c r="B22" s="8" t="s">
        <v>30</v>
      </c>
      <c r="C22" s="8" t="s">
        <v>17</v>
      </c>
      <c r="D22" s="8" t="s">
        <v>31</v>
      </c>
    </row>
    <row r="23" spans="1:4" ht="15" customHeight="1" x14ac:dyDescent="0.3">
      <c r="A23" s="9" t="s">
        <v>19</v>
      </c>
      <c r="B23" s="9">
        <v>1</v>
      </c>
      <c r="C23" s="9" t="s">
        <v>32</v>
      </c>
      <c r="D23" s="11" t="s">
        <v>33</v>
      </c>
    </row>
    <row r="24" spans="1:4" ht="15" customHeight="1" x14ac:dyDescent="0.3">
      <c r="A24" s="9" t="s">
        <v>22</v>
      </c>
      <c r="B24" s="9">
        <v>0.2</v>
      </c>
      <c r="C24" s="9" t="s">
        <v>32</v>
      </c>
      <c r="D24" s="11" t="s">
        <v>34</v>
      </c>
    </row>
    <row r="25" spans="1:4" ht="15" customHeight="1" x14ac:dyDescent="0.3">
      <c r="A25" s="9" t="s">
        <v>23</v>
      </c>
      <c r="B25" s="9">
        <v>0.01</v>
      </c>
      <c r="C25" s="9" t="s">
        <v>32</v>
      </c>
      <c r="D25" s="11" t="s">
        <v>35</v>
      </c>
    </row>
    <row r="26" spans="1:4" ht="15" customHeight="1" x14ac:dyDescent="0.3">
      <c r="A26" s="9" t="s">
        <v>24</v>
      </c>
      <c r="B26" s="9">
        <v>8</v>
      </c>
      <c r="C26" s="9" t="s">
        <v>32</v>
      </c>
      <c r="D26" s="11" t="s">
        <v>36</v>
      </c>
    </row>
    <row r="27" spans="1:4" ht="15" customHeight="1" x14ac:dyDescent="0.3">
      <c r="A27" s="9" t="s">
        <v>25</v>
      </c>
      <c r="B27" s="9">
        <v>0.3</v>
      </c>
      <c r="C27" s="9" t="s">
        <v>32</v>
      </c>
      <c r="D27" s="11" t="s">
        <v>37</v>
      </c>
    </row>
    <row r="28" spans="1:4" ht="15" customHeight="1" x14ac:dyDescent="0.3">
      <c r="A28" s="9" t="s">
        <v>26</v>
      </c>
      <c r="B28" s="9">
        <v>0.6</v>
      </c>
      <c r="C28" s="9" t="s">
        <v>32</v>
      </c>
      <c r="D28" s="11" t="s">
        <v>38</v>
      </c>
    </row>
    <row r="29" spans="1:4" ht="15" customHeight="1" x14ac:dyDescent="0.3">
      <c r="A29" s="9" t="s">
        <v>27</v>
      </c>
      <c r="B29" s="9">
        <v>2</v>
      </c>
      <c r="C29" s="9" t="s">
        <v>32</v>
      </c>
      <c r="D29" s="11" t="s">
        <v>39</v>
      </c>
    </row>
    <row r="30" spans="1:4" ht="15" customHeight="1" x14ac:dyDescent="0.3">
      <c r="A30" s="9" t="s">
        <v>28</v>
      </c>
      <c r="B30" s="9">
        <v>0.75</v>
      </c>
      <c r="C30" s="9" t="s">
        <v>32</v>
      </c>
      <c r="D30" s="11" t="s">
        <v>40</v>
      </c>
    </row>
    <row r="33" spans="1:4" ht="15" customHeight="1" x14ac:dyDescent="0.3">
      <c r="A33" s="79" t="s">
        <v>41</v>
      </c>
      <c r="B33" s="79"/>
      <c r="C33" s="79"/>
      <c r="D33" s="79"/>
    </row>
    <row r="34" spans="1:4" ht="15" customHeight="1" x14ac:dyDescent="0.3">
      <c r="A34" s="8" t="s">
        <v>15</v>
      </c>
      <c r="B34" s="8" t="s">
        <v>42</v>
      </c>
      <c r="C34" s="8" t="s">
        <v>332</v>
      </c>
      <c r="D34" s="8" t="s">
        <v>31</v>
      </c>
    </row>
    <row r="35" spans="1:4" ht="15" customHeight="1" x14ac:dyDescent="0.3">
      <c r="A35" s="9" t="s">
        <v>19</v>
      </c>
      <c r="B35" s="6">
        <v>30</v>
      </c>
      <c r="C35" s="75">
        <f>B35</f>
        <v>30</v>
      </c>
      <c r="D35" s="11" t="s">
        <v>44</v>
      </c>
    </row>
    <row r="36" spans="1:4" ht="15" customHeight="1" x14ac:dyDescent="0.3">
      <c r="A36" s="9" t="s">
        <v>22</v>
      </c>
      <c r="B36" s="6">
        <v>12</v>
      </c>
      <c r="C36" s="75">
        <f t="shared" ref="C36:C42" si="0">B36</f>
        <v>12</v>
      </c>
      <c r="D36" s="11" t="s">
        <v>44</v>
      </c>
    </row>
    <row r="37" spans="1:4" ht="15" customHeight="1" x14ac:dyDescent="0.3">
      <c r="A37" s="9" t="s">
        <v>23</v>
      </c>
      <c r="B37" s="6">
        <v>1</v>
      </c>
      <c r="C37" s="75">
        <f t="shared" si="0"/>
        <v>1</v>
      </c>
      <c r="D37" s="11" t="s">
        <v>45</v>
      </c>
    </row>
    <row r="38" spans="1:4" ht="15" customHeight="1" x14ac:dyDescent="0.3">
      <c r="A38" s="9" t="s">
        <v>24</v>
      </c>
      <c r="B38" s="6">
        <v>100</v>
      </c>
      <c r="C38" s="75">
        <f t="shared" si="0"/>
        <v>100</v>
      </c>
      <c r="D38" s="11" t="s">
        <v>46</v>
      </c>
    </row>
    <row r="39" spans="1:4" ht="15" customHeight="1" x14ac:dyDescent="0.3">
      <c r="A39" s="9" t="s">
        <v>25</v>
      </c>
      <c r="B39" s="6">
        <v>30</v>
      </c>
      <c r="C39" s="75">
        <f t="shared" si="0"/>
        <v>30</v>
      </c>
      <c r="D39" s="11" t="s">
        <v>47</v>
      </c>
    </row>
    <row r="40" spans="1:4" ht="15" customHeight="1" x14ac:dyDescent="0.3">
      <c r="A40" s="9" t="s">
        <v>26</v>
      </c>
      <c r="B40" s="6">
        <v>60</v>
      </c>
      <c r="C40" s="75">
        <f t="shared" si="0"/>
        <v>60</v>
      </c>
      <c r="D40" s="11" t="s">
        <v>48</v>
      </c>
    </row>
    <row r="41" spans="1:4" ht="15" customHeight="1" x14ac:dyDescent="0.3">
      <c r="A41" s="9" t="s">
        <v>27</v>
      </c>
      <c r="B41" s="6">
        <v>100</v>
      </c>
      <c r="C41" s="75">
        <f t="shared" si="0"/>
        <v>100</v>
      </c>
      <c r="D41" s="11" t="s">
        <v>49</v>
      </c>
    </row>
    <row r="42" spans="1:4" ht="15" customHeight="1" x14ac:dyDescent="0.3">
      <c r="A42" s="9" t="s">
        <v>28</v>
      </c>
      <c r="B42" s="6">
        <v>150</v>
      </c>
      <c r="C42" s="75">
        <f t="shared" si="0"/>
        <v>150</v>
      </c>
      <c r="D42" s="11" t="s">
        <v>50</v>
      </c>
    </row>
    <row r="43" spans="1:4" ht="15" customHeight="1" x14ac:dyDescent="0.3">
      <c r="B43">
        <v>125</v>
      </c>
      <c r="C43">
        <f>B43/B35</f>
        <v>4.166666666666667</v>
      </c>
    </row>
    <row r="44" spans="1:4" ht="15" customHeight="1" x14ac:dyDescent="0.3">
      <c r="B44">
        <v>330</v>
      </c>
      <c r="C44">
        <f>B44/B36</f>
        <v>27.5</v>
      </c>
    </row>
    <row r="45" spans="1:4" ht="15" customHeight="1" x14ac:dyDescent="0.3">
      <c r="A45" s="79" t="s">
        <v>51</v>
      </c>
      <c r="B45" s="79"/>
      <c r="C45" s="79"/>
      <c r="D45" s="79"/>
    </row>
    <row r="46" spans="1:4" ht="15" customHeight="1" x14ac:dyDescent="0.3">
      <c r="A46" s="8" t="s">
        <v>15</v>
      </c>
      <c r="B46" s="8">
        <v>7</v>
      </c>
      <c r="C46" s="8">
        <f>B46/B38</f>
        <v>7.0000000000000007E-2</v>
      </c>
      <c r="D46" s="8" t="s">
        <v>52</v>
      </c>
    </row>
    <row r="47" spans="1:4" ht="15" customHeight="1" x14ac:dyDescent="0.3">
      <c r="A47" s="9" t="s">
        <v>19</v>
      </c>
      <c r="B47" s="12">
        <v>125</v>
      </c>
      <c r="C47" s="13">
        <f t="shared" ref="C47:C54" si="1">B47/B35</f>
        <v>4.166666666666667</v>
      </c>
      <c r="D47" s="10" t="s">
        <v>53</v>
      </c>
    </row>
    <row r="48" spans="1:4" ht="15" customHeight="1" x14ac:dyDescent="0.3">
      <c r="A48" s="9" t="s">
        <v>22</v>
      </c>
      <c r="B48" s="12">
        <v>330</v>
      </c>
      <c r="C48" s="13">
        <f t="shared" si="1"/>
        <v>27.5</v>
      </c>
      <c r="D48" s="10" t="s">
        <v>53</v>
      </c>
    </row>
    <row r="49" spans="1:7" ht="15" customHeight="1" x14ac:dyDescent="0.3">
      <c r="A49" s="9" t="s">
        <v>23</v>
      </c>
      <c r="B49" s="12">
        <v>60</v>
      </c>
      <c r="C49" s="13">
        <f t="shared" si="1"/>
        <v>60</v>
      </c>
      <c r="D49" s="10" t="s">
        <v>53</v>
      </c>
    </row>
    <row r="50" spans="1:7" ht="15" customHeight="1" x14ac:dyDescent="0.3">
      <c r="A50" s="9" t="s">
        <v>24</v>
      </c>
      <c r="B50" s="12">
        <v>7</v>
      </c>
      <c r="C50" s="13">
        <f t="shared" si="1"/>
        <v>7.0000000000000007E-2</v>
      </c>
      <c r="D50" s="10" t="s">
        <v>53</v>
      </c>
    </row>
    <row r="51" spans="1:7" ht="15" customHeight="1" x14ac:dyDescent="0.3">
      <c r="A51" s="9" t="s">
        <v>25</v>
      </c>
      <c r="B51" s="12">
        <v>36</v>
      </c>
      <c r="C51" s="13">
        <f t="shared" si="1"/>
        <v>1.2</v>
      </c>
      <c r="D51" s="10" t="s">
        <v>53</v>
      </c>
    </row>
    <row r="52" spans="1:7" ht="15" customHeight="1" x14ac:dyDescent="0.3">
      <c r="A52" s="9" t="s">
        <v>26</v>
      </c>
      <c r="B52" s="12">
        <v>24</v>
      </c>
      <c r="C52" s="13">
        <f t="shared" si="1"/>
        <v>0.4</v>
      </c>
      <c r="D52" s="10" t="s">
        <v>53</v>
      </c>
    </row>
    <row r="53" spans="1:7" ht="15" customHeight="1" x14ac:dyDescent="0.3">
      <c r="A53" s="9" t="s">
        <v>27</v>
      </c>
      <c r="B53" s="12">
        <v>30</v>
      </c>
      <c r="C53" s="13">
        <f t="shared" si="1"/>
        <v>0.3</v>
      </c>
      <c r="D53" s="10" t="s">
        <v>53</v>
      </c>
    </row>
    <row r="54" spans="1:7" ht="15" customHeight="1" x14ac:dyDescent="0.3">
      <c r="A54" s="9" t="s">
        <v>28</v>
      </c>
      <c r="B54" s="12">
        <v>28</v>
      </c>
      <c r="C54" s="13">
        <f t="shared" si="1"/>
        <v>0.18666666666666668</v>
      </c>
      <c r="D54" s="10" t="s">
        <v>53</v>
      </c>
    </row>
    <row r="57" spans="1:7" ht="15" customHeight="1" x14ac:dyDescent="0.3">
      <c r="A57" s="79" t="s">
        <v>54</v>
      </c>
      <c r="B57" s="79"/>
      <c r="C57" s="79"/>
      <c r="D57" s="79"/>
      <c r="E57" s="79"/>
    </row>
    <row r="58" spans="1:7" ht="15" customHeight="1" x14ac:dyDescent="0.3">
      <c r="A58" s="8" t="s">
        <v>15</v>
      </c>
      <c r="B58" s="8" t="s">
        <v>55</v>
      </c>
      <c r="C58" s="8" t="s">
        <v>56</v>
      </c>
      <c r="D58" s="8" t="s">
        <v>57</v>
      </c>
    </row>
    <row r="59" spans="1:7" ht="15" customHeight="1" x14ac:dyDescent="0.3">
      <c r="A59" s="9" t="s">
        <v>19</v>
      </c>
      <c r="B59" s="12">
        <v>2300</v>
      </c>
      <c r="C59" s="14">
        <v>0.3</v>
      </c>
      <c r="D59" s="11" t="s">
        <v>58</v>
      </c>
    </row>
    <row r="60" spans="1:7" ht="15" customHeight="1" x14ac:dyDescent="0.3">
      <c r="A60" s="9" t="s">
        <v>22</v>
      </c>
      <c r="B60" s="12">
        <v>6000</v>
      </c>
      <c r="C60" s="14">
        <v>4.5</v>
      </c>
      <c r="D60" s="11" t="s">
        <v>58</v>
      </c>
    </row>
    <row r="61" spans="1:7" ht="15" customHeight="1" x14ac:dyDescent="0.3">
      <c r="A61" s="9" t="s">
        <v>59</v>
      </c>
      <c r="B61" s="12">
        <v>0</v>
      </c>
      <c r="C61" s="14">
        <v>0</v>
      </c>
      <c r="D61" s="11" t="s">
        <v>60</v>
      </c>
    </row>
    <row r="64" spans="1:7" ht="15" customHeight="1" x14ac:dyDescent="0.3">
      <c r="A64" s="79" t="s">
        <v>61</v>
      </c>
      <c r="B64" s="79"/>
      <c r="C64" s="79"/>
      <c r="D64" s="79"/>
      <c r="E64" s="79"/>
      <c r="F64" s="79"/>
      <c r="G64" s="79"/>
    </row>
    <row r="65" spans="1:7" ht="15" customHeight="1" x14ac:dyDescent="0.3">
      <c r="A65" s="8" t="s">
        <v>62</v>
      </c>
      <c r="B65" s="8" t="s">
        <v>63</v>
      </c>
      <c r="C65" s="8" t="s">
        <v>64</v>
      </c>
      <c r="D65" s="8" t="s">
        <v>65</v>
      </c>
      <c r="E65" s="8" t="s">
        <v>331</v>
      </c>
      <c r="F65" s="8" t="s">
        <v>66</v>
      </c>
    </row>
    <row r="66" spans="1:7" ht="15" customHeight="1" x14ac:dyDescent="0.3">
      <c r="A66" s="10" t="s">
        <v>67</v>
      </c>
      <c r="B66" s="15">
        <v>125</v>
      </c>
      <c r="C66" s="16" t="s">
        <v>68</v>
      </c>
      <c r="D66" s="16" t="s">
        <v>69</v>
      </c>
      <c r="E66" s="16" t="s">
        <v>43</v>
      </c>
      <c r="F66" s="10" t="s">
        <v>70</v>
      </c>
    </row>
    <row r="67" spans="1:7" ht="15" customHeight="1" x14ac:dyDescent="0.3">
      <c r="A67" s="10" t="s">
        <v>71</v>
      </c>
      <c r="B67" s="15">
        <v>100</v>
      </c>
      <c r="C67" s="16" t="s">
        <v>72</v>
      </c>
      <c r="D67" s="16" t="s">
        <v>73</v>
      </c>
      <c r="E67" s="16">
        <v>150</v>
      </c>
      <c r="F67" s="10" t="s">
        <v>74</v>
      </c>
    </row>
    <row r="68" spans="1:7" ht="15" customHeight="1" x14ac:dyDescent="0.3">
      <c r="A68" s="10" t="s">
        <v>75</v>
      </c>
      <c r="B68" s="15">
        <v>140</v>
      </c>
      <c r="C68" s="16" t="s">
        <v>76</v>
      </c>
      <c r="D68" s="16" t="s">
        <v>69</v>
      </c>
      <c r="E68" s="16" t="s">
        <v>43</v>
      </c>
      <c r="F68" s="10" t="s">
        <v>70</v>
      </c>
    </row>
    <row r="69" spans="1:7" ht="15" customHeight="1" x14ac:dyDescent="0.3">
      <c r="A69" s="1" t="s">
        <v>77</v>
      </c>
      <c r="B69" s="17" t="s">
        <v>67</v>
      </c>
    </row>
    <row r="72" spans="1:7" ht="15" customHeight="1" x14ac:dyDescent="0.3">
      <c r="A72" s="79" t="s">
        <v>78</v>
      </c>
      <c r="B72" s="79"/>
      <c r="C72" s="79"/>
      <c r="D72" s="79"/>
      <c r="E72" s="79"/>
      <c r="F72" s="79"/>
      <c r="G72" s="79"/>
    </row>
    <row r="73" spans="1:7" ht="15" customHeight="1" x14ac:dyDescent="0.3">
      <c r="A73" s="8" t="s">
        <v>62</v>
      </c>
      <c r="B73" s="8" t="s">
        <v>63</v>
      </c>
      <c r="C73" s="8" t="s">
        <v>64</v>
      </c>
      <c r="D73" s="8" t="s">
        <v>65</v>
      </c>
      <c r="E73" s="8" t="s">
        <v>331</v>
      </c>
      <c r="F73" s="8" t="s">
        <v>66</v>
      </c>
    </row>
    <row r="74" spans="1:7" ht="15" customHeight="1" x14ac:dyDescent="0.3">
      <c r="A74" s="10" t="s">
        <v>67</v>
      </c>
      <c r="B74" s="15">
        <v>330</v>
      </c>
      <c r="C74" s="16" t="s">
        <v>68</v>
      </c>
      <c r="D74" s="16" t="s">
        <v>69</v>
      </c>
      <c r="E74" s="16" t="s">
        <v>43</v>
      </c>
      <c r="F74" s="10" t="s">
        <v>70</v>
      </c>
    </row>
    <row r="75" spans="1:7" ht="15" customHeight="1" x14ac:dyDescent="0.3">
      <c r="A75" s="10" t="s">
        <v>71</v>
      </c>
      <c r="B75" s="15">
        <v>264</v>
      </c>
      <c r="C75" s="16" t="s">
        <v>72</v>
      </c>
      <c r="D75" s="16" t="s">
        <v>79</v>
      </c>
      <c r="E75" s="16">
        <v>80</v>
      </c>
      <c r="F75" s="10" t="s">
        <v>74</v>
      </c>
    </row>
    <row r="76" spans="1:7" ht="15" customHeight="1" x14ac:dyDescent="0.3">
      <c r="A76" s="10" t="s">
        <v>75</v>
      </c>
      <c r="B76" s="15">
        <v>370</v>
      </c>
      <c r="C76" s="16" t="s">
        <v>76</v>
      </c>
      <c r="D76" s="16" t="s">
        <v>69</v>
      </c>
      <c r="E76" s="16" t="s">
        <v>43</v>
      </c>
      <c r="F76" s="10" t="s">
        <v>70</v>
      </c>
    </row>
    <row r="77" spans="1:7" ht="15" customHeight="1" x14ac:dyDescent="0.3">
      <c r="A77" s="1" t="s">
        <v>77</v>
      </c>
      <c r="B77" s="17" t="s">
        <v>67</v>
      </c>
    </row>
    <row r="80" spans="1:7" ht="15" customHeight="1" x14ac:dyDescent="0.3">
      <c r="A80" s="79" t="s">
        <v>80</v>
      </c>
      <c r="B80" s="79"/>
      <c r="C80" s="79"/>
      <c r="D80" s="79"/>
    </row>
    <row r="81" spans="1:5" ht="15" customHeight="1" x14ac:dyDescent="0.3">
      <c r="A81" s="8" t="s">
        <v>15</v>
      </c>
      <c r="B81" s="8" t="s">
        <v>81</v>
      </c>
      <c r="C81" s="8" t="s">
        <v>82</v>
      </c>
      <c r="D81" s="8" t="s">
        <v>83</v>
      </c>
    </row>
    <row r="82" spans="1:5" ht="15" customHeight="1" x14ac:dyDescent="0.3">
      <c r="A82" s="9" t="s">
        <v>19</v>
      </c>
      <c r="B82" s="6">
        <v>2000</v>
      </c>
      <c r="C82" s="18">
        <v>10</v>
      </c>
      <c r="D82" s="19">
        <v>1</v>
      </c>
    </row>
    <row r="83" spans="1:5" ht="15" customHeight="1" x14ac:dyDescent="0.3">
      <c r="A83" s="9" t="s">
        <v>22</v>
      </c>
      <c r="B83" s="6">
        <v>500</v>
      </c>
      <c r="C83" s="18">
        <v>10</v>
      </c>
      <c r="D83" s="19">
        <v>1</v>
      </c>
    </row>
    <row r="84" spans="1:5" ht="15" customHeight="1" x14ac:dyDescent="0.3">
      <c r="A84" s="9" t="s">
        <v>23</v>
      </c>
      <c r="B84" s="6">
        <v>50</v>
      </c>
      <c r="C84" s="18">
        <v>20</v>
      </c>
      <c r="D84" s="19">
        <v>2</v>
      </c>
    </row>
    <row r="85" spans="1:5" ht="15" customHeight="1" x14ac:dyDescent="0.3">
      <c r="A85" s="9" t="s">
        <v>24</v>
      </c>
      <c r="B85" s="6">
        <v>10000</v>
      </c>
      <c r="C85" s="18">
        <v>10</v>
      </c>
      <c r="D85" s="19">
        <v>1</v>
      </c>
    </row>
    <row r="86" spans="1:5" ht="15" customHeight="1" x14ac:dyDescent="0.3">
      <c r="A86" s="9" t="s">
        <v>25</v>
      </c>
      <c r="B86" s="6">
        <v>1000</v>
      </c>
      <c r="C86" s="18">
        <v>15</v>
      </c>
      <c r="D86" s="19">
        <v>1</v>
      </c>
    </row>
    <row r="87" spans="1:5" ht="15" customHeight="1" x14ac:dyDescent="0.3">
      <c r="A87" s="9" t="s">
        <v>26</v>
      </c>
      <c r="B87" s="6">
        <v>2000</v>
      </c>
      <c r="C87" s="18">
        <v>15</v>
      </c>
      <c r="D87" s="19">
        <v>1</v>
      </c>
    </row>
    <row r="88" spans="1:5" ht="15" customHeight="1" x14ac:dyDescent="0.3">
      <c r="A88" s="80" t="s">
        <v>84</v>
      </c>
      <c r="B88" s="80"/>
      <c r="C88" s="80"/>
      <c r="D88" s="80"/>
      <c r="E88" s="80"/>
    </row>
    <row r="89" spans="1:5" ht="15" customHeight="1" x14ac:dyDescent="0.3">
      <c r="A89" s="81" t="s">
        <v>85</v>
      </c>
      <c r="B89" s="81"/>
      <c r="C89" s="81"/>
      <c r="D89" s="81"/>
      <c r="E89" s="81"/>
    </row>
    <row r="90" spans="1:5" ht="15" customHeight="1" x14ac:dyDescent="0.3">
      <c r="A90" s="8" t="s">
        <v>15</v>
      </c>
      <c r="B90" s="8" t="s">
        <v>86</v>
      </c>
      <c r="C90" s="8" t="s">
        <v>87</v>
      </c>
      <c r="D90" s="8" t="s">
        <v>88</v>
      </c>
      <c r="E90" s="8" t="s">
        <v>89</v>
      </c>
    </row>
    <row r="91" spans="1:5" ht="15" customHeight="1" x14ac:dyDescent="0.3">
      <c r="A91" s="9" t="s">
        <v>19</v>
      </c>
      <c r="B91" s="20">
        <v>1</v>
      </c>
      <c r="C91" s="21">
        <f>BOM_Consumo!K6/8</f>
        <v>925</v>
      </c>
      <c r="D91" s="21">
        <f>B91*C91</f>
        <v>925</v>
      </c>
      <c r="E91" s="22" t="str">
        <f t="shared" ref="E91:E98" si="2">IF(B91&gt;=1.5,"NO","SÍ - RIESGO ALTO")</f>
        <v>SÍ - RIESGO ALTO</v>
      </c>
    </row>
    <row r="92" spans="1:5" ht="15" customHeight="1" x14ac:dyDescent="0.3">
      <c r="A92" s="9" t="s">
        <v>22</v>
      </c>
      <c r="B92" s="20">
        <v>1</v>
      </c>
      <c r="C92" s="21">
        <f>BOM_Consumo!K7/8</f>
        <v>231.25</v>
      </c>
      <c r="D92" s="21">
        <f t="shared" ref="D92:D98" si="3">B92*C92</f>
        <v>231.25</v>
      </c>
      <c r="E92" s="22" t="str">
        <f t="shared" si="2"/>
        <v>SÍ - RIESGO ALTO</v>
      </c>
    </row>
    <row r="93" spans="1:5" ht="15" customHeight="1" x14ac:dyDescent="0.3">
      <c r="A93" s="9" t="s">
        <v>23</v>
      </c>
      <c r="B93" s="20">
        <v>2</v>
      </c>
      <c r="C93" s="21">
        <f>BOM_Consumo!K8/8</f>
        <v>16.1875</v>
      </c>
      <c r="D93" s="21">
        <f t="shared" si="3"/>
        <v>32.375</v>
      </c>
      <c r="E93" s="22" t="str">
        <f t="shared" si="2"/>
        <v>NO</v>
      </c>
    </row>
    <row r="94" spans="1:5" ht="15" customHeight="1" x14ac:dyDescent="0.3">
      <c r="A94" s="9" t="s">
        <v>24</v>
      </c>
      <c r="B94" s="20">
        <v>1</v>
      </c>
      <c r="C94" s="21">
        <f>BOM_Consumo!K9/8</f>
        <v>12950</v>
      </c>
      <c r="D94" s="21">
        <f>B94*C94</f>
        <v>12950</v>
      </c>
      <c r="E94" s="22" t="str">
        <f t="shared" si="2"/>
        <v>SÍ - RIESGO ALTO</v>
      </c>
    </row>
    <row r="95" spans="1:5" ht="15" customHeight="1" x14ac:dyDescent="0.3">
      <c r="A95" s="9" t="s">
        <v>25</v>
      </c>
      <c r="B95" s="20">
        <v>1</v>
      </c>
      <c r="C95" s="21">
        <f>BOM_Consumo!K10/8</f>
        <v>485.625</v>
      </c>
      <c r="D95" s="21">
        <f t="shared" si="3"/>
        <v>485.625</v>
      </c>
      <c r="E95" s="22" t="str">
        <f t="shared" si="2"/>
        <v>SÍ - RIESGO ALTO</v>
      </c>
    </row>
    <row r="96" spans="1:5" ht="15" customHeight="1" x14ac:dyDescent="0.3">
      <c r="A96" s="9" t="s">
        <v>26</v>
      </c>
      <c r="B96" s="20">
        <v>1</v>
      </c>
      <c r="C96" s="21">
        <f>BOM_Consumo!K11/8</f>
        <v>971.25</v>
      </c>
      <c r="D96" s="21">
        <f t="shared" si="3"/>
        <v>971.25</v>
      </c>
      <c r="E96" s="22" t="str">
        <f t="shared" si="2"/>
        <v>SÍ - RIESGO ALTO</v>
      </c>
    </row>
    <row r="97" spans="1:5" ht="15" customHeight="1" x14ac:dyDescent="0.3">
      <c r="A97" s="9" t="s">
        <v>27</v>
      </c>
      <c r="B97" s="20">
        <v>1</v>
      </c>
      <c r="C97" s="21">
        <f>BOM_Consumo!K12/8</f>
        <v>3237.5</v>
      </c>
      <c r="D97" s="21">
        <f t="shared" si="3"/>
        <v>3237.5</v>
      </c>
      <c r="E97" s="22" t="str">
        <f t="shared" si="2"/>
        <v>SÍ - RIESGO ALTO</v>
      </c>
    </row>
    <row r="98" spans="1:5" ht="15" customHeight="1" x14ac:dyDescent="0.3">
      <c r="A98" s="9" t="s">
        <v>28</v>
      </c>
      <c r="B98" s="20">
        <v>1</v>
      </c>
      <c r="C98" s="21">
        <f>BOM_Consumo!K13/8</f>
        <v>1214.0625</v>
      </c>
      <c r="D98" s="21">
        <f t="shared" si="3"/>
        <v>1214.0625</v>
      </c>
      <c r="E98" s="22" t="str">
        <f t="shared" si="2"/>
        <v>SÍ - RIESGO ALTO</v>
      </c>
    </row>
    <row r="100" spans="1:5" x14ac:dyDescent="0.3">
      <c r="A100" t="s">
        <v>299</v>
      </c>
    </row>
    <row r="101" spans="1:5" x14ac:dyDescent="0.3">
      <c r="A101" t="s">
        <v>300</v>
      </c>
      <c r="B101">
        <f>Escenarios!$E$29</f>
        <v>1</v>
      </c>
      <c r="C101" t="s">
        <v>301</v>
      </c>
    </row>
    <row r="104" spans="1:5" x14ac:dyDescent="0.3">
      <c r="A104" t="s">
        <v>333</v>
      </c>
    </row>
    <row r="105" spans="1:5" x14ac:dyDescent="0.3">
      <c r="A105" t="s">
        <v>334</v>
      </c>
      <c r="B105" t="s">
        <v>335</v>
      </c>
      <c r="C105" t="s">
        <v>258</v>
      </c>
    </row>
    <row r="106" spans="1:5" x14ac:dyDescent="0.3">
      <c r="A106" t="s">
        <v>336</v>
      </c>
      <c r="B106" s="74">
        <f>Riesgo_Proveedor_B!B8</f>
        <v>150</v>
      </c>
    </row>
    <row r="107" spans="1:5" x14ac:dyDescent="0.3">
      <c r="A107" t="s">
        <v>337</v>
      </c>
      <c r="B107">
        <v>0</v>
      </c>
      <c r="C107" t="s">
        <v>338</v>
      </c>
    </row>
    <row r="108" spans="1:5" x14ac:dyDescent="0.3">
      <c r="A108" t="s">
        <v>339</v>
      </c>
      <c r="B108">
        <v>1</v>
      </c>
    </row>
    <row r="109" spans="1:5" x14ac:dyDescent="0.3">
      <c r="A109" t="s">
        <v>340</v>
      </c>
      <c r="B109">
        <v>1</v>
      </c>
    </row>
    <row r="110" spans="1:5" x14ac:dyDescent="0.3">
      <c r="A110" t="s">
        <v>341</v>
      </c>
      <c r="B110">
        <v>1</v>
      </c>
    </row>
    <row r="111" spans="1:5" x14ac:dyDescent="0.3">
      <c r="A111" t="s">
        <v>342</v>
      </c>
      <c r="B111">
        <f>IFERROR(VALUE(SUBSTITUTE(LEFT(D67,FIND("%",D67)-1),"%",""))/100,0)</f>
        <v>0.16</v>
      </c>
    </row>
    <row r="112" spans="1:5" x14ac:dyDescent="0.3">
      <c r="A112" t="s">
        <v>343</v>
      </c>
      <c r="B112">
        <f>IFERROR(VALUE(SUBSTITUTE(LEFT(D75,FIND("%",D75)-1),"%",""))/100,0)</f>
        <v>0.16</v>
      </c>
    </row>
    <row r="113" spans="1:2" x14ac:dyDescent="0.3">
      <c r="A113" t="s">
        <v>344</v>
      </c>
      <c r="B113" s="76">
        <f>Riesgo_Proveedor_B!B7</f>
        <v>0.2</v>
      </c>
    </row>
  </sheetData>
  <mergeCells count="13">
    <mergeCell ref="A80:D80"/>
    <mergeCell ref="A88:E88"/>
    <mergeCell ref="A89:E89"/>
    <mergeCell ref="A33:D33"/>
    <mergeCell ref="A45:D45"/>
    <mergeCell ref="A57:E57"/>
    <mergeCell ref="A64:G64"/>
    <mergeCell ref="A72:G72"/>
    <mergeCell ref="A1:K1"/>
    <mergeCell ref="A2:K2"/>
    <mergeCell ref="A4:K4"/>
    <mergeCell ref="A9:D9"/>
    <mergeCell ref="A21:D2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5"/>
  <sheetViews>
    <sheetView topLeftCell="E1" zoomScaleNormal="100" workbookViewId="0">
      <selection activeCell="C6" sqref="C6"/>
    </sheetView>
  </sheetViews>
  <sheetFormatPr baseColWidth="10" defaultColWidth="8.6640625" defaultRowHeight="14.4" x14ac:dyDescent="0.3"/>
  <cols>
    <col min="1" max="1" width="9" bestFit="1" customWidth="1"/>
    <col min="2" max="2" width="12.6640625" bestFit="1" customWidth="1"/>
    <col min="3" max="3" width="8.6640625" bestFit="1" customWidth="1"/>
    <col min="4" max="4" width="12" customWidth="1"/>
    <col min="5" max="5" width="15.33203125" bestFit="1" customWidth="1"/>
    <col min="6" max="6" width="18.77734375" bestFit="1" customWidth="1"/>
    <col min="7" max="7" width="23.21875" bestFit="1" customWidth="1"/>
    <col min="8" max="8" width="26.6640625" bestFit="1" customWidth="1"/>
    <col min="9" max="9" width="30" bestFit="1" customWidth="1"/>
    <col min="10" max="10" width="8.6640625" bestFit="1" customWidth="1"/>
    <col min="11" max="11" width="27.6640625" bestFit="1" customWidth="1"/>
  </cols>
  <sheetData>
    <row r="1" spans="1:12" ht="17.25" customHeight="1" x14ac:dyDescent="0.3">
      <c r="A1" s="77" t="s">
        <v>90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</row>
    <row r="2" spans="1:12" ht="15" customHeight="1" x14ac:dyDescent="0.3">
      <c r="A2" s="82" t="s">
        <v>91</v>
      </c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</row>
    <row r="3" spans="1:12" ht="15" customHeight="1" x14ac:dyDescent="0.3">
      <c r="A3" s="83" t="s">
        <v>92</v>
      </c>
      <c r="B3" s="83"/>
      <c r="C3" s="83"/>
      <c r="D3" s="83"/>
      <c r="E3" s="83"/>
      <c r="F3" s="83"/>
      <c r="G3" s="83"/>
      <c r="H3" s="83"/>
      <c r="I3" s="83"/>
      <c r="J3" s="83"/>
      <c r="K3" s="83"/>
      <c r="L3" s="83"/>
    </row>
    <row r="5" spans="1:12" ht="15" customHeight="1" x14ac:dyDescent="0.3">
      <c r="A5" s="23" t="s">
        <v>15</v>
      </c>
      <c r="B5" s="23" t="s">
        <v>93</v>
      </c>
      <c r="C5" s="23" t="s">
        <v>4</v>
      </c>
      <c r="D5" s="23" t="s">
        <v>5</v>
      </c>
      <c r="E5" s="23" t="s">
        <v>6</v>
      </c>
      <c r="F5" s="23" t="s">
        <v>7</v>
      </c>
      <c r="G5" s="23" t="s">
        <v>8</v>
      </c>
      <c r="H5" s="23" t="s">
        <v>9</v>
      </c>
      <c r="I5" s="23" t="s">
        <v>10</v>
      </c>
      <c r="J5" s="23" t="s">
        <v>11</v>
      </c>
      <c r="K5" s="23" t="s">
        <v>12</v>
      </c>
    </row>
    <row r="6" spans="1:12" ht="15" customHeight="1" x14ac:dyDescent="0.3">
      <c r="A6" s="9" t="s">
        <v>19</v>
      </c>
      <c r="B6" s="24">
        <f>_xlfn.XLOOKUP(A6,Inputs!$A$22:$A$30,Inputs!$B$22:$B$30)</f>
        <v>1</v>
      </c>
      <c r="C6" s="25">
        <f>MRP_LeadTimes!B$18*$B6</f>
        <v>1850</v>
      </c>
      <c r="D6" s="25">
        <f>MRP_LeadTimes!C$18*$B6</f>
        <v>1850</v>
      </c>
      <c r="E6" s="25">
        <f>MRP_LeadTimes!D$18*$B6</f>
        <v>1850</v>
      </c>
      <c r="F6" s="25">
        <f>MRP_LeadTimes!E$18*$B6</f>
        <v>1850</v>
      </c>
      <c r="G6" s="25">
        <f>MRP_LeadTimes!F$18*$B6</f>
        <v>0</v>
      </c>
      <c r="H6" s="25">
        <f>MRP_LeadTimes!G$18*$B6</f>
        <v>0</v>
      </c>
      <c r="I6" s="25">
        <f>MRP_LeadTimes!H$18*$B6</f>
        <v>0</v>
      </c>
      <c r="J6" s="25">
        <f>MRP_LeadTimes!I$18*$B6</f>
        <v>0</v>
      </c>
      <c r="K6" s="26">
        <f t="shared" ref="K6:K13" si="0">SUM(C6:J6)</f>
        <v>7400</v>
      </c>
    </row>
    <row r="7" spans="1:12" ht="15" customHeight="1" x14ac:dyDescent="0.3">
      <c r="A7" s="9" t="s">
        <v>22</v>
      </c>
      <c r="B7" s="24">
        <f>_xlfn.XLOOKUP(A7,Inputs!$A$22:$A$30,Inputs!$B$22:$B$30)</f>
        <v>0.2</v>
      </c>
      <c r="C7" s="25">
        <f>MRP_LeadTimes!B$17*$B7</f>
        <v>370</v>
      </c>
      <c r="D7" s="25">
        <f>MRP_LeadTimes!C$17*$B7</f>
        <v>370</v>
      </c>
      <c r="E7" s="25">
        <f>MRP_LeadTimes!D$17*$B7</f>
        <v>370</v>
      </c>
      <c r="F7" s="25">
        <f>MRP_LeadTimes!E$17*$B7</f>
        <v>370</v>
      </c>
      <c r="G7" s="25">
        <f>MRP_LeadTimes!F$17*$B7</f>
        <v>370</v>
      </c>
      <c r="H7" s="25">
        <f>MRP_LeadTimes!G$17*$B7</f>
        <v>0</v>
      </c>
      <c r="I7" s="25">
        <f>MRP_LeadTimes!H$17*$B7</f>
        <v>0</v>
      </c>
      <c r="J7" s="25">
        <f>MRP_LeadTimes!I$17*$B7</f>
        <v>0</v>
      </c>
      <c r="K7" s="26">
        <f t="shared" si="0"/>
        <v>1850</v>
      </c>
    </row>
    <row r="8" spans="1:12" ht="15" customHeight="1" x14ac:dyDescent="0.3">
      <c r="A8" s="9" t="s">
        <v>23</v>
      </c>
      <c r="B8" s="24">
        <f>_xlfn.XLOOKUP(A8,Inputs!$A$22:$A$30,Inputs!$B$22:$B$30)</f>
        <v>0.01</v>
      </c>
      <c r="C8" s="25">
        <f>MRP_LeadTimes!B$15*$B8</f>
        <v>18.5</v>
      </c>
      <c r="D8" s="25">
        <f>MRP_LeadTimes!C$15*$B8</f>
        <v>18.5</v>
      </c>
      <c r="E8" s="25">
        <f>MRP_LeadTimes!D$15*$B8</f>
        <v>18.5</v>
      </c>
      <c r="F8" s="25">
        <f>MRP_LeadTimes!E$15*$B8</f>
        <v>18.5</v>
      </c>
      <c r="G8" s="25">
        <f>MRP_LeadTimes!F$15*$B8</f>
        <v>18.5</v>
      </c>
      <c r="H8" s="25">
        <f>MRP_LeadTimes!G$15*$B8</f>
        <v>18.5</v>
      </c>
      <c r="I8" s="25">
        <f>MRP_LeadTimes!H$15*$B8</f>
        <v>18.5</v>
      </c>
      <c r="J8" s="25">
        <f>MRP_LeadTimes!I$15*$B8</f>
        <v>0</v>
      </c>
      <c r="K8" s="26">
        <f t="shared" si="0"/>
        <v>129.5</v>
      </c>
    </row>
    <row r="9" spans="1:12" ht="15" customHeight="1" x14ac:dyDescent="0.3">
      <c r="A9" s="9" t="s">
        <v>24</v>
      </c>
      <c r="B9" s="24">
        <f>_xlfn.XLOOKUP(A9,Inputs!$A$22:$A$30,Inputs!$B$22:$B$30)</f>
        <v>8</v>
      </c>
      <c r="C9" s="25">
        <f>MRP_LeadTimes!B$15*$B9</f>
        <v>14800</v>
      </c>
      <c r="D9" s="25">
        <f>MRP_LeadTimes!C$15*$B9</f>
        <v>14800</v>
      </c>
      <c r="E9" s="25">
        <f>MRP_LeadTimes!D$15*$B9</f>
        <v>14800</v>
      </c>
      <c r="F9" s="25">
        <f>MRP_LeadTimes!E$15*$B9</f>
        <v>14800</v>
      </c>
      <c r="G9" s="25">
        <f>MRP_LeadTimes!F$15*$B9</f>
        <v>14800</v>
      </c>
      <c r="H9" s="25">
        <f>MRP_LeadTimes!G$15*$B9</f>
        <v>14800</v>
      </c>
      <c r="I9" s="25">
        <f>MRP_LeadTimes!H$15*$B9</f>
        <v>14800</v>
      </c>
      <c r="J9" s="25">
        <f>MRP_LeadTimes!I$15*$B9</f>
        <v>0</v>
      </c>
      <c r="K9" s="26">
        <f t="shared" si="0"/>
        <v>103600</v>
      </c>
    </row>
    <row r="10" spans="1:12" ht="15" customHeight="1" x14ac:dyDescent="0.3">
      <c r="A10" s="9" t="s">
        <v>25</v>
      </c>
      <c r="B10" s="24">
        <f>_xlfn.XLOOKUP(A10,Inputs!$A$22:$A$30,Inputs!$B$22:$B$30)</f>
        <v>0.3</v>
      </c>
      <c r="C10" s="25">
        <f>MRP_LeadTimes!B$15*$B10</f>
        <v>555</v>
      </c>
      <c r="D10" s="25">
        <f>MRP_LeadTimes!C$15*$B10</f>
        <v>555</v>
      </c>
      <c r="E10" s="25">
        <f>MRP_LeadTimes!D$15*$B10</f>
        <v>555</v>
      </c>
      <c r="F10" s="25">
        <f>MRP_LeadTimes!E$15*$B10</f>
        <v>555</v>
      </c>
      <c r="G10" s="25">
        <f>MRP_LeadTimes!F$15*$B10</f>
        <v>555</v>
      </c>
      <c r="H10" s="25">
        <f>MRP_LeadTimes!G$15*$B10</f>
        <v>555</v>
      </c>
      <c r="I10" s="25">
        <f>MRP_LeadTimes!H$15*$B10</f>
        <v>555</v>
      </c>
      <c r="J10" s="25">
        <f>MRP_LeadTimes!I$15*$B10</f>
        <v>0</v>
      </c>
      <c r="K10" s="26">
        <f t="shared" si="0"/>
        <v>3885</v>
      </c>
    </row>
    <row r="11" spans="1:12" ht="15" customHeight="1" x14ac:dyDescent="0.3">
      <c r="A11" s="9" t="s">
        <v>26</v>
      </c>
      <c r="B11" s="24">
        <f>_xlfn.XLOOKUP(A11,Inputs!$A$22:$A$30,Inputs!$B$22:$B$30)</f>
        <v>0.6</v>
      </c>
      <c r="C11" s="25">
        <f>MRP_LeadTimes!B$15*$B11</f>
        <v>1110</v>
      </c>
      <c r="D11" s="25">
        <f>MRP_LeadTimes!C$15*$B11</f>
        <v>1110</v>
      </c>
      <c r="E11" s="25">
        <f>MRP_LeadTimes!D$15*$B11</f>
        <v>1110</v>
      </c>
      <c r="F11" s="25">
        <f>MRP_LeadTimes!E$15*$B11</f>
        <v>1110</v>
      </c>
      <c r="G11" s="25">
        <f>MRP_LeadTimes!F$15*$B11</f>
        <v>1110</v>
      </c>
      <c r="H11" s="25">
        <f>MRP_LeadTimes!G$15*$B11</f>
        <v>1110</v>
      </c>
      <c r="I11" s="25">
        <f>MRP_LeadTimes!H$15*$B11</f>
        <v>1110</v>
      </c>
      <c r="J11" s="25">
        <f>MRP_LeadTimes!I$15*$B11</f>
        <v>0</v>
      </c>
      <c r="K11" s="26">
        <f t="shared" si="0"/>
        <v>7770</v>
      </c>
    </row>
    <row r="12" spans="1:12" ht="15" customHeight="1" x14ac:dyDescent="0.3">
      <c r="A12" s="9" t="s">
        <v>27</v>
      </c>
      <c r="B12" s="24">
        <f>_xlfn.XLOOKUP(A12,Inputs!$A$22:$A$30,Inputs!$B$22:$B$30)</f>
        <v>2</v>
      </c>
      <c r="C12" s="25">
        <f>MRP_LeadTimes!B$15*$B12</f>
        <v>3700</v>
      </c>
      <c r="D12" s="25">
        <f>MRP_LeadTimes!C$15*$B12</f>
        <v>3700</v>
      </c>
      <c r="E12" s="25">
        <f>MRP_LeadTimes!D$15*$B12</f>
        <v>3700</v>
      </c>
      <c r="F12" s="25">
        <f>MRP_LeadTimes!E$15*$B12</f>
        <v>3700</v>
      </c>
      <c r="G12" s="25">
        <f>MRP_LeadTimes!F$15*$B12</f>
        <v>3700</v>
      </c>
      <c r="H12" s="25">
        <f>MRP_LeadTimes!G$15*$B12</f>
        <v>3700</v>
      </c>
      <c r="I12" s="25">
        <f>MRP_LeadTimes!H$15*$B12</f>
        <v>3700</v>
      </c>
      <c r="J12" s="25">
        <f>MRP_LeadTimes!I$15*$B12</f>
        <v>0</v>
      </c>
      <c r="K12" s="26">
        <f t="shared" si="0"/>
        <v>25900</v>
      </c>
    </row>
    <row r="13" spans="1:12" ht="15" customHeight="1" x14ac:dyDescent="0.3">
      <c r="A13" s="9" t="s">
        <v>28</v>
      </c>
      <c r="B13" s="24">
        <f>_xlfn.XLOOKUP(A13,Inputs!$A$22:$A$30,Inputs!$B$22:$B$30)</f>
        <v>0.75</v>
      </c>
      <c r="C13" s="25">
        <f>MRP_LeadTimes!B$15*$B13</f>
        <v>1387.5</v>
      </c>
      <c r="D13" s="25">
        <f>MRP_LeadTimes!C$15*$B13</f>
        <v>1387.5</v>
      </c>
      <c r="E13" s="25">
        <f>MRP_LeadTimes!D$15*$B13</f>
        <v>1387.5</v>
      </c>
      <c r="F13" s="25">
        <f>MRP_LeadTimes!E$15*$B13</f>
        <v>1387.5</v>
      </c>
      <c r="G13" s="25">
        <f>MRP_LeadTimes!F$15*$B13</f>
        <v>1387.5</v>
      </c>
      <c r="H13" s="25">
        <f>MRP_LeadTimes!G$15*$B13</f>
        <v>1387.5</v>
      </c>
      <c r="I13" s="25">
        <f>MRP_LeadTimes!H$15*$B13</f>
        <v>1387.5</v>
      </c>
      <c r="J13" s="25">
        <f>MRP_LeadTimes!I$15*$B13</f>
        <v>0</v>
      </c>
      <c r="K13" s="26">
        <f t="shared" si="0"/>
        <v>9712.5</v>
      </c>
    </row>
    <row r="15" spans="1:12" ht="15" customHeight="1" x14ac:dyDescent="0.3">
      <c r="A15" s="84" t="s">
        <v>94</v>
      </c>
      <c r="B15" s="84"/>
      <c r="C15" s="27">
        <f>MRP_LeadTimes!B$14</f>
        <v>1850</v>
      </c>
      <c r="D15" s="27">
        <f>MRP_LeadTimes!C$14</f>
        <v>1850</v>
      </c>
      <c r="E15" s="27">
        <f>MRP_LeadTimes!D$14</f>
        <v>1850</v>
      </c>
      <c r="F15" s="27">
        <f>MRP_LeadTimes!E$14</f>
        <v>1850</v>
      </c>
      <c r="G15" s="27">
        <f>MRP_LeadTimes!F$14</f>
        <v>1850</v>
      </c>
      <c r="H15" s="27">
        <f>MRP_LeadTimes!G$14</f>
        <v>1850</v>
      </c>
      <c r="I15" s="27">
        <f>MRP_LeadTimes!H$14</f>
        <v>1850</v>
      </c>
      <c r="J15" s="27">
        <f>Inputs!I6</f>
        <v>1850</v>
      </c>
      <c r="K15" s="26">
        <f>SUM(C15:J15)</f>
        <v>14800</v>
      </c>
    </row>
  </sheetData>
  <mergeCells count="4">
    <mergeCell ref="A1:L1"/>
    <mergeCell ref="A2:L2"/>
    <mergeCell ref="A3:L3"/>
    <mergeCell ref="A15:B1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62"/>
  <sheetViews>
    <sheetView zoomScaleNormal="100" workbookViewId="0">
      <selection activeCell="I12" sqref="I12"/>
    </sheetView>
  </sheetViews>
  <sheetFormatPr baseColWidth="10" defaultColWidth="8.6640625" defaultRowHeight="14.4" x14ac:dyDescent="0.3"/>
  <cols>
    <col min="1" max="1" width="15" customWidth="1"/>
    <col min="2" max="2" width="9.33203125" bestFit="1" customWidth="1"/>
    <col min="3" max="3" width="10.33203125" bestFit="1" customWidth="1"/>
    <col min="4" max="4" width="13.6640625" bestFit="1" customWidth="1"/>
    <col min="5" max="5" width="17.109375" bestFit="1" customWidth="1"/>
    <col min="6" max="6" width="21.5546875" bestFit="1" customWidth="1"/>
    <col min="7" max="7" width="24.88671875" bestFit="1" customWidth="1"/>
    <col min="8" max="9" width="28.33203125" bestFit="1" customWidth="1"/>
    <col min="10" max="10" width="27.33203125" bestFit="1" customWidth="1"/>
  </cols>
  <sheetData>
    <row r="1" spans="1:11" ht="17.25" customHeight="1" x14ac:dyDescent="0.3">
      <c r="A1" s="77" t="s">
        <v>95</v>
      </c>
      <c r="B1" s="77"/>
      <c r="C1" s="77"/>
      <c r="D1" s="77"/>
      <c r="E1" s="77"/>
      <c r="F1" s="77"/>
      <c r="G1" s="77"/>
      <c r="H1" s="77"/>
      <c r="I1" s="77"/>
      <c r="J1" s="77"/>
      <c r="K1" s="77"/>
    </row>
    <row r="2" spans="1:11" ht="15" customHeight="1" x14ac:dyDescent="0.3">
      <c r="A2" s="82" t="s">
        <v>96</v>
      </c>
      <c r="B2" s="82"/>
      <c r="C2" s="82"/>
      <c r="D2" s="82"/>
      <c r="E2" s="82"/>
      <c r="F2" s="82"/>
      <c r="G2" s="82"/>
      <c r="H2" s="82"/>
      <c r="I2" s="82"/>
      <c r="J2" s="82"/>
      <c r="K2" s="82"/>
    </row>
    <row r="3" spans="1:11" ht="15" customHeight="1" x14ac:dyDescent="0.3">
      <c r="A3" s="85" t="s">
        <v>97</v>
      </c>
      <c r="B3" s="85"/>
      <c r="C3" s="85"/>
      <c r="D3" s="85"/>
      <c r="E3" s="85"/>
      <c r="F3" s="85"/>
      <c r="G3" s="85"/>
      <c r="H3" s="85"/>
      <c r="I3" s="85"/>
      <c r="J3" s="85"/>
      <c r="K3" s="85"/>
    </row>
    <row r="5" spans="1:11" ht="15" customHeight="1" x14ac:dyDescent="0.3">
      <c r="A5" s="79" t="s">
        <v>19</v>
      </c>
      <c r="B5" s="79"/>
      <c r="C5" s="79"/>
      <c r="D5" s="79"/>
      <c r="E5" s="79"/>
      <c r="F5" s="79"/>
      <c r="G5" s="79"/>
      <c r="H5" s="79"/>
      <c r="I5" s="79"/>
      <c r="J5" s="79"/>
      <c r="K5" s="79"/>
    </row>
    <row r="6" spans="1:11" ht="15" customHeight="1" x14ac:dyDescent="0.3">
      <c r="A6" s="4" t="s">
        <v>98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</row>
    <row r="7" spans="1:11" ht="15" customHeight="1" x14ac:dyDescent="0.3">
      <c r="A7" s="9" t="s">
        <v>99</v>
      </c>
      <c r="B7" s="28">
        <f>Multi_Planta!D6</f>
        <v>4512</v>
      </c>
      <c r="C7" s="21">
        <f t="shared" ref="C7:I7" si="0">B10</f>
        <v>2662</v>
      </c>
      <c r="D7" s="21">
        <f t="shared" si="0"/>
        <v>812</v>
      </c>
      <c r="E7" s="21">
        <f t="shared" si="0"/>
        <v>-1038</v>
      </c>
      <c r="F7" s="21">
        <f t="shared" si="0"/>
        <v>-2888</v>
      </c>
      <c r="G7" s="21">
        <f t="shared" si="0"/>
        <v>-2888</v>
      </c>
      <c r="H7" s="21">
        <f t="shared" si="0"/>
        <v>-2888</v>
      </c>
      <c r="I7" s="21">
        <f t="shared" si="0"/>
        <v>-2888</v>
      </c>
    </row>
    <row r="8" spans="1:11" ht="15" customHeight="1" x14ac:dyDescent="0.3">
      <c r="A8" s="9" t="s">
        <v>100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</row>
    <row r="9" spans="1:11" ht="15" customHeight="1" x14ac:dyDescent="0.3">
      <c r="A9" s="9" t="s">
        <v>101</v>
      </c>
      <c r="B9" s="28">
        <f>BOM_Consumo!C6</f>
        <v>1850</v>
      </c>
      <c r="C9" s="28">
        <f>BOM_Consumo!D6</f>
        <v>1850</v>
      </c>
      <c r="D9" s="28">
        <f>BOM_Consumo!E6</f>
        <v>1850</v>
      </c>
      <c r="E9" s="28">
        <f>BOM_Consumo!F6</f>
        <v>1850</v>
      </c>
      <c r="F9" s="28">
        <f>BOM_Consumo!G6</f>
        <v>0</v>
      </c>
      <c r="G9" s="28">
        <f>BOM_Consumo!H6</f>
        <v>0</v>
      </c>
      <c r="H9" s="28">
        <f>BOM_Consumo!I6</f>
        <v>0</v>
      </c>
      <c r="I9" s="28">
        <f>BOM_Consumo!J6</f>
        <v>0</v>
      </c>
    </row>
    <row r="10" spans="1:11" ht="15" customHeight="1" x14ac:dyDescent="0.3">
      <c r="A10" s="5" t="s">
        <v>102</v>
      </c>
      <c r="B10" s="26">
        <f t="shared" ref="B10:I10" si="1">B7+B8-B9</f>
        <v>2662</v>
      </c>
      <c r="C10" s="26">
        <f t="shared" si="1"/>
        <v>812</v>
      </c>
      <c r="D10" s="26">
        <f t="shared" si="1"/>
        <v>-1038</v>
      </c>
      <c r="E10" s="26">
        <f t="shared" si="1"/>
        <v>-2888</v>
      </c>
      <c r="F10" s="26">
        <f t="shared" si="1"/>
        <v>-2888</v>
      </c>
      <c r="G10" s="26">
        <f t="shared" si="1"/>
        <v>-2888</v>
      </c>
      <c r="H10" s="26">
        <f t="shared" si="1"/>
        <v>-2888</v>
      </c>
      <c r="I10" s="26">
        <f t="shared" si="1"/>
        <v>-2888</v>
      </c>
    </row>
    <row r="11" spans="1:11" ht="15" customHeight="1" x14ac:dyDescent="0.3">
      <c r="A11" s="79" t="s">
        <v>22</v>
      </c>
      <c r="B11" s="79"/>
      <c r="C11" s="79"/>
      <c r="D11" s="79"/>
      <c r="E11" s="79"/>
      <c r="F11" s="79"/>
      <c r="G11" s="79"/>
      <c r="H11" s="79"/>
      <c r="I11" s="79"/>
      <c r="J11" s="79"/>
      <c r="K11" s="79"/>
    </row>
    <row r="12" spans="1:11" ht="15" customHeight="1" x14ac:dyDescent="0.3">
      <c r="A12" s="4" t="s">
        <v>98</v>
      </c>
      <c r="B12" s="4" t="s">
        <v>4</v>
      </c>
      <c r="C12" s="4" t="s">
        <v>5</v>
      </c>
      <c r="D12" s="4" t="s">
        <v>6</v>
      </c>
      <c r="E12" s="4" t="s">
        <v>7</v>
      </c>
      <c r="F12" s="4" t="s">
        <v>8</v>
      </c>
      <c r="G12" s="4" t="s">
        <v>9</v>
      </c>
      <c r="H12" s="4" t="s">
        <v>10</v>
      </c>
      <c r="I12" s="4" t="s">
        <v>11</v>
      </c>
    </row>
    <row r="13" spans="1:11" ht="15" customHeight="1" x14ac:dyDescent="0.3">
      <c r="A13" s="9" t="s">
        <v>99</v>
      </c>
      <c r="B13" s="28">
        <f>Multi_Planta!D7</f>
        <v>1058</v>
      </c>
      <c r="C13" s="21">
        <f t="shared" ref="C13:I13" si="2">B16</f>
        <v>688</v>
      </c>
      <c r="D13" s="21">
        <f t="shared" si="2"/>
        <v>318</v>
      </c>
      <c r="E13" s="21">
        <f t="shared" si="2"/>
        <v>-52</v>
      </c>
      <c r="F13" s="21">
        <f t="shared" si="2"/>
        <v>-422</v>
      </c>
      <c r="G13" s="21">
        <f t="shared" si="2"/>
        <v>-792</v>
      </c>
      <c r="H13" s="21">
        <f t="shared" si="2"/>
        <v>-792</v>
      </c>
      <c r="I13" s="21">
        <f t="shared" si="2"/>
        <v>-792</v>
      </c>
    </row>
    <row r="14" spans="1:11" ht="15" customHeight="1" x14ac:dyDescent="0.3">
      <c r="A14" s="9" t="s">
        <v>100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</row>
    <row r="15" spans="1:11" ht="15" customHeight="1" x14ac:dyDescent="0.3">
      <c r="A15" s="9" t="s">
        <v>101</v>
      </c>
      <c r="B15" s="28">
        <f>BOM_Consumo!C7</f>
        <v>370</v>
      </c>
      <c r="C15" s="28">
        <f>BOM_Consumo!D7</f>
        <v>370</v>
      </c>
      <c r="D15" s="28">
        <f>BOM_Consumo!E7</f>
        <v>370</v>
      </c>
      <c r="E15" s="28">
        <f>BOM_Consumo!F7</f>
        <v>370</v>
      </c>
      <c r="F15" s="28">
        <f>BOM_Consumo!G7</f>
        <v>370</v>
      </c>
      <c r="G15" s="28">
        <f>BOM_Consumo!H7</f>
        <v>0</v>
      </c>
      <c r="H15" s="28">
        <f>BOM_Consumo!I7</f>
        <v>0</v>
      </c>
      <c r="I15" s="28">
        <f>BOM_Consumo!J7</f>
        <v>0</v>
      </c>
    </row>
    <row r="16" spans="1:11" ht="15" customHeight="1" x14ac:dyDescent="0.3">
      <c r="A16" s="5" t="s">
        <v>102</v>
      </c>
      <c r="B16" s="26">
        <f t="shared" ref="B16:I16" si="3">B13+B14-B15</f>
        <v>688</v>
      </c>
      <c r="C16" s="26">
        <f t="shared" si="3"/>
        <v>318</v>
      </c>
      <c r="D16" s="26">
        <f t="shared" si="3"/>
        <v>-52</v>
      </c>
      <c r="E16" s="26">
        <f t="shared" si="3"/>
        <v>-422</v>
      </c>
      <c r="F16" s="26">
        <f t="shared" si="3"/>
        <v>-792</v>
      </c>
      <c r="G16" s="26">
        <f t="shared" si="3"/>
        <v>-792</v>
      </c>
      <c r="H16" s="26">
        <f t="shared" si="3"/>
        <v>-792</v>
      </c>
      <c r="I16" s="26">
        <f t="shared" si="3"/>
        <v>-792</v>
      </c>
    </row>
    <row r="17" spans="1:11" ht="15" customHeight="1" x14ac:dyDescent="0.3">
      <c r="A17" s="79" t="s">
        <v>23</v>
      </c>
      <c r="B17" s="79"/>
      <c r="C17" s="79"/>
      <c r="D17" s="79"/>
      <c r="E17" s="79"/>
      <c r="F17" s="79"/>
      <c r="G17" s="79"/>
      <c r="H17" s="79"/>
      <c r="I17" s="79"/>
      <c r="J17" s="79"/>
      <c r="K17" s="79"/>
    </row>
    <row r="18" spans="1:11" ht="15" customHeight="1" x14ac:dyDescent="0.3">
      <c r="A18" s="4" t="s">
        <v>98</v>
      </c>
      <c r="B18" s="4" t="s">
        <v>4</v>
      </c>
      <c r="C18" s="4" t="s">
        <v>5</v>
      </c>
      <c r="D18" s="4" t="s">
        <v>6</v>
      </c>
      <c r="E18" s="4" t="s">
        <v>7</v>
      </c>
      <c r="F18" s="4" t="s">
        <v>8</v>
      </c>
      <c r="G18" s="4" t="s">
        <v>9</v>
      </c>
      <c r="H18" s="4" t="s">
        <v>10</v>
      </c>
      <c r="I18" s="4" t="s">
        <v>11</v>
      </c>
    </row>
    <row r="19" spans="1:11" ht="15" customHeight="1" x14ac:dyDescent="0.3">
      <c r="A19" s="9" t="s">
        <v>99</v>
      </c>
      <c r="B19" s="28">
        <f>Multi_Planta!D8</f>
        <v>130</v>
      </c>
      <c r="C19" s="21">
        <f t="shared" ref="C19:I19" si="4">B22</f>
        <v>111.5</v>
      </c>
      <c r="D19" s="21">
        <f t="shared" si="4"/>
        <v>93</v>
      </c>
      <c r="E19" s="21">
        <f t="shared" si="4"/>
        <v>74.5</v>
      </c>
      <c r="F19" s="21">
        <f t="shared" si="4"/>
        <v>56</v>
      </c>
      <c r="G19" s="21">
        <f t="shared" si="4"/>
        <v>37.5</v>
      </c>
      <c r="H19" s="21">
        <f t="shared" si="4"/>
        <v>19</v>
      </c>
      <c r="I19" s="21">
        <f t="shared" si="4"/>
        <v>0.5</v>
      </c>
    </row>
    <row r="20" spans="1:11" ht="15" customHeight="1" x14ac:dyDescent="0.3">
      <c r="A20" s="9" t="s">
        <v>100</v>
      </c>
      <c r="B20" s="6">
        <v>0</v>
      </c>
      <c r="C20" s="6">
        <v>0</v>
      </c>
      <c r="D20" s="6">
        <v>0</v>
      </c>
      <c r="E20" s="6">
        <v>0</v>
      </c>
      <c r="F20" s="6">
        <v>0</v>
      </c>
      <c r="G20" s="6">
        <v>0</v>
      </c>
      <c r="H20" s="6">
        <v>0</v>
      </c>
      <c r="I20" s="6">
        <v>0</v>
      </c>
    </row>
    <row r="21" spans="1:11" ht="15" customHeight="1" x14ac:dyDescent="0.3">
      <c r="A21" s="9" t="s">
        <v>101</v>
      </c>
      <c r="B21" s="28">
        <f>BOM_Consumo!C8</f>
        <v>18.5</v>
      </c>
      <c r="C21" s="28">
        <f>BOM_Consumo!D8</f>
        <v>18.5</v>
      </c>
      <c r="D21" s="28">
        <f>BOM_Consumo!E8</f>
        <v>18.5</v>
      </c>
      <c r="E21" s="28">
        <f>BOM_Consumo!F8</f>
        <v>18.5</v>
      </c>
      <c r="F21" s="28">
        <f>BOM_Consumo!G8</f>
        <v>18.5</v>
      </c>
      <c r="G21" s="28">
        <f>BOM_Consumo!H8</f>
        <v>18.5</v>
      </c>
      <c r="H21" s="28">
        <f>BOM_Consumo!I8</f>
        <v>18.5</v>
      </c>
      <c r="I21" s="28">
        <f>BOM_Consumo!J8</f>
        <v>0</v>
      </c>
    </row>
    <row r="22" spans="1:11" ht="15" customHeight="1" x14ac:dyDescent="0.3">
      <c r="A22" s="5" t="s">
        <v>102</v>
      </c>
      <c r="B22" s="26">
        <f t="shared" ref="B22:I22" si="5">B19+B20-B21</f>
        <v>111.5</v>
      </c>
      <c r="C22" s="26">
        <f t="shared" si="5"/>
        <v>93</v>
      </c>
      <c r="D22" s="26">
        <f t="shared" si="5"/>
        <v>74.5</v>
      </c>
      <c r="E22" s="26">
        <f t="shared" si="5"/>
        <v>56</v>
      </c>
      <c r="F22" s="26">
        <f t="shared" si="5"/>
        <v>37.5</v>
      </c>
      <c r="G22" s="26">
        <f t="shared" si="5"/>
        <v>19</v>
      </c>
      <c r="H22" s="26">
        <f t="shared" si="5"/>
        <v>0.5</v>
      </c>
      <c r="I22" s="26">
        <f t="shared" si="5"/>
        <v>0.5</v>
      </c>
    </row>
    <row r="23" spans="1:11" ht="15" customHeight="1" x14ac:dyDescent="0.3">
      <c r="A23" s="79" t="s">
        <v>24</v>
      </c>
      <c r="B23" s="79"/>
      <c r="C23" s="79"/>
      <c r="D23" s="79"/>
      <c r="E23" s="79"/>
      <c r="F23" s="79"/>
      <c r="G23" s="79"/>
      <c r="H23" s="79"/>
      <c r="I23" s="79"/>
      <c r="J23" s="79"/>
      <c r="K23" s="79"/>
    </row>
    <row r="24" spans="1:11" ht="15" customHeight="1" x14ac:dyDescent="0.3">
      <c r="A24" s="4" t="s">
        <v>98</v>
      </c>
      <c r="B24" s="4" t="s">
        <v>4</v>
      </c>
      <c r="C24" s="4" t="s">
        <v>5</v>
      </c>
      <c r="D24" s="4" t="s">
        <v>6</v>
      </c>
      <c r="E24" s="4" t="s">
        <v>7</v>
      </c>
      <c r="F24" s="4" t="s">
        <v>8</v>
      </c>
      <c r="G24" s="4" t="s">
        <v>9</v>
      </c>
      <c r="H24" s="4" t="s">
        <v>10</v>
      </c>
      <c r="I24" s="4" t="s">
        <v>11</v>
      </c>
    </row>
    <row r="25" spans="1:11" ht="15" customHeight="1" x14ac:dyDescent="0.3">
      <c r="A25" s="9" t="s">
        <v>99</v>
      </c>
      <c r="B25" s="28">
        <f>Multi_Planta!D9</f>
        <v>5268</v>
      </c>
      <c r="C25" s="21">
        <f t="shared" ref="C25:I25" si="6">B28</f>
        <v>-9532</v>
      </c>
      <c r="D25" s="21">
        <f t="shared" si="6"/>
        <v>-24332</v>
      </c>
      <c r="E25" s="21">
        <f t="shared" si="6"/>
        <v>-39132</v>
      </c>
      <c r="F25" s="21">
        <f t="shared" si="6"/>
        <v>-53932</v>
      </c>
      <c r="G25" s="21">
        <f t="shared" si="6"/>
        <v>-68732</v>
      </c>
      <c r="H25" s="21">
        <f t="shared" si="6"/>
        <v>-83532</v>
      </c>
      <c r="I25" s="21">
        <f t="shared" si="6"/>
        <v>-98332</v>
      </c>
    </row>
    <row r="26" spans="1:11" ht="15" customHeight="1" x14ac:dyDescent="0.3">
      <c r="A26" s="9" t="s">
        <v>100</v>
      </c>
      <c r="B26" s="6">
        <v>0</v>
      </c>
      <c r="C26" s="6">
        <v>0</v>
      </c>
      <c r="D26" s="6">
        <v>0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</row>
    <row r="27" spans="1:11" ht="15" customHeight="1" x14ac:dyDescent="0.3">
      <c r="A27" s="9" t="s">
        <v>101</v>
      </c>
      <c r="B27" s="28">
        <f>BOM_Consumo!C9</f>
        <v>14800</v>
      </c>
      <c r="C27" s="28">
        <f>BOM_Consumo!D9</f>
        <v>14800</v>
      </c>
      <c r="D27" s="28">
        <f>BOM_Consumo!E9</f>
        <v>14800</v>
      </c>
      <c r="E27" s="28">
        <f>BOM_Consumo!F9</f>
        <v>14800</v>
      </c>
      <c r="F27" s="28">
        <f>BOM_Consumo!G9</f>
        <v>14800</v>
      </c>
      <c r="G27" s="28">
        <f>BOM_Consumo!H9</f>
        <v>14800</v>
      </c>
      <c r="H27" s="28">
        <f>BOM_Consumo!I9</f>
        <v>14800</v>
      </c>
      <c r="I27" s="28">
        <f>BOM_Consumo!J9</f>
        <v>0</v>
      </c>
    </row>
    <row r="28" spans="1:11" ht="15" customHeight="1" x14ac:dyDescent="0.3">
      <c r="A28" s="5" t="s">
        <v>102</v>
      </c>
      <c r="B28" s="26">
        <f t="shared" ref="B28:I28" si="7">B25+B26-B27</f>
        <v>-9532</v>
      </c>
      <c r="C28" s="26">
        <f t="shared" si="7"/>
        <v>-24332</v>
      </c>
      <c r="D28" s="26">
        <f t="shared" si="7"/>
        <v>-39132</v>
      </c>
      <c r="E28" s="26">
        <f t="shared" si="7"/>
        <v>-53932</v>
      </c>
      <c r="F28" s="26">
        <f t="shared" si="7"/>
        <v>-68732</v>
      </c>
      <c r="G28" s="26">
        <f t="shared" si="7"/>
        <v>-83532</v>
      </c>
      <c r="H28" s="26">
        <f t="shared" si="7"/>
        <v>-98332</v>
      </c>
      <c r="I28" s="26">
        <f t="shared" si="7"/>
        <v>-98332</v>
      </c>
    </row>
    <row r="29" spans="1:11" ht="15" customHeight="1" x14ac:dyDescent="0.3">
      <c r="A29" s="79" t="s">
        <v>25</v>
      </c>
      <c r="B29" s="79"/>
      <c r="C29" s="79"/>
      <c r="D29" s="79"/>
      <c r="E29" s="79"/>
      <c r="F29" s="79"/>
      <c r="G29" s="79"/>
      <c r="H29" s="79"/>
      <c r="I29" s="79"/>
      <c r="J29" s="79"/>
      <c r="K29" s="79"/>
    </row>
    <row r="30" spans="1:11" ht="15" customHeight="1" x14ac:dyDescent="0.3">
      <c r="A30" s="4" t="s">
        <v>98</v>
      </c>
      <c r="B30" s="4" t="s">
        <v>4</v>
      </c>
      <c r="C30" s="4" t="s">
        <v>5</v>
      </c>
      <c r="D30" s="4" t="s">
        <v>6</v>
      </c>
      <c r="E30" s="4" t="s">
        <v>7</v>
      </c>
      <c r="F30" s="4" t="s">
        <v>8</v>
      </c>
      <c r="G30" s="4" t="s">
        <v>9</v>
      </c>
      <c r="H30" s="4" t="s">
        <v>10</v>
      </c>
      <c r="I30" s="4" t="s">
        <v>11</v>
      </c>
    </row>
    <row r="31" spans="1:11" ht="15" customHeight="1" x14ac:dyDescent="0.3">
      <c r="A31" s="9" t="s">
        <v>99</v>
      </c>
      <c r="B31" s="28">
        <f>Multi_Planta!D10</f>
        <v>4333</v>
      </c>
      <c r="C31" s="21">
        <f t="shared" ref="C31:I31" si="8">B34</f>
        <v>3778</v>
      </c>
      <c r="D31" s="21">
        <f t="shared" si="8"/>
        <v>3223</v>
      </c>
      <c r="E31" s="21">
        <f t="shared" si="8"/>
        <v>2668</v>
      </c>
      <c r="F31" s="21">
        <f t="shared" si="8"/>
        <v>2113</v>
      </c>
      <c r="G31" s="21">
        <f t="shared" si="8"/>
        <v>1558</v>
      </c>
      <c r="H31" s="21">
        <f t="shared" si="8"/>
        <v>1003</v>
      </c>
      <c r="I31" s="21">
        <f t="shared" si="8"/>
        <v>448</v>
      </c>
    </row>
    <row r="32" spans="1:11" ht="15" customHeight="1" x14ac:dyDescent="0.3">
      <c r="A32" s="9" t="s">
        <v>100</v>
      </c>
      <c r="B32" s="6">
        <v>0</v>
      </c>
      <c r="C32" s="6">
        <v>0</v>
      </c>
      <c r="D32" s="6">
        <v>0</v>
      </c>
      <c r="E32" s="6">
        <v>0</v>
      </c>
      <c r="F32" s="6">
        <v>0</v>
      </c>
      <c r="G32" s="6">
        <v>0</v>
      </c>
      <c r="H32" s="6">
        <v>0</v>
      </c>
      <c r="I32" s="6">
        <v>0</v>
      </c>
    </row>
    <row r="33" spans="1:11" ht="15" customHeight="1" x14ac:dyDescent="0.3">
      <c r="A33" s="9" t="s">
        <v>101</v>
      </c>
      <c r="B33" s="28">
        <f>BOM_Consumo!C10</f>
        <v>555</v>
      </c>
      <c r="C33" s="28">
        <f>BOM_Consumo!D10</f>
        <v>555</v>
      </c>
      <c r="D33" s="28">
        <f>BOM_Consumo!E10</f>
        <v>555</v>
      </c>
      <c r="E33" s="28">
        <f>BOM_Consumo!F10</f>
        <v>555</v>
      </c>
      <c r="F33" s="28">
        <f>BOM_Consumo!G10</f>
        <v>555</v>
      </c>
      <c r="G33" s="28">
        <f>BOM_Consumo!H10</f>
        <v>555</v>
      </c>
      <c r="H33" s="28">
        <f>BOM_Consumo!I10</f>
        <v>555</v>
      </c>
      <c r="I33" s="28">
        <f>BOM_Consumo!J10</f>
        <v>0</v>
      </c>
    </row>
    <row r="34" spans="1:11" ht="15" customHeight="1" x14ac:dyDescent="0.3">
      <c r="A34" s="5" t="s">
        <v>102</v>
      </c>
      <c r="B34" s="26">
        <f t="shared" ref="B34:I34" si="9">B31+B32-B33</f>
        <v>3778</v>
      </c>
      <c r="C34" s="26">
        <f t="shared" si="9"/>
        <v>3223</v>
      </c>
      <c r="D34" s="26">
        <f t="shared" si="9"/>
        <v>2668</v>
      </c>
      <c r="E34" s="26">
        <f t="shared" si="9"/>
        <v>2113</v>
      </c>
      <c r="F34" s="26">
        <f t="shared" si="9"/>
        <v>1558</v>
      </c>
      <c r="G34" s="26">
        <f t="shared" si="9"/>
        <v>1003</v>
      </c>
      <c r="H34" s="26">
        <f t="shared" si="9"/>
        <v>448</v>
      </c>
      <c r="I34" s="26">
        <f t="shared" si="9"/>
        <v>448</v>
      </c>
    </row>
    <row r="35" spans="1:11" ht="15" customHeight="1" x14ac:dyDescent="0.3">
      <c r="A35" s="79" t="s">
        <v>26</v>
      </c>
      <c r="B35" s="79"/>
      <c r="C35" s="79"/>
      <c r="D35" s="79"/>
      <c r="E35" s="79"/>
      <c r="F35" s="79"/>
      <c r="G35" s="79"/>
      <c r="H35" s="79"/>
      <c r="I35" s="79"/>
      <c r="J35" s="79"/>
      <c r="K35" s="79"/>
    </row>
    <row r="36" spans="1:11" ht="15" customHeight="1" x14ac:dyDescent="0.3">
      <c r="A36" s="4" t="s">
        <v>98</v>
      </c>
      <c r="B36" s="4" t="s">
        <v>4</v>
      </c>
      <c r="C36" s="4" t="s">
        <v>5</v>
      </c>
      <c r="D36" s="4" t="s">
        <v>6</v>
      </c>
      <c r="E36" s="4" t="s">
        <v>7</v>
      </c>
      <c r="F36" s="4" t="s">
        <v>8</v>
      </c>
      <c r="G36" s="4" t="s">
        <v>9</v>
      </c>
      <c r="H36" s="4" t="s">
        <v>10</v>
      </c>
      <c r="I36" s="4" t="s">
        <v>11</v>
      </c>
    </row>
    <row r="37" spans="1:11" ht="15" customHeight="1" x14ac:dyDescent="0.3">
      <c r="A37" s="9" t="s">
        <v>99</v>
      </c>
      <c r="B37" s="28">
        <f>Multi_Planta!D11</f>
        <v>8487</v>
      </c>
      <c r="C37" s="21">
        <f t="shared" ref="C37:I37" si="10">B40</f>
        <v>7377</v>
      </c>
      <c r="D37" s="21">
        <f t="shared" si="10"/>
        <v>6267</v>
      </c>
      <c r="E37" s="21">
        <f t="shared" si="10"/>
        <v>5157</v>
      </c>
      <c r="F37" s="21">
        <f t="shared" si="10"/>
        <v>4047</v>
      </c>
      <c r="G37" s="21">
        <f t="shared" si="10"/>
        <v>2937</v>
      </c>
      <c r="H37" s="21">
        <f t="shared" si="10"/>
        <v>1827</v>
      </c>
      <c r="I37" s="21">
        <f t="shared" si="10"/>
        <v>717</v>
      </c>
    </row>
    <row r="38" spans="1:11" ht="15" customHeight="1" x14ac:dyDescent="0.3">
      <c r="A38" s="9" t="s">
        <v>100</v>
      </c>
      <c r="B38" s="6">
        <v>0</v>
      </c>
      <c r="C38" s="6">
        <v>0</v>
      </c>
      <c r="D38" s="6">
        <v>0</v>
      </c>
      <c r="E38" s="6">
        <v>0</v>
      </c>
      <c r="F38" s="6">
        <v>0</v>
      </c>
      <c r="G38" s="6">
        <v>0</v>
      </c>
      <c r="H38" s="6">
        <v>0</v>
      </c>
      <c r="I38" s="6">
        <v>0</v>
      </c>
    </row>
    <row r="39" spans="1:11" ht="15" customHeight="1" x14ac:dyDescent="0.3">
      <c r="A39" s="9" t="s">
        <v>101</v>
      </c>
      <c r="B39" s="28">
        <f>BOM_Consumo!C11</f>
        <v>1110</v>
      </c>
      <c r="C39" s="28">
        <f>BOM_Consumo!D11</f>
        <v>1110</v>
      </c>
      <c r="D39" s="28">
        <f>BOM_Consumo!E11</f>
        <v>1110</v>
      </c>
      <c r="E39" s="28">
        <f>BOM_Consumo!F11</f>
        <v>1110</v>
      </c>
      <c r="F39" s="28">
        <f>BOM_Consumo!G11</f>
        <v>1110</v>
      </c>
      <c r="G39" s="28">
        <f>BOM_Consumo!H11</f>
        <v>1110</v>
      </c>
      <c r="H39" s="28">
        <f>BOM_Consumo!I11</f>
        <v>1110</v>
      </c>
      <c r="I39" s="28">
        <f>BOM_Consumo!J11</f>
        <v>0</v>
      </c>
    </row>
    <row r="40" spans="1:11" ht="15" customHeight="1" x14ac:dyDescent="0.3">
      <c r="A40" s="5" t="s">
        <v>102</v>
      </c>
      <c r="B40" s="26">
        <f t="shared" ref="B40:I40" si="11">B37+B38-B39</f>
        <v>7377</v>
      </c>
      <c r="C40" s="26">
        <f t="shared" si="11"/>
        <v>6267</v>
      </c>
      <c r="D40" s="26">
        <f t="shared" si="11"/>
        <v>5157</v>
      </c>
      <c r="E40" s="26">
        <f t="shared" si="11"/>
        <v>4047</v>
      </c>
      <c r="F40" s="26">
        <f t="shared" si="11"/>
        <v>2937</v>
      </c>
      <c r="G40" s="26">
        <f t="shared" si="11"/>
        <v>1827</v>
      </c>
      <c r="H40" s="26">
        <f t="shared" si="11"/>
        <v>717</v>
      </c>
      <c r="I40" s="26">
        <f t="shared" si="11"/>
        <v>717</v>
      </c>
    </row>
    <row r="41" spans="1:11" ht="15" customHeight="1" x14ac:dyDescent="0.3">
      <c r="A41" s="79" t="s">
        <v>27</v>
      </c>
      <c r="B41" s="79"/>
      <c r="C41" s="79"/>
      <c r="D41" s="79"/>
      <c r="E41" s="79"/>
      <c r="F41" s="79"/>
      <c r="G41" s="79"/>
      <c r="H41" s="79"/>
      <c r="I41" s="79"/>
      <c r="J41" s="79"/>
      <c r="K41" s="79"/>
    </row>
    <row r="42" spans="1:11" ht="15" customHeight="1" x14ac:dyDescent="0.3">
      <c r="A42" s="4" t="s">
        <v>98</v>
      </c>
      <c r="B42" s="4" t="s">
        <v>4</v>
      </c>
      <c r="C42" s="4" t="s">
        <v>5</v>
      </c>
      <c r="D42" s="4" t="s">
        <v>6</v>
      </c>
      <c r="E42" s="4" t="s">
        <v>7</v>
      </c>
      <c r="F42" s="4" t="s">
        <v>8</v>
      </c>
      <c r="G42" s="4" t="s">
        <v>9</v>
      </c>
      <c r="H42" s="4" t="s">
        <v>10</v>
      </c>
      <c r="I42" s="4" t="s">
        <v>11</v>
      </c>
    </row>
    <row r="43" spans="1:11" ht="15" customHeight="1" x14ac:dyDescent="0.3">
      <c r="A43" s="9" t="s">
        <v>99</v>
      </c>
      <c r="B43" s="28">
        <f>Multi_Planta!D12</f>
        <v>23192</v>
      </c>
      <c r="C43" s="21">
        <f t="shared" ref="C43:I43" si="12">B46</f>
        <v>19492</v>
      </c>
      <c r="D43" s="21">
        <f t="shared" si="12"/>
        <v>15792</v>
      </c>
      <c r="E43" s="21">
        <f t="shared" si="12"/>
        <v>12092</v>
      </c>
      <c r="F43" s="21">
        <f t="shared" si="12"/>
        <v>8392</v>
      </c>
      <c r="G43" s="21">
        <f t="shared" si="12"/>
        <v>4692</v>
      </c>
      <c r="H43" s="21">
        <f t="shared" si="12"/>
        <v>992</v>
      </c>
      <c r="I43" s="21">
        <f t="shared" si="12"/>
        <v>-2708</v>
      </c>
    </row>
    <row r="44" spans="1:11" ht="15" customHeight="1" x14ac:dyDescent="0.3">
      <c r="A44" s="9" t="s">
        <v>100</v>
      </c>
      <c r="B44" s="6">
        <v>0</v>
      </c>
      <c r="C44" s="6">
        <v>0</v>
      </c>
      <c r="D44" s="6">
        <v>0</v>
      </c>
      <c r="E44" s="6">
        <v>0</v>
      </c>
      <c r="F44" s="6">
        <v>0</v>
      </c>
      <c r="G44" s="6">
        <v>0</v>
      </c>
      <c r="H44" s="6">
        <v>0</v>
      </c>
      <c r="I44" s="6">
        <v>0</v>
      </c>
    </row>
    <row r="45" spans="1:11" ht="15" customHeight="1" x14ac:dyDescent="0.3">
      <c r="A45" s="9" t="s">
        <v>101</v>
      </c>
      <c r="B45" s="28">
        <f>BOM_Consumo!C12</f>
        <v>3700</v>
      </c>
      <c r="C45" s="28">
        <f>BOM_Consumo!D12</f>
        <v>3700</v>
      </c>
      <c r="D45" s="28">
        <f>BOM_Consumo!E12</f>
        <v>3700</v>
      </c>
      <c r="E45" s="28">
        <f>BOM_Consumo!F12</f>
        <v>3700</v>
      </c>
      <c r="F45" s="28">
        <f>BOM_Consumo!G12</f>
        <v>3700</v>
      </c>
      <c r="G45" s="28">
        <f>BOM_Consumo!H12</f>
        <v>3700</v>
      </c>
      <c r="H45" s="28">
        <f>BOM_Consumo!I12</f>
        <v>3700</v>
      </c>
      <c r="I45" s="28">
        <f>BOM_Consumo!J12</f>
        <v>0</v>
      </c>
    </row>
    <row r="46" spans="1:11" ht="15" customHeight="1" x14ac:dyDescent="0.3">
      <c r="A46" s="5" t="s">
        <v>102</v>
      </c>
      <c r="B46" s="26">
        <f t="shared" ref="B46:I46" si="13">B43+B44-B45</f>
        <v>19492</v>
      </c>
      <c r="C46" s="26">
        <f t="shared" si="13"/>
        <v>15792</v>
      </c>
      <c r="D46" s="26">
        <f t="shared" si="13"/>
        <v>12092</v>
      </c>
      <c r="E46" s="26">
        <f t="shared" si="13"/>
        <v>8392</v>
      </c>
      <c r="F46" s="26">
        <f t="shared" si="13"/>
        <v>4692</v>
      </c>
      <c r="G46" s="26">
        <f t="shared" si="13"/>
        <v>992</v>
      </c>
      <c r="H46" s="26">
        <f t="shared" si="13"/>
        <v>-2708</v>
      </c>
      <c r="I46" s="26">
        <f t="shared" si="13"/>
        <v>-2708</v>
      </c>
    </row>
    <row r="47" spans="1:11" ht="15" customHeight="1" x14ac:dyDescent="0.3">
      <c r="A47" s="79" t="s">
        <v>28</v>
      </c>
      <c r="B47" s="79"/>
      <c r="C47" s="79"/>
      <c r="D47" s="79"/>
      <c r="E47" s="79"/>
      <c r="F47" s="79"/>
      <c r="G47" s="79"/>
      <c r="H47" s="79"/>
      <c r="I47" s="79"/>
      <c r="J47" s="79"/>
      <c r="K47" s="79"/>
    </row>
    <row r="48" spans="1:11" ht="15" customHeight="1" x14ac:dyDescent="0.3">
      <c r="A48" s="4" t="s">
        <v>98</v>
      </c>
      <c r="B48" s="4" t="s">
        <v>4</v>
      </c>
      <c r="C48" s="4" t="s">
        <v>5</v>
      </c>
      <c r="D48" s="4" t="s">
        <v>6</v>
      </c>
      <c r="E48" s="4" t="s">
        <v>7</v>
      </c>
      <c r="F48" s="4" t="s">
        <v>8</v>
      </c>
      <c r="G48" s="4" t="s">
        <v>9</v>
      </c>
      <c r="H48" s="4" t="s">
        <v>10</v>
      </c>
      <c r="I48" s="4" t="s">
        <v>11</v>
      </c>
    </row>
    <row r="49" spans="1:10" ht="15" customHeight="1" x14ac:dyDescent="0.3">
      <c r="A49" s="9" t="s">
        <v>99</v>
      </c>
      <c r="B49" s="28">
        <f>Multi_Planta!D13</f>
        <v>6035</v>
      </c>
      <c r="C49" s="21">
        <f t="shared" ref="C49:I49" si="14">B$52</f>
        <v>4647.5</v>
      </c>
      <c r="D49" s="21">
        <f t="shared" si="14"/>
        <v>3260</v>
      </c>
      <c r="E49" s="21">
        <f t="shared" si="14"/>
        <v>1872.5</v>
      </c>
      <c r="F49" s="21">
        <f t="shared" si="14"/>
        <v>485</v>
      </c>
      <c r="G49" s="21">
        <f t="shared" si="14"/>
        <v>-902.5</v>
      </c>
      <c r="H49" s="21">
        <f t="shared" si="14"/>
        <v>-2290</v>
      </c>
      <c r="I49" s="21">
        <f t="shared" si="14"/>
        <v>-3677.5</v>
      </c>
    </row>
    <row r="50" spans="1:10" ht="15" customHeight="1" x14ac:dyDescent="0.3">
      <c r="A50" s="9" t="s">
        <v>100</v>
      </c>
      <c r="B50" s="28">
        <v>0</v>
      </c>
      <c r="C50" s="21">
        <v>0</v>
      </c>
      <c r="D50" s="21">
        <v>0</v>
      </c>
      <c r="E50" s="21">
        <v>0</v>
      </c>
      <c r="F50" s="21">
        <v>0</v>
      </c>
      <c r="G50" s="21">
        <v>0</v>
      </c>
      <c r="H50" s="21">
        <v>0</v>
      </c>
      <c r="I50" s="21">
        <v>0</v>
      </c>
    </row>
    <row r="51" spans="1:10" ht="15" customHeight="1" x14ac:dyDescent="0.3">
      <c r="A51" s="9" t="s">
        <v>101</v>
      </c>
      <c r="B51" s="28">
        <f>BOM_Consumo!C$13</f>
        <v>1387.5</v>
      </c>
      <c r="C51" s="21">
        <f>BOM_Consumo!D$13</f>
        <v>1387.5</v>
      </c>
      <c r="D51" s="21">
        <f>BOM_Consumo!E$13</f>
        <v>1387.5</v>
      </c>
      <c r="E51" s="21">
        <f>BOM_Consumo!F$13</f>
        <v>1387.5</v>
      </c>
      <c r="F51" s="21">
        <f>BOM_Consumo!G$13</f>
        <v>1387.5</v>
      </c>
      <c r="G51" s="21">
        <f>BOM_Consumo!H$13</f>
        <v>1387.5</v>
      </c>
      <c r="H51" s="21">
        <f>BOM_Consumo!I$13</f>
        <v>1387.5</v>
      </c>
      <c r="I51" s="21">
        <f>BOM_Consumo!J$13</f>
        <v>0</v>
      </c>
    </row>
    <row r="52" spans="1:10" ht="15" customHeight="1" x14ac:dyDescent="0.3">
      <c r="A52" s="9" t="s">
        <v>102</v>
      </c>
      <c r="B52" s="28">
        <f t="shared" ref="B52:I52" si="15">B$49+B$50-B$51</f>
        <v>4647.5</v>
      </c>
      <c r="C52" s="21">
        <f t="shared" si="15"/>
        <v>3260</v>
      </c>
      <c r="D52" s="21">
        <f t="shared" si="15"/>
        <v>1872.5</v>
      </c>
      <c r="E52" s="21">
        <f t="shared" si="15"/>
        <v>485</v>
      </c>
      <c r="F52" s="21">
        <f t="shared" si="15"/>
        <v>-902.5</v>
      </c>
      <c r="G52" s="21">
        <f t="shared" si="15"/>
        <v>-2290</v>
      </c>
      <c r="H52" s="21">
        <f t="shared" si="15"/>
        <v>-3677.5</v>
      </c>
      <c r="I52" s="21">
        <f t="shared" si="15"/>
        <v>-3677.5</v>
      </c>
    </row>
    <row r="53" spans="1:10" ht="15" customHeight="1" x14ac:dyDescent="0.3">
      <c r="A53" s="80" t="s">
        <v>103</v>
      </c>
      <c r="B53" s="80"/>
      <c r="C53" s="80"/>
      <c r="D53" s="80"/>
      <c r="E53" s="80"/>
      <c r="F53" s="80"/>
      <c r="G53" s="80"/>
      <c r="H53" s="80"/>
      <c r="I53" s="80"/>
      <c r="J53" s="80"/>
    </row>
    <row r="54" spans="1:10" ht="15" customHeight="1" x14ac:dyDescent="0.3">
      <c r="A54" s="8" t="s">
        <v>15</v>
      </c>
      <c r="B54" s="29" t="s">
        <v>4</v>
      </c>
      <c r="C54" s="29" t="s">
        <v>5</v>
      </c>
      <c r="D54" s="29" t="s">
        <v>6</v>
      </c>
      <c r="E54" s="29" t="s">
        <v>7</v>
      </c>
      <c r="F54" s="29" t="s">
        <v>8</v>
      </c>
      <c r="G54" s="29" t="s">
        <v>9</v>
      </c>
      <c r="H54" s="29" t="s">
        <v>10</v>
      </c>
      <c r="I54" s="29" t="s">
        <v>11</v>
      </c>
      <c r="J54" s="8" t="s">
        <v>104</v>
      </c>
    </row>
    <row r="55" spans="1:10" ht="15" customHeight="1" x14ac:dyDescent="0.3">
      <c r="A55" s="5" t="s">
        <v>19</v>
      </c>
      <c r="B55" s="26" t="str">
        <f>IF(B9&lt;Inputs!D92,"⚠ RIESGO","OK")</f>
        <v>OK</v>
      </c>
      <c r="C55" s="26" t="str">
        <f>IF(C9&lt;Inputs!D92,"⚠ RIESGO","OK")</f>
        <v>OK</v>
      </c>
      <c r="D55" s="26" t="str">
        <f>IF(D9&lt;Inputs!D92,"⚠ RIESGO","OK")</f>
        <v>OK</v>
      </c>
      <c r="E55" s="26" t="str">
        <f>IF(E9&lt;Inputs!D92,"⚠ RIESGO","OK")</f>
        <v>OK</v>
      </c>
      <c r="F55" s="26" t="str">
        <f>IF(F9&lt;Inputs!D92,"⚠ RIESGO","OK")</f>
        <v>⚠ RIESGO</v>
      </c>
      <c r="G55" s="26" t="str">
        <f>IF(G9&lt;Inputs!D92,"⚠ RIESGO","OK")</f>
        <v>⚠ RIESGO</v>
      </c>
      <c r="H55" s="26" t="str">
        <f>IF(H9&lt;Inputs!D92,"⚠ RIESGO","OK")</f>
        <v>⚠ RIESGO</v>
      </c>
      <c r="I55" s="26" t="str">
        <f>IF(I9&lt;Inputs!D92,"⚠ RIESGO","OK")</f>
        <v>⚠ RIESGO</v>
      </c>
      <c r="J55" s="30">
        <f>MIN(B9:I9)</f>
        <v>0</v>
      </c>
    </row>
    <row r="56" spans="1:10" ht="15" customHeight="1" x14ac:dyDescent="0.3">
      <c r="A56" s="9" t="s">
        <v>22</v>
      </c>
      <c r="B56" s="22" t="str">
        <f>IF(B14&lt;Inputs!D93,"⚠ RIESGO","OK")</f>
        <v>⚠ RIESGO</v>
      </c>
      <c r="C56" s="22" t="str">
        <f>IF(C14&lt;Inputs!D93,"⚠ RIESGO","OK")</f>
        <v>⚠ RIESGO</v>
      </c>
      <c r="D56" s="22" t="str">
        <f>IF(D14&lt;Inputs!D93,"⚠ RIESGO","OK")</f>
        <v>⚠ RIESGO</v>
      </c>
      <c r="E56" s="22" t="str">
        <f>IF(E14&lt;Inputs!D93,"⚠ RIESGO","OK")</f>
        <v>⚠ RIESGO</v>
      </c>
      <c r="F56" s="22" t="str">
        <f>IF(F14&lt;Inputs!D93,"⚠ RIESGO","OK")</f>
        <v>⚠ RIESGO</v>
      </c>
      <c r="G56" s="22" t="str">
        <f>IF(G14&lt;Inputs!D93,"⚠ RIESGO","OK")</f>
        <v>⚠ RIESGO</v>
      </c>
      <c r="H56" s="22" t="str">
        <f>IF(H14&lt;Inputs!D93,"⚠ RIESGO","OK")</f>
        <v>⚠ RIESGO</v>
      </c>
      <c r="I56" s="22" t="str">
        <f>IF(I14&lt;Inputs!D93,"⚠ RIESGO","OK")</f>
        <v>⚠ RIESGO</v>
      </c>
      <c r="J56" s="30">
        <f>MIN(B14:I14)</f>
        <v>0</v>
      </c>
    </row>
    <row r="57" spans="1:10" ht="15" customHeight="1" x14ac:dyDescent="0.3">
      <c r="A57" s="9" t="s">
        <v>23</v>
      </c>
      <c r="B57" s="22" t="str">
        <f>IF(B19&lt;Inputs!D94,"⚠ RIESGO","OK")</f>
        <v>⚠ RIESGO</v>
      </c>
      <c r="C57" s="22" t="str">
        <f>IF(C19&lt;Inputs!D94,"⚠ RIESGO","OK")</f>
        <v>⚠ RIESGO</v>
      </c>
      <c r="D57" s="22" t="str">
        <f>IF(D19&lt;Inputs!D94,"⚠ RIESGO","OK")</f>
        <v>⚠ RIESGO</v>
      </c>
      <c r="E57" s="22" t="str">
        <f>IF(E19&lt;Inputs!D94,"⚠ RIESGO","OK")</f>
        <v>⚠ RIESGO</v>
      </c>
      <c r="F57" s="22" t="str">
        <f>IF(F19&lt;Inputs!D94,"⚠ RIESGO","OK")</f>
        <v>⚠ RIESGO</v>
      </c>
      <c r="G57" s="22" t="str">
        <f>IF(G19&lt;Inputs!D94,"⚠ RIESGO","OK")</f>
        <v>⚠ RIESGO</v>
      </c>
      <c r="H57" s="22" t="str">
        <f>IF(H19&lt;Inputs!D94,"⚠ RIESGO","OK")</f>
        <v>⚠ RIESGO</v>
      </c>
      <c r="I57" s="22" t="str">
        <f>IF(I19&lt;Inputs!D94,"⚠ RIESGO","OK")</f>
        <v>⚠ RIESGO</v>
      </c>
      <c r="J57" s="30">
        <f>MIN(B19:I19)</f>
        <v>0.5</v>
      </c>
    </row>
    <row r="58" spans="1:10" ht="15" customHeight="1" x14ac:dyDescent="0.3">
      <c r="A58" s="9" t="s">
        <v>24</v>
      </c>
      <c r="B58" s="22" t="str">
        <f>IF(B24&lt;Inputs!D95,"⚠ RIESGO","OK")</f>
        <v>OK</v>
      </c>
      <c r="C58" s="22" t="str">
        <f>IF(C24&lt;Inputs!D95,"⚠ RIESGO","OK")</f>
        <v>OK</v>
      </c>
      <c r="D58" s="22" t="str">
        <f>IF(D24&lt;Inputs!D95,"⚠ RIESGO","OK")</f>
        <v>OK</v>
      </c>
      <c r="E58" s="22" t="str">
        <f>IF(E24&lt;Inputs!D95,"⚠ RIESGO","OK")</f>
        <v>OK</v>
      </c>
      <c r="F58" s="22" t="str">
        <f>IF(F24&lt;Inputs!D95,"⚠ RIESGO","OK")</f>
        <v>OK</v>
      </c>
      <c r="G58" s="22" t="str">
        <f>IF(G24&lt;Inputs!D95,"⚠ RIESGO","OK")</f>
        <v>OK</v>
      </c>
      <c r="H58" s="22" t="str">
        <f>IF(H24&lt;Inputs!D95,"⚠ RIESGO","OK")</f>
        <v>OK</v>
      </c>
      <c r="I58" s="22" t="str">
        <f>IF(I24&lt;Inputs!D95,"⚠ RIESGO","OK")</f>
        <v>OK</v>
      </c>
      <c r="J58" s="30">
        <f>MIN(B24:I24)</f>
        <v>0</v>
      </c>
    </row>
    <row r="59" spans="1:10" ht="15" customHeight="1" x14ac:dyDescent="0.3">
      <c r="A59" s="9" t="s">
        <v>25</v>
      </c>
      <c r="B59" s="22" t="str">
        <f>IF(B29&lt;Inputs!D96,"⚠ RIESGO","OK")</f>
        <v>⚠ RIESGO</v>
      </c>
      <c r="C59" s="22" t="str">
        <f>IF(C29&lt;Inputs!D96,"⚠ RIESGO","OK")</f>
        <v>⚠ RIESGO</v>
      </c>
      <c r="D59" s="22" t="str">
        <f>IF(D29&lt;Inputs!D96,"⚠ RIESGO","OK")</f>
        <v>⚠ RIESGO</v>
      </c>
      <c r="E59" s="22" t="str">
        <f>IF(E29&lt;Inputs!D96,"⚠ RIESGO","OK")</f>
        <v>⚠ RIESGO</v>
      </c>
      <c r="F59" s="22" t="str">
        <f>IF(F29&lt;Inputs!D96,"⚠ RIESGO","OK")</f>
        <v>⚠ RIESGO</v>
      </c>
      <c r="G59" s="22" t="str">
        <f>IF(G29&lt;Inputs!D96,"⚠ RIESGO","OK")</f>
        <v>⚠ RIESGO</v>
      </c>
      <c r="H59" s="22" t="str">
        <f>IF(H29&lt;Inputs!D96,"⚠ RIESGO","OK")</f>
        <v>⚠ RIESGO</v>
      </c>
      <c r="I59" s="22" t="str">
        <f>IF(I29&lt;Inputs!D96,"⚠ RIESGO","OK")</f>
        <v>⚠ RIESGO</v>
      </c>
      <c r="J59" s="30">
        <f>MIN(B29:I29)</f>
        <v>0</v>
      </c>
    </row>
    <row r="60" spans="1:10" ht="15" customHeight="1" x14ac:dyDescent="0.3">
      <c r="A60" s="9" t="s">
        <v>26</v>
      </c>
      <c r="B60" s="22" t="str">
        <f>IF(B34&lt;Inputs!D97,"⚠ RIESGO","OK")</f>
        <v>OK</v>
      </c>
      <c r="C60" s="22" t="str">
        <f>IF(C34&lt;Inputs!D97,"⚠ RIESGO","OK")</f>
        <v>⚠ RIESGO</v>
      </c>
      <c r="D60" s="22" t="str">
        <f>IF(D34&lt;Inputs!D97,"⚠ RIESGO","OK")</f>
        <v>⚠ RIESGO</v>
      </c>
      <c r="E60" s="22" t="str">
        <f>IF(E34&lt;Inputs!D97,"⚠ RIESGO","OK")</f>
        <v>⚠ RIESGO</v>
      </c>
      <c r="F60" s="22" t="str">
        <f>IF(F34&lt;Inputs!D97,"⚠ RIESGO","OK")</f>
        <v>⚠ RIESGO</v>
      </c>
      <c r="G60" s="22" t="str">
        <f>IF(G34&lt;Inputs!D97,"⚠ RIESGO","OK")</f>
        <v>⚠ RIESGO</v>
      </c>
      <c r="H60" s="22" t="str">
        <f>IF(H34&lt;Inputs!D97,"⚠ RIESGO","OK")</f>
        <v>⚠ RIESGO</v>
      </c>
      <c r="I60" s="22" t="str">
        <f>IF(I34&lt;Inputs!D97,"⚠ RIESGO","OK")</f>
        <v>⚠ RIESGO</v>
      </c>
      <c r="J60" s="30">
        <f>MIN(B34:I34)</f>
        <v>448</v>
      </c>
    </row>
    <row r="61" spans="1:10" ht="15" customHeight="1" x14ac:dyDescent="0.3">
      <c r="A61" s="9" t="s">
        <v>27</v>
      </c>
      <c r="B61" s="22" t="str">
        <f>IF(B39&lt;Inputs!D98,"⚠ RIESGO","OK")</f>
        <v>⚠ RIESGO</v>
      </c>
      <c r="C61" s="22" t="str">
        <f>IF(C39&lt;Inputs!D98,"⚠ RIESGO","OK")</f>
        <v>⚠ RIESGO</v>
      </c>
      <c r="D61" s="22" t="str">
        <f>IF(D39&lt;Inputs!D98,"⚠ RIESGO","OK")</f>
        <v>⚠ RIESGO</v>
      </c>
      <c r="E61" s="22" t="str">
        <f>IF(E39&lt;Inputs!D98,"⚠ RIESGO","OK")</f>
        <v>⚠ RIESGO</v>
      </c>
      <c r="F61" s="22" t="str">
        <f>IF(F39&lt;Inputs!D98,"⚠ RIESGO","OK")</f>
        <v>⚠ RIESGO</v>
      </c>
      <c r="G61" s="22" t="str">
        <f>IF(G39&lt;Inputs!D98,"⚠ RIESGO","OK")</f>
        <v>⚠ RIESGO</v>
      </c>
      <c r="H61" s="22" t="str">
        <f>IF(H39&lt;Inputs!D98,"⚠ RIESGO","OK")</f>
        <v>⚠ RIESGO</v>
      </c>
      <c r="I61" s="22" t="str">
        <f>IF(I39&lt;Inputs!D98,"⚠ RIESGO","OK")</f>
        <v>⚠ RIESGO</v>
      </c>
      <c r="J61" s="30">
        <f>MIN(B39:I39)</f>
        <v>0</v>
      </c>
    </row>
    <row r="62" spans="1:10" ht="15" customHeight="1" x14ac:dyDescent="0.3">
      <c r="A62" s="9" t="s">
        <v>28</v>
      </c>
      <c r="B62" s="22" t="str">
        <f>IF(B44&lt;Inputs!D99,"⚠ RIESGO","OK")</f>
        <v>OK</v>
      </c>
      <c r="C62" s="22" t="str">
        <f>IF(C44&lt;Inputs!D99,"⚠ RIESGO","OK")</f>
        <v>OK</v>
      </c>
      <c r="D62" s="22" t="str">
        <f>IF(D44&lt;Inputs!D99,"⚠ RIESGO","OK")</f>
        <v>OK</v>
      </c>
      <c r="E62" s="22" t="str">
        <f>IF(E44&lt;Inputs!D99,"⚠ RIESGO","OK")</f>
        <v>OK</v>
      </c>
      <c r="F62" s="22" t="str">
        <f>IF(F44&lt;Inputs!D99,"⚠ RIESGO","OK")</f>
        <v>OK</v>
      </c>
      <c r="G62" s="22" t="str">
        <f>IF(G44&lt;Inputs!D99,"⚠ RIESGO","OK")</f>
        <v>OK</v>
      </c>
      <c r="H62" s="22" t="str">
        <f>IF(H44&lt;Inputs!D99,"⚠ RIESGO","OK")</f>
        <v>OK</v>
      </c>
      <c r="I62" s="22" t="str">
        <f>IF(I44&lt;Inputs!D99,"⚠ RIESGO","OK")</f>
        <v>OK</v>
      </c>
      <c r="J62" s="30">
        <f>MIN(B44:I44)</f>
        <v>0</v>
      </c>
    </row>
  </sheetData>
  <mergeCells count="12">
    <mergeCell ref="A47:K47"/>
    <mergeCell ref="A53:J53"/>
    <mergeCell ref="A17:K17"/>
    <mergeCell ref="A23:K23"/>
    <mergeCell ref="A29:K29"/>
    <mergeCell ref="A35:K35"/>
    <mergeCell ref="A41:K41"/>
    <mergeCell ref="A1:K1"/>
    <mergeCell ref="A2:K2"/>
    <mergeCell ref="A3:K3"/>
    <mergeCell ref="A5:K5"/>
    <mergeCell ref="A11:K11"/>
  </mergeCells>
  <conditionalFormatting sqref="B10:I10">
    <cfRule type="cellIs" dxfId="8" priority="2" operator="lessThan">
      <formula>0</formula>
    </cfRule>
  </conditionalFormatting>
  <conditionalFormatting sqref="B16:I16">
    <cfRule type="cellIs" dxfId="7" priority="10" operator="lessThan">
      <formula>0</formula>
    </cfRule>
  </conditionalFormatting>
  <conditionalFormatting sqref="B22:I22">
    <cfRule type="cellIs" dxfId="6" priority="18" operator="lessThan">
      <formula>0</formula>
    </cfRule>
  </conditionalFormatting>
  <conditionalFormatting sqref="B28:I28">
    <cfRule type="cellIs" dxfId="5" priority="26" operator="lessThan">
      <formula>0</formula>
    </cfRule>
  </conditionalFormatting>
  <conditionalFormatting sqref="B34:I34">
    <cfRule type="cellIs" dxfId="4" priority="34" operator="lessThan">
      <formula>0</formula>
    </cfRule>
  </conditionalFormatting>
  <conditionalFormatting sqref="B40:I40">
    <cfRule type="cellIs" dxfId="3" priority="42" operator="lessThan">
      <formula>0</formula>
    </cfRule>
  </conditionalFormatting>
  <conditionalFormatting sqref="B46:I46">
    <cfRule type="cellIs" dxfId="2" priority="50" operator="lessThan">
      <formula>0</formula>
    </cfRule>
  </conditionalFormatting>
  <conditionalFormatting sqref="B55:I55">
    <cfRule type="cellIs" dxfId="1" priority="58" operator="lessThan">
      <formula>0</formula>
    </cfRule>
  </conditionalFormatting>
  <conditionalFormatting sqref="B55:I62">
    <cfRule type="cellIs" dxfId="0" priority="59" operator="equal">
      <formula>"⚠ RIESGO"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3"/>
  <sheetViews>
    <sheetView topLeftCell="A14" zoomScaleNormal="100" workbookViewId="0">
      <selection activeCell="D8" sqref="D8"/>
    </sheetView>
  </sheetViews>
  <sheetFormatPr baseColWidth="10" defaultColWidth="8.6640625" defaultRowHeight="14.4" x14ac:dyDescent="0.3"/>
  <cols>
    <col min="1" max="1" width="8.21875" bestFit="1" customWidth="1"/>
    <col min="2" max="2" width="27.6640625" bestFit="1" customWidth="1"/>
    <col min="3" max="3" width="18.77734375" bestFit="1" customWidth="1"/>
    <col min="4" max="5" width="26.6640625" bestFit="1" customWidth="1"/>
    <col min="6" max="6" width="27.6640625" bestFit="1" customWidth="1"/>
    <col min="7" max="7" width="12.44140625" bestFit="1" customWidth="1"/>
    <col min="8" max="8" width="36.77734375" bestFit="1" customWidth="1"/>
    <col min="9" max="9" width="6.33203125" bestFit="1" customWidth="1"/>
    <col min="10" max="10" width="14.109375" bestFit="1" customWidth="1"/>
    <col min="11" max="11" width="9.5546875" bestFit="1" customWidth="1"/>
  </cols>
  <sheetData>
    <row r="1" spans="1:12" ht="17.25" customHeight="1" x14ac:dyDescent="0.3">
      <c r="A1" s="77" t="s">
        <v>105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</row>
    <row r="2" spans="1:12" ht="15" customHeight="1" x14ac:dyDescent="0.3">
      <c r="A2" s="82" t="s">
        <v>106</v>
      </c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</row>
    <row r="3" spans="1:12" ht="15" customHeight="1" x14ac:dyDescent="0.3">
      <c r="A3" s="87" t="s">
        <v>107</v>
      </c>
      <c r="B3" s="87"/>
      <c r="C3" s="87"/>
      <c r="D3" s="87"/>
      <c r="E3" s="87"/>
      <c r="F3" s="87"/>
      <c r="G3" s="87"/>
      <c r="H3" s="87"/>
      <c r="I3" s="87"/>
      <c r="J3" s="87"/>
      <c r="K3" s="87"/>
      <c r="L3" s="87"/>
    </row>
    <row r="5" spans="1:12" ht="15" customHeight="1" x14ac:dyDescent="0.3">
      <c r="A5" s="79" t="s">
        <v>108</v>
      </c>
      <c r="B5" s="79"/>
      <c r="C5" s="79"/>
      <c r="D5" s="79"/>
      <c r="E5" s="79"/>
      <c r="F5" s="79"/>
      <c r="G5" s="79"/>
      <c r="H5" s="79"/>
      <c r="I5" s="79"/>
      <c r="J5" s="79"/>
    </row>
    <row r="6" spans="1:12" ht="23.25" customHeight="1" x14ac:dyDescent="0.3">
      <c r="A6" s="31" t="s">
        <v>15</v>
      </c>
      <c r="B6" s="31" t="s">
        <v>109</v>
      </c>
      <c r="C6" s="31" t="s">
        <v>42</v>
      </c>
      <c r="D6" s="31" t="s">
        <v>110</v>
      </c>
      <c r="E6" s="31" t="s">
        <v>111</v>
      </c>
      <c r="F6" s="31" t="s">
        <v>112</v>
      </c>
      <c r="G6" s="31" t="s">
        <v>113</v>
      </c>
      <c r="H6" s="31" t="s">
        <v>114</v>
      </c>
      <c r="I6" s="31" t="s">
        <v>115</v>
      </c>
    </row>
    <row r="7" spans="1:12" ht="15" customHeight="1" x14ac:dyDescent="0.3">
      <c r="A7" s="9" t="s">
        <v>23</v>
      </c>
      <c r="B7" s="32">
        <f>BOM_Consumo!K8</f>
        <v>129.5</v>
      </c>
      <c r="C7" s="32">
        <f>Inputs!B35</f>
        <v>30</v>
      </c>
      <c r="D7" s="33">
        <f t="shared" ref="D7:D12" si="0">ROUNDUP(B7/C7,0)</f>
        <v>5</v>
      </c>
      <c r="E7" s="34">
        <f t="shared" ref="E7:E12" si="1">D7</f>
        <v>5</v>
      </c>
      <c r="F7" s="33">
        <f t="shared" ref="F7:F12" si="2">E7*C7</f>
        <v>150</v>
      </c>
      <c r="G7" s="35">
        <f>_xlfn.XLOOKUP(A7,Inputs!$A$49:$A$54,Inputs!$B$49:$B$54)</f>
        <v>60</v>
      </c>
      <c r="H7" s="36">
        <f t="shared" ref="H7:H12" si="3">E7*G7</f>
        <v>300</v>
      </c>
      <c r="I7" s="22" t="str">
        <f t="shared" ref="I7:I12" si="4">IF(F7&gt;=B7,"OK","INSUFICIENTE")</f>
        <v>OK</v>
      </c>
    </row>
    <row r="8" spans="1:12" ht="15" customHeight="1" x14ac:dyDescent="0.3">
      <c r="A8" s="9" t="s">
        <v>24</v>
      </c>
      <c r="B8" s="32">
        <f>BOM_Consumo!K9</f>
        <v>103600</v>
      </c>
      <c r="C8" s="32">
        <f>Inputs!B36</f>
        <v>12</v>
      </c>
      <c r="D8" s="33">
        <f t="shared" si="0"/>
        <v>8634</v>
      </c>
      <c r="E8" s="34">
        <f t="shared" si="1"/>
        <v>8634</v>
      </c>
      <c r="F8" s="33">
        <f t="shared" si="2"/>
        <v>103608</v>
      </c>
      <c r="G8" s="35">
        <f>_xlfn.XLOOKUP(A8,Inputs!$A$49:$A$54,Inputs!$B$49:$B$54)</f>
        <v>7</v>
      </c>
      <c r="H8" s="36">
        <f t="shared" si="3"/>
        <v>60438</v>
      </c>
      <c r="I8" s="22" t="str">
        <f t="shared" si="4"/>
        <v>OK</v>
      </c>
    </row>
    <row r="9" spans="1:12" ht="15" customHeight="1" x14ac:dyDescent="0.3">
      <c r="A9" s="9" t="s">
        <v>25</v>
      </c>
      <c r="B9" s="32">
        <f>BOM_Consumo!K10</f>
        <v>3885</v>
      </c>
      <c r="C9" s="32">
        <f>Inputs!B37</f>
        <v>1</v>
      </c>
      <c r="D9" s="33">
        <f t="shared" si="0"/>
        <v>3885</v>
      </c>
      <c r="E9" s="34">
        <f t="shared" si="1"/>
        <v>3885</v>
      </c>
      <c r="F9" s="33">
        <f t="shared" si="2"/>
        <v>3885</v>
      </c>
      <c r="G9" s="35">
        <f>_xlfn.XLOOKUP(A9,Inputs!$A$49:$A$54,Inputs!$B$49:$B$54)</f>
        <v>36</v>
      </c>
      <c r="H9" s="36">
        <f t="shared" si="3"/>
        <v>139860</v>
      </c>
      <c r="I9" s="22" t="str">
        <f t="shared" si="4"/>
        <v>OK</v>
      </c>
    </row>
    <row r="10" spans="1:12" ht="15" customHeight="1" x14ac:dyDescent="0.3">
      <c r="A10" s="9" t="s">
        <v>26</v>
      </c>
      <c r="B10" s="32">
        <f>BOM_Consumo!K11</f>
        <v>7770</v>
      </c>
      <c r="C10" s="32">
        <f>Inputs!B38</f>
        <v>100</v>
      </c>
      <c r="D10" s="33">
        <f t="shared" si="0"/>
        <v>78</v>
      </c>
      <c r="E10" s="34">
        <f t="shared" si="1"/>
        <v>78</v>
      </c>
      <c r="F10" s="33">
        <f t="shared" si="2"/>
        <v>7800</v>
      </c>
      <c r="G10" s="35">
        <f>_xlfn.XLOOKUP(A10,Inputs!$A$49:$A$54,Inputs!$B$49:$B$54)</f>
        <v>24</v>
      </c>
      <c r="H10" s="36">
        <f t="shared" si="3"/>
        <v>1872</v>
      </c>
      <c r="I10" s="22" t="str">
        <f t="shared" si="4"/>
        <v>OK</v>
      </c>
    </row>
    <row r="11" spans="1:12" ht="15" customHeight="1" x14ac:dyDescent="0.3">
      <c r="A11" s="9" t="s">
        <v>27</v>
      </c>
      <c r="B11" s="32">
        <f>BOM_Consumo!K12</f>
        <v>25900</v>
      </c>
      <c r="C11" s="32">
        <f>Inputs!B39</f>
        <v>30</v>
      </c>
      <c r="D11" s="33">
        <f t="shared" si="0"/>
        <v>864</v>
      </c>
      <c r="E11" s="34">
        <f t="shared" si="1"/>
        <v>864</v>
      </c>
      <c r="F11" s="33">
        <f t="shared" si="2"/>
        <v>25920</v>
      </c>
      <c r="G11" s="35">
        <f>_xlfn.XLOOKUP(A11,Inputs!$A$49:$A$54,Inputs!$B$49:$B$54)</f>
        <v>30</v>
      </c>
      <c r="H11" s="36">
        <f t="shared" si="3"/>
        <v>25920</v>
      </c>
      <c r="I11" s="22" t="str">
        <f t="shared" si="4"/>
        <v>OK</v>
      </c>
    </row>
    <row r="12" spans="1:12" ht="15" customHeight="1" x14ac:dyDescent="0.3">
      <c r="A12" s="9" t="s">
        <v>28</v>
      </c>
      <c r="B12" s="32">
        <f>BOM_Consumo!K13</f>
        <v>9712.5</v>
      </c>
      <c r="C12" s="32">
        <f>Inputs!B40</f>
        <v>60</v>
      </c>
      <c r="D12" s="33">
        <f t="shared" si="0"/>
        <v>162</v>
      </c>
      <c r="E12" s="34">
        <f t="shared" si="1"/>
        <v>162</v>
      </c>
      <c r="F12" s="33">
        <f t="shared" si="2"/>
        <v>9720</v>
      </c>
      <c r="G12" s="35">
        <f>_xlfn.XLOOKUP(A12,Inputs!$A$49:$A$54,Inputs!$B$49:$B$54)</f>
        <v>28</v>
      </c>
      <c r="H12" s="36">
        <f t="shared" si="3"/>
        <v>4536</v>
      </c>
      <c r="I12" s="22" t="str">
        <f t="shared" si="4"/>
        <v>OK</v>
      </c>
    </row>
    <row r="13" spans="1:12" ht="15" customHeight="1" x14ac:dyDescent="0.3">
      <c r="A13" s="84" t="s">
        <v>116</v>
      </c>
      <c r="B13" s="84"/>
      <c r="C13" s="84"/>
      <c r="D13" s="84"/>
      <c r="E13" s="84"/>
      <c r="F13" s="84"/>
      <c r="G13" s="84"/>
      <c r="H13" s="37">
        <f>SUM(H7:H12)</f>
        <v>232926</v>
      </c>
    </row>
    <row r="16" spans="1:12" ht="15" customHeight="1" x14ac:dyDescent="0.3">
      <c r="A16" s="79" t="s">
        <v>117</v>
      </c>
      <c r="B16" s="79"/>
      <c r="C16" s="79"/>
      <c r="D16" s="79"/>
      <c r="E16" s="79"/>
      <c r="F16" s="79"/>
      <c r="G16" s="79"/>
      <c r="H16" s="79"/>
      <c r="I16" s="79"/>
      <c r="J16" s="79"/>
      <c r="K16" s="79"/>
      <c r="L16" s="79"/>
    </row>
    <row r="17" spans="1:11" ht="23.25" customHeight="1" x14ac:dyDescent="0.3">
      <c r="A17" s="31" t="s">
        <v>15</v>
      </c>
      <c r="B17" s="31" t="s">
        <v>118</v>
      </c>
      <c r="C17" s="31" t="s">
        <v>119</v>
      </c>
      <c r="D17" s="31" t="s">
        <v>42</v>
      </c>
      <c r="E17" s="31" t="s">
        <v>110</v>
      </c>
      <c r="F17" s="31" t="s">
        <v>111</v>
      </c>
      <c r="G17" s="31" t="s">
        <v>120</v>
      </c>
      <c r="H17" s="31" t="s">
        <v>113</v>
      </c>
      <c r="I17" s="31" t="s">
        <v>121</v>
      </c>
      <c r="J17" s="31" t="s">
        <v>64</v>
      </c>
      <c r="K17" s="31" t="s">
        <v>122</v>
      </c>
    </row>
    <row r="18" spans="1:11" ht="15" customHeight="1" x14ac:dyDescent="0.3">
      <c r="A18" s="86" t="s">
        <v>19</v>
      </c>
      <c r="B18" s="10" t="s">
        <v>4</v>
      </c>
      <c r="C18" s="32">
        <f>BOM_Consumo!C6</f>
        <v>1850</v>
      </c>
      <c r="D18" s="32">
        <f>Inputs!B35</f>
        <v>30</v>
      </c>
      <c r="E18" s="33">
        <f t="shared" ref="E18:E33" si="5">IF(C18&gt;0,ROUNDUP(C18/D18,0),0)</f>
        <v>62</v>
      </c>
      <c r="F18" s="34">
        <v>0</v>
      </c>
      <c r="G18" s="33">
        <f t="shared" ref="G18:G33" si="6">F18*D18</f>
        <v>0</v>
      </c>
      <c r="H18" s="35">
        <f>IF(Inputs!$B$69="B",IF(F18&gt;=Inputs!$E$67,Inputs!$B$67*(1-IFERROR(VALUE(SUBSTITUTE(LEFT(Inputs!$D$67,FIND("%",Inputs!$D$67)-1),"%",""))/100,0)),Inputs!$B$67),_xlfn.XLOOKUP(Inputs!$B$69,Inputs!$A$66:$A$68,Inputs!$B$66:$B$68))</f>
        <v>125</v>
      </c>
      <c r="I18" s="36">
        <f t="shared" ref="I18:I33" si="7">F18*H18</f>
        <v>0</v>
      </c>
      <c r="J18" s="38" t="str">
        <f>_xlfn.XLOOKUP(Inputs!$B$69,Inputs!$A$66:$A$68,Inputs!$C$66:$C$68)</f>
        <v>Inmediato (0Q)</v>
      </c>
      <c r="K18" s="22" t="str">
        <f t="shared" ref="K18:K25" si="8">IF(B18="","",IF(VALUE(MID(B18,2,2))+IF(ISNUMBER(SEARCH("+2",J18)),2,IF(ISNUMBER(SEARCH("+8",J18)),8,0))&gt;8,"Next period","Q"&amp;(VALUE(MID(B18,2,2))+IF(ISNUMBER(SEARCH("+2",J18)),2,IF(ISNUMBER(SEARCH("+8",J18)),8,0)))))</f>
        <v>Q1</v>
      </c>
    </row>
    <row r="19" spans="1:11" ht="15" customHeight="1" x14ac:dyDescent="0.3">
      <c r="A19" s="86"/>
      <c r="B19" s="10" t="s">
        <v>5</v>
      </c>
      <c r="C19" s="32">
        <f>BOM_Consumo!D6</f>
        <v>1850</v>
      </c>
      <c r="D19" s="32">
        <f>Inputs!B35</f>
        <v>30</v>
      </c>
      <c r="E19" s="33">
        <f t="shared" si="5"/>
        <v>62</v>
      </c>
      <c r="F19" s="34">
        <v>0</v>
      </c>
      <c r="G19" s="33">
        <f t="shared" si="6"/>
        <v>0</v>
      </c>
      <c r="H19" s="35">
        <f>IF(Inputs!$B$69="B",IF(F19&gt;=Inputs!$E$67,Inputs!$B$67*(1-IFERROR(VALUE(SUBSTITUTE(LEFT(Inputs!$D$67,FIND("%",Inputs!$D$67)-1),"%",""))/100,0)),Inputs!$B$67),_xlfn.XLOOKUP(Inputs!$B$69,Inputs!$A$66:$A$68,Inputs!$B$66:$B$68))</f>
        <v>125</v>
      </c>
      <c r="I19" s="36">
        <f t="shared" si="7"/>
        <v>0</v>
      </c>
      <c r="J19" s="38" t="str">
        <f>_xlfn.XLOOKUP(Inputs!$B$69,Inputs!$A$66:$A$68,Inputs!$C$66:$C$68)</f>
        <v>Inmediato (0Q)</v>
      </c>
      <c r="K19" s="22" t="str">
        <f t="shared" si="8"/>
        <v>Q2</v>
      </c>
    </row>
    <row r="20" spans="1:11" ht="15" customHeight="1" x14ac:dyDescent="0.3">
      <c r="A20" s="86"/>
      <c r="B20" s="10" t="s">
        <v>6</v>
      </c>
      <c r="C20" s="32">
        <f>BOM_Consumo!E6</f>
        <v>1850</v>
      </c>
      <c r="D20" s="32">
        <f>Inputs!B35</f>
        <v>30</v>
      </c>
      <c r="E20" s="33">
        <f t="shared" si="5"/>
        <v>62</v>
      </c>
      <c r="F20" s="34">
        <v>0</v>
      </c>
      <c r="G20" s="33">
        <f t="shared" si="6"/>
        <v>0</v>
      </c>
      <c r="H20" s="35">
        <f>IF(Inputs!$B$69="B",IF(F20&gt;=Inputs!$E$67,Inputs!$B$67*(1-IFERROR(VALUE(SUBSTITUTE(LEFT(Inputs!$D$67,FIND("%",Inputs!$D$67)-1),"%",""))/100,0)),Inputs!$B$67),_xlfn.XLOOKUP(Inputs!$B$69,Inputs!$A$66:$A$68,Inputs!$B$66:$B$68))</f>
        <v>125</v>
      </c>
      <c r="I20" s="36">
        <f t="shared" si="7"/>
        <v>0</v>
      </c>
      <c r="J20" s="38" t="str">
        <f>_xlfn.XLOOKUP(Inputs!$B$69,Inputs!$A$66:$A$68,Inputs!$C$66:$C$68)</f>
        <v>Inmediato (0Q)</v>
      </c>
      <c r="K20" s="22" t="str">
        <f t="shared" si="8"/>
        <v>Q3</v>
      </c>
    </row>
    <row r="21" spans="1:11" ht="15" customHeight="1" x14ac:dyDescent="0.3">
      <c r="A21" s="86"/>
      <c r="B21" s="10" t="s">
        <v>7</v>
      </c>
      <c r="C21" s="32">
        <f>BOM_Consumo!F6</f>
        <v>1850</v>
      </c>
      <c r="D21" s="32">
        <f>Inputs!B35</f>
        <v>30</v>
      </c>
      <c r="E21" s="33">
        <f t="shared" si="5"/>
        <v>62</v>
      </c>
      <c r="F21" s="34">
        <v>0</v>
      </c>
      <c r="G21" s="33">
        <f t="shared" si="6"/>
        <v>0</v>
      </c>
      <c r="H21" s="35">
        <f>IF(Inputs!$B$69="B",IF(F21&gt;=Inputs!$E$67,Inputs!$B$67*(1-IFERROR(VALUE(SUBSTITUTE(LEFT(Inputs!$D$67,FIND("%",Inputs!$D$67)-1),"%",""))/100,0)),Inputs!$B$67),_xlfn.XLOOKUP(Inputs!$B$69,Inputs!$A$66:$A$68,Inputs!$B$66:$B$68))</f>
        <v>125</v>
      </c>
      <c r="I21" s="36">
        <f t="shared" si="7"/>
        <v>0</v>
      </c>
      <c r="J21" s="38" t="str">
        <f>_xlfn.XLOOKUP(Inputs!$B$69,Inputs!$A$66:$A$68,Inputs!$C$66:$C$68)</f>
        <v>Inmediato (0Q)</v>
      </c>
      <c r="K21" s="22" t="str">
        <f t="shared" si="8"/>
        <v>Q4</v>
      </c>
    </row>
    <row r="22" spans="1:11" ht="15" customHeight="1" x14ac:dyDescent="0.3">
      <c r="A22" s="86"/>
      <c r="B22" s="10" t="s">
        <v>8</v>
      </c>
      <c r="C22" s="32">
        <f>BOM_Consumo!G6</f>
        <v>0</v>
      </c>
      <c r="D22" s="32">
        <f>Inputs!B35</f>
        <v>30</v>
      </c>
      <c r="E22" s="33">
        <f t="shared" si="5"/>
        <v>0</v>
      </c>
      <c r="F22" s="34">
        <v>0</v>
      </c>
      <c r="G22" s="33">
        <f t="shared" si="6"/>
        <v>0</v>
      </c>
      <c r="H22" s="35">
        <f>IF(Inputs!$B$69="B",IF(F22&gt;=Inputs!$E$67,Inputs!$B$67*(1-IFERROR(VALUE(SUBSTITUTE(LEFT(Inputs!$D$67,FIND("%",Inputs!$D$67)-1),"%",""))/100,0)),Inputs!$B$67),_xlfn.XLOOKUP(Inputs!$B$69,Inputs!$A$66:$A$68,Inputs!$B$66:$B$68))</f>
        <v>125</v>
      </c>
      <c r="I22" s="36">
        <f t="shared" si="7"/>
        <v>0</v>
      </c>
      <c r="J22" s="38" t="str">
        <f>_xlfn.XLOOKUP(Inputs!$B$69,Inputs!$A$66:$A$68,Inputs!$C$66:$C$68)</f>
        <v>Inmediato (0Q)</v>
      </c>
      <c r="K22" s="22" t="str">
        <f t="shared" si="8"/>
        <v>Q5</v>
      </c>
    </row>
    <row r="23" spans="1:11" ht="15" customHeight="1" x14ac:dyDescent="0.3">
      <c r="A23" s="86"/>
      <c r="B23" s="10" t="s">
        <v>9</v>
      </c>
      <c r="C23" s="32">
        <f>BOM_Consumo!H6</f>
        <v>0</v>
      </c>
      <c r="D23" s="32">
        <f>Inputs!B35</f>
        <v>30</v>
      </c>
      <c r="E23" s="33">
        <f t="shared" si="5"/>
        <v>0</v>
      </c>
      <c r="F23" s="34">
        <v>0</v>
      </c>
      <c r="G23" s="33">
        <f t="shared" si="6"/>
        <v>0</v>
      </c>
      <c r="H23" s="35">
        <f>IF(Inputs!$B$69="B",IF(F23&gt;=Inputs!$E$67,Inputs!$B$67*(1-IFERROR(VALUE(SUBSTITUTE(LEFT(Inputs!$D$67,FIND("%",Inputs!$D$67)-1),"%",""))/100,0)),Inputs!$B$67),_xlfn.XLOOKUP(Inputs!$B$69,Inputs!$A$66:$A$68,Inputs!$B$66:$B$68))</f>
        <v>125</v>
      </c>
      <c r="I23" s="36">
        <f t="shared" si="7"/>
        <v>0</v>
      </c>
      <c r="J23" s="38" t="str">
        <f>_xlfn.XLOOKUP(Inputs!$B$69,Inputs!$A$66:$A$68,Inputs!$C$66:$C$68)</f>
        <v>Inmediato (0Q)</v>
      </c>
      <c r="K23" s="22" t="str">
        <f t="shared" si="8"/>
        <v>Q6</v>
      </c>
    </row>
    <row r="24" spans="1:11" ht="15" customHeight="1" x14ac:dyDescent="0.3">
      <c r="A24" s="86"/>
      <c r="B24" s="10" t="s">
        <v>10</v>
      </c>
      <c r="C24" s="32">
        <f>BOM_Consumo!I6</f>
        <v>0</v>
      </c>
      <c r="D24" s="32">
        <f>Inputs!B35</f>
        <v>30</v>
      </c>
      <c r="E24" s="33">
        <f t="shared" si="5"/>
        <v>0</v>
      </c>
      <c r="F24" s="34">
        <v>0</v>
      </c>
      <c r="G24" s="33">
        <f t="shared" si="6"/>
        <v>0</v>
      </c>
      <c r="H24" s="35">
        <f>IF(Inputs!$B$69="B",IF(F24&gt;=Inputs!$E$67,Inputs!$B$67*(1-IFERROR(VALUE(SUBSTITUTE(LEFT(Inputs!$D$67,FIND("%",Inputs!$D$67)-1),"%",""))/100,0)),Inputs!$B$67),_xlfn.XLOOKUP(Inputs!$B$69,Inputs!$A$66:$A$68,Inputs!$B$66:$B$68))</f>
        <v>125</v>
      </c>
      <c r="I24" s="36">
        <f t="shared" si="7"/>
        <v>0</v>
      </c>
      <c r="J24" s="38" t="str">
        <f>_xlfn.XLOOKUP(Inputs!$B$69,Inputs!$A$66:$A$68,Inputs!$C$66:$C$68)</f>
        <v>Inmediato (0Q)</v>
      </c>
      <c r="K24" s="22" t="str">
        <f t="shared" si="8"/>
        <v>Q7</v>
      </c>
    </row>
    <row r="25" spans="1:11" ht="15" customHeight="1" x14ac:dyDescent="0.3">
      <c r="A25" s="86"/>
      <c r="B25" s="10" t="s">
        <v>11</v>
      </c>
      <c r="C25" s="32">
        <f>BOM_Consumo!J6</f>
        <v>0</v>
      </c>
      <c r="D25" s="32">
        <f>Inputs!B35</f>
        <v>30</v>
      </c>
      <c r="E25" s="33">
        <f t="shared" si="5"/>
        <v>0</v>
      </c>
      <c r="F25" s="34">
        <v>0</v>
      </c>
      <c r="G25" s="33">
        <f t="shared" si="6"/>
        <v>0</v>
      </c>
      <c r="H25" s="35">
        <f>IF(Inputs!$B$69="B",IF(F25&gt;=Inputs!$E$67,Inputs!$B$67*(1-IFERROR(VALUE(SUBSTITUTE(LEFT(Inputs!$D$67,FIND("%",Inputs!$D$67)-1),"%",""))/100,0)),Inputs!$B$67),_xlfn.XLOOKUP(Inputs!$B$69,Inputs!$A$66:$A$68,Inputs!$B$66:$B$68))</f>
        <v>125</v>
      </c>
      <c r="I25" s="36">
        <f t="shared" si="7"/>
        <v>0</v>
      </c>
      <c r="J25" s="38" t="str">
        <f>_xlfn.XLOOKUP(Inputs!$B$69,Inputs!$A$66:$A$68,Inputs!$C$66:$C$68)</f>
        <v>Inmediato (0Q)</v>
      </c>
      <c r="K25" s="22" t="str">
        <f t="shared" si="8"/>
        <v>Q8</v>
      </c>
    </row>
    <row r="26" spans="1:11" ht="15" customHeight="1" x14ac:dyDescent="0.3">
      <c r="A26" s="86" t="s">
        <v>22</v>
      </c>
      <c r="B26" s="10" t="s">
        <v>4</v>
      </c>
      <c r="C26" s="32">
        <f>BOM_Consumo!C7</f>
        <v>370</v>
      </c>
      <c r="D26" s="32">
        <f>Inputs!B36</f>
        <v>12</v>
      </c>
      <c r="E26" s="33">
        <f t="shared" si="5"/>
        <v>31</v>
      </c>
      <c r="F26" s="34">
        <v>0</v>
      </c>
      <c r="G26" s="33">
        <f t="shared" si="6"/>
        <v>0</v>
      </c>
      <c r="H26" s="35">
        <f>IF(Inputs!$B$77="B",IF(F26&gt;=Inputs!$E$75,Inputs!$B$75*(1-IFERROR(VALUE(SUBSTITUTE(LEFT(Inputs!$D$75,FIND("%",Inputs!$D$75)-1),"%",""))/100,0)),Inputs!$B$75),_xlfn.XLOOKUP(Inputs!$B$77,Inputs!$A$74:$A$76,Inputs!$B$74:$B$76))</f>
        <v>330</v>
      </c>
      <c r="I26" s="36">
        <f t="shared" si="7"/>
        <v>0</v>
      </c>
      <c r="J26" s="38" t="str">
        <f>_xlfn.XLOOKUP(Inputs!$B$77,Inputs!$A$74:$A$76,Inputs!$C$74:$C$76)</f>
        <v>Inmediato (0Q)</v>
      </c>
      <c r="K26" s="22" t="str">
        <f t="shared" ref="K26:K33" si="9">IF(B26="","",IF(VALUE(MID(B26,2,2))+IF(ISNUMBER(SEARCH("+2",J26)),2,IF(ISNUMBER(SEARCH("+8",J26)),8,0))&gt;8,"Next period","Q"&amp;(VALUE(MID(B26,2,2))+IF(ISNUMBER(SEARCH("+2",J26)),2,IF(ISNUMBER(SEARCH("+8",J26)),8,0)))))</f>
        <v>Q1</v>
      </c>
    </row>
    <row r="27" spans="1:11" ht="15" customHeight="1" x14ac:dyDescent="0.3">
      <c r="A27" s="86"/>
      <c r="B27" s="10" t="s">
        <v>5</v>
      </c>
      <c r="C27" s="32">
        <f>BOM_Consumo!D7</f>
        <v>370</v>
      </c>
      <c r="D27" s="32">
        <f>Inputs!B36</f>
        <v>12</v>
      </c>
      <c r="E27" s="33">
        <f t="shared" si="5"/>
        <v>31</v>
      </c>
      <c r="F27" s="34">
        <v>0</v>
      </c>
      <c r="G27" s="33">
        <f t="shared" si="6"/>
        <v>0</v>
      </c>
      <c r="H27" s="35">
        <f>IF(Inputs!$B$77="B",IF(F27&gt;=Inputs!$E$75,Inputs!$B$75*(1-IFERROR(VALUE(SUBSTITUTE(LEFT(Inputs!$D$75,FIND("%",Inputs!$D$75)-1),"%",""))/100,0)),Inputs!$B$75),_xlfn.XLOOKUP(Inputs!$B$77,Inputs!$A$74:$A$76,Inputs!$B$74:$B$76))</f>
        <v>330</v>
      </c>
      <c r="I27" s="36">
        <f t="shared" si="7"/>
        <v>0</v>
      </c>
      <c r="J27" s="38" t="str">
        <f>_xlfn.XLOOKUP(Inputs!$B$77,Inputs!$A$74:$A$76,Inputs!$C$74:$C$76)</f>
        <v>Inmediato (0Q)</v>
      </c>
      <c r="K27" s="22" t="str">
        <f t="shared" si="9"/>
        <v>Q2</v>
      </c>
    </row>
    <row r="28" spans="1:11" ht="15" customHeight="1" x14ac:dyDescent="0.3">
      <c r="A28" s="86"/>
      <c r="B28" s="10" t="s">
        <v>6</v>
      </c>
      <c r="C28" s="32">
        <f>BOM_Consumo!E7</f>
        <v>370</v>
      </c>
      <c r="D28" s="32">
        <f>Inputs!B36</f>
        <v>12</v>
      </c>
      <c r="E28" s="33">
        <f t="shared" si="5"/>
        <v>31</v>
      </c>
      <c r="F28" s="34">
        <v>0</v>
      </c>
      <c r="G28" s="33">
        <f t="shared" si="6"/>
        <v>0</v>
      </c>
      <c r="H28" s="35">
        <f>IF(Inputs!$B$77="B",IF(F28&gt;=Inputs!$E$75,Inputs!$B$75*(1-IFERROR(VALUE(SUBSTITUTE(LEFT(Inputs!$D$75,FIND("%",Inputs!$D$75)-1),"%",""))/100,0)),Inputs!$B$75),_xlfn.XLOOKUP(Inputs!$B$77,Inputs!$A$74:$A$76,Inputs!$B$74:$B$76))</f>
        <v>330</v>
      </c>
      <c r="I28" s="36">
        <f t="shared" si="7"/>
        <v>0</v>
      </c>
      <c r="J28" s="38" t="str">
        <f>_xlfn.XLOOKUP(Inputs!$B$77,Inputs!$A$74:$A$76,Inputs!$C$74:$C$76)</f>
        <v>Inmediato (0Q)</v>
      </c>
      <c r="K28" s="22" t="str">
        <f t="shared" si="9"/>
        <v>Q3</v>
      </c>
    </row>
    <row r="29" spans="1:11" ht="15" customHeight="1" x14ac:dyDescent="0.3">
      <c r="A29" s="86"/>
      <c r="B29" s="10" t="s">
        <v>7</v>
      </c>
      <c r="C29" s="32">
        <f>BOM_Consumo!F7</f>
        <v>370</v>
      </c>
      <c r="D29" s="32">
        <f>Inputs!B36</f>
        <v>12</v>
      </c>
      <c r="E29" s="33">
        <f t="shared" si="5"/>
        <v>31</v>
      </c>
      <c r="F29" s="34">
        <v>0</v>
      </c>
      <c r="G29" s="33">
        <f t="shared" si="6"/>
        <v>0</v>
      </c>
      <c r="H29" s="35">
        <f>IF(Inputs!$B$77="B",IF(F29&gt;=Inputs!$E$75,Inputs!$B$75*(1-IFERROR(VALUE(SUBSTITUTE(LEFT(Inputs!$D$75,FIND("%",Inputs!$D$75)-1),"%",""))/100,0)),Inputs!$B$75),_xlfn.XLOOKUP(Inputs!$B$77,Inputs!$A$74:$A$76,Inputs!$B$74:$B$76))</f>
        <v>330</v>
      </c>
      <c r="I29" s="36">
        <f t="shared" si="7"/>
        <v>0</v>
      </c>
      <c r="J29" s="38" t="str">
        <f>_xlfn.XLOOKUP(Inputs!$B$77,Inputs!$A$74:$A$76,Inputs!$C$74:$C$76)</f>
        <v>Inmediato (0Q)</v>
      </c>
      <c r="K29" s="22" t="str">
        <f t="shared" si="9"/>
        <v>Q4</v>
      </c>
    </row>
    <row r="30" spans="1:11" ht="15" customHeight="1" x14ac:dyDescent="0.3">
      <c r="A30" s="86"/>
      <c r="B30" s="10" t="s">
        <v>8</v>
      </c>
      <c r="C30" s="32">
        <f>BOM_Consumo!G7</f>
        <v>370</v>
      </c>
      <c r="D30" s="32">
        <f>Inputs!B36</f>
        <v>12</v>
      </c>
      <c r="E30" s="33">
        <f t="shared" si="5"/>
        <v>31</v>
      </c>
      <c r="F30" s="34">
        <v>0</v>
      </c>
      <c r="G30" s="33">
        <f t="shared" si="6"/>
        <v>0</v>
      </c>
      <c r="H30" s="35">
        <f>IF(Inputs!$B$77="B",IF(F30&gt;=Inputs!$E$75,Inputs!$B$75*(1-IFERROR(VALUE(SUBSTITUTE(LEFT(Inputs!$D$75,FIND("%",Inputs!$D$75)-1),"%",""))/100,0)),Inputs!$B$75),_xlfn.XLOOKUP(Inputs!$B$77,Inputs!$A$74:$A$76,Inputs!$B$74:$B$76))</f>
        <v>330</v>
      </c>
      <c r="I30" s="36">
        <f t="shared" si="7"/>
        <v>0</v>
      </c>
      <c r="J30" s="38" t="str">
        <f>_xlfn.XLOOKUP(Inputs!$B$77,Inputs!$A$74:$A$76,Inputs!$C$74:$C$76)</f>
        <v>Inmediato (0Q)</v>
      </c>
      <c r="K30" s="22" t="str">
        <f t="shared" si="9"/>
        <v>Q5</v>
      </c>
    </row>
    <row r="31" spans="1:11" ht="15" customHeight="1" x14ac:dyDescent="0.3">
      <c r="A31" s="86"/>
      <c r="B31" s="10" t="s">
        <v>9</v>
      </c>
      <c r="C31" s="32">
        <f>BOM_Consumo!H7</f>
        <v>0</v>
      </c>
      <c r="D31" s="32">
        <f>Inputs!B36</f>
        <v>12</v>
      </c>
      <c r="E31" s="33">
        <f t="shared" si="5"/>
        <v>0</v>
      </c>
      <c r="F31" s="34">
        <v>0</v>
      </c>
      <c r="G31" s="33">
        <f t="shared" si="6"/>
        <v>0</v>
      </c>
      <c r="H31" s="35">
        <f>IF(Inputs!$B$77="B",IF(F31&gt;=Inputs!$E$75,Inputs!$B$75*(1-IFERROR(VALUE(SUBSTITUTE(LEFT(Inputs!$D$75,FIND("%",Inputs!$D$75)-1),"%",""))/100,0)),Inputs!$B$75),_xlfn.XLOOKUP(Inputs!$B$77,Inputs!$A$74:$A$76,Inputs!$B$74:$B$76))</f>
        <v>330</v>
      </c>
      <c r="I31" s="36">
        <f t="shared" si="7"/>
        <v>0</v>
      </c>
      <c r="J31" s="38" t="str">
        <f>_xlfn.XLOOKUP(Inputs!$B$77,Inputs!$A$74:$A$76,Inputs!$C$74:$C$76)</f>
        <v>Inmediato (0Q)</v>
      </c>
      <c r="K31" s="22" t="str">
        <f t="shared" si="9"/>
        <v>Q6</v>
      </c>
    </row>
    <row r="32" spans="1:11" ht="15" customHeight="1" x14ac:dyDescent="0.3">
      <c r="A32" s="86"/>
      <c r="B32" s="10" t="s">
        <v>10</v>
      </c>
      <c r="C32" s="32">
        <f>BOM_Consumo!I7</f>
        <v>0</v>
      </c>
      <c r="D32" s="32">
        <f>Inputs!B36</f>
        <v>12</v>
      </c>
      <c r="E32" s="33">
        <f t="shared" si="5"/>
        <v>0</v>
      </c>
      <c r="F32" s="34">
        <v>0</v>
      </c>
      <c r="G32" s="33">
        <f t="shared" si="6"/>
        <v>0</v>
      </c>
      <c r="H32" s="35">
        <f>IF(Inputs!$B$77="B",IF(F32&gt;=Inputs!$E$75,Inputs!$B$75*(1-IFERROR(VALUE(SUBSTITUTE(LEFT(Inputs!$D$75,FIND("%",Inputs!$D$75)-1),"%",""))/100,0)),Inputs!$B$75),_xlfn.XLOOKUP(Inputs!$B$77,Inputs!$A$74:$A$76,Inputs!$B$74:$B$76))</f>
        <v>330</v>
      </c>
      <c r="I32" s="36">
        <f t="shared" si="7"/>
        <v>0</v>
      </c>
      <c r="J32" s="38" t="str">
        <f>_xlfn.XLOOKUP(Inputs!$B$77,Inputs!$A$74:$A$76,Inputs!$C$74:$C$76)</f>
        <v>Inmediato (0Q)</v>
      </c>
      <c r="K32" s="22" t="str">
        <f t="shared" si="9"/>
        <v>Q7</v>
      </c>
    </row>
    <row r="33" spans="1:11" ht="15" customHeight="1" x14ac:dyDescent="0.3">
      <c r="A33" s="86"/>
      <c r="B33" s="10" t="s">
        <v>11</v>
      </c>
      <c r="C33" s="32">
        <f>BOM_Consumo!J7</f>
        <v>0</v>
      </c>
      <c r="D33" s="32">
        <f>Inputs!B36</f>
        <v>12</v>
      </c>
      <c r="E33" s="33">
        <f t="shared" si="5"/>
        <v>0</v>
      </c>
      <c r="F33" s="34">
        <v>0</v>
      </c>
      <c r="G33" s="33">
        <f t="shared" si="6"/>
        <v>0</v>
      </c>
      <c r="H33" s="35">
        <f>IF(Inputs!$B$77="B",IF(F33&gt;=Inputs!$E$75,Inputs!$B$75*(1-IFERROR(VALUE(SUBSTITUTE(LEFT(Inputs!$D$75,FIND("%",Inputs!$D$75)-1),"%",""))/100,0)),Inputs!$B$75),_xlfn.XLOOKUP(Inputs!$B$77,Inputs!$A$74:$A$76,Inputs!$B$74:$B$76))</f>
        <v>330</v>
      </c>
      <c r="I33" s="36">
        <f t="shared" si="7"/>
        <v>0</v>
      </c>
      <c r="J33" s="38" t="str">
        <f>_xlfn.XLOOKUP(Inputs!$B$77,Inputs!$A$74:$A$76,Inputs!$C$74:$C$76)</f>
        <v>Inmediato (0Q)</v>
      </c>
      <c r="K33" s="22" t="str">
        <f t="shared" si="9"/>
        <v>Q8</v>
      </c>
    </row>
  </sheetData>
  <mergeCells count="8">
    <mergeCell ref="A16:L16"/>
    <mergeCell ref="A18:A25"/>
    <mergeCell ref="A26:A33"/>
    <mergeCell ref="A1:L1"/>
    <mergeCell ref="A2:L2"/>
    <mergeCell ref="A3:L3"/>
    <mergeCell ref="A5:J5"/>
    <mergeCell ref="A13:G1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3"/>
  <sheetViews>
    <sheetView zoomScaleNormal="100" workbookViewId="0">
      <selection activeCell="C12" sqref="C12"/>
    </sheetView>
  </sheetViews>
  <sheetFormatPr baseColWidth="10" defaultColWidth="8.6640625" defaultRowHeight="14.4" x14ac:dyDescent="0.3"/>
  <cols>
    <col min="1" max="1" width="13.44140625" bestFit="1" customWidth="1"/>
    <col min="2" max="2" width="36.77734375" bestFit="1" customWidth="1"/>
    <col min="3" max="3" width="10.109375" bestFit="1" customWidth="1"/>
    <col min="4" max="4" width="13.77734375" bestFit="1" customWidth="1"/>
    <col min="5" max="5" width="26" bestFit="1" customWidth="1"/>
    <col min="6" max="6" width="36.77734375" bestFit="1" customWidth="1"/>
  </cols>
  <sheetData>
    <row r="1" spans="1:6" ht="17.25" customHeight="1" x14ac:dyDescent="0.3">
      <c r="A1" s="77" t="s">
        <v>123</v>
      </c>
      <c r="B1" s="77"/>
      <c r="C1" s="77"/>
      <c r="D1" s="77"/>
      <c r="E1" s="77"/>
      <c r="F1" s="77"/>
    </row>
    <row r="2" spans="1:6" ht="15" customHeight="1" x14ac:dyDescent="0.3">
      <c r="A2" s="82" t="s">
        <v>124</v>
      </c>
      <c r="B2" s="82"/>
      <c r="C2" s="82"/>
      <c r="D2" s="82"/>
      <c r="E2" s="82"/>
      <c r="F2" s="82"/>
    </row>
    <row r="4" spans="1:6" ht="15" customHeight="1" x14ac:dyDescent="0.3">
      <c r="A4" s="39" t="s">
        <v>15</v>
      </c>
      <c r="B4" s="39" t="s">
        <v>125</v>
      </c>
      <c r="C4" s="39" t="s">
        <v>126</v>
      </c>
      <c r="D4" s="39" t="s">
        <v>55</v>
      </c>
      <c r="E4" s="39" t="s">
        <v>127</v>
      </c>
      <c r="F4" s="39" t="s">
        <v>114</v>
      </c>
    </row>
    <row r="5" spans="1:6" ht="15" customHeight="1" x14ac:dyDescent="0.3">
      <c r="A5" s="9" t="s">
        <v>23</v>
      </c>
      <c r="B5" s="35">
        <f>Compras_y_Lotes!H7</f>
        <v>300</v>
      </c>
      <c r="C5" s="40">
        <v>1</v>
      </c>
      <c r="D5" s="36">
        <v>0</v>
      </c>
      <c r="E5" s="36">
        <v>0</v>
      </c>
      <c r="F5" s="36">
        <f t="shared" ref="F5:F12" si="0">B5+D5+E5</f>
        <v>300</v>
      </c>
    </row>
    <row r="6" spans="1:6" ht="15" customHeight="1" x14ac:dyDescent="0.3">
      <c r="A6" s="9" t="s">
        <v>24</v>
      </c>
      <c r="B6" s="35">
        <f>Compras_y_Lotes!H8</f>
        <v>60438</v>
      </c>
      <c r="C6" s="40">
        <v>1</v>
      </c>
      <c r="D6" s="36">
        <v>0</v>
      </c>
      <c r="E6" s="36">
        <v>0</v>
      </c>
      <c r="F6" s="36">
        <f t="shared" si="0"/>
        <v>60438</v>
      </c>
    </row>
    <row r="7" spans="1:6" ht="15" customHeight="1" x14ac:dyDescent="0.3">
      <c r="A7" s="9" t="s">
        <v>25</v>
      </c>
      <c r="B7" s="35">
        <f>Compras_y_Lotes!H9</f>
        <v>139860</v>
      </c>
      <c r="C7" s="40">
        <v>1</v>
      </c>
      <c r="D7" s="36">
        <v>0</v>
      </c>
      <c r="E7" s="36">
        <v>0</v>
      </c>
      <c r="F7" s="36">
        <f t="shared" si="0"/>
        <v>139860</v>
      </c>
    </row>
    <row r="8" spans="1:6" ht="15" customHeight="1" x14ac:dyDescent="0.3">
      <c r="A8" s="9" t="s">
        <v>26</v>
      </c>
      <c r="B8" s="35">
        <f>Compras_y_Lotes!H10</f>
        <v>1872</v>
      </c>
      <c r="C8" s="40">
        <v>1</v>
      </c>
      <c r="D8" s="36">
        <v>0</v>
      </c>
      <c r="E8" s="36">
        <v>0</v>
      </c>
      <c r="F8" s="36">
        <f t="shared" si="0"/>
        <v>1872</v>
      </c>
    </row>
    <row r="9" spans="1:6" ht="15" customHeight="1" x14ac:dyDescent="0.3">
      <c r="A9" s="9" t="s">
        <v>27</v>
      </c>
      <c r="B9" s="35">
        <f>Compras_y_Lotes!H11</f>
        <v>25920</v>
      </c>
      <c r="C9" s="40">
        <v>1</v>
      </c>
      <c r="D9" s="36">
        <v>0</v>
      </c>
      <c r="E9" s="36">
        <v>0</v>
      </c>
      <c r="F9" s="36">
        <f t="shared" si="0"/>
        <v>25920</v>
      </c>
    </row>
    <row r="10" spans="1:6" ht="15" customHeight="1" x14ac:dyDescent="0.3">
      <c r="A10" s="9" t="s">
        <v>28</v>
      </c>
      <c r="B10" s="35">
        <f>Compras_y_Lotes!H12</f>
        <v>4536</v>
      </c>
      <c r="C10" s="40">
        <v>1</v>
      </c>
      <c r="D10" s="36">
        <v>0</v>
      </c>
      <c r="E10" s="36">
        <v>0</v>
      </c>
      <c r="F10" s="36">
        <f t="shared" si="0"/>
        <v>4536</v>
      </c>
    </row>
    <row r="11" spans="1:6" ht="15" customHeight="1" x14ac:dyDescent="0.3">
      <c r="A11" s="9" t="s">
        <v>19</v>
      </c>
      <c r="B11" s="35">
        <f>SUM(Compras_y_Lotes!I18:I25)</f>
        <v>0</v>
      </c>
      <c r="C11" s="41">
        <f>COUNTIF(Compras_y_Lotes!F18:F25,"&gt;0")</f>
        <v>0</v>
      </c>
      <c r="D11" s="36">
        <f>C11*Inputs!B59</f>
        <v>0</v>
      </c>
      <c r="E11" s="42">
        <f>SUMPRODUCT((Inventario_Dinamico!B7:I7+Inventario_Dinamico!B10:I10)/2)*Inputs!C59</f>
        <v>-2491.1999999999998</v>
      </c>
      <c r="F11" s="36">
        <f t="shared" si="0"/>
        <v>-2491.1999999999998</v>
      </c>
    </row>
    <row r="12" spans="1:6" ht="15" customHeight="1" x14ac:dyDescent="0.3">
      <c r="A12" s="9" t="s">
        <v>22</v>
      </c>
      <c r="B12" s="35">
        <f>SUM(Compras_y_Lotes!I26:I33)</f>
        <v>0</v>
      </c>
      <c r="C12" s="41">
        <f>COUNTIF(Compras_y_Lotes!F26:F33,"&gt;0")</f>
        <v>0</v>
      </c>
      <c r="D12" s="36">
        <f>C12*Inputs!B60</f>
        <v>0</v>
      </c>
      <c r="E12" s="42">
        <f>SUMPRODUCT((Inventario_Dinamico!B13:I13+Inventario_Dinamico!B16:I16)/2)*Inputs!C60</f>
        <v>-7699.5</v>
      </c>
      <c r="F12" s="36">
        <f t="shared" si="0"/>
        <v>-7699.5</v>
      </c>
    </row>
    <row r="13" spans="1:6" ht="15" customHeight="1" x14ac:dyDescent="0.3">
      <c r="A13" s="1" t="s">
        <v>128</v>
      </c>
      <c r="B13" s="37">
        <f>SUM(B5:B12)</f>
        <v>232926</v>
      </c>
      <c r="C13" s="43">
        <f>SUM(C5:C12)</f>
        <v>6</v>
      </c>
      <c r="D13" s="37">
        <f>SUM(D5:D12)</f>
        <v>0</v>
      </c>
      <c r="E13" s="37">
        <f>SUM(E5:E12)</f>
        <v>-10190.700000000001</v>
      </c>
      <c r="F13" s="37">
        <f>SUM(F5:F12)</f>
        <v>222735.3</v>
      </c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9"/>
  <sheetViews>
    <sheetView zoomScaleNormal="100" workbookViewId="0">
      <selection activeCell="K15" sqref="K15"/>
    </sheetView>
  </sheetViews>
  <sheetFormatPr baseColWidth="10" defaultColWidth="8.6640625" defaultRowHeight="14.4" x14ac:dyDescent="0.3"/>
  <cols>
    <col min="1" max="1" width="14.6640625" bestFit="1" customWidth="1"/>
    <col min="2" max="2" width="10.88671875" customWidth="1"/>
    <col min="3" max="9" width="3.6640625" bestFit="1" customWidth="1"/>
    <col min="10" max="10" width="9.88671875" bestFit="1" customWidth="1"/>
  </cols>
  <sheetData>
    <row r="1" spans="1:12" ht="17.25" customHeight="1" x14ac:dyDescent="0.3">
      <c r="A1" s="77" t="s">
        <v>129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</row>
    <row r="2" spans="1:12" ht="15" customHeight="1" x14ac:dyDescent="0.3">
      <c r="A2" s="82" t="s">
        <v>130</v>
      </c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</row>
    <row r="3" spans="1:12" ht="15" customHeight="1" x14ac:dyDescent="0.3">
      <c r="A3" s="85" t="s">
        <v>131</v>
      </c>
      <c r="B3" s="85"/>
      <c r="C3" s="85"/>
      <c r="D3" s="85"/>
      <c r="E3" s="85"/>
      <c r="F3" s="85"/>
      <c r="G3" s="85"/>
      <c r="H3" s="85"/>
      <c r="I3" s="85"/>
      <c r="J3" s="85"/>
      <c r="K3" s="85"/>
      <c r="L3" s="85"/>
    </row>
    <row r="5" spans="1:12" ht="15" customHeight="1" x14ac:dyDescent="0.3">
      <c r="A5" s="23" t="s">
        <v>98</v>
      </c>
      <c r="B5" s="23" t="s">
        <v>4</v>
      </c>
      <c r="C5" s="23" t="s">
        <v>5</v>
      </c>
      <c r="D5" s="23" t="s">
        <v>6</v>
      </c>
      <c r="E5" s="23" t="s">
        <v>7</v>
      </c>
      <c r="F5" s="23" t="s">
        <v>8</v>
      </c>
      <c r="G5" s="23" t="s">
        <v>9</v>
      </c>
      <c r="H5" s="23" t="s">
        <v>10</v>
      </c>
      <c r="I5" s="23" t="s">
        <v>11</v>
      </c>
      <c r="J5" s="23" t="s">
        <v>12</v>
      </c>
    </row>
    <row r="6" spans="1:12" ht="15" customHeight="1" x14ac:dyDescent="0.3">
      <c r="A6" s="5" t="s">
        <v>132</v>
      </c>
      <c r="B6" s="35">
        <f>Compras_y_Lotes!H13</f>
        <v>232926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36">
        <f>SUM(B6:I6)</f>
        <v>232926</v>
      </c>
    </row>
    <row r="7" spans="1:12" ht="15" customHeight="1" x14ac:dyDescent="0.3">
      <c r="A7" s="9" t="s">
        <v>19</v>
      </c>
      <c r="B7" s="42">
        <v>0</v>
      </c>
      <c r="C7" s="42">
        <v>0</v>
      </c>
      <c r="D7" s="42">
        <v>0</v>
      </c>
      <c r="E7" s="42">
        <v>0</v>
      </c>
      <c r="F7" s="42">
        <v>0</v>
      </c>
      <c r="G7" s="42">
        <v>0</v>
      </c>
      <c r="H7" s="42">
        <v>0</v>
      </c>
      <c r="I7" s="42">
        <v>0</v>
      </c>
      <c r="J7" s="36">
        <f>SUM(B7:I7)</f>
        <v>0</v>
      </c>
    </row>
    <row r="8" spans="1:12" ht="15" customHeight="1" x14ac:dyDescent="0.3">
      <c r="A8" s="9" t="s">
        <v>22</v>
      </c>
      <c r="B8" s="42">
        <v>0</v>
      </c>
      <c r="C8" s="42">
        <v>0</v>
      </c>
      <c r="D8" s="42">
        <v>0</v>
      </c>
      <c r="E8" s="42">
        <v>0</v>
      </c>
      <c r="F8" s="42">
        <v>0</v>
      </c>
      <c r="G8" s="42">
        <v>0</v>
      </c>
      <c r="H8" s="42">
        <v>0</v>
      </c>
      <c r="I8" s="42">
        <v>0</v>
      </c>
      <c r="J8" s="36">
        <f>SUM(B8:I8)</f>
        <v>0</v>
      </c>
    </row>
    <row r="9" spans="1:12" ht="15" customHeight="1" x14ac:dyDescent="0.3">
      <c r="A9" s="5" t="s">
        <v>133</v>
      </c>
      <c r="B9" s="37">
        <f t="shared" ref="B9:I9" si="0">SUM(B6:B8)</f>
        <v>232926</v>
      </c>
      <c r="C9" s="37">
        <f t="shared" si="0"/>
        <v>0</v>
      </c>
      <c r="D9" s="37">
        <f t="shared" si="0"/>
        <v>0</v>
      </c>
      <c r="E9" s="37">
        <f t="shared" si="0"/>
        <v>0</v>
      </c>
      <c r="F9" s="37">
        <f t="shared" si="0"/>
        <v>0</v>
      </c>
      <c r="G9" s="37">
        <f t="shared" si="0"/>
        <v>0</v>
      </c>
      <c r="H9" s="37">
        <f t="shared" si="0"/>
        <v>0</v>
      </c>
      <c r="I9" s="37">
        <f t="shared" si="0"/>
        <v>0</v>
      </c>
      <c r="J9" s="37">
        <f>SUM(B9:I9)</f>
        <v>232926</v>
      </c>
    </row>
  </sheetData>
  <mergeCells count="3">
    <mergeCell ref="A1:L1"/>
    <mergeCell ref="A2:L2"/>
    <mergeCell ref="A3:L3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34"/>
  <sheetViews>
    <sheetView zoomScaleNormal="100" workbookViewId="0">
      <selection activeCell="D10" sqref="D10"/>
    </sheetView>
  </sheetViews>
  <sheetFormatPr baseColWidth="10" defaultColWidth="22.109375" defaultRowHeight="14.4" x14ac:dyDescent="0.3"/>
  <cols>
    <col min="1" max="1" width="24.5546875" bestFit="1" customWidth="1"/>
    <col min="2" max="4" width="30" bestFit="1" customWidth="1"/>
    <col min="5" max="5" width="36.77734375" bestFit="1" customWidth="1"/>
    <col min="6" max="6" width="28.6640625" bestFit="1" customWidth="1"/>
  </cols>
  <sheetData>
    <row r="1" spans="1:6" ht="17.25" customHeight="1" x14ac:dyDescent="0.3">
      <c r="A1" s="77" t="s">
        <v>134</v>
      </c>
      <c r="B1" s="77"/>
      <c r="C1" s="77"/>
      <c r="D1" s="77"/>
      <c r="E1" s="77"/>
      <c r="F1" s="77"/>
    </row>
    <row r="2" spans="1:6" ht="15" customHeight="1" x14ac:dyDescent="0.3">
      <c r="A2" s="82" t="s">
        <v>135</v>
      </c>
      <c r="B2" s="82"/>
      <c r="C2" s="82"/>
      <c r="D2" s="82"/>
      <c r="E2" s="82"/>
      <c r="F2" s="82"/>
    </row>
    <row r="4" spans="1:6" ht="15" customHeight="1" x14ac:dyDescent="0.3">
      <c r="A4" s="1" t="s">
        <v>136</v>
      </c>
      <c r="B4" s="45" t="s">
        <v>137</v>
      </c>
    </row>
    <row r="6" spans="1:6" ht="15" customHeight="1" x14ac:dyDescent="0.3">
      <c r="A6" s="3" t="s">
        <v>138</v>
      </c>
      <c r="B6" s="3" t="s">
        <v>139</v>
      </c>
      <c r="C6" s="3" t="s">
        <v>137</v>
      </c>
      <c r="D6" s="3" t="s">
        <v>140</v>
      </c>
      <c r="E6" s="3" t="s">
        <v>141</v>
      </c>
    </row>
    <row r="7" spans="1:6" ht="15" customHeight="1" x14ac:dyDescent="0.3">
      <c r="A7" s="5" t="s">
        <v>81</v>
      </c>
      <c r="B7" s="9" t="s">
        <v>142</v>
      </c>
      <c r="C7" s="9" t="s">
        <v>143</v>
      </c>
      <c r="D7" s="9" t="s">
        <v>144</v>
      </c>
      <c r="E7" s="9" t="s">
        <v>145</v>
      </c>
    </row>
    <row r="8" spans="1:6" ht="15" customHeight="1" x14ac:dyDescent="0.3">
      <c r="A8" s="5" t="s">
        <v>146</v>
      </c>
      <c r="B8" s="9" t="s">
        <v>147</v>
      </c>
      <c r="C8" s="9" t="s">
        <v>67</v>
      </c>
      <c r="D8" s="9" t="s">
        <v>148</v>
      </c>
      <c r="E8" s="9" t="s">
        <v>149</v>
      </c>
    </row>
    <row r="9" spans="1:6" ht="15" customHeight="1" x14ac:dyDescent="0.3">
      <c r="A9" s="5" t="s">
        <v>150</v>
      </c>
      <c r="B9" s="9" t="s">
        <v>147</v>
      </c>
      <c r="C9" s="9" t="s">
        <v>67</v>
      </c>
      <c r="D9" s="9" t="s">
        <v>148</v>
      </c>
      <c r="E9" s="9" t="s">
        <v>149</v>
      </c>
    </row>
    <row r="10" spans="1:6" ht="15" customHeight="1" x14ac:dyDescent="0.3">
      <c r="A10" s="5" t="s">
        <v>151</v>
      </c>
      <c r="B10" s="9" t="s">
        <v>152</v>
      </c>
      <c r="C10" s="9" t="s">
        <v>153</v>
      </c>
      <c r="D10" s="9" t="s">
        <v>154</v>
      </c>
      <c r="E10" s="9" t="s">
        <v>155</v>
      </c>
    </row>
    <row r="11" spans="1:6" ht="15" customHeight="1" x14ac:dyDescent="0.3">
      <c r="A11" s="46"/>
      <c r="B11" s="9"/>
      <c r="C11" s="9"/>
      <c r="D11" s="9"/>
      <c r="E11" s="9"/>
    </row>
    <row r="12" spans="1:6" ht="15" customHeight="1" x14ac:dyDescent="0.3">
      <c r="A12" s="5" t="s">
        <v>156</v>
      </c>
      <c r="B12" s="9"/>
      <c r="C12" s="9"/>
      <c r="D12" s="9"/>
      <c r="E12" s="9"/>
    </row>
    <row r="13" spans="1:6" ht="15" customHeight="1" x14ac:dyDescent="0.3">
      <c r="A13" s="5" t="s">
        <v>114</v>
      </c>
      <c r="B13" s="9" t="s">
        <v>157</v>
      </c>
      <c r="C13" s="9" t="s">
        <v>158</v>
      </c>
      <c r="D13" s="9" t="s">
        <v>159</v>
      </c>
      <c r="E13" s="9" t="s">
        <v>160</v>
      </c>
    </row>
    <row r="14" spans="1:6" ht="15" customHeight="1" x14ac:dyDescent="0.3">
      <c r="A14" s="5" t="s">
        <v>161</v>
      </c>
      <c r="B14" s="9" t="s">
        <v>162</v>
      </c>
      <c r="C14" s="9" t="s">
        <v>159</v>
      </c>
      <c r="D14" s="9" t="s">
        <v>158</v>
      </c>
      <c r="E14" s="9" t="s">
        <v>163</v>
      </c>
    </row>
    <row r="15" spans="1:6" ht="15" customHeight="1" x14ac:dyDescent="0.3">
      <c r="A15" s="5" t="s">
        <v>164</v>
      </c>
      <c r="B15" s="9" t="s">
        <v>157</v>
      </c>
      <c r="C15" s="9" t="s">
        <v>158</v>
      </c>
      <c r="D15" s="9" t="s">
        <v>159</v>
      </c>
      <c r="E15" s="9" t="s">
        <v>165</v>
      </c>
    </row>
    <row r="16" spans="1:6" ht="15" customHeight="1" x14ac:dyDescent="0.3">
      <c r="A16" s="5" t="s">
        <v>166</v>
      </c>
      <c r="B16" s="9" t="s">
        <v>167</v>
      </c>
      <c r="C16" s="9" t="s">
        <v>158</v>
      </c>
      <c r="D16" s="9" t="s">
        <v>168</v>
      </c>
      <c r="E16" s="9" t="s">
        <v>169</v>
      </c>
    </row>
    <row r="20" spans="1:6" ht="15" customHeight="1" x14ac:dyDescent="0.3">
      <c r="A20" s="79" t="s">
        <v>170</v>
      </c>
      <c r="B20" s="79"/>
      <c r="C20" s="79"/>
      <c r="D20" s="79"/>
      <c r="E20" s="79"/>
      <c r="F20" s="79"/>
    </row>
    <row r="21" spans="1:6" ht="15" customHeight="1" x14ac:dyDescent="0.3">
      <c r="A21" s="8" t="s">
        <v>171</v>
      </c>
      <c r="B21" s="8" t="s">
        <v>139</v>
      </c>
      <c r="C21" s="8" t="s">
        <v>137</v>
      </c>
      <c r="D21" s="8" t="s">
        <v>140</v>
      </c>
      <c r="E21" s="8" t="s">
        <v>172</v>
      </c>
      <c r="F21" s="8" t="s">
        <v>173</v>
      </c>
    </row>
    <row r="22" spans="1:6" ht="15" customHeight="1" x14ac:dyDescent="0.3">
      <c r="A22" s="5" t="s">
        <v>174</v>
      </c>
      <c r="B22" s="36">
        <f>Costos!F13</f>
        <v>222735.3</v>
      </c>
      <c r="C22" s="36">
        <f>Costos!F13</f>
        <v>222735.3</v>
      </c>
      <c r="D22" s="36">
        <f>Costos!F13*0.9</f>
        <v>200461.77</v>
      </c>
      <c r="E22" s="47">
        <f>MIN(B22:D22)</f>
        <v>200461.77</v>
      </c>
      <c r="F22" s="36">
        <f t="shared" ref="F22:F27" si="0">MAX(B22:D22)-MIN(B22:D22)</f>
        <v>22273.53</v>
      </c>
    </row>
    <row r="23" spans="1:6" ht="15" customHeight="1" x14ac:dyDescent="0.3">
      <c r="A23" s="5" t="s">
        <v>175</v>
      </c>
      <c r="B23" s="36">
        <f>Cashflow_Integrado!J33</f>
        <v>0</v>
      </c>
      <c r="C23" s="36">
        <f>Cashflow_Integrado!J33</f>
        <v>0</v>
      </c>
      <c r="D23" s="36">
        <f>Cashflow_Integrado!J33*0.92</f>
        <v>0</v>
      </c>
      <c r="E23" s="47">
        <f>MIN(B23:D23)</f>
        <v>0</v>
      </c>
      <c r="F23" s="36">
        <f t="shared" si="0"/>
        <v>0</v>
      </c>
    </row>
    <row r="24" spans="1:6" ht="15" customHeight="1" x14ac:dyDescent="0.3">
      <c r="A24" s="5" t="s">
        <v>176</v>
      </c>
      <c r="B24" s="36">
        <f>Cashflow_Integrado!B37</f>
        <v>0</v>
      </c>
      <c r="C24" s="36">
        <f>Cashflow_Integrado!B37</f>
        <v>0</v>
      </c>
      <c r="D24" s="36">
        <f>Cashflow_Integrado!B37*1.15</f>
        <v>0</v>
      </c>
      <c r="E24" s="47">
        <f>MIN(B24:D24)</f>
        <v>0</v>
      </c>
      <c r="F24" s="36">
        <f t="shared" si="0"/>
        <v>0</v>
      </c>
    </row>
    <row r="25" spans="1:6" ht="15" customHeight="1" x14ac:dyDescent="0.3">
      <c r="A25" s="5" t="s">
        <v>177</v>
      </c>
      <c r="B25" s="9">
        <v>0</v>
      </c>
      <c r="C25" s="9">
        <v>1</v>
      </c>
      <c r="D25" s="9">
        <v>3</v>
      </c>
      <c r="E25" s="48">
        <f>MIN(B25:D25)</f>
        <v>0</v>
      </c>
      <c r="F25" s="22">
        <f t="shared" si="0"/>
        <v>3</v>
      </c>
    </row>
    <row r="26" spans="1:6" ht="15" customHeight="1" x14ac:dyDescent="0.3">
      <c r="A26" s="5" t="s">
        <v>178</v>
      </c>
      <c r="B26" s="36">
        <f>Riesgo_Proveedor_B!I14</f>
        <v>0</v>
      </c>
      <c r="C26" s="36">
        <f>Riesgo_Proveedor_B!I14</f>
        <v>0</v>
      </c>
      <c r="D26" s="36">
        <f>Riesgo_Proveedor_B!I14*2.5</f>
        <v>0</v>
      </c>
      <c r="E26" s="47">
        <f>MIN(B26:D26)</f>
        <v>0</v>
      </c>
      <c r="F26" s="36">
        <f t="shared" si="0"/>
        <v>0</v>
      </c>
    </row>
    <row r="27" spans="1:6" ht="15" customHeight="1" x14ac:dyDescent="0.3">
      <c r="A27" s="5" t="s">
        <v>179</v>
      </c>
      <c r="B27" s="9">
        <v>1.5</v>
      </c>
      <c r="C27" s="9">
        <v>1</v>
      </c>
      <c r="D27" s="9">
        <v>0.5</v>
      </c>
      <c r="E27" s="48">
        <f>MAX(B27:D27)</f>
        <v>1.5</v>
      </c>
      <c r="F27" s="22">
        <f t="shared" si="0"/>
        <v>1</v>
      </c>
    </row>
    <row r="29" spans="1:6" x14ac:dyDescent="0.3">
      <c r="A29" t="s">
        <v>328</v>
      </c>
      <c r="D29" t="s">
        <v>330</v>
      </c>
      <c r="E29">
        <v>1</v>
      </c>
    </row>
    <row r="30" spans="1:6" x14ac:dyDescent="0.3">
      <c r="A30" t="s">
        <v>329</v>
      </c>
      <c r="B30" t="s">
        <v>114</v>
      </c>
      <c r="C30" t="s">
        <v>176</v>
      </c>
    </row>
    <row r="31" spans="1:6" x14ac:dyDescent="0.3">
      <c r="B31">
        <f>Costos!F13</f>
        <v>222735.3</v>
      </c>
      <c r="C31">
        <f>Cashflow_Integrado!B30</f>
        <v>237930.6</v>
      </c>
    </row>
    <row r="32" spans="1:6" x14ac:dyDescent="0.3">
      <c r="A32">
        <v>0.9</v>
      </c>
      <c r="B32">
        <f t="dataTable" ref="B32:C34" dt2D="0" dtr="0" r1="E29"/>
        <v>205320.05</v>
      </c>
      <c r="C32">
        <v>214715.6</v>
      </c>
    </row>
    <row r="33" spans="1:3" x14ac:dyDescent="0.3">
      <c r="A33">
        <v>1</v>
      </c>
      <c r="B33">
        <v>222735.3</v>
      </c>
      <c r="C33">
        <v>237930.6</v>
      </c>
    </row>
    <row r="34" spans="1:3" x14ac:dyDescent="0.3">
      <c r="A34">
        <v>1.1000000000000001</v>
      </c>
      <c r="B34">
        <v>240117.55</v>
      </c>
      <c r="C34">
        <v>261112.6</v>
      </c>
    </row>
  </sheetData>
  <mergeCells count="3">
    <mergeCell ref="A1:F1"/>
    <mergeCell ref="A2:F2"/>
    <mergeCell ref="A20:F20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21"/>
  <sheetViews>
    <sheetView zoomScaleNormal="100" workbookViewId="0">
      <selection activeCell="G20" sqref="G20"/>
    </sheetView>
  </sheetViews>
  <sheetFormatPr baseColWidth="10" defaultColWidth="8.6640625" defaultRowHeight="14.4" x14ac:dyDescent="0.3"/>
  <cols>
    <col min="1" max="1" width="25.88671875" bestFit="1" customWidth="1"/>
    <col min="2" max="2" width="11.109375" bestFit="1" customWidth="1"/>
    <col min="3" max="3" width="10.109375" bestFit="1" customWidth="1"/>
    <col min="4" max="4" width="10.21875" bestFit="1" customWidth="1"/>
    <col min="5" max="5" width="11.21875" bestFit="1" customWidth="1"/>
    <col min="6" max="6" width="13.21875" bestFit="1" customWidth="1"/>
    <col min="7" max="7" width="14.109375" bestFit="1" customWidth="1"/>
    <col min="8" max="8" width="6.77734375" bestFit="1" customWidth="1"/>
    <col min="9" max="9" width="14" bestFit="1" customWidth="1"/>
    <col min="10" max="10" width="8.109375" bestFit="1" customWidth="1"/>
  </cols>
  <sheetData>
    <row r="1" spans="1:10" ht="17.25" customHeight="1" x14ac:dyDescent="0.3">
      <c r="A1" s="77" t="s">
        <v>180</v>
      </c>
      <c r="B1" s="77"/>
      <c r="C1" s="77"/>
      <c r="D1" s="77"/>
      <c r="E1" s="77"/>
      <c r="F1" s="77"/>
      <c r="G1" s="77"/>
      <c r="H1" s="77"/>
      <c r="I1" s="77"/>
      <c r="J1" s="77"/>
    </row>
    <row r="2" spans="1:10" ht="15" customHeight="1" x14ac:dyDescent="0.3">
      <c r="A2" s="82" t="s">
        <v>181</v>
      </c>
      <c r="B2" s="82"/>
      <c r="C2" s="82"/>
      <c r="D2" s="82"/>
      <c r="E2" s="82"/>
      <c r="F2" s="82"/>
      <c r="G2" s="82"/>
      <c r="H2" s="82"/>
      <c r="I2" s="82"/>
      <c r="J2" s="82"/>
    </row>
    <row r="4" spans="1:10" ht="15" customHeight="1" x14ac:dyDescent="0.3">
      <c r="A4" s="79" t="s">
        <v>182</v>
      </c>
      <c r="B4" s="79"/>
      <c r="C4" s="79"/>
      <c r="D4" s="79"/>
      <c r="E4" s="79"/>
      <c r="F4" s="79"/>
      <c r="G4" s="79"/>
      <c r="H4" s="79"/>
      <c r="I4" s="79"/>
      <c r="J4" s="79"/>
    </row>
    <row r="5" spans="1:10" ht="15" customHeight="1" x14ac:dyDescent="0.3">
      <c r="A5" t="s">
        <v>183</v>
      </c>
      <c r="B5" s="49">
        <f>SUM(Compras_y_Lotes!F18:F25)</f>
        <v>0</v>
      </c>
    </row>
    <row r="7" spans="1:10" ht="15" customHeight="1" x14ac:dyDescent="0.3">
      <c r="A7" s="31" t="s">
        <v>184</v>
      </c>
      <c r="B7" s="31" t="s">
        <v>63</v>
      </c>
      <c r="C7" s="31" t="s">
        <v>65</v>
      </c>
      <c r="D7" s="31" t="s">
        <v>331</v>
      </c>
      <c r="E7" s="31" t="s">
        <v>185</v>
      </c>
      <c r="F7" s="31" t="s">
        <v>125</v>
      </c>
      <c r="G7" s="31" t="s">
        <v>64</v>
      </c>
      <c r="H7" s="31" t="s">
        <v>186</v>
      </c>
      <c r="I7" s="31" t="s">
        <v>187</v>
      </c>
      <c r="J7" s="31" t="s">
        <v>188</v>
      </c>
    </row>
    <row r="8" spans="1:10" ht="15" customHeight="1" x14ac:dyDescent="0.3">
      <c r="A8" s="9" t="s">
        <v>67</v>
      </c>
      <c r="B8" s="44">
        <f>_xlfn.XLOOKUP(A8,Inputs!$A$66:$A$68,Inputs!$B$66:$B$68)</f>
        <v>125</v>
      </c>
      <c r="C8" s="50">
        <f>IF(A8="B",IFERROR(VALUE(SUBSTITUTE(LEFT(Inputs!$D$67,FIND("%",Inputs!$D$67)-1),"%",""))/100,0),0)</f>
        <v>0</v>
      </c>
      <c r="D8" s="9">
        <f>IF(A8="B",Inputs!$E$67,0)</f>
        <v>0</v>
      </c>
      <c r="E8" s="36">
        <f>B8</f>
        <v>125</v>
      </c>
      <c r="F8" s="36">
        <f>B5*E8</f>
        <v>0</v>
      </c>
      <c r="G8" s="9" t="str">
        <f>_xlfn.XLOOKUP(A8,Inputs!$A$66:$A$68,Inputs!$C$66:$C$68)</f>
        <v>Inmediato (0Q)</v>
      </c>
      <c r="H8" s="9">
        <f>1-_xlfn.XLOOKUP(A8,Inputs!$A$66:$A$68,Inputs!$F$66:$F$68)</f>
        <v>0</v>
      </c>
      <c r="I8" s="36">
        <f>F8</f>
        <v>0</v>
      </c>
      <c r="J8" s="9">
        <v>0</v>
      </c>
    </row>
    <row r="9" spans="1:10" ht="15" customHeight="1" x14ac:dyDescent="0.3">
      <c r="A9" s="9" t="s">
        <v>71</v>
      </c>
      <c r="B9" s="44">
        <f>_xlfn.XLOOKUP(A9,Inputs!$A$66:$A$68,Inputs!$B$66:$B$68)</f>
        <v>100</v>
      </c>
      <c r="C9" s="50">
        <f>IF(A9="B",IFERROR(VALUE(SUBSTITUTE(LEFT(Inputs!$D$67,FIND("%",Inputs!$D$67)-1),"%",""))/100,0),0)</f>
        <v>0.16</v>
      </c>
      <c r="D9" s="9">
        <f>IF(A9="B",Inputs!$E$67,0)</f>
        <v>150</v>
      </c>
      <c r="E9" s="36">
        <f>IF(B5&gt;0,F9/B5,B9)</f>
        <v>100</v>
      </c>
      <c r="F9" s="36">
        <f>SUMPRODUCT(Compras_y_Lotes!F18:F25*(B9*(1-C9*(Compras_y_Lotes!F18:F25&gt;=D9))))</f>
        <v>0</v>
      </c>
      <c r="G9" s="9" t="str">
        <f>_xlfn.XLOOKUP(A9,Inputs!$A$66:$A$68,Inputs!$C$66:$C$68)</f>
        <v>+2 Quincenas</v>
      </c>
      <c r="H9" s="9">
        <f>1-_xlfn.XLOOKUP(A9,Inputs!$A$66:$A$68,Inputs!$F$66:$F$68)</f>
        <v>0.19999999999999996</v>
      </c>
      <c r="I9" s="36">
        <f>F9*1.05</f>
        <v>0</v>
      </c>
      <c r="J9" s="9">
        <v>0</v>
      </c>
    </row>
    <row r="10" spans="1:10" ht="15" customHeight="1" x14ac:dyDescent="0.3">
      <c r="A10" s="9" t="s">
        <v>75</v>
      </c>
      <c r="B10" s="44">
        <f>_xlfn.XLOOKUP(A10,Inputs!$A$66:$A$68,Inputs!$B$66:$B$68)</f>
        <v>140</v>
      </c>
      <c r="C10" s="50">
        <f>IF(A10="B",IFERROR(VALUE(SUBSTITUTE(LEFT(Inputs!$D$67,FIND("%",Inputs!$D$67)-1),"%",""))/100,0),0)</f>
        <v>0</v>
      </c>
      <c r="D10" s="9">
        <f>IF(A10="B",Inputs!$E$67,0)</f>
        <v>0</v>
      </c>
      <c r="E10" s="36">
        <f>B10</f>
        <v>140</v>
      </c>
      <c r="F10" s="36">
        <f>B5*E10</f>
        <v>0</v>
      </c>
      <c r="G10" s="9" t="str">
        <f>_xlfn.XLOOKUP(A10,Inputs!$A$66:$A$68,Inputs!$C$66:$C$68)</f>
        <v>+8 Quincenas</v>
      </c>
      <c r="H10" s="9">
        <f>1-_xlfn.XLOOKUP(A10,Inputs!$A$66:$A$68,Inputs!$F$66:$F$68)</f>
        <v>0</v>
      </c>
      <c r="I10" s="36">
        <f>F10*0.97</f>
        <v>0</v>
      </c>
      <c r="J10" s="9">
        <v>0</v>
      </c>
    </row>
    <row r="11" spans="1:10" ht="15" customHeight="1" x14ac:dyDescent="0.3">
      <c r="A11" s="1" t="s">
        <v>189</v>
      </c>
      <c r="B11" s="51" t="str">
        <f>INDEX(A8:A10,MATCH(MIN(I8:I10),I8:I10,0))</f>
        <v>A</v>
      </c>
    </row>
    <row r="14" spans="1:10" ht="15" customHeight="1" x14ac:dyDescent="0.3">
      <c r="A14" s="79" t="s">
        <v>190</v>
      </c>
      <c r="B14" s="79"/>
      <c r="C14" s="79"/>
      <c r="D14" s="79"/>
      <c r="E14" s="79"/>
      <c r="F14" s="79"/>
      <c r="G14" s="79"/>
      <c r="H14" s="79"/>
      <c r="I14" s="79"/>
      <c r="J14" s="79"/>
    </row>
    <row r="15" spans="1:10" ht="15" customHeight="1" x14ac:dyDescent="0.3">
      <c r="A15" t="s">
        <v>183</v>
      </c>
      <c r="B15" s="49">
        <f>SUM(Compras_y_Lotes!F26:F33)</f>
        <v>0</v>
      </c>
    </row>
    <row r="17" spans="1:10" ht="15" customHeight="1" x14ac:dyDescent="0.3">
      <c r="A17" s="8" t="s">
        <v>184</v>
      </c>
      <c r="B17" s="8" t="s">
        <v>63</v>
      </c>
      <c r="C17" s="8" t="s">
        <v>65</v>
      </c>
      <c r="D17" s="8" t="s">
        <v>331</v>
      </c>
      <c r="E17" s="8" t="s">
        <v>185</v>
      </c>
      <c r="F17" s="8" t="s">
        <v>125</v>
      </c>
      <c r="G17" s="8" t="s">
        <v>64</v>
      </c>
      <c r="H17" s="8" t="s">
        <v>186</v>
      </c>
      <c r="I17" s="8" t="s">
        <v>187</v>
      </c>
      <c r="J17" s="8" t="s">
        <v>188</v>
      </c>
    </row>
    <row r="18" spans="1:10" ht="15" customHeight="1" x14ac:dyDescent="0.3">
      <c r="A18" s="9" t="s">
        <v>67</v>
      </c>
      <c r="B18" s="44">
        <f>_xlfn.XLOOKUP(A18,Inputs!$A$74:$A$76,Inputs!$B$74:$B$76)</f>
        <v>330</v>
      </c>
      <c r="C18" s="50">
        <f>IF(A18="B",IFERROR(VALUE(SUBSTITUTE(LEFT(Inputs!$D$75,FIND("%",Inputs!$D$75)-1),"%",""))/100,0),0)</f>
        <v>0</v>
      </c>
      <c r="D18" s="9">
        <f>IF(A18="B",Inputs!$E$75,0)</f>
        <v>0</v>
      </c>
      <c r="E18" s="36">
        <f>B18</f>
        <v>330</v>
      </c>
      <c r="F18" s="36">
        <f>B15*E18</f>
        <v>0</v>
      </c>
      <c r="G18" s="9" t="str">
        <f>_xlfn.XLOOKUP(A18,Inputs!$A$74:$A$76,Inputs!$C$74:$C$76)</f>
        <v>Inmediato (0Q)</v>
      </c>
      <c r="H18" s="9">
        <f>1-_xlfn.XLOOKUP(A18,Inputs!$A$74:$A$76,Inputs!$F$74:$F$76)</f>
        <v>0</v>
      </c>
      <c r="I18" s="36">
        <f>F18</f>
        <v>0</v>
      </c>
      <c r="J18" s="9">
        <v>0</v>
      </c>
    </row>
    <row r="19" spans="1:10" ht="15" customHeight="1" x14ac:dyDescent="0.3">
      <c r="A19" s="9" t="s">
        <v>71</v>
      </c>
      <c r="B19" s="44">
        <f>_xlfn.XLOOKUP(A19,Inputs!$A$74:$A$76,Inputs!$B$74:$B$76)</f>
        <v>264</v>
      </c>
      <c r="C19" s="50">
        <f>IF(A19="B",IFERROR(VALUE(SUBSTITUTE(LEFT(Inputs!$D$75,FIND("%",Inputs!$D$75)-1),"%",""))/100,0),0)</f>
        <v>0.16</v>
      </c>
      <c r="D19" s="9">
        <f>IF(A19="B",Inputs!$E$75,0)</f>
        <v>80</v>
      </c>
      <c r="E19" s="36">
        <f>IF(B15&gt;0,F19/B15,B19)</f>
        <v>264</v>
      </c>
      <c r="F19" s="36">
        <f>SUMPRODUCT(Compras_y_Lotes!F26:F33*(B19*(1-C19*(Compras_y_Lotes!F26:F33&gt;=D19))))</f>
        <v>0</v>
      </c>
      <c r="G19" s="9" t="str">
        <f>_xlfn.XLOOKUP(A19,Inputs!$A$74:$A$76,Inputs!$C$74:$C$76)</f>
        <v>+2 Quincenas</v>
      </c>
      <c r="H19" s="9">
        <f>1-_xlfn.XLOOKUP(A19,Inputs!$A$74:$A$76,Inputs!$F$74:$F$76)</f>
        <v>0.19999999999999996</v>
      </c>
      <c r="I19" s="36">
        <f>F19*1.05</f>
        <v>0</v>
      </c>
      <c r="J19" s="9">
        <v>0</v>
      </c>
    </row>
    <row r="20" spans="1:10" ht="15" customHeight="1" x14ac:dyDescent="0.3">
      <c r="A20" s="9" t="s">
        <v>75</v>
      </c>
      <c r="B20" s="44">
        <f>_xlfn.XLOOKUP(A20,Inputs!$A$74:$A$76,Inputs!$B$74:$B$76)</f>
        <v>370</v>
      </c>
      <c r="C20" s="50">
        <f>IF(A20="B",IFERROR(VALUE(SUBSTITUTE(LEFT(Inputs!$D$75,FIND("%",Inputs!$D$75)-1),"%",""))/100,0),0)</f>
        <v>0</v>
      </c>
      <c r="D20" s="9">
        <f>IF(A20="B",Inputs!$E$75,0)</f>
        <v>0</v>
      </c>
      <c r="E20" s="36">
        <f>B20</f>
        <v>370</v>
      </c>
      <c r="F20" s="36">
        <f>B15*E20</f>
        <v>0</v>
      </c>
      <c r="G20" s="9" t="str">
        <f>_xlfn.XLOOKUP(A20,Inputs!$A$74:$A$76,Inputs!$C$74:$C$76)</f>
        <v>+8 Quincenas</v>
      </c>
      <c r="H20" s="9">
        <f>1-_xlfn.XLOOKUP(A20,Inputs!$A$74:$A$76,Inputs!$F$74:$F$76)</f>
        <v>0</v>
      </c>
      <c r="I20" s="36">
        <f>F20*0.97</f>
        <v>0</v>
      </c>
      <c r="J20" s="9">
        <v>0</v>
      </c>
    </row>
    <row r="21" spans="1:10" ht="15" customHeight="1" x14ac:dyDescent="0.3">
      <c r="A21" s="1" t="s">
        <v>189</v>
      </c>
      <c r="B21" s="52" t="str">
        <f>INDEX(A18:A20,MATCH(MIN(I18:I20),I18:I20,0))</f>
        <v>A</v>
      </c>
    </row>
  </sheetData>
  <mergeCells count="4">
    <mergeCell ref="A1:J1"/>
    <mergeCell ref="A2:J2"/>
    <mergeCell ref="A4:J4"/>
    <mergeCell ref="A14:J14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9"/>
  <sheetViews>
    <sheetView zoomScaleNormal="100" workbookViewId="0">
      <selection activeCell="F16" sqref="F16"/>
    </sheetView>
  </sheetViews>
  <sheetFormatPr baseColWidth="10" defaultColWidth="8.6640625" defaultRowHeight="14.4" x14ac:dyDescent="0.3"/>
  <cols>
    <col min="1" max="1" width="25.21875" bestFit="1" customWidth="1"/>
    <col min="2" max="2" width="30" bestFit="1" customWidth="1"/>
  </cols>
  <sheetData>
    <row r="1" spans="1:8" ht="24.75" customHeight="1" x14ac:dyDescent="0.35">
      <c r="A1" s="88" t="s">
        <v>191</v>
      </c>
      <c r="B1" s="88"/>
      <c r="C1" s="88"/>
      <c r="D1" s="88"/>
      <c r="E1" s="88"/>
      <c r="F1" s="88"/>
      <c r="G1" s="88"/>
      <c r="H1" s="88"/>
    </row>
    <row r="3" spans="1:8" ht="15" customHeight="1" x14ac:dyDescent="0.3">
      <c r="A3" s="79" t="s">
        <v>192</v>
      </c>
      <c r="B3" s="79"/>
      <c r="C3" s="79"/>
      <c r="D3" s="79"/>
      <c r="E3" s="79"/>
      <c r="F3" s="79"/>
      <c r="G3" s="79"/>
      <c r="H3" s="79"/>
    </row>
    <row r="5" spans="1:8" ht="15" customHeight="1" x14ac:dyDescent="0.3">
      <c r="A5" s="53" t="s">
        <v>193</v>
      </c>
      <c r="B5" s="54">
        <f>Costos!F13</f>
        <v>222735.3</v>
      </c>
    </row>
    <row r="6" spans="1:8" ht="15" customHeight="1" x14ac:dyDescent="0.3">
      <c r="A6" s="53" t="s">
        <v>194</v>
      </c>
      <c r="B6" s="54">
        <f>Cashflow_Compras!J9</f>
        <v>232926</v>
      </c>
    </row>
    <row r="7" spans="1:8" ht="15" customHeight="1" x14ac:dyDescent="0.3">
      <c r="A7" s="53" t="s">
        <v>195</v>
      </c>
      <c r="B7" s="7">
        <f>SUM(Costos!C5:C12)</f>
        <v>6</v>
      </c>
      <c r="C7" s="2" t="s">
        <v>196</v>
      </c>
    </row>
    <row r="8" spans="1:8" ht="15" customHeight="1" x14ac:dyDescent="0.3">
      <c r="A8" s="53" t="s">
        <v>197</v>
      </c>
      <c r="B8" s="54">
        <f>MAX(Cashflow_Compras!B9:I9)</f>
        <v>232926</v>
      </c>
    </row>
    <row r="9" spans="1:8" ht="15" customHeight="1" x14ac:dyDescent="0.3">
      <c r="A9" s="53"/>
    </row>
    <row r="10" spans="1:8" ht="15" customHeight="1" x14ac:dyDescent="0.3">
      <c r="A10" s="53" t="s">
        <v>198</v>
      </c>
      <c r="B10" s="55" t="s">
        <v>199</v>
      </c>
      <c r="C10" s="2" t="s">
        <v>200</v>
      </c>
    </row>
    <row r="11" spans="1:8" ht="15" customHeight="1" x14ac:dyDescent="0.3">
      <c r="A11" s="53" t="s">
        <v>201</v>
      </c>
      <c r="B11" s="55" t="s">
        <v>199</v>
      </c>
      <c r="C11" s="2" t="s">
        <v>200</v>
      </c>
    </row>
    <row r="14" spans="1:8" ht="15" customHeight="1" x14ac:dyDescent="0.3">
      <c r="A14" s="79" t="s">
        <v>202</v>
      </c>
      <c r="B14" s="79"/>
      <c r="C14" s="79"/>
      <c r="D14" s="79"/>
      <c r="E14" s="79"/>
      <c r="F14" s="79"/>
      <c r="G14" s="79"/>
      <c r="H14" s="79"/>
    </row>
    <row r="16" spans="1:8" ht="15" customHeight="1" x14ac:dyDescent="0.3">
      <c r="A16" s="53" t="s">
        <v>203</v>
      </c>
      <c r="B16" s="56" t="str">
        <f>Inputs!B58</f>
        <v>Ordering Cost</v>
      </c>
    </row>
    <row r="17" spans="1:6" ht="15" customHeight="1" x14ac:dyDescent="0.3">
      <c r="A17" s="53" t="s">
        <v>204</v>
      </c>
      <c r="B17" s="56" t="str">
        <f>Inputs!B69</f>
        <v>A</v>
      </c>
    </row>
    <row r="18" spans="1:6" ht="15" customHeight="1" x14ac:dyDescent="0.3">
      <c r="A18" s="53" t="s">
        <v>205</v>
      </c>
      <c r="B18" s="56" t="str">
        <f>Escenarios!B4</f>
        <v>Base</v>
      </c>
    </row>
    <row r="25" spans="1:6" ht="15" customHeight="1" x14ac:dyDescent="0.3">
      <c r="A25" s="89" t="s">
        <v>206</v>
      </c>
      <c r="B25" s="89"/>
      <c r="C25" s="89"/>
      <c r="D25" s="89"/>
      <c r="E25" s="89"/>
      <c r="F25" s="89"/>
    </row>
    <row r="27" spans="1:6" ht="15" customHeight="1" x14ac:dyDescent="0.3">
      <c r="A27" s="53" t="s">
        <v>207</v>
      </c>
      <c r="B27" s="57">
        <f>COUNTIF(Inventario_Dinamico!J55:J62,"&lt;0")</f>
        <v>0</v>
      </c>
      <c r="C27" s="2" t="s">
        <v>200</v>
      </c>
    </row>
    <row r="28" spans="1:6" ht="15" customHeight="1" x14ac:dyDescent="0.3">
      <c r="A28" s="53" t="s">
        <v>208</v>
      </c>
      <c r="B28" s="57" t="str">
        <f>IF(OR(Inputs!B58="B",Inputs!B69="B"),"SÍ - REVISAR","NO")</f>
        <v>NO</v>
      </c>
    </row>
    <row r="29" spans="1:6" ht="15" customHeight="1" x14ac:dyDescent="0.3">
      <c r="A29" s="53" t="s">
        <v>209</v>
      </c>
      <c r="B29" s="57" t="str">
        <f>IF(Cashflow_Integrado!B37&gt;100000,"SÍ - ALERTA","NO")</f>
        <v>NO</v>
      </c>
    </row>
  </sheetData>
  <mergeCells count="4">
    <mergeCell ref="A1:H1"/>
    <mergeCell ref="A3:H3"/>
    <mergeCell ref="A14:H14"/>
    <mergeCell ref="A25:F25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133"/>
  <sheetViews>
    <sheetView zoomScaleNormal="100" workbookViewId="0">
      <selection activeCell="E6" sqref="E6"/>
    </sheetView>
  </sheetViews>
  <sheetFormatPr baseColWidth="10" defaultColWidth="8.6640625" defaultRowHeight="14.4" x14ac:dyDescent="0.3"/>
  <cols>
    <col min="1" max="1" width="30" bestFit="1" customWidth="1"/>
    <col min="2" max="2" width="17.21875" bestFit="1" customWidth="1"/>
    <col min="3" max="3" width="14.6640625" bestFit="1" customWidth="1"/>
    <col min="4" max="4" width="12" bestFit="1" customWidth="1"/>
    <col min="5" max="5" width="24.33203125" bestFit="1" customWidth="1"/>
    <col min="6" max="6" width="21.88671875" bestFit="1" customWidth="1"/>
    <col min="7" max="7" width="18.6640625" bestFit="1" customWidth="1"/>
    <col min="8" max="8" width="21.33203125" bestFit="1" customWidth="1"/>
    <col min="9" max="9" width="21.88671875" bestFit="1" customWidth="1"/>
  </cols>
  <sheetData>
    <row r="1" spans="1:10" ht="17.25" customHeight="1" x14ac:dyDescent="0.3">
      <c r="A1" s="91" t="s">
        <v>210</v>
      </c>
      <c r="B1" s="91"/>
      <c r="C1" s="91"/>
      <c r="D1" s="91"/>
      <c r="E1" s="91"/>
      <c r="F1" s="91"/>
      <c r="G1" s="91"/>
      <c r="H1" s="91"/>
      <c r="I1" s="91"/>
      <c r="J1" s="91"/>
    </row>
    <row r="2" spans="1:10" ht="15" customHeight="1" x14ac:dyDescent="0.3">
      <c r="A2" s="92" t="s">
        <v>211</v>
      </c>
      <c r="B2" s="92"/>
      <c r="C2" s="92"/>
      <c r="D2" s="92"/>
      <c r="E2" s="92"/>
      <c r="F2" s="92"/>
      <c r="G2" s="92"/>
      <c r="H2" s="92"/>
      <c r="I2" s="92"/>
      <c r="J2" s="92"/>
    </row>
    <row r="4" spans="1:10" ht="15" customHeight="1" x14ac:dyDescent="0.3">
      <c r="A4" s="79" t="s">
        <v>212</v>
      </c>
      <c r="B4" s="79"/>
      <c r="C4" s="79"/>
      <c r="D4" s="79"/>
    </row>
    <row r="6" spans="1:10" ht="15" customHeight="1" x14ac:dyDescent="0.3">
      <c r="A6" s="8" t="s">
        <v>138</v>
      </c>
      <c r="B6" s="8" t="s">
        <v>213</v>
      </c>
      <c r="C6" s="8" t="s">
        <v>18</v>
      </c>
    </row>
    <row r="7" spans="1:10" ht="15" customHeight="1" x14ac:dyDescent="0.3">
      <c r="A7" s="9" t="s">
        <v>214</v>
      </c>
      <c r="B7" s="58">
        <v>0.2</v>
      </c>
      <c r="C7" s="9" t="s">
        <v>215</v>
      </c>
    </row>
    <row r="8" spans="1:10" ht="15" customHeight="1" x14ac:dyDescent="0.3">
      <c r="A8" s="9" t="s">
        <v>216</v>
      </c>
      <c r="B8" s="34">
        <v>150</v>
      </c>
      <c r="C8" s="9" t="s">
        <v>217</v>
      </c>
    </row>
    <row r="9" spans="1:10" ht="15" customHeight="1" x14ac:dyDescent="0.3">
      <c r="A9" s="9" t="s">
        <v>218</v>
      </c>
      <c r="B9" s="34">
        <v>1</v>
      </c>
      <c r="C9" s="9" t="s">
        <v>219</v>
      </c>
    </row>
    <row r="12" spans="1:10" ht="15" customHeight="1" x14ac:dyDescent="0.3">
      <c r="A12" s="79" t="s">
        <v>220</v>
      </c>
      <c r="B12" s="79"/>
      <c r="C12" s="79"/>
      <c r="D12" s="79"/>
      <c r="E12" s="79"/>
      <c r="F12" s="79"/>
      <c r="G12" s="79"/>
      <c r="H12" s="79"/>
      <c r="I12" s="79"/>
      <c r="J12" s="79"/>
    </row>
    <row r="13" spans="1:10" ht="23.25" customHeight="1" x14ac:dyDescent="0.3">
      <c r="A13" s="31" t="s">
        <v>15</v>
      </c>
      <c r="B13" s="31" t="s">
        <v>221</v>
      </c>
      <c r="C13" s="31" t="s">
        <v>222</v>
      </c>
      <c r="D13" s="31" t="s">
        <v>223</v>
      </c>
      <c r="E13" s="31" t="s">
        <v>224</v>
      </c>
      <c r="F13" s="31" t="s">
        <v>225</v>
      </c>
      <c r="G13" s="31" t="s">
        <v>226</v>
      </c>
      <c r="H13" s="31" t="s">
        <v>227</v>
      </c>
      <c r="I13" s="31" t="s">
        <v>178</v>
      </c>
    </row>
    <row r="14" spans="1:10" ht="15" customHeight="1" x14ac:dyDescent="0.3">
      <c r="A14" s="9" t="s">
        <v>19</v>
      </c>
      <c r="B14" s="59" t="str">
        <f>Inputs!B69</f>
        <v>A</v>
      </c>
      <c r="C14" s="32">
        <f>SUM(Compras_y_Lotes!F18:F25)</f>
        <v>0</v>
      </c>
      <c r="D14" s="60">
        <f>IF(B14="B",$B$7,0)</f>
        <v>0</v>
      </c>
      <c r="E14" s="61">
        <f>C14*D14</f>
        <v>0</v>
      </c>
      <c r="F14" s="33">
        <f>E14*Inputs!B35</f>
        <v>0</v>
      </c>
      <c r="G14" s="62">
        <f>F14/Inputs!B23</f>
        <v>0</v>
      </c>
      <c r="H14" s="36">
        <f>G14*$B$8</f>
        <v>0</v>
      </c>
      <c r="I14" s="63">
        <f>H14</f>
        <v>0</v>
      </c>
    </row>
    <row r="15" spans="1:10" ht="15" customHeight="1" x14ac:dyDescent="0.3">
      <c r="A15" s="9" t="s">
        <v>22</v>
      </c>
      <c r="B15" s="59" t="str">
        <f>Inputs!B77</f>
        <v>A</v>
      </c>
      <c r="C15" s="32">
        <f>SUM(Compras_y_Lotes!F26:F33)</f>
        <v>0</v>
      </c>
      <c r="D15" s="60">
        <f>IF(B15="B",$B$7,0)</f>
        <v>0</v>
      </c>
      <c r="E15" s="61">
        <f>C15*D15</f>
        <v>0</v>
      </c>
      <c r="F15" s="33">
        <f>E15*Inputs!B36</f>
        <v>0</v>
      </c>
      <c r="G15" s="62">
        <f>F15/Inputs!B24</f>
        <v>0</v>
      </c>
      <c r="H15" s="36">
        <f>G15*$B$8</f>
        <v>0</v>
      </c>
      <c r="I15" s="63">
        <f>H15</f>
        <v>0</v>
      </c>
    </row>
    <row r="18" spans="1:8" ht="15" customHeight="1" x14ac:dyDescent="0.3">
      <c r="A18" s="79" t="s">
        <v>228</v>
      </c>
      <c r="B18" s="79"/>
      <c r="C18" s="79"/>
      <c r="D18" s="79"/>
      <c r="E18" s="79"/>
      <c r="F18" s="79"/>
      <c r="G18" s="79"/>
      <c r="H18" s="79"/>
    </row>
    <row r="19" spans="1:8" ht="15" customHeight="1" x14ac:dyDescent="0.3">
      <c r="A19" s="8" t="s">
        <v>15</v>
      </c>
      <c r="B19" s="8" t="s">
        <v>184</v>
      </c>
      <c r="C19" s="8" t="s">
        <v>125</v>
      </c>
      <c r="D19" s="8" t="s">
        <v>65</v>
      </c>
      <c r="E19" s="8" t="s">
        <v>229</v>
      </c>
      <c r="F19" s="8" t="s">
        <v>178</v>
      </c>
      <c r="G19" s="8" t="s">
        <v>230</v>
      </c>
      <c r="H19" s="8" t="s">
        <v>231</v>
      </c>
    </row>
    <row r="20" spans="1:8" ht="15" customHeight="1" x14ac:dyDescent="0.3">
      <c r="A20" s="9" t="s">
        <v>19</v>
      </c>
      <c r="B20" s="10" t="s">
        <v>67</v>
      </c>
      <c r="C20" s="36">
        <f>SUM(Compras_y_Lotes!I18:I25)</f>
        <v>0</v>
      </c>
      <c r="D20" s="50">
        <v>0</v>
      </c>
      <c r="E20" s="44">
        <v>0</v>
      </c>
      <c r="F20" s="44">
        <v>0</v>
      </c>
      <c r="G20" s="36">
        <f>C20+F20</f>
        <v>0</v>
      </c>
      <c r="H20" s="90"/>
    </row>
    <row r="21" spans="1:8" ht="15" customHeight="1" x14ac:dyDescent="0.3">
      <c r="A21" s="9"/>
      <c r="B21" s="10" t="s">
        <v>71</v>
      </c>
      <c r="C21" s="36">
        <f>IF(SUM(Compras_y_Lotes!F18:F25)&gt;=150,C20*(1-0.16),C20)</f>
        <v>0</v>
      </c>
      <c r="D21" s="50">
        <v>0.16</v>
      </c>
      <c r="E21" s="64">
        <f>C20-C21</f>
        <v>0</v>
      </c>
      <c r="F21" s="65">
        <f>I14</f>
        <v>0</v>
      </c>
      <c r="G21" s="36">
        <f>C21+F21</f>
        <v>0</v>
      </c>
      <c r="H21" s="90"/>
    </row>
    <row r="22" spans="1:8" ht="15" customHeight="1" x14ac:dyDescent="0.3">
      <c r="A22" s="9" t="s">
        <v>22</v>
      </c>
      <c r="B22" s="10" t="s">
        <v>67</v>
      </c>
      <c r="C22" s="36">
        <f>SUM(Compras_y_Lotes!I26:I33)</f>
        <v>0</v>
      </c>
      <c r="D22" s="50">
        <v>0</v>
      </c>
      <c r="E22" s="44">
        <v>0</v>
      </c>
      <c r="F22" s="44">
        <v>0</v>
      </c>
      <c r="G22" s="36">
        <f>C22+F22</f>
        <v>0</v>
      </c>
      <c r="H22" s="90"/>
    </row>
    <row r="23" spans="1:8" ht="15" customHeight="1" x14ac:dyDescent="0.3">
      <c r="A23" s="9"/>
      <c r="B23" s="10" t="s">
        <v>71</v>
      </c>
      <c r="C23" s="36">
        <f>IF(SUM(Compras_y_Lotes!F26:F33)&gt;=80,C22*(1-0.2),C22)</f>
        <v>0</v>
      </c>
      <c r="D23" s="50">
        <v>0.2</v>
      </c>
      <c r="E23" s="64">
        <f>C22-C23</f>
        <v>0</v>
      </c>
      <c r="F23" s="65">
        <f>I15</f>
        <v>0</v>
      </c>
      <c r="G23" s="36">
        <f>C23+F23</f>
        <v>0</v>
      </c>
      <c r="H23" s="90"/>
    </row>
    <row r="25" spans="1:8" x14ac:dyDescent="0.3">
      <c r="A25" t="s">
        <v>318</v>
      </c>
    </row>
    <row r="26" spans="1:8" x14ac:dyDescent="0.3">
      <c r="A26" t="s">
        <v>319</v>
      </c>
      <c r="B26">
        <f>Costos!F13</f>
        <v>222735.3</v>
      </c>
    </row>
    <row r="27" spans="1:8" x14ac:dyDescent="0.3">
      <c r="A27" t="s">
        <v>320</v>
      </c>
      <c r="B27">
        <f>IF(B14="B",SUM(Compras_y_Lotes!F18:F25)*Inputs!B35/Inputs!B23*$B$8,0)</f>
        <v>0</v>
      </c>
    </row>
    <row r="28" spans="1:8" x14ac:dyDescent="0.3">
      <c r="A28" t="s">
        <v>321</v>
      </c>
      <c r="B28">
        <f>IF(B15="B",SUM(Compras_y_Lotes!F26:F33)*Inputs!B36/Inputs!B24*$B$8,0)</f>
        <v>0</v>
      </c>
    </row>
    <row r="29" spans="1:8" x14ac:dyDescent="0.3">
      <c r="A29" t="s">
        <v>322</v>
      </c>
    </row>
    <row r="30" spans="1:8" x14ac:dyDescent="0.3">
      <c r="A30" t="s">
        <v>323</v>
      </c>
      <c r="B30" t="s">
        <v>324</v>
      </c>
      <c r="C30" t="s">
        <v>325</v>
      </c>
      <c r="D30" t="s">
        <v>114</v>
      </c>
    </row>
    <row r="31" spans="1:8" x14ac:dyDescent="0.3">
      <c r="A31">
        <f>ROW()-30</f>
        <v>1</v>
      </c>
      <c r="B31">
        <f ca="1">IF($B$14="B",--(RAND()&lt;=$B$7),0)</f>
        <v>0</v>
      </c>
      <c r="C31">
        <f ca="1">IF($B$15="B",--(RAND()&lt;=$B$7),0)</f>
        <v>0</v>
      </c>
      <c r="D31">
        <f ca="1">$B$26+B31*$B$27+C31*$B$28</f>
        <v>222735.3</v>
      </c>
    </row>
    <row r="32" spans="1:8" x14ac:dyDescent="0.3">
      <c r="A32">
        <f t="shared" ref="A32:A95" si="0">ROW()-30</f>
        <v>2</v>
      </c>
      <c r="B32">
        <f t="shared" ref="B32:B95" ca="1" si="1">IF($B$14="B",--(RAND()&lt;=$B$7),0)</f>
        <v>0</v>
      </c>
      <c r="C32">
        <f t="shared" ref="C32:C95" ca="1" si="2">IF($B$15="B",--(RAND()&lt;=$B$7),0)</f>
        <v>0</v>
      </c>
      <c r="D32">
        <f t="shared" ref="D32:D95" ca="1" si="3">$B$26+B32*$B$27+C32*$B$28</f>
        <v>222735.3</v>
      </c>
    </row>
    <row r="33" spans="1:4" x14ac:dyDescent="0.3">
      <c r="A33">
        <f t="shared" si="0"/>
        <v>3</v>
      </c>
      <c r="B33">
        <f t="shared" ca="1" si="1"/>
        <v>0</v>
      </c>
      <c r="C33">
        <f t="shared" ca="1" si="2"/>
        <v>0</v>
      </c>
      <c r="D33">
        <f t="shared" ca="1" si="3"/>
        <v>222735.3</v>
      </c>
    </row>
    <row r="34" spans="1:4" x14ac:dyDescent="0.3">
      <c r="A34">
        <f t="shared" si="0"/>
        <v>4</v>
      </c>
      <c r="B34">
        <f t="shared" ca="1" si="1"/>
        <v>0</v>
      </c>
      <c r="C34">
        <f t="shared" ca="1" si="2"/>
        <v>0</v>
      </c>
      <c r="D34">
        <f t="shared" ca="1" si="3"/>
        <v>222735.3</v>
      </c>
    </row>
    <row r="35" spans="1:4" x14ac:dyDescent="0.3">
      <c r="A35">
        <f t="shared" si="0"/>
        <v>5</v>
      </c>
      <c r="B35">
        <f t="shared" ca="1" si="1"/>
        <v>0</v>
      </c>
      <c r="C35">
        <f t="shared" ca="1" si="2"/>
        <v>0</v>
      </c>
      <c r="D35">
        <f t="shared" ca="1" si="3"/>
        <v>222735.3</v>
      </c>
    </row>
    <row r="36" spans="1:4" x14ac:dyDescent="0.3">
      <c r="A36">
        <f t="shared" si="0"/>
        <v>6</v>
      </c>
      <c r="B36">
        <f t="shared" ca="1" si="1"/>
        <v>0</v>
      </c>
      <c r="C36">
        <f t="shared" ca="1" si="2"/>
        <v>0</v>
      </c>
      <c r="D36">
        <f t="shared" ca="1" si="3"/>
        <v>222735.3</v>
      </c>
    </row>
    <row r="37" spans="1:4" x14ac:dyDescent="0.3">
      <c r="A37">
        <f t="shared" si="0"/>
        <v>7</v>
      </c>
      <c r="B37">
        <f t="shared" ca="1" si="1"/>
        <v>0</v>
      </c>
      <c r="C37">
        <f t="shared" ca="1" si="2"/>
        <v>0</v>
      </c>
      <c r="D37">
        <f t="shared" ca="1" si="3"/>
        <v>222735.3</v>
      </c>
    </row>
    <row r="38" spans="1:4" x14ac:dyDescent="0.3">
      <c r="A38">
        <f t="shared" si="0"/>
        <v>8</v>
      </c>
      <c r="B38">
        <f t="shared" ca="1" si="1"/>
        <v>0</v>
      </c>
      <c r="C38">
        <f t="shared" ca="1" si="2"/>
        <v>0</v>
      </c>
      <c r="D38">
        <f t="shared" ca="1" si="3"/>
        <v>222735.3</v>
      </c>
    </row>
    <row r="39" spans="1:4" x14ac:dyDescent="0.3">
      <c r="A39">
        <f t="shared" si="0"/>
        <v>9</v>
      </c>
      <c r="B39">
        <f t="shared" ca="1" si="1"/>
        <v>0</v>
      </c>
      <c r="C39">
        <f t="shared" ca="1" si="2"/>
        <v>0</v>
      </c>
      <c r="D39">
        <f t="shared" ca="1" si="3"/>
        <v>222735.3</v>
      </c>
    </row>
    <row r="40" spans="1:4" x14ac:dyDescent="0.3">
      <c r="A40">
        <f t="shared" si="0"/>
        <v>10</v>
      </c>
      <c r="B40">
        <f t="shared" ca="1" si="1"/>
        <v>0</v>
      </c>
      <c r="C40">
        <f t="shared" ca="1" si="2"/>
        <v>0</v>
      </c>
      <c r="D40">
        <f t="shared" ca="1" si="3"/>
        <v>222735.3</v>
      </c>
    </row>
    <row r="41" spans="1:4" x14ac:dyDescent="0.3">
      <c r="A41">
        <f t="shared" si="0"/>
        <v>11</v>
      </c>
      <c r="B41">
        <f t="shared" ca="1" si="1"/>
        <v>0</v>
      </c>
      <c r="C41">
        <f t="shared" ca="1" si="2"/>
        <v>0</v>
      </c>
      <c r="D41">
        <f t="shared" ca="1" si="3"/>
        <v>222735.3</v>
      </c>
    </row>
    <row r="42" spans="1:4" x14ac:dyDescent="0.3">
      <c r="A42">
        <f t="shared" si="0"/>
        <v>12</v>
      </c>
      <c r="B42">
        <f t="shared" ca="1" si="1"/>
        <v>0</v>
      </c>
      <c r="C42">
        <f t="shared" ca="1" si="2"/>
        <v>0</v>
      </c>
      <c r="D42">
        <f t="shared" ca="1" si="3"/>
        <v>222735.3</v>
      </c>
    </row>
    <row r="43" spans="1:4" x14ac:dyDescent="0.3">
      <c r="A43">
        <f t="shared" si="0"/>
        <v>13</v>
      </c>
      <c r="B43">
        <f t="shared" ca="1" si="1"/>
        <v>0</v>
      </c>
      <c r="C43">
        <f t="shared" ca="1" si="2"/>
        <v>0</v>
      </c>
      <c r="D43">
        <f t="shared" ca="1" si="3"/>
        <v>222735.3</v>
      </c>
    </row>
    <row r="44" spans="1:4" x14ac:dyDescent="0.3">
      <c r="A44">
        <f t="shared" si="0"/>
        <v>14</v>
      </c>
      <c r="B44">
        <f t="shared" ca="1" si="1"/>
        <v>0</v>
      </c>
      <c r="C44">
        <f t="shared" ca="1" si="2"/>
        <v>0</v>
      </c>
      <c r="D44">
        <f t="shared" ca="1" si="3"/>
        <v>222735.3</v>
      </c>
    </row>
    <row r="45" spans="1:4" x14ac:dyDescent="0.3">
      <c r="A45">
        <f t="shared" si="0"/>
        <v>15</v>
      </c>
      <c r="B45">
        <f t="shared" ca="1" si="1"/>
        <v>0</v>
      </c>
      <c r="C45">
        <f t="shared" ca="1" si="2"/>
        <v>0</v>
      </c>
      <c r="D45">
        <f t="shared" ca="1" si="3"/>
        <v>222735.3</v>
      </c>
    </row>
    <row r="46" spans="1:4" x14ac:dyDescent="0.3">
      <c r="A46">
        <f t="shared" si="0"/>
        <v>16</v>
      </c>
      <c r="B46">
        <f t="shared" ca="1" si="1"/>
        <v>0</v>
      </c>
      <c r="C46">
        <f t="shared" ca="1" si="2"/>
        <v>0</v>
      </c>
      <c r="D46">
        <f t="shared" ca="1" si="3"/>
        <v>222735.3</v>
      </c>
    </row>
    <row r="47" spans="1:4" x14ac:dyDescent="0.3">
      <c r="A47">
        <f t="shared" si="0"/>
        <v>17</v>
      </c>
      <c r="B47">
        <f t="shared" ca="1" si="1"/>
        <v>0</v>
      </c>
      <c r="C47">
        <f t="shared" ca="1" si="2"/>
        <v>0</v>
      </c>
      <c r="D47">
        <f t="shared" ca="1" si="3"/>
        <v>222735.3</v>
      </c>
    </row>
    <row r="48" spans="1:4" x14ac:dyDescent="0.3">
      <c r="A48">
        <f t="shared" si="0"/>
        <v>18</v>
      </c>
      <c r="B48">
        <f t="shared" ca="1" si="1"/>
        <v>0</v>
      </c>
      <c r="C48">
        <f t="shared" ca="1" si="2"/>
        <v>0</v>
      </c>
      <c r="D48">
        <f t="shared" ca="1" si="3"/>
        <v>222735.3</v>
      </c>
    </row>
    <row r="49" spans="1:4" x14ac:dyDescent="0.3">
      <c r="A49">
        <f t="shared" si="0"/>
        <v>19</v>
      </c>
      <c r="B49">
        <f t="shared" ca="1" si="1"/>
        <v>0</v>
      </c>
      <c r="C49">
        <f t="shared" ca="1" si="2"/>
        <v>0</v>
      </c>
      <c r="D49">
        <f t="shared" ca="1" si="3"/>
        <v>222735.3</v>
      </c>
    </row>
    <row r="50" spans="1:4" x14ac:dyDescent="0.3">
      <c r="A50">
        <f t="shared" si="0"/>
        <v>20</v>
      </c>
      <c r="B50">
        <f t="shared" ca="1" si="1"/>
        <v>0</v>
      </c>
      <c r="C50">
        <f t="shared" ca="1" si="2"/>
        <v>0</v>
      </c>
      <c r="D50">
        <f t="shared" ca="1" si="3"/>
        <v>222735.3</v>
      </c>
    </row>
    <row r="51" spans="1:4" x14ac:dyDescent="0.3">
      <c r="A51">
        <f t="shared" si="0"/>
        <v>21</v>
      </c>
      <c r="B51">
        <f t="shared" ca="1" si="1"/>
        <v>0</v>
      </c>
      <c r="C51">
        <f t="shared" ca="1" si="2"/>
        <v>0</v>
      </c>
      <c r="D51">
        <f t="shared" ca="1" si="3"/>
        <v>222735.3</v>
      </c>
    </row>
    <row r="52" spans="1:4" x14ac:dyDescent="0.3">
      <c r="A52">
        <f t="shared" si="0"/>
        <v>22</v>
      </c>
      <c r="B52">
        <f t="shared" ca="1" si="1"/>
        <v>0</v>
      </c>
      <c r="C52">
        <f t="shared" ca="1" si="2"/>
        <v>0</v>
      </c>
      <c r="D52">
        <f t="shared" ca="1" si="3"/>
        <v>222735.3</v>
      </c>
    </row>
    <row r="53" spans="1:4" x14ac:dyDescent="0.3">
      <c r="A53">
        <f t="shared" si="0"/>
        <v>23</v>
      </c>
      <c r="B53">
        <f t="shared" ca="1" si="1"/>
        <v>0</v>
      </c>
      <c r="C53">
        <f t="shared" ca="1" si="2"/>
        <v>0</v>
      </c>
      <c r="D53">
        <f t="shared" ca="1" si="3"/>
        <v>222735.3</v>
      </c>
    </row>
    <row r="54" spans="1:4" x14ac:dyDescent="0.3">
      <c r="A54">
        <f t="shared" si="0"/>
        <v>24</v>
      </c>
      <c r="B54">
        <f t="shared" ca="1" si="1"/>
        <v>0</v>
      </c>
      <c r="C54">
        <f t="shared" ca="1" si="2"/>
        <v>0</v>
      </c>
      <c r="D54">
        <f t="shared" ca="1" si="3"/>
        <v>222735.3</v>
      </c>
    </row>
    <row r="55" spans="1:4" x14ac:dyDescent="0.3">
      <c r="A55">
        <f t="shared" si="0"/>
        <v>25</v>
      </c>
      <c r="B55">
        <f t="shared" ca="1" si="1"/>
        <v>0</v>
      </c>
      <c r="C55">
        <f t="shared" ca="1" si="2"/>
        <v>0</v>
      </c>
      <c r="D55">
        <f t="shared" ca="1" si="3"/>
        <v>222735.3</v>
      </c>
    </row>
    <row r="56" spans="1:4" x14ac:dyDescent="0.3">
      <c r="A56">
        <f t="shared" si="0"/>
        <v>26</v>
      </c>
      <c r="B56">
        <f t="shared" ca="1" si="1"/>
        <v>0</v>
      </c>
      <c r="C56">
        <f t="shared" ca="1" si="2"/>
        <v>0</v>
      </c>
      <c r="D56">
        <f t="shared" ca="1" si="3"/>
        <v>222735.3</v>
      </c>
    </row>
    <row r="57" spans="1:4" x14ac:dyDescent="0.3">
      <c r="A57">
        <f t="shared" si="0"/>
        <v>27</v>
      </c>
      <c r="B57">
        <f t="shared" ca="1" si="1"/>
        <v>0</v>
      </c>
      <c r="C57">
        <f t="shared" ca="1" si="2"/>
        <v>0</v>
      </c>
      <c r="D57">
        <f t="shared" ca="1" si="3"/>
        <v>222735.3</v>
      </c>
    </row>
    <row r="58" spans="1:4" x14ac:dyDescent="0.3">
      <c r="A58">
        <f t="shared" si="0"/>
        <v>28</v>
      </c>
      <c r="B58">
        <f t="shared" ca="1" si="1"/>
        <v>0</v>
      </c>
      <c r="C58">
        <f t="shared" ca="1" si="2"/>
        <v>0</v>
      </c>
      <c r="D58">
        <f t="shared" ca="1" si="3"/>
        <v>222735.3</v>
      </c>
    </row>
    <row r="59" spans="1:4" x14ac:dyDescent="0.3">
      <c r="A59">
        <f t="shared" si="0"/>
        <v>29</v>
      </c>
      <c r="B59">
        <f t="shared" ca="1" si="1"/>
        <v>0</v>
      </c>
      <c r="C59">
        <f t="shared" ca="1" si="2"/>
        <v>0</v>
      </c>
      <c r="D59">
        <f t="shared" ca="1" si="3"/>
        <v>222735.3</v>
      </c>
    </row>
    <row r="60" spans="1:4" x14ac:dyDescent="0.3">
      <c r="A60">
        <f t="shared" si="0"/>
        <v>30</v>
      </c>
      <c r="B60">
        <f t="shared" ca="1" si="1"/>
        <v>0</v>
      </c>
      <c r="C60">
        <f t="shared" ca="1" si="2"/>
        <v>0</v>
      </c>
      <c r="D60">
        <f t="shared" ca="1" si="3"/>
        <v>222735.3</v>
      </c>
    </row>
    <row r="61" spans="1:4" x14ac:dyDescent="0.3">
      <c r="A61">
        <f t="shared" si="0"/>
        <v>31</v>
      </c>
      <c r="B61">
        <f t="shared" ca="1" si="1"/>
        <v>0</v>
      </c>
      <c r="C61">
        <f t="shared" ca="1" si="2"/>
        <v>0</v>
      </c>
      <c r="D61">
        <f t="shared" ca="1" si="3"/>
        <v>222735.3</v>
      </c>
    </row>
    <row r="62" spans="1:4" x14ac:dyDescent="0.3">
      <c r="A62">
        <f t="shared" si="0"/>
        <v>32</v>
      </c>
      <c r="B62">
        <f t="shared" ca="1" si="1"/>
        <v>0</v>
      </c>
      <c r="C62">
        <f t="shared" ca="1" si="2"/>
        <v>0</v>
      </c>
      <c r="D62">
        <f t="shared" ca="1" si="3"/>
        <v>222735.3</v>
      </c>
    </row>
    <row r="63" spans="1:4" x14ac:dyDescent="0.3">
      <c r="A63">
        <f t="shared" si="0"/>
        <v>33</v>
      </c>
      <c r="B63">
        <f t="shared" ca="1" si="1"/>
        <v>0</v>
      </c>
      <c r="C63">
        <f t="shared" ca="1" si="2"/>
        <v>0</v>
      </c>
      <c r="D63">
        <f t="shared" ca="1" si="3"/>
        <v>222735.3</v>
      </c>
    </row>
    <row r="64" spans="1:4" x14ac:dyDescent="0.3">
      <c r="A64">
        <f t="shared" si="0"/>
        <v>34</v>
      </c>
      <c r="B64">
        <f t="shared" ca="1" si="1"/>
        <v>0</v>
      </c>
      <c r="C64">
        <f t="shared" ca="1" si="2"/>
        <v>0</v>
      </c>
      <c r="D64">
        <f t="shared" ca="1" si="3"/>
        <v>222735.3</v>
      </c>
    </row>
    <row r="65" spans="1:4" x14ac:dyDescent="0.3">
      <c r="A65">
        <f t="shared" si="0"/>
        <v>35</v>
      </c>
      <c r="B65">
        <f t="shared" ca="1" si="1"/>
        <v>0</v>
      </c>
      <c r="C65">
        <f t="shared" ca="1" si="2"/>
        <v>0</v>
      </c>
      <c r="D65">
        <f t="shared" ca="1" si="3"/>
        <v>222735.3</v>
      </c>
    </row>
    <row r="66" spans="1:4" x14ac:dyDescent="0.3">
      <c r="A66">
        <f t="shared" si="0"/>
        <v>36</v>
      </c>
      <c r="B66">
        <f t="shared" ca="1" si="1"/>
        <v>0</v>
      </c>
      <c r="C66">
        <f t="shared" ca="1" si="2"/>
        <v>0</v>
      </c>
      <c r="D66">
        <f t="shared" ca="1" si="3"/>
        <v>222735.3</v>
      </c>
    </row>
    <row r="67" spans="1:4" x14ac:dyDescent="0.3">
      <c r="A67">
        <f t="shared" si="0"/>
        <v>37</v>
      </c>
      <c r="B67">
        <f t="shared" ca="1" si="1"/>
        <v>0</v>
      </c>
      <c r="C67">
        <f t="shared" ca="1" si="2"/>
        <v>0</v>
      </c>
      <c r="D67">
        <f t="shared" ca="1" si="3"/>
        <v>222735.3</v>
      </c>
    </row>
    <row r="68" spans="1:4" x14ac:dyDescent="0.3">
      <c r="A68">
        <f t="shared" si="0"/>
        <v>38</v>
      </c>
      <c r="B68">
        <f t="shared" ca="1" si="1"/>
        <v>0</v>
      </c>
      <c r="C68">
        <f t="shared" ca="1" si="2"/>
        <v>0</v>
      </c>
      <c r="D68">
        <f t="shared" ca="1" si="3"/>
        <v>222735.3</v>
      </c>
    </row>
    <row r="69" spans="1:4" x14ac:dyDescent="0.3">
      <c r="A69">
        <f t="shared" si="0"/>
        <v>39</v>
      </c>
      <c r="B69">
        <f t="shared" ca="1" si="1"/>
        <v>0</v>
      </c>
      <c r="C69">
        <f t="shared" ca="1" si="2"/>
        <v>0</v>
      </c>
      <c r="D69">
        <f t="shared" ca="1" si="3"/>
        <v>222735.3</v>
      </c>
    </row>
    <row r="70" spans="1:4" x14ac:dyDescent="0.3">
      <c r="A70">
        <f t="shared" si="0"/>
        <v>40</v>
      </c>
      <c r="B70">
        <f t="shared" ca="1" si="1"/>
        <v>0</v>
      </c>
      <c r="C70">
        <f t="shared" ca="1" si="2"/>
        <v>0</v>
      </c>
      <c r="D70">
        <f t="shared" ca="1" si="3"/>
        <v>222735.3</v>
      </c>
    </row>
    <row r="71" spans="1:4" x14ac:dyDescent="0.3">
      <c r="A71">
        <f t="shared" si="0"/>
        <v>41</v>
      </c>
      <c r="B71">
        <f t="shared" ca="1" si="1"/>
        <v>0</v>
      </c>
      <c r="C71">
        <f t="shared" ca="1" si="2"/>
        <v>0</v>
      </c>
      <c r="D71">
        <f t="shared" ca="1" si="3"/>
        <v>222735.3</v>
      </c>
    </row>
    <row r="72" spans="1:4" x14ac:dyDescent="0.3">
      <c r="A72">
        <f t="shared" si="0"/>
        <v>42</v>
      </c>
      <c r="B72">
        <f t="shared" ca="1" si="1"/>
        <v>0</v>
      </c>
      <c r="C72">
        <f t="shared" ca="1" si="2"/>
        <v>0</v>
      </c>
      <c r="D72">
        <f t="shared" ca="1" si="3"/>
        <v>222735.3</v>
      </c>
    </row>
    <row r="73" spans="1:4" x14ac:dyDescent="0.3">
      <c r="A73">
        <f t="shared" si="0"/>
        <v>43</v>
      </c>
      <c r="B73">
        <f t="shared" ca="1" si="1"/>
        <v>0</v>
      </c>
      <c r="C73">
        <f t="shared" ca="1" si="2"/>
        <v>0</v>
      </c>
      <c r="D73">
        <f t="shared" ca="1" si="3"/>
        <v>222735.3</v>
      </c>
    </row>
    <row r="74" spans="1:4" x14ac:dyDescent="0.3">
      <c r="A74">
        <f t="shared" si="0"/>
        <v>44</v>
      </c>
      <c r="B74">
        <f t="shared" ca="1" si="1"/>
        <v>0</v>
      </c>
      <c r="C74">
        <f t="shared" ca="1" si="2"/>
        <v>0</v>
      </c>
      <c r="D74">
        <f t="shared" ca="1" si="3"/>
        <v>222735.3</v>
      </c>
    </row>
    <row r="75" spans="1:4" x14ac:dyDescent="0.3">
      <c r="A75">
        <f t="shared" si="0"/>
        <v>45</v>
      </c>
      <c r="B75">
        <f t="shared" ca="1" si="1"/>
        <v>0</v>
      </c>
      <c r="C75">
        <f t="shared" ca="1" si="2"/>
        <v>0</v>
      </c>
      <c r="D75">
        <f t="shared" ca="1" si="3"/>
        <v>222735.3</v>
      </c>
    </row>
    <row r="76" spans="1:4" x14ac:dyDescent="0.3">
      <c r="A76">
        <f t="shared" si="0"/>
        <v>46</v>
      </c>
      <c r="B76">
        <f t="shared" ca="1" si="1"/>
        <v>0</v>
      </c>
      <c r="C76">
        <f t="shared" ca="1" si="2"/>
        <v>0</v>
      </c>
      <c r="D76">
        <f t="shared" ca="1" si="3"/>
        <v>222735.3</v>
      </c>
    </row>
    <row r="77" spans="1:4" x14ac:dyDescent="0.3">
      <c r="A77">
        <f t="shared" si="0"/>
        <v>47</v>
      </c>
      <c r="B77">
        <f t="shared" ca="1" si="1"/>
        <v>0</v>
      </c>
      <c r="C77">
        <f t="shared" ca="1" si="2"/>
        <v>0</v>
      </c>
      <c r="D77">
        <f t="shared" ca="1" si="3"/>
        <v>222735.3</v>
      </c>
    </row>
    <row r="78" spans="1:4" x14ac:dyDescent="0.3">
      <c r="A78">
        <f t="shared" si="0"/>
        <v>48</v>
      </c>
      <c r="B78">
        <f t="shared" ca="1" si="1"/>
        <v>0</v>
      </c>
      <c r="C78">
        <f t="shared" ca="1" si="2"/>
        <v>0</v>
      </c>
      <c r="D78">
        <f t="shared" ca="1" si="3"/>
        <v>222735.3</v>
      </c>
    </row>
    <row r="79" spans="1:4" x14ac:dyDescent="0.3">
      <c r="A79">
        <f t="shared" si="0"/>
        <v>49</v>
      </c>
      <c r="B79">
        <f t="shared" ca="1" si="1"/>
        <v>0</v>
      </c>
      <c r="C79">
        <f t="shared" ca="1" si="2"/>
        <v>0</v>
      </c>
      <c r="D79">
        <f t="shared" ca="1" si="3"/>
        <v>222735.3</v>
      </c>
    </row>
    <row r="80" spans="1:4" x14ac:dyDescent="0.3">
      <c r="A80">
        <f t="shared" si="0"/>
        <v>50</v>
      </c>
      <c r="B80">
        <f t="shared" ca="1" si="1"/>
        <v>0</v>
      </c>
      <c r="C80">
        <f t="shared" ca="1" si="2"/>
        <v>0</v>
      </c>
      <c r="D80">
        <f t="shared" ca="1" si="3"/>
        <v>222735.3</v>
      </c>
    </row>
    <row r="81" spans="1:4" x14ac:dyDescent="0.3">
      <c r="A81">
        <f t="shared" si="0"/>
        <v>51</v>
      </c>
      <c r="B81">
        <f t="shared" ca="1" si="1"/>
        <v>0</v>
      </c>
      <c r="C81">
        <f t="shared" ca="1" si="2"/>
        <v>0</v>
      </c>
      <c r="D81">
        <f t="shared" ca="1" si="3"/>
        <v>222735.3</v>
      </c>
    </row>
    <row r="82" spans="1:4" x14ac:dyDescent="0.3">
      <c r="A82">
        <f t="shared" si="0"/>
        <v>52</v>
      </c>
      <c r="B82">
        <f t="shared" ca="1" si="1"/>
        <v>0</v>
      </c>
      <c r="C82">
        <f t="shared" ca="1" si="2"/>
        <v>0</v>
      </c>
      <c r="D82">
        <f t="shared" ca="1" si="3"/>
        <v>222735.3</v>
      </c>
    </row>
    <row r="83" spans="1:4" x14ac:dyDescent="0.3">
      <c r="A83">
        <f t="shared" si="0"/>
        <v>53</v>
      </c>
      <c r="B83">
        <f t="shared" ca="1" si="1"/>
        <v>0</v>
      </c>
      <c r="C83">
        <f t="shared" ca="1" si="2"/>
        <v>0</v>
      </c>
      <c r="D83">
        <f t="shared" ca="1" si="3"/>
        <v>222735.3</v>
      </c>
    </row>
    <row r="84" spans="1:4" x14ac:dyDescent="0.3">
      <c r="A84">
        <f t="shared" si="0"/>
        <v>54</v>
      </c>
      <c r="B84">
        <f t="shared" ca="1" si="1"/>
        <v>0</v>
      </c>
      <c r="C84">
        <f t="shared" ca="1" si="2"/>
        <v>0</v>
      </c>
      <c r="D84">
        <f t="shared" ca="1" si="3"/>
        <v>222735.3</v>
      </c>
    </row>
    <row r="85" spans="1:4" x14ac:dyDescent="0.3">
      <c r="A85">
        <f t="shared" si="0"/>
        <v>55</v>
      </c>
      <c r="B85">
        <f t="shared" ca="1" si="1"/>
        <v>0</v>
      </c>
      <c r="C85">
        <f t="shared" ca="1" si="2"/>
        <v>0</v>
      </c>
      <c r="D85">
        <f t="shared" ca="1" si="3"/>
        <v>222735.3</v>
      </c>
    </row>
    <row r="86" spans="1:4" x14ac:dyDescent="0.3">
      <c r="A86">
        <f t="shared" si="0"/>
        <v>56</v>
      </c>
      <c r="B86">
        <f t="shared" ca="1" si="1"/>
        <v>0</v>
      </c>
      <c r="C86">
        <f t="shared" ca="1" si="2"/>
        <v>0</v>
      </c>
      <c r="D86">
        <f t="shared" ca="1" si="3"/>
        <v>222735.3</v>
      </c>
    </row>
    <row r="87" spans="1:4" x14ac:dyDescent="0.3">
      <c r="A87">
        <f t="shared" si="0"/>
        <v>57</v>
      </c>
      <c r="B87">
        <f t="shared" ca="1" si="1"/>
        <v>0</v>
      </c>
      <c r="C87">
        <f t="shared" ca="1" si="2"/>
        <v>0</v>
      </c>
      <c r="D87">
        <f t="shared" ca="1" si="3"/>
        <v>222735.3</v>
      </c>
    </row>
    <row r="88" spans="1:4" x14ac:dyDescent="0.3">
      <c r="A88">
        <f t="shared" si="0"/>
        <v>58</v>
      </c>
      <c r="B88">
        <f t="shared" ca="1" si="1"/>
        <v>0</v>
      </c>
      <c r="C88">
        <f t="shared" ca="1" si="2"/>
        <v>0</v>
      </c>
      <c r="D88">
        <f t="shared" ca="1" si="3"/>
        <v>222735.3</v>
      </c>
    </row>
    <row r="89" spans="1:4" x14ac:dyDescent="0.3">
      <c r="A89">
        <f t="shared" si="0"/>
        <v>59</v>
      </c>
      <c r="B89">
        <f t="shared" ca="1" si="1"/>
        <v>0</v>
      </c>
      <c r="C89">
        <f t="shared" ca="1" si="2"/>
        <v>0</v>
      </c>
      <c r="D89">
        <f t="shared" ca="1" si="3"/>
        <v>222735.3</v>
      </c>
    </row>
    <row r="90" spans="1:4" x14ac:dyDescent="0.3">
      <c r="A90">
        <f t="shared" si="0"/>
        <v>60</v>
      </c>
      <c r="B90">
        <f t="shared" ca="1" si="1"/>
        <v>0</v>
      </c>
      <c r="C90">
        <f t="shared" ca="1" si="2"/>
        <v>0</v>
      </c>
      <c r="D90">
        <f t="shared" ca="1" si="3"/>
        <v>222735.3</v>
      </c>
    </row>
    <row r="91" spans="1:4" x14ac:dyDescent="0.3">
      <c r="A91">
        <f t="shared" si="0"/>
        <v>61</v>
      </c>
      <c r="B91">
        <f t="shared" ca="1" si="1"/>
        <v>0</v>
      </c>
      <c r="C91">
        <f t="shared" ca="1" si="2"/>
        <v>0</v>
      </c>
      <c r="D91">
        <f t="shared" ca="1" si="3"/>
        <v>222735.3</v>
      </c>
    </row>
    <row r="92" spans="1:4" x14ac:dyDescent="0.3">
      <c r="A92">
        <f t="shared" si="0"/>
        <v>62</v>
      </c>
      <c r="B92">
        <f t="shared" ca="1" si="1"/>
        <v>0</v>
      </c>
      <c r="C92">
        <f t="shared" ca="1" si="2"/>
        <v>0</v>
      </c>
      <c r="D92">
        <f t="shared" ca="1" si="3"/>
        <v>222735.3</v>
      </c>
    </row>
    <row r="93" spans="1:4" x14ac:dyDescent="0.3">
      <c r="A93">
        <f t="shared" si="0"/>
        <v>63</v>
      </c>
      <c r="B93">
        <f t="shared" ca="1" si="1"/>
        <v>0</v>
      </c>
      <c r="C93">
        <f t="shared" ca="1" si="2"/>
        <v>0</v>
      </c>
      <c r="D93">
        <f t="shared" ca="1" si="3"/>
        <v>222735.3</v>
      </c>
    </row>
    <row r="94" spans="1:4" x14ac:dyDescent="0.3">
      <c r="A94">
        <f t="shared" si="0"/>
        <v>64</v>
      </c>
      <c r="B94">
        <f t="shared" ca="1" si="1"/>
        <v>0</v>
      </c>
      <c r="C94">
        <f t="shared" ca="1" si="2"/>
        <v>0</v>
      </c>
      <c r="D94">
        <f t="shared" ca="1" si="3"/>
        <v>222735.3</v>
      </c>
    </row>
    <row r="95" spans="1:4" x14ac:dyDescent="0.3">
      <c r="A95">
        <f t="shared" si="0"/>
        <v>65</v>
      </c>
      <c r="B95">
        <f t="shared" ca="1" si="1"/>
        <v>0</v>
      </c>
      <c r="C95">
        <f t="shared" ca="1" si="2"/>
        <v>0</v>
      </c>
      <c r="D95">
        <f t="shared" ca="1" si="3"/>
        <v>222735.3</v>
      </c>
    </row>
    <row r="96" spans="1:4" x14ac:dyDescent="0.3">
      <c r="A96">
        <f t="shared" ref="A96:A130" si="4">ROW()-30</f>
        <v>66</v>
      </c>
      <c r="B96">
        <f t="shared" ref="B96:B130" ca="1" si="5">IF($B$14="B",--(RAND()&lt;=$B$7),0)</f>
        <v>0</v>
      </c>
      <c r="C96">
        <f t="shared" ref="C96:C130" ca="1" si="6">IF($B$15="B",--(RAND()&lt;=$B$7),0)</f>
        <v>0</v>
      </c>
      <c r="D96">
        <f t="shared" ref="D96:D130" ca="1" si="7">$B$26+B96*$B$27+C96*$B$28</f>
        <v>222735.3</v>
      </c>
    </row>
    <row r="97" spans="1:4" x14ac:dyDescent="0.3">
      <c r="A97">
        <f t="shared" si="4"/>
        <v>67</v>
      </c>
      <c r="B97">
        <f t="shared" ca="1" si="5"/>
        <v>0</v>
      </c>
      <c r="C97">
        <f t="shared" ca="1" si="6"/>
        <v>0</v>
      </c>
      <c r="D97">
        <f t="shared" ca="1" si="7"/>
        <v>222735.3</v>
      </c>
    </row>
    <row r="98" spans="1:4" x14ac:dyDescent="0.3">
      <c r="A98">
        <f t="shared" si="4"/>
        <v>68</v>
      </c>
      <c r="B98">
        <f t="shared" ca="1" si="5"/>
        <v>0</v>
      </c>
      <c r="C98">
        <f t="shared" ca="1" si="6"/>
        <v>0</v>
      </c>
      <c r="D98">
        <f t="shared" ca="1" si="7"/>
        <v>222735.3</v>
      </c>
    </row>
    <row r="99" spans="1:4" x14ac:dyDescent="0.3">
      <c r="A99">
        <f t="shared" si="4"/>
        <v>69</v>
      </c>
      <c r="B99">
        <f t="shared" ca="1" si="5"/>
        <v>0</v>
      </c>
      <c r="C99">
        <f t="shared" ca="1" si="6"/>
        <v>0</v>
      </c>
      <c r="D99">
        <f t="shared" ca="1" si="7"/>
        <v>222735.3</v>
      </c>
    </row>
    <row r="100" spans="1:4" x14ac:dyDescent="0.3">
      <c r="A100">
        <f t="shared" si="4"/>
        <v>70</v>
      </c>
      <c r="B100">
        <f t="shared" ca="1" si="5"/>
        <v>0</v>
      </c>
      <c r="C100">
        <f t="shared" ca="1" si="6"/>
        <v>0</v>
      </c>
      <c r="D100">
        <f t="shared" ca="1" si="7"/>
        <v>222735.3</v>
      </c>
    </row>
    <row r="101" spans="1:4" x14ac:dyDescent="0.3">
      <c r="A101">
        <f t="shared" si="4"/>
        <v>71</v>
      </c>
      <c r="B101">
        <f t="shared" ca="1" si="5"/>
        <v>0</v>
      </c>
      <c r="C101">
        <f t="shared" ca="1" si="6"/>
        <v>0</v>
      </c>
      <c r="D101">
        <f t="shared" ca="1" si="7"/>
        <v>222735.3</v>
      </c>
    </row>
    <row r="102" spans="1:4" x14ac:dyDescent="0.3">
      <c r="A102">
        <f t="shared" si="4"/>
        <v>72</v>
      </c>
      <c r="B102">
        <f t="shared" ca="1" si="5"/>
        <v>0</v>
      </c>
      <c r="C102">
        <f t="shared" ca="1" si="6"/>
        <v>0</v>
      </c>
      <c r="D102">
        <f t="shared" ca="1" si="7"/>
        <v>222735.3</v>
      </c>
    </row>
    <row r="103" spans="1:4" x14ac:dyDescent="0.3">
      <c r="A103">
        <f t="shared" si="4"/>
        <v>73</v>
      </c>
      <c r="B103">
        <f t="shared" ca="1" si="5"/>
        <v>0</v>
      </c>
      <c r="C103">
        <f t="shared" ca="1" si="6"/>
        <v>0</v>
      </c>
      <c r="D103">
        <f t="shared" ca="1" si="7"/>
        <v>222735.3</v>
      </c>
    </row>
    <row r="104" spans="1:4" x14ac:dyDescent="0.3">
      <c r="A104">
        <f t="shared" si="4"/>
        <v>74</v>
      </c>
      <c r="B104">
        <f t="shared" ca="1" si="5"/>
        <v>0</v>
      </c>
      <c r="C104">
        <f t="shared" ca="1" si="6"/>
        <v>0</v>
      </c>
      <c r="D104">
        <f t="shared" ca="1" si="7"/>
        <v>222735.3</v>
      </c>
    </row>
    <row r="105" spans="1:4" x14ac:dyDescent="0.3">
      <c r="A105">
        <f t="shared" si="4"/>
        <v>75</v>
      </c>
      <c r="B105">
        <f t="shared" ca="1" si="5"/>
        <v>0</v>
      </c>
      <c r="C105">
        <f t="shared" ca="1" si="6"/>
        <v>0</v>
      </c>
      <c r="D105">
        <f t="shared" ca="1" si="7"/>
        <v>222735.3</v>
      </c>
    </row>
    <row r="106" spans="1:4" x14ac:dyDescent="0.3">
      <c r="A106">
        <f t="shared" si="4"/>
        <v>76</v>
      </c>
      <c r="B106">
        <f t="shared" ca="1" si="5"/>
        <v>0</v>
      </c>
      <c r="C106">
        <f t="shared" ca="1" si="6"/>
        <v>0</v>
      </c>
      <c r="D106">
        <f t="shared" ca="1" si="7"/>
        <v>222735.3</v>
      </c>
    </row>
    <row r="107" spans="1:4" x14ac:dyDescent="0.3">
      <c r="A107">
        <f t="shared" si="4"/>
        <v>77</v>
      </c>
      <c r="B107">
        <f t="shared" ca="1" si="5"/>
        <v>0</v>
      </c>
      <c r="C107">
        <f t="shared" ca="1" si="6"/>
        <v>0</v>
      </c>
      <c r="D107">
        <f t="shared" ca="1" si="7"/>
        <v>222735.3</v>
      </c>
    </row>
    <row r="108" spans="1:4" x14ac:dyDescent="0.3">
      <c r="A108">
        <f t="shared" si="4"/>
        <v>78</v>
      </c>
      <c r="B108">
        <f t="shared" ca="1" si="5"/>
        <v>0</v>
      </c>
      <c r="C108">
        <f t="shared" ca="1" si="6"/>
        <v>0</v>
      </c>
      <c r="D108">
        <f t="shared" ca="1" si="7"/>
        <v>222735.3</v>
      </c>
    </row>
    <row r="109" spans="1:4" x14ac:dyDescent="0.3">
      <c r="A109">
        <f t="shared" si="4"/>
        <v>79</v>
      </c>
      <c r="B109">
        <f t="shared" ca="1" si="5"/>
        <v>0</v>
      </c>
      <c r="C109">
        <f t="shared" ca="1" si="6"/>
        <v>0</v>
      </c>
      <c r="D109">
        <f t="shared" ca="1" si="7"/>
        <v>222735.3</v>
      </c>
    </row>
    <row r="110" spans="1:4" x14ac:dyDescent="0.3">
      <c r="A110">
        <f t="shared" si="4"/>
        <v>80</v>
      </c>
      <c r="B110">
        <f t="shared" ca="1" si="5"/>
        <v>0</v>
      </c>
      <c r="C110">
        <f t="shared" ca="1" si="6"/>
        <v>0</v>
      </c>
      <c r="D110">
        <f t="shared" ca="1" si="7"/>
        <v>222735.3</v>
      </c>
    </row>
    <row r="111" spans="1:4" x14ac:dyDescent="0.3">
      <c r="A111">
        <f t="shared" si="4"/>
        <v>81</v>
      </c>
      <c r="B111">
        <f t="shared" ca="1" si="5"/>
        <v>0</v>
      </c>
      <c r="C111">
        <f t="shared" ca="1" si="6"/>
        <v>0</v>
      </c>
      <c r="D111">
        <f t="shared" ca="1" si="7"/>
        <v>222735.3</v>
      </c>
    </row>
    <row r="112" spans="1:4" x14ac:dyDescent="0.3">
      <c r="A112">
        <f t="shared" si="4"/>
        <v>82</v>
      </c>
      <c r="B112">
        <f t="shared" ca="1" si="5"/>
        <v>0</v>
      </c>
      <c r="C112">
        <f t="shared" ca="1" si="6"/>
        <v>0</v>
      </c>
      <c r="D112">
        <f t="shared" ca="1" si="7"/>
        <v>222735.3</v>
      </c>
    </row>
    <row r="113" spans="1:4" x14ac:dyDescent="0.3">
      <c r="A113">
        <f t="shared" si="4"/>
        <v>83</v>
      </c>
      <c r="B113">
        <f t="shared" ca="1" si="5"/>
        <v>0</v>
      </c>
      <c r="C113">
        <f t="shared" ca="1" si="6"/>
        <v>0</v>
      </c>
      <c r="D113">
        <f t="shared" ca="1" si="7"/>
        <v>222735.3</v>
      </c>
    </row>
    <row r="114" spans="1:4" x14ac:dyDescent="0.3">
      <c r="A114">
        <f t="shared" si="4"/>
        <v>84</v>
      </c>
      <c r="B114">
        <f t="shared" ca="1" si="5"/>
        <v>0</v>
      </c>
      <c r="C114">
        <f t="shared" ca="1" si="6"/>
        <v>0</v>
      </c>
      <c r="D114">
        <f t="shared" ca="1" si="7"/>
        <v>222735.3</v>
      </c>
    </row>
    <row r="115" spans="1:4" x14ac:dyDescent="0.3">
      <c r="A115">
        <f t="shared" si="4"/>
        <v>85</v>
      </c>
      <c r="B115">
        <f t="shared" ca="1" si="5"/>
        <v>0</v>
      </c>
      <c r="C115">
        <f t="shared" ca="1" si="6"/>
        <v>0</v>
      </c>
      <c r="D115">
        <f t="shared" ca="1" si="7"/>
        <v>222735.3</v>
      </c>
    </row>
    <row r="116" spans="1:4" x14ac:dyDescent="0.3">
      <c r="A116">
        <f t="shared" si="4"/>
        <v>86</v>
      </c>
      <c r="B116">
        <f t="shared" ca="1" si="5"/>
        <v>0</v>
      </c>
      <c r="C116">
        <f t="shared" ca="1" si="6"/>
        <v>0</v>
      </c>
      <c r="D116">
        <f t="shared" ca="1" si="7"/>
        <v>222735.3</v>
      </c>
    </row>
    <row r="117" spans="1:4" x14ac:dyDescent="0.3">
      <c r="A117">
        <f t="shared" si="4"/>
        <v>87</v>
      </c>
      <c r="B117">
        <f t="shared" ca="1" si="5"/>
        <v>0</v>
      </c>
      <c r="C117">
        <f t="shared" ca="1" si="6"/>
        <v>0</v>
      </c>
      <c r="D117">
        <f t="shared" ca="1" si="7"/>
        <v>222735.3</v>
      </c>
    </row>
    <row r="118" spans="1:4" x14ac:dyDescent="0.3">
      <c r="A118">
        <f t="shared" si="4"/>
        <v>88</v>
      </c>
      <c r="B118">
        <f t="shared" ca="1" si="5"/>
        <v>0</v>
      </c>
      <c r="C118">
        <f t="shared" ca="1" si="6"/>
        <v>0</v>
      </c>
      <c r="D118">
        <f t="shared" ca="1" si="7"/>
        <v>222735.3</v>
      </c>
    </row>
    <row r="119" spans="1:4" x14ac:dyDescent="0.3">
      <c r="A119">
        <f t="shared" si="4"/>
        <v>89</v>
      </c>
      <c r="B119">
        <f t="shared" ca="1" si="5"/>
        <v>0</v>
      </c>
      <c r="C119">
        <f t="shared" ca="1" si="6"/>
        <v>0</v>
      </c>
      <c r="D119">
        <f t="shared" ca="1" si="7"/>
        <v>222735.3</v>
      </c>
    </row>
    <row r="120" spans="1:4" x14ac:dyDescent="0.3">
      <c r="A120">
        <f t="shared" si="4"/>
        <v>90</v>
      </c>
      <c r="B120">
        <f t="shared" ca="1" si="5"/>
        <v>0</v>
      </c>
      <c r="C120">
        <f t="shared" ca="1" si="6"/>
        <v>0</v>
      </c>
      <c r="D120">
        <f t="shared" ca="1" si="7"/>
        <v>222735.3</v>
      </c>
    </row>
    <row r="121" spans="1:4" x14ac:dyDescent="0.3">
      <c r="A121">
        <f t="shared" si="4"/>
        <v>91</v>
      </c>
      <c r="B121">
        <f t="shared" ca="1" si="5"/>
        <v>0</v>
      </c>
      <c r="C121">
        <f t="shared" ca="1" si="6"/>
        <v>0</v>
      </c>
      <c r="D121">
        <f t="shared" ca="1" si="7"/>
        <v>222735.3</v>
      </c>
    </row>
    <row r="122" spans="1:4" x14ac:dyDescent="0.3">
      <c r="A122">
        <f t="shared" si="4"/>
        <v>92</v>
      </c>
      <c r="B122">
        <f t="shared" ca="1" si="5"/>
        <v>0</v>
      </c>
      <c r="C122">
        <f t="shared" ca="1" si="6"/>
        <v>0</v>
      </c>
      <c r="D122">
        <f t="shared" ca="1" si="7"/>
        <v>222735.3</v>
      </c>
    </row>
    <row r="123" spans="1:4" x14ac:dyDescent="0.3">
      <c r="A123">
        <f t="shared" si="4"/>
        <v>93</v>
      </c>
      <c r="B123">
        <f t="shared" ca="1" si="5"/>
        <v>0</v>
      </c>
      <c r="C123">
        <f t="shared" ca="1" si="6"/>
        <v>0</v>
      </c>
      <c r="D123">
        <f t="shared" ca="1" si="7"/>
        <v>222735.3</v>
      </c>
    </row>
    <row r="124" spans="1:4" x14ac:dyDescent="0.3">
      <c r="A124">
        <f t="shared" si="4"/>
        <v>94</v>
      </c>
      <c r="B124">
        <f t="shared" ca="1" si="5"/>
        <v>0</v>
      </c>
      <c r="C124">
        <f t="shared" ca="1" si="6"/>
        <v>0</v>
      </c>
      <c r="D124">
        <f t="shared" ca="1" si="7"/>
        <v>222735.3</v>
      </c>
    </row>
    <row r="125" spans="1:4" x14ac:dyDescent="0.3">
      <c r="A125">
        <f t="shared" si="4"/>
        <v>95</v>
      </c>
      <c r="B125">
        <f t="shared" ca="1" si="5"/>
        <v>0</v>
      </c>
      <c r="C125">
        <f t="shared" ca="1" si="6"/>
        <v>0</v>
      </c>
      <c r="D125">
        <f t="shared" ca="1" si="7"/>
        <v>222735.3</v>
      </c>
    </row>
    <row r="126" spans="1:4" x14ac:dyDescent="0.3">
      <c r="A126">
        <f t="shared" si="4"/>
        <v>96</v>
      </c>
      <c r="B126">
        <f t="shared" ca="1" si="5"/>
        <v>0</v>
      </c>
      <c r="C126">
        <f t="shared" ca="1" si="6"/>
        <v>0</v>
      </c>
      <c r="D126">
        <f t="shared" ca="1" si="7"/>
        <v>222735.3</v>
      </c>
    </row>
    <row r="127" spans="1:4" x14ac:dyDescent="0.3">
      <c r="A127">
        <f t="shared" si="4"/>
        <v>97</v>
      </c>
      <c r="B127">
        <f t="shared" ca="1" si="5"/>
        <v>0</v>
      </c>
      <c r="C127">
        <f t="shared" ca="1" si="6"/>
        <v>0</v>
      </c>
      <c r="D127">
        <f t="shared" ca="1" si="7"/>
        <v>222735.3</v>
      </c>
    </row>
    <row r="128" spans="1:4" x14ac:dyDescent="0.3">
      <c r="A128">
        <f t="shared" si="4"/>
        <v>98</v>
      </c>
      <c r="B128">
        <f t="shared" ca="1" si="5"/>
        <v>0</v>
      </c>
      <c r="C128">
        <f t="shared" ca="1" si="6"/>
        <v>0</v>
      </c>
      <c r="D128">
        <f t="shared" ca="1" si="7"/>
        <v>222735.3</v>
      </c>
    </row>
    <row r="129" spans="1:4" x14ac:dyDescent="0.3">
      <c r="A129">
        <f t="shared" si="4"/>
        <v>99</v>
      </c>
      <c r="B129">
        <f t="shared" ca="1" si="5"/>
        <v>0</v>
      </c>
      <c r="C129">
        <f t="shared" ca="1" si="6"/>
        <v>0</v>
      </c>
      <c r="D129">
        <f t="shared" ca="1" si="7"/>
        <v>222735.3</v>
      </c>
    </row>
    <row r="130" spans="1:4" x14ac:dyDescent="0.3">
      <c r="A130">
        <f t="shared" si="4"/>
        <v>100</v>
      </c>
      <c r="B130">
        <f t="shared" ca="1" si="5"/>
        <v>0</v>
      </c>
      <c r="C130">
        <f t="shared" ca="1" si="6"/>
        <v>0</v>
      </c>
      <c r="D130">
        <f t="shared" ca="1" si="7"/>
        <v>222735.3</v>
      </c>
    </row>
    <row r="132" spans="1:4" x14ac:dyDescent="0.3">
      <c r="A132" t="s">
        <v>326</v>
      </c>
      <c r="D132">
        <f ca="1">AVERAGE(D31:D130)</f>
        <v>222735.3000000004</v>
      </c>
    </row>
    <row r="133" spans="1:4" x14ac:dyDescent="0.3">
      <c r="A133" t="s">
        <v>327</v>
      </c>
      <c r="D133">
        <f ca="1">_xlfn.PERCENTILE.INC(D31:D130,0.9)</f>
        <v>222735.3</v>
      </c>
    </row>
  </sheetData>
  <mergeCells count="7">
    <mergeCell ref="H20:H21"/>
    <mergeCell ref="H22:H23"/>
    <mergeCell ref="A1:J1"/>
    <mergeCell ref="A2:J2"/>
    <mergeCell ref="A4:D4"/>
    <mergeCell ref="A12:J12"/>
    <mergeCell ref="A18:H18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33"/>
  <sheetViews>
    <sheetView zoomScaleNormal="100" workbookViewId="0">
      <selection activeCell="C11" sqref="C11"/>
    </sheetView>
  </sheetViews>
  <sheetFormatPr baseColWidth="10" defaultColWidth="8.6640625" defaultRowHeight="14.4" x14ac:dyDescent="0.3"/>
  <cols>
    <col min="1" max="1" width="33.5546875" bestFit="1" customWidth="1"/>
    <col min="2" max="2" width="36.77734375" bestFit="1" customWidth="1"/>
    <col min="3" max="3" width="17.5546875" bestFit="1" customWidth="1"/>
    <col min="4" max="4" width="16.44140625" bestFit="1" customWidth="1"/>
    <col min="5" max="5" width="20.5546875" bestFit="1" customWidth="1"/>
    <col min="6" max="6" width="24.77734375" bestFit="1" customWidth="1"/>
    <col min="7" max="9" width="26" bestFit="1" customWidth="1"/>
    <col min="10" max="10" width="36.77734375" bestFit="1" customWidth="1"/>
  </cols>
  <sheetData>
    <row r="1" spans="1:11" ht="17.25" customHeight="1" x14ac:dyDescent="0.3">
      <c r="A1" s="77" t="s">
        <v>232</v>
      </c>
      <c r="B1" s="77"/>
      <c r="C1" s="77"/>
      <c r="D1" s="77"/>
      <c r="E1" s="77"/>
      <c r="F1" s="77"/>
      <c r="G1" s="77"/>
      <c r="H1" s="77"/>
      <c r="I1" s="77"/>
      <c r="J1" s="77"/>
      <c r="K1" s="77"/>
    </row>
    <row r="2" spans="1:11" ht="15" customHeight="1" x14ac:dyDescent="0.3">
      <c r="A2" s="78" t="s">
        <v>233</v>
      </c>
      <c r="B2" s="78"/>
      <c r="C2" s="78"/>
      <c r="D2" s="78"/>
      <c r="E2" s="78"/>
      <c r="F2" s="78"/>
      <c r="G2" s="78"/>
      <c r="H2" s="78"/>
      <c r="I2" s="78"/>
      <c r="J2" s="78"/>
      <c r="K2" s="78"/>
    </row>
    <row r="4" spans="1:11" ht="15" customHeight="1" x14ac:dyDescent="0.3">
      <c r="A4" s="79" t="s">
        <v>234</v>
      </c>
      <c r="B4" s="79"/>
      <c r="C4" s="79"/>
      <c r="D4" s="79"/>
      <c r="E4" s="79"/>
      <c r="F4" s="79"/>
      <c r="G4" s="79"/>
      <c r="H4" s="79"/>
      <c r="I4" s="79"/>
      <c r="J4" s="79"/>
    </row>
    <row r="5" spans="1:11" ht="15" customHeight="1" x14ac:dyDescent="0.3">
      <c r="A5" s="23" t="s">
        <v>98</v>
      </c>
      <c r="B5" s="23" t="s">
        <v>4</v>
      </c>
      <c r="C5" s="23" t="s">
        <v>5</v>
      </c>
      <c r="D5" s="23" t="s">
        <v>6</v>
      </c>
      <c r="E5" s="23" t="s">
        <v>7</v>
      </c>
      <c r="F5" s="23" t="s">
        <v>8</v>
      </c>
      <c r="G5" s="23" t="s">
        <v>9</v>
      </c>
      <c r="H5" s="23" t="s">
        <v>10</v>
      </c>
      <c r="I5" s="23" t="s">
        <v>11</v>
      </c>
      <c r="J5" s="23" t="s">
        <v>12</v>
      </c>
    </row>
    <row r="6" spans="1:11" ht="15" customHeight="1" x14ac:dyDescent="0.3">
      <c r="A6" s="5" t="s">
        <v>132</v>
      </c>
      <c r="B6" s="35">
        <f>Compras_y_Lotes!H13</f>
        <v>232926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36">
        <f>B6</f>
        <v>232926</v>
      </c>
    </row>
    <row r="7" spans="1:11" ht="15" customHeight="1" x14ac:dyDescent="0.3">
      <c r="A7" s="9" t="s">
        <v>235</v>
      </c>
      <c r="B7" s="35">
        <f>SUMIFS(Compras_y_Lotes!$I$18:$I$25,Compras_y_Lotes!$K$18:$K$25,B$5)</f>
        <v>0</v>
      </c>
      <c r="C7" s="35">
        <f>SUMIFS(Compras_y_Lotes!$I$18:$I$25,Compras_y_Lotes!$K$18:$K$25,C$5)</f>
        <v>0</v>
      </c>
      <c r="D7" s="35">
        <f>SUMIFS(Compras_y_Lotes!$I$18:$I$25,Compras_y_Lotes!$K$18:$K$25,D$5)</f>
        <v>0</v>
      </c>
      <c r="E7" s="35">
        <f>SUMIFS(Compras_y_Lotes!$I$18:$I$25,Compras_y_Lotes!$K$18:$K$25,E$5)</f>
        <v>0</v>
      </c>
      <c r="F7" s="35">
        <f>SUMIFS(Compras_y_Lotes!$I$18:$I$25,Compras_y_Lotes!$K$18:$K$25,F$5)</f>
        <v>0</v>
      </c>
      <c r="G7" s="35">
        <f>SUMIFS(Compras_y_Lotes!$I$18:$I$25,Compras_y_Lotes!$K$18:$K$25,G$5)</f>
        <v>0</v>
      </c>
      <c r="H7" s="35">
        <f>SUMIFS(Compras_y_Lotes!$I$18:$I$25,Compras_y_Lotes!$K$18:$K$25,H$5)</f>
        <v>0</v>
      </c>
      <c r="I7" s="35">
        <f>SUMIFS(Compras_y_Lotes!$I$18:$I$25,Compras_y_Lotes!$K$18:$K$25,I$5)</f>
        <v>0</v>
      </c>
      <c r="J7" s="36">
        <f>SUM(B7:I7)</f>
        <v>0</v>
      </c>
    </row>
    <row r="8" spans="1:11" ht="15" customHeight="1" x14ac:dyDescent="0.3">
      <c r="A8" s="9" t="s">
        <v>236</v>
      </c>
      <c r="B8" s="35">
        <f>SUMIFS(Compras_y_Lotes!$I$26:$I$33,Compras_y_Lotes!$K$26:$K$33,B$5)</f>
        <v>0</v>
      </c>
      <c r="C8" s="35">
        <f>SUMIFS(Compras_y_Lotes!$I$26:$I$33,Compras_y_Lotes!$K$26:$K$33,C$5)</f>
        <v>0</v>
      </c>
      <c r="D8" s="35">
        <f>SUMIFS(Compras_y_Lotes!$I$26:$I$33,Compras_y_Lotes!$K$26:$K$33,D$5)</f>
        <v>0</v>
      </c>
      <c r="E8" s="35">
        <f>SUMIFS(Compras_y_Lotes!$I$26:$I$33,Compras_y_Lotes!$K$26:$K$33,E$5)</f>
        <v>0</v>
      </c>
      <c r="F8" s="35">
        <f>SUMIFS(Compras_y_Lotes!$I$26:$I$33,Compras_y_Lotes!$K$26:$K$33,F$5)</f>
        <v>0</v>
      </c>
      <c r="G8" s="35">
        <f>SUMIFS(Compras_y_Lotes!$I$26:$I$33,Compras_y_Lotes!$K$26:$K$33,G$5)</f>
        <v>0</v>
      </c>
      <c r="H8" s="35">
        <f>SUMIFS(Compras_y_Lotes!$I$26:$I$33,Compras_y_Lotes!$K$26:$K$33,H$5)</f>
        <v>0</v>
      </c>
      <c r="I8" s="35">
        <f>SUMIFS(Compras_y_Lotes!$I$26:$I$33,Compras_y_Lotes!$K$26:$K$33,I$5)</f>
        <v>0</v>
      </c>
      <c r="J8" s="36">
        <f>SUM(B8:I8)</f>
        <v>0</v>
      </c>
    </row>
    <row r="9" spans="1:11" ht="15" customHeight="1" x14ac:dyDescent="0.3">
      <c r="A9" s="5" t="s">
        <v>237</v>
      </c>
      <c r="B9" s="66">
        <f t="shared" ref="B9:J9" si="0">SUM(B6:B8)</f>
        <v>232926</v>
      </c>
      <c r="C9" s="66">
        <f t="shared" si="0"/>
        <v>0</v>
      </c>
      <c r="D9" s="66">
        <f t="shared" si="0"/>
        <v>0</v>
      </c>
      <c r="E9" s="66">
        <f t="shared" si="0"/>
        <v>0</v>
      </c>
      <c r="F9" s="66">
        <f t="shared" si="0"/>
        <v>0</v>
      </c>
      <c r="G9" s="66">
        <f t="shared" si="0"/>
        <v>0</v>
      </c>
      <c r="H9" s="66">
        <f t="shared" si="0"/>
        <v>0</v>
      </c>
      <c r="I9" s="66">
        <f t="shared" si="0"/>
        <v>0</v>
      </c>
      <c r="J9" s="66">
        <f t="shared" si="0"/>
        <v>232926</v>
      </c>
    </row>
    <row r="12" spans="1:11" ht="15" customHeight="1" x14ac:dyDescent="0.3">
      <c r="A12" s="79" t="s">
        <v>238</v>
      </c>
      <c r="B12" s="79"/>
      <c r="C12" s="79"/>
      <c r="D12" s="79"/>
      <c r="E12" s="79"/>
      <c r="F12" s="79"/>
      <c r="G12" s="79"/>
      <c r="H12" s="79"/>
      <c r="I12" s="79"/>
      <c r="J12" s="79"/>
    </row>
    <row r="13" spans="1:11" ht="15" customHeight="1" x14ac:dyDescent="0.3">
      <c r="A13" s="8" t="s">
        <v>98</v>
      </c>
      <c r="B13" s="8" t="s">
        <v>4</v>
      </c>
      <c r="C13" s="8" t="s">
        <v>5</v>
      </c>
      <c r="D13" s="8" t="s">
        <v>6</v>
      </c>
      <c r="E13" s="8" t="s">
        <v>7</v>
      </c>
      <c r="F13" s="8" t="s">
        <v>8</v>
      </c>
      <c r="G13" s="8" t="s">
        <v>9</v>
      </c>
      <c r="H13" s="8" t="s">
        <v>10</v>
      </c>
      <c r="I13" s="8" t="s">
        <v>11</v>
      </c>
      <c r="J13" s="8" t="s">
        <v>12</v>
      </c>
    </row>
    <row r="14" spans="1:11" ht="15" customHeight="1" x14ac:dyDescent="0.3">
      <c r="A14" s="9" t="s">
        <v>19</v>
      </c>
      <c r="B14" s="36">
        <f>IF(INDEX(Compras_y_Lotes!$F$18:$F$25,COLUMN(B14)-COLUMN($B$14)+1)&gt;0,Inputs!$B$59,0)</f>
        <v>0</v>
      </c>
      <c r="C14" s="36">
        <f>IF(INDEX(Compras_y_Lotes!$F$18:$F$25,COLUMN(C14)-COLUMN($B$14)+1)&gt;0,Inputs!$B$59,0)</f>
        <v>0</v>
      </c>
      <c r="D14" s="36">
        <f>IF(INDEX(Compras_y_Lotes!$F$18:$F$25,COLUMN(D14)-COLUMN($B$14)+1)&gt;0,Inputs!$B$59,0)</f>
        <v>0</v>
      </c>
      <c r="E14" s="36">
        <f>IF(INDEX(Compras_y_Lotes!$F$18:$F$25,COLUMN(E14)-COLUMN($B$14)+1)&gt;0,Inputs!$B$59,0)</f>
        <v>0</v>
      </c>
      <c r="F14" s="36">
        <f>IF(INDEX(Compras_y_Lotes!$F$18:$F$25,COLUMN(F14)-COLUMN($B$14)+1)&gt;0,Inputs!$B$59,0)</f>
        <v>0</v>
      </c>
      <c r="G14" s="36">
        <f>IF(INDEX(Compras_y_Lotes!$F$18:$F$25,COLUMN(G14)-COLUMN($B$14)+1)&gt;0,Inputs!$B$59,0)</f>
        <v>0</v>
      </c>
      <c r="H14" s="36">
        <f>IF(INDEX(Compras_y_Lotes!$F$18:$F$25,COLUMN(H14)-COLUMN($B$14)+1)&gt;0,Inputs!$B$59,0)</f>
        <v>0</v>
      </c>
      <c r="I14" s="36">
        <f>IF(INDEX(Compras_y_Lotes!$F$18:$F$25,COLUMN(I14)-COLUMN($B$14)+1)&gt;0,Inputs!$B$59,0)</f>
        <v>0</v>
      </c>
      <c r="J14" s="36">
        <f>SUM(B14:I14)</f>
        <v>0</v>
      </c>
    </row>
    <row r="15" spans="1:11" ht="15" customHeight="1" x14ac:dyDescent="0.3">
      <c r="A15" s="9" t="s">
        <v>22</v>
      </c>
      <c r="B15" s="36">
        <f>IF(INDEX(Compras_y_Lotes!$F$26:$F$33,COLUMN(B15)-COLUMN($B$15)+1)&gt;0,Inputs!$B$60,0)</f>
        <v>0</v>
      </c>
      <c r="C15" s="36">
        <f>IF(INDEX(Compras_y_Lotes!$F$26:$F$33,COLUMN(C15)-COLUMN($B$15)+1)&gt;0,Inputs!$B$60,0)</f>
        <v>0</v>
      </c>
      <c r="D15" s="36">
        <f>IF(INDEX(Compras_y_Lotes!$F$26:$F$33,COLUMN(D15)-COLUMN($B$15)+1)&gt;0,Inputs!$B$60,0)</f>
        <v>0</v>
      </c>
      <c r="E15" s="36">
        <f>IF(INDEX(Compras_y_Lotes!$F$26:$F$33,COLUMN(E15)-COLUMN($B$15)+1)&gt;0,Inputs!$B$60,0)</f>
        <v>0</v>
      </c>
      <c r="F15" s="36">
        <f>IF(INDEX(Compras_y_Lotes!$F$26:$F$33,COLUMN(F15)-COLUMN($B$15)+1)&gt;0,Inputs!$B$60,0)</f>
        <v>0</v>
      </c>
      <c r="G15" s="36">
        <f>IF(INDEX(Compras_y_Lotes!$F$26:$F$33,COLUMN(G15)-COLUMN($B$15)+1)&gt;0,Inputs!$B$60,0)</f>
        <v>0</v>
      </c>
      <c r="H15" s="36">
        <f>IF(INDEX(Compras_y_Lotes!$F$26:$F$33,COLUMN(H15)-COLUMN($B$15)+1)&gt;0,Inputs!$B$60,0)</f>
        <v>0</v>
      </c>
      <c r="I15" s="36">
        <f>IF(INDEX(Compras_y_Lotes!$F$26:$F$33,COLUMN(I15)-COLUMN($B$15)+1)&gt;0,Inputs!$B$60,0)</f>
        <v>0</v>
      </c>
      <c r="J15" s="36">
        <f>SUM(B15:I15)</f>
        <v>0</v>
      </c>
    </row>
    <row r="16" spans="1:11" ht="15" customHeight="1" x14ac:dyDescent="0.3">
      <c r="A16" s="5" t="s">
        <v>239</v>
      </c>
      <c r="B16" s="66">
        <f t="shared" ref="B16:J16" si="1">SUM(B14:B15)</f>
        <v>0</v>
      </c>
      <c r="C16" s="66">
        <f t="shared" si="1"/>
        <v>0</v>
      </c>
      <c r="D16" s="66">
        <f t="shared" si="1"/>
        <v>0</v>
      </c>
      <c r="E16" s="66">
        <f t="shared" si="1"/>
        <v>0</v>
      </c>
      <c r="F16" s="66">
        <f t="shared" si="1"/>
        <v>0</v>
      </c>
      <c r="G16" s="66">
        <f t="shared" si="1"/>
        <v>0</v>
      </c>
      <c r="H16" s="66">
        <f t="shared" si="1"/>
        <v>0</v>
      </c>
      <c r="I16" s="66">
        <f t="shared" si="1"/>
        <v>0</v>
      </c>
      <c r="J16" s="66">
        <f t="shared" si="1"/>
        <v>0</v>
      </c>
    </row>
    <row r="19" spans="1:10" ht="15" customHeight="1" x14ac:dyDescent="0.3">
      <c r="A19" s="79" t="s">
        <v>240</v>
      </c>
      <c r="B19" s="79"/>
      <c r="C19" s="79"/>
      <c r="D19" s="79"/>
      <c r="E19" s="79"/>
      <c r="F19" s="79"/>
      <c r="G19" s="79"/>
      <c r="H19" s="79"/>
      <c r="I19" s="79"/>
      <c r="J19" s="79"/>
    </row>
    <row r="20" spans="1:10" ht="15" customHeight="1" x14ac:dyDescent="0.3">
      <c r="A20" s="8" t="s">
        <v>98</v>
      </c>
      <c r="B20" s="8" t="s">
        <v>4</v>
      </c>
      <c r="C20" s="8" t="s">
        <v>5</v>
      </c>
      <c r="D20" s="8" t="s">
        <v>6</v>
      </c>
      <c r="E20" s="8" t="s">
        <v>7</v>
      </c>
      <c r="F20" s="8" t="s">
        <v>8</v>
      </c>
      <c r="G20" s="8" t="s">
        <v>9</v>
      </c>
      <c r="H20" s="8" t="s">
        <v>10</v>
      </c>
      <c r="I20" s="8" t="s">
        <v>11</v>
      </c>
      <c r="J20" s="8" t="s">
        <v>12</v>
      </c>
    </row>
    <row r="21" spans="1:10" ht="15" customHeight="1" x14ac:dyDescent="0.3">
      <c r="A21" s="9" t="s">
        <v>19</v>
      </c>
      <c r="B21" s="36">
        <f>(Inventario_Dinamico!B7+Inventario_Dinamico!B10)/2*Inputs!$C$59</f>
        <v>1076.0999999999999</v>
      </c>
      <c r="C21" s="36">
        <f>(Inventario_Dinamico!C7+Inventario_Dinamico!C10)/2*Inputs!$C$59</f>
        <v>521.1</v>
      </c>
      <c r="D21" s="36">
        <f>(Inventario_Dinamico!D7+Inventario_Dinamico!D10)/2*Inputs!$C$59</f>
        <v>-33.9</v>
      </c>
      <c r="E21" s="36">
        <f>(Inventario_Dinamico!E7+Inventario_Dinamico!E10)/2*Inputs!$C$59</f>
        <v>-588.9</v>
      </c>
      <c r="F21" s="36">
        <f>(Inventario_Dinamico!F7+Inventario_Dinamico!F10)/2*Inputs!$C$59</f>
        <v>-866.4</v>
      </c>
      <c r="G21" s="36">
        <f>(Inventario_Dinamico!G7+Inventario_Dinamico!G10)/2*Inputs!$C$59</f>
        <v>-866.4</v>
      </c>
      <c r="H21" s="36">
        <f>(Inventario_Dinamico!H7+Inventario_Dinamico!H10)/2*Inputs!$C$59</f>
        <v>-866.4</v>
      </c>
      <c r="I21" s="36">
        <f>(Inventario_Dinamico!I7+Inventario_Dinamico!I10)/2*Inputs!$C$59</f>
        <v>-866.4</v>
      </c>
      <c r="J21" s="36">
        <f>SUM(B21:I21)</f>
        <v>-2491.2000000000003</v>
      </c>
    </row>
    <row r="22" spans="1:10" ht="15" customHeight="1" x14ac:dyDescent="0.3">
      <c r="A22" s="9" t="s">
        <v>22</v>
      </c>
      <c r="B22" s="36">
        <f>(Inventario_Dinamico!B13+Inventario_Dinamico!B16)/2*Inputs!$C$60</f>
        <v>3928.5</v>
      </c>
      <c r="C22" s="36">
        <f>(Inventario_Dinamico!C13+Inventario_Dinamico!C16)/2*Inputs!$C$60</f>
        <v>2263.5</v>
      </c>
      <c r="D22" s="36">
        <f>(Inventario_Dinamico!D13+Inventario_Dinamico!D16)/2*Inputs!$C$60</f>
        <v>598.5</v>
      </c>
      <c r="E22" s="36">
        <f>(Inventario_Dinamico!E13+Inventario_Dinamico!E16)/2*Inputs!$C$60</f>
        <v>-1066.5</v>
      </c>
      <c r="F22" s="36">
        <f>(Inventario_Dinamico!F13+Inventario_Dinamico!F16)/2*Inputs!$C$60</f>
        <v>-2731.5</v>
      </c>
      <c r="G22" s="36">
        <f>(Inventario_Dinamico!G13+Inventario_Dinamico!G16)/2*Inputs!$C$60</f>
        <v>-3564</v>
      </c>
      <c r="H22" s="36">
        <f>(Inventario_Dinamico!H13+Inventario_Dinamico!H16)/2*Inputs!$C$60</f>
        <v>-3564</v>
      </c>
      <c r="I22" s="36">
        <f>(Inventario_Dinamico!I13+Inventario_Dinamico!I16)/2*Inputs!$C$60</f>
        <v>-3564</v>
      </c>
      <c r="J22" s="36">
        <f>SUM(B22:I22)</f>
        <v>-7699.5</v>
      </c>
    </row>
    <row r="23" spans="1:10" ht="15" customHeight="1" x14ac:dyDescent="0.3">
      <c r="A23" s="5" t="s">
        <v>241</v>
      </c>
      <c r="B23" s="66">
        <f t="shared" ref="B23:J23" si="2">SUM(B21:B22)</f>
        <v>5004.6000000000004</v>
      </c>
      <c r="C23" s="66">
        <f t="shared" si="2"/>
        <v>2784.6</v>
      </c>
      <c r="D23" s="66">
        <f t="shared" si="2"/>
        <v>564.6</v>
      </c>
      <c r="E23" s="66">
        <f t="shared" si="2"/>
        <v>-1655.4</v>
      </c>
      <c r="F23" s="66">
        <f t="shared" si="2"/>
        <v>-3597.9</v>
      </c>
      <c r="G23" s="66">
        <f t="shared" si="2"/>
        <v>-4430.3999999999996</v>
      </c>
      <c r="H23" s="66">
        <f t="shared" si="2"/>
        <v>-4430.3999999999996</v>
      </c>
      <c r="I23" s="66">
        <f t="shared" si="2"/>
        <v>-4430.3999999999996</v>
      </c>
      <c r="J23" s="66">
        <f t="shared" si="2"/>
        <v>-10190.700000000001</v>
      </c>
    </row>
    <row r="26" spans="1:10" ht="15" customHeight="1" x14ac:dyDescent="0.3">
      <c r="A26" s="93" t="s">
        <v>242</v>
      </c>
      <c r="B26" s="67">
        <f t="shared" ref="B26:J26" si="3">B9+B16+B23</f>
        <v>237930.6</v>
      </c>
      <c r="C26" s="67">
        <f t="shared" si="3"/>
        <v>2784.6</v>
      </c>
      <c r="D26" s="67">
        <f t="shared" si="3"/>
        <v>564.6</v>
      </c>
      <c r="E26" s="67">
        <f t="shared" si="3"/>
        <v>-1655.4</v>
      </c>
      <c r="F26" s="67">
        <f t="shared" si="3"/>
        <v>-3597.9</v>
      </c>
      <c r="G26" s="67">
        <f t="shared" si="3"/>
        <v>-4430.3999999999996</v>
      </c>
      <c r="H26" s="67">
        <f t="shared" si="3"/>
        <v>-4430.3999999999996</v>
      </c>
      <c r="I26" s="67">
        <f t="shared" si="3"/>
        <v>-4430.3999999999996</v>
      </c>
      <c r="J26" s="67">
        <f t="shared" si="3"/>
        <v>222735.3</v>
      </c>
    </row>
    <row r="27" spans="1:10" ht="15" customHeight="1" x14ac:dyDescent="0.3">
      <c r="A27" s="93"/>
    </row>
    <row r="28" spans="1:10" ht="15" customHeight="1" x14ac:dyDescent="0.3">
      <c r="A28" s="79" t="s">
        <v>243</v>
      </c>
      <c r="B28" s="79"/>
      <c r="C28" s="79"/>
      <c r="D28" s="79"/>
    </row>
    <row r="30" spans="1:10" ht="15" customHeight="1" x14ac:dyDescent="0.3">
      <c r="A30" s="53" t="s">
        <v>244</v>
      </c>
      <c r="B30" s="68">
        <f>MAX(B26:I26)</f>
        <v>237930.6</v>
      </c>
      <c r="C30" s="2" t="s">
        <v>245</v>
      </c>
    </row>
    <row r="31" spans="1:10" ht="15" customHeight="1" x14ac:dyDescent="0.3">
      <c r="A31" s="53" t="s">
        <v>246</v>
      </c>
      <c r="B31" s="68">
        <f>MIN(B26:I26)</f>
        <v>-4430.3999999999996</v>
      </c>
      <c r="C31" s="2" t="s">
        <v>247</v>
      </c>
    </row>
    <row r="32" spans="1:10" ht="15" customHeight="1" x14ac:dyDescent="0.3">
      <c r="A32" s="53" t="s">
        <v>248</v>
      </c>
      <c r="B32" s="68">
        <f>AVERAGE(B26:I26)</f>
        <v>27841.912500000006</v>
      </c>
      <c r="C32" s="2" t="s">
        <v>249</v>
      </c>
    </row>
    <row r="33" spans="1:3" ht="15" customHeight="1" x14ac:dyDescent="0.3">
      <c r="A33" s="53" t="s">
        <v>250</v>
      </c>
      <c r="B33" s="68">
        <f>STDEV(B26:I26)</f>
        <v>84930.422800472195</v>
      </c>
      <c r="C33" s="2" t="s">
        <v>251</v>
      </c>
    </row>
  </sheetData>
  <mergeCells count="7">
    <mergeCell ref="A26:A27"/>
    <mergeCell ref="A28:D28"/>
    <mergeCell ref="A1:K1"/>
    <mergeCell ref="A2:K2"/>
    <mergeCell ref="A4:J4"/>
    <mergeCell ref="A12:J12"/>
    <mergeCell ref="A19:J19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33"/>
  <sheetViews>
    <sheetView zoomScaleNormal="100" workbookViewId="0">
      <selection activeCell="G16" sqref="G16"/>
    </sheetView>
  </sheetViews>
  <sheetFormatPr baseColWidth="10" defaultColWidth="8.6640625" defaultRowHeight="14.4" x14ac:dyDescent="0.3"/>
  <cols>
    <col min="1" max="1" width="8.21875" bestFit="1" customWidth="1"/>
    <col min="2" max="2" width="9.109375" bestFit="1" customWidth="1"/>
    <col min="3" max="3" width="26.6640625" bestFit="1" customWidth="1"/>
    <col min="4" max="4" width="8.33203125" bestFit="1" customWidth="1"/>
    <col min="5" max="5" width="8.109375" bestFit="1" customWidth="1"/>
  </cols>
  <sheetData>
    <row r="1" spans="1:5" ht="17.25" customHeight="1" x14ac:dyDescent="0.3">
      <c r="A1" s="94" t="s">
        <v>252</v>
      </c>
      <c r="B1" s="94"/>
      <c r="C1" s="94"/>
      <c r="D1" s="94"/>
      <c r="E1" s="94"/>
    </row>
    <row r="2" spans="1:5" ht="15" customHeight="1" x14ac:dyDescent="0.3">
      <c r="A2" s="83" t="s">
        <v>253</v>
      </c>
      <c r="B2" s="83"/>
      <c r="C2" s="83"/>
      <c r="D2" s="83"/>
      <c r="E2" s="83"/>
    </row>
    <row r="4" spans="1:5" ht="15" customHeight="1" x14ac:dyDescent="0.3">
      <c r="A4" s="79" t="s">
        <v>254</v>
      </c>
      <c r="B4" s="79"/>
      <c r="C4" s="79"/>
      <c r="D4" s="79"/>
      <c r="E4" s="79"/>
    </row>
    <row r="5" spans="1:5" ht="15" customHeight="1" x14ac:dyDescent="0.3">
      <c r="A5" s="8" t="s">
        <v>15</v>
      </c>
      <c r="B5" s="8" t="s">
        <v>255</v>
      </c>
      <c r="C5" s="8" t="s">
        <v>256</v>
      </c>
      <c r="D5" s="8" t="s">
        <v>257</v>
      </c>
      <c r="E5" s="8" t="s">
        <v>258</v>
      </c>
    </row>
    <row r="6" spans="1:5" ht="15" customHeight="1" x14ac:dyDescent="0.3">
      <c r="A6" s="9" t="s">
        <v>23</v>
      </c>
      <c r="B6" s="69">
        <v>0</v>
      </c>
      <c r="C6" s="32">
        <f>Compras_y_Lotes!E7</f>
        <v>5</v>
      </c>
      <c r="D6" s="10" t="s">
        <v>259</v>
      </c>
      <c r="E6" s="22" t="str">
        <f t="shared" ref="E6:E11" si="0">IF(C6&gt;0,"Comprar","NO COMPRAR")</f>
        <v>Comprar</v>
      </c>
    </row>
    <row r="7" spans="1:5" ht="15" customHeight="1" x14ac:dyDescent="0.3">
      <c r="A7" s="9" t="s">
        <v>24</v>
      </c>
      <c r="B7" s="69">
        <v>0</v>
      </c>
      <c r="C7" s="32">
        <f>Compras_y_Lotes!E8</f>
        <v>8634</v>
      </c>
      <c r="D7" s="10" t="s">
        <v>259</v>
      </c>
      <c r="E7" s="22" t="str">
        <f t="shared" si="0"/>
        <v>Comprar</v>
      </c>
    </row>
    <row r="8" spans="1:5" ht="15" customHeight="1" x14ac:dyDescent="0.3">
      <c r="A8" s="9" t="s">
        <v>25</v>
      </c>
      <c r="B8" s="69">
        <v>0</v>
      </c>
      <c r="C8" s="32">
        <f>Compras_y_Lotes!E9</f>
        <v>3885</v>
      </c>
      <c r="D8" s="10" t="s">
        <v>259</v>
      </c>
      <c r="E8" s="22" t="str">
        <f t="shared" si="0"/>
        <v>Comprar</v>
      </c>
    </row>
    <row r="9" spans="1:5" ht="15" customHeight="1" x14ac:dyDescent="0.3">
      <c r="A9" s="9" t="s">
        <v>26</v>
      </c>
      <c r="B9" s="69">
        <v>0</v>
      </c>
      <c r="C9" s="32">
        <f>Compras_y_Lotes!E10</f>
        <v>78</v>
      </c>
      <c r="D9" s="10" t="s">
        <v>259</v>
      </c>
      <c r="E9" s="22" t="str">
        <f t="shared" si="0"/>
        <v>Comprar</v>
      </c>
    </row>
    <row r="10" spans="1:5" ht="15" customHeight="1" x14ac:dyDescent="0.3">
      <c r="A10" s="9" t="s">
        <v>27</v>
      </c>
      <c r="B10" s="69">
        <v>0</v>
      </c>
      <c r="C10" s="32">
        <f>Compras_y_Lotes!E11</f>
        <v>864</v>
      </c>
      <c r="D10" s="10" t="s">
        <v>259</v>
      </c>
      <c r="E10" s="22" t="str">
        <f t="shared" si="0"/>
        <v>Comprar</v>
      </c>
    </row>
    <row r="11" spans="1:5" ht="15" customHeight="1" x14ac:dyDescent="0.3">
      <c r="A11" s="9" t="s">
        <v>28</v>
      </c>
      <c r="B11" s="69">
        <v>0</v>
      </c>
      <c r="C11" s="32">
        <f>Compras_y_Lotes!E12</f>
        <v>162</v>
      </c>
      <c r="D11" s="10" t="s">
        <v>259</v>
      </c>
      <c r="E11" s="22" t="str">
        <f t="shared" si="0"/>
        <v>Comprar</v>
      </c>
    </row>
    <row r="13" spans="1:5" ht="15" customHeight="1" x14ac:dyDescent="0.3">
      <c r="A13" s="79" t="s">
        <v>260</v>
      </c>
      <c r="B13" s="79"/>
      <c r="C13" s="79"/>
      <c r="D13" s="79"/>
      <c r="E13" s="79"/>
    </row>
    <row r="14" spans="1:5" ht="15" customHeight="1" x14ac:dyDescent="0.3">
      <c r="A14" s="8" t="s">
        <v>15</v>
      </c>
      <c r="B14" s="8" t="s">
        <v>255</v>
      </c>
      <c r="C14" s="8" t="s">
        <v>256</v>
      </c>
      <c r="D14" s="8" t="s">
        <v>257</v>
      </c>
      <c r="E14" s="8" t="s">
        <v>258</v>
      </c>
    </row>
    <row r="15" spans="1:5" ht="15" customHeight="1" x14ac:dyDescent="0.3">
      <c r="A15" s="9" t="s">
        <v>19</v>
      </c>
      <c r="B15" s="69">
        <v>1</v>
      </c>
      <c r="C15" s="32">
        <f>Compras_y_Lotes!F18</f>
        <v>0</v>
      </c>
      <c r="D15" s="59" t="str">
        <f>Inputs!$B$69</f>
        <v>A</v>
      </c>
      <c r="E15" s="22" t="str">
        <f t="shared" ref="E15:E22" si="1">IF(C15&gt;0,"Comprar","-")</f>
        <v>-</v>
      </c>
    </row>
    <row r="16" spans="1:5" ht="15" customHeight="1" x14ac:dyDescent="0.3">
      <c r="A16" s="9" t="s">
        <v>19</v>
      </c>
      <c r="B16" s="69">
        <v>2</v>
      </c>
      <c r="C16" s="32">
        <f>Compras_y_Lotes!F19</f>
        <v>0</v>
      </c>
      <c r="D16" s="59" t="str">
        <f>Inputs!$B$69</f>
        <v>A</v>
      </c>
      <c r="E16" s="22" t="str">
        <f t="shared" si="1"/>
        <v>-</v>
      </c>
    </row>
    <row r="17" spans="1:5" ht="15" customHeight="1" x14ac:dyDescent="0.3">
      <c r="A17" s="9" t="s">
        <v>19</v>
      </c>
      <c r="B17" s="69">
        <v>3</v>
      </c>
      <c r="C17" s="32">
        <f>Compras_y_Lotes!F20</f>
        <v>0</v>
      </c>
      <c r="D17" s="59" t="str">
        <f>Inputs!$B$69</f>
        <v>A</v>
      </c>
      <c r="E17" s="22" t="str">
        <f t="shared" si="1"/>
        <v>-</v>
      </c>
    </row>
    <row r="18" spans="1:5" ht="15" customHeight="1" x14ac:dyDescent="0.3">
      <c r="A18" s="9" t="s">
        <v>19</v>
      </c>
      <c r="B18" s="69">
        <v>4</v>
      </c>
      <c r="C18" s="32">
        <f>Compras_y_Lotes!F21</f>
        <v>0</v>
      </c>
      <c r="D18" s="59" t="str">
        <f>Inputs!$B$69</f>
        <v>A</v>
      </c>
      <c r="E18" s="22" t="str">
        <f t="shared" si="1"/>
        <v>-</v>
      </c>
    </row>
    <row r="19" spans="1:5" ht="15" customHeight="1" x14ac:dyDescent="0.3">
      <c r="A19" s="9" t="s">
        <v>19</v>
      </c>
      <c r="B19" s="69">
        <v>5</v>
      </c>
      <c r="C19" s="32">
        <f>Compras_y_Lotes!F22</f>
        <v>0</v>
      </c>
      <c r="D19" s="59" t="str">
        <f>Inputs!$B$69</f>
        <v>A</v>
      </c>
      <c r="E19" s="22" t="str">
        <f t="shared" si="1"/>
        <v>-</v>
      </c>
    </row>
    <row r="20" spans="1:5" ht="15" customHeight="1" x14ac:dyDescent="0.3">
      <c r="A20" s="9" t="s">
        <v>19</v>
      </c>
      <c r="B20" s="69">
        <v>6</v>
      </c>
      <c r="C20" s="32">
        <f>Compras_y_Lotes!F23</f>
        <v>0</v>
      </c>
      <c r="D20" s="59" t="str">
        <f>Inputs!$B$69</f>
        <v>A</v>
      </c>
      <c r="E20" s="22" t="str">
        <f t="shared" si="1"/>
        <v>-</v>
      </c>
    </row>
    <row r="21" spans="1:5" ht="15" customHeight="1" x14ac:dyDescent="0.3">
      <c r="A21" s="9" t="s">
        <v>19</v>
      </c>
      <c r="B21" s="69">
        <v>7</v>
      </c>
      <c r="C21" s="32">
        <f>Compras_y_Lotes!F24</f>
        <v>0</v>
      </c>
      <c r="D21" s="59" t="str">
        <f>Inputs!$B$69</f>
        <v>A</v>
      </c>
      <c r="E21" s="22" t="str">
        <f t="shared" si="1"/>
        <v>-</v>
      </c>
    </row>
    <row r="22" spans="1:5" ht="15" customHeight="1" x14ac:dyDescent="0.3">
      <c r="A22" s="9" t="s">
        <v>19</v>
      </c>
      <c r="B22" s="69">
        <v>8</v>
      </c>
      <c r="C22" s="32">
        <f>Compras_y_Lotes!F25</f>
        <v>0</v>
      </c>
      <c r="D22" s="59" t="str">
        <f>Inputs!$B$69</f>
        <v>A</v>
      </c>
      <c r="E22" s="22" t="str">
        <f t="shared" si="1"/>
        <v>-</v>
      </c>
    </row>
    <row r="24" spans="1:5" ht="15" customHeight="1" x14ac:dyDescent="0.3">
      <c r="A24" s="79" t="s">
        <v>261</v>
      </c>
      <c r="B24" s="79"/>
      <c r="C24" s="79"/>
      <c r="D24" s="79"/>
      <c r="E24" s="79"/>
    </row>
    <row r="25" spans="1:5" ht="15" customHeight="1" x14ac:dyDescent="0.3">
      <c r="A25" s="8" t="s">
        <v>15</v>
      </c>
      <c r="B25" s="8" t="s">
        <v>255</v>
      </c>
      <c r="C25" s="8" t="s">
        <v>256</v>
      </c>
      <c r="D25" s="8" t="s">
        <v>257</v>
      </c>
      <c r="E25" s="8" t="s">
        <v>258</v>
      </c>
    </row>
    <row r="26" spans="1:5" ht="15" customHeight="1" x14ac:dyDescent="0.3">
      <c r="A26" s="9" t="s">
        <v>22</v>
      </c>
      <c r="B26" s="69">
        <v>1</v>
      </c>
      <c r="C26" s="32">
        <f>Compras_y_Lotes!F26</f>
        <v>0</v>
      </c>
      <c r="D26" s="59" t="str">
        <f>Inputs!$B$77</f>
        <v>A</v>
      </c>
      <c r="E26" s="22" t="str">
        <f t="shared" ref="E26:E33" si="2">IF(C26&gt;0,"Comprar","-")</f>
        <v>-</v>
      </c>
    </row>
    <row r="27" spans="1:5" ht="15" customHeight="1" x14ac:dyDescent="0.3">
      <c r="A27" s="9" t="s">
        <v>22</v>
      </c>
      <c r="B27" s="69">
        <v>2</v>
      </c>
      <c r="C27" s="32">
        <f>Compras_y_Lotes!F27</f>
        <v>0</v>
      </c>
      <c r="D27" s="59" t="str">
        <f>Inputs!$B$77</f>
        <v>A</v>
      </c>
      <c r="E27" s="22" t="str">
        <f t="shared" si="2"/>
        <v>-</v>
      </c>
    </row>
    <row r="28" spans="1:5" ht="15" customHeight="1" x14ac:dyDescent="0.3">
      <c r="A28" s="9" t="s">
        <v>22</v>
      </c>
      <c r="B28" s="69">
        <v>3</v>
      </c>
      <c r="C28" s="32">
        <f>Compras_y_Lotes!F28</f>
        <v>0</v>
      </c>
      <c r="D28" s="59" t="str">
        <f>Inputs!$B$77</f>
        <v>A</v>
      </c>
      <c r="E28" s="22" t="str">
        <f t="shared" si="2"/>
        <v>-</v>
      </c>
    </row>
    <row r="29" spans="1:5" ht="15" customHeight="1" x14ac:dyDescent="0.3">
      <c r="A29" s="9" t="s">
        <v>22</v>
      </c>
      <c r="B29" s="69">
        <v>4</v>
      </c>
      <c r="C29" s="32">
        <f>Compras_y_Lotes!F29</f>
        <v>0</v>
      </c>
      <c r="D29" s="59" t="str">
        <f>Inputs!$B$77</f>
        <v>A</v>
      </c>
      <c r="E29" s="22" t="str">
        <f t="shared" si="2"/>
        <v>-</v>
      </c>
    </row>
    <row r="30" spans="1:5" ht="15" customHeight="1" x14ac:dyDescent="0.3">
      <c r="A30" s="9" t="s">
        <v>22</v>
      </c>
      <c r="B30" s="69">
        <v>5</v>
      </c>
      <c r="C30" s="32">
        <f>Compras_y_Lotes!F30</f>
        <v>0</v>
      </c>
      <c r="D30" s="59" t="str">
        <f>Inputs!$B$77</f>
        <v>A</v>
      </c>
      <c r="E30" s="22" t="str">
        <f t="shared" si="2"/>
        <v>-</v>
      </c>
    </row>
    <row r="31" spans="1:5" ht="15" customHeight="1" x14ac:dyDescent="0.3">
      <c r="A31" s="9" t="s">
        <v>22</v>
      </c>
      <c r="B31" s="69">
        <v>6</v>
      </c>
      <c r="C31" s="32">
        <f>Compras_y_Lotes!F31</f>
        <v>0</v>
      </c>
      <c r="D31" s="59" t="str">
        <f>Inputs!$B$77</f>
        <v>A</v>
      </c>
      <c r="E31" s="22" t="str">
        <f t="shared" si="2"/>
        <v>-</v>
      </c>
    </row>
    <row r="32" spans="1:5" ht="15" customHeight="1" x14ac:dyDescent="0.3">
      <c r="A32" s="9" t="s">
        <v>22</v>
      </c>
      <c r="B32" s="69">
        <v>7</v>
      </c>
      <c r="C32" s="32">
        <f>Compras_y_Lotes!F32</f>
        <v>0</v>
      </c>
      <c r="D32" s="59" t="str">
        <f>Inputs!$B$77</f>
        <v>A</v>
      </c>
      <c r="E32" s="22" t="str">
        <f t="shared" si="2"/>
        <v>-</v>
      </c>
    </row>
    <row r="33" spans="1:5" ht="15" customHeight="1" x14ac:dyDescent="0.3">
      <c r="A33" s="9" t="s">
        <v>22</v>
      </c>
      <c r="B33" s="69">
        <v>8</v>
      </c>
      <c r="C33" s="32">
        <f>Compras_y_Lotes!F33</f>
        <v>0</v>
      </c>
      <c r="D33" s="59" t="str">
        <f>Inputs!$B$77</f>
        <v>A</v>
      </c>
      <c r="E33" s="22" t="str">
        <f t="shared" si="2"/>
        <v>-</v>
      </c>
    </row>
  </sheetData>
  <mergeCells count="5">
    <mergeCell ref="A1:E1"/>
    <mergeCell ref="A2:E2"/>
    <mergeCell ref="A4:E4"/>
    <mergeCell ref="A13:E13"/>
    <mergeCell ref="A24:E24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13"/>
  <sheetViews>
    <sheetView zoomScaleNormal="100" workbookViewId="0">
      <selection activeCell="J11" sqref="J10:J11"/>
    </sheetView>
  </sheetViews>
  <sheetFormatPr baseColWidth="10" defaultColWidth="8.6640625" defaultRowHeight="14.4" x14ac:dyDescent="0.3"/>
  <cols>
    <col min="1" max="1" width="8.21875" bestFit="1" customWidth="1"/>
    <col min="2" max="2" width="6.88671875" bestFit="1" customWidth="1"/>
    <col min="3" max="3" width="5.88671875" bestFit="1" customWidth="1"/>
    <col min="4" max="4" width="7" bestFit="1" customWidth="1"/>
    <col min="5" max="5" width="9.21875" bestFit="1" customWidth="1"/>
  </cols>
  <sheetData>
    <row r="1" spans="1:7" ht="17.25" customHeight="1" x14ac:dyDescent="0.3">
      <c r="A1" s="77" t="s">
        <v>262</v>
      </c>
      <c r="B1" s="77"/>
      <c r="C1" s="77"/>
      <c r="D1" s="77"/>
      <c r="E1" s="77"/>
    </row>
    <row r="2" spans="1:7" ht="15" customHeight="1" x14ac:dyDescent="0.3">
      <c r="A2" s="82" t="s">
        <v>263</v>
      </c>
      <c r="B2" s="82"/>
      <c r="C2" s="82"/>
      <c r="D2" s="82"/>
      <c r="E2" s="82"/>
    </row>
    <row r="4" spans="1:7" ht="15" customHeight="1" x14ac:dyDescent="0.3">
      <c r="A4" s="79" t="s">
        <v>264</v>
      </c>
      <c r="B4" s="79"/>
      <c r="C4" s="79"/>
      <c r="D4" s="79"/>
      <c r="E4" s="79"/>
    </row>
    <row r="5" spans="1:7" ht="15" customHeight="1" x14ac:dyDescent="0.3">
      <c r="A5" s="8" t="s">
        <v>15</v>
      </c>
      <c r="B5" s="8" t="s">
        <v>265</v>
      </c>
      <c r="C5" s="8" t="s">
        <v>266</v>
      </c>
      <c r="D5" s="8" t="s">
        <v>12</v>
      </c>
      <c r="E5" s="8" t="s">
        <v>267</v>
      </c>
      <c r="F5" t="s">
        <v>345</v>
      </c>
      <c r="G5" t="s">
        <v>346</v>
      </c>
    </row>
    <row r="6" spans="1:7" ht="15" customHeight="1" x14ac:dyDescent="0.3">
      <c r="A6" s="9" t="s">
        <v>19</v>
      </c>
      <c r="B6" s="34">
        <v>3496</v>
      </c>
      <c r="C6" s="34">
        <v>1016</v>
      </c>
      <c r="D6" s="7">
        <v>4512</v>
      </c>
      <c r="E6" s="60">
        <f t="shared" ref="E6:E13" si="0">B6/D6</f>
        <v>0.77482269503546097</v>
      </c>
      <c r="G6">
        <f>IF(F6="",E6,F6)</f>
        <v>0.77482269503546097</v>
      </c>
    </row>
    <row r="7" spans="1:7" ht="15" customHeight="1" x14ac:dyDescent="0.3">
      <c r="A7" s="9" t="s">
        <v>22</v>
      </c>
      <c r="B7" s="34">
        <v>765</v>
      </c>
      <c r="C7" s="34">
        <v>293</v>
      </c>
      <c r="D7" s="7">
        <v>1058</v>
      </c>
      <c r="E7" s="60">
        <f t="shared" si="0"/>
        <v>0.72306238185255201</v>
      </c>
      <c r="G7">
        <f t="shared" ref="G7:G13" si="1">IF(F7="",E7,F7)</f>
        <v>0.72306238185255201</v>
      </c>
    </row>
    <row r="8" spans="1:7" ht="15" customHeight="1" x14ac:dyDescent="0.3">
      <c r="A8" s="9" t="s">
        <v>23</v>
      </c>
      <c r="B8" s="34">
        <v>94</v>
      </c>
      <c r="C8" s="34">
        <v>36</v>
      </c>
      <c r="D8" s="7">
        <v>130</v>
      </c>
      <c r="E8" s="60">
        <f t="shared" si="0"/>
        <v>0.72307692307692306</v>
      </c>
      <c r="G8">
        <f t="shared" si="1"/>
        <v>0.72307692307692306</v>
      </c>
    </row>
    <row r="9" spans="1:7" ht="15" customHeight="1" x14ac:dyDescent="0.3">
      <c r="A9" s="9" t="s">
        <v>24</v>
      </c>
      <c r="B9" s="34">
        <v>3844</v>
      </c>
      <c r="C9" s="34">
        <v>1424</v>
      </c>
      <c r="D9" s="7">
        <v>5268</v>
      </c>
      <c r="E9" s="60">
        <f t="shared" si="0"/>
        <v>0.72968868640850415</v>
      </c>
      <c r="G9">
        <f t="shared" si="1"/>
        <v>0.72968868640850415</v>
      </c>
    </row>
    <row r="10" spans="1:7" ht="15" customHeight="1" x14ac:dyDescent="0.3">
      <c r="A10" s="9" t="s">
        <v>25</v>
      </c>
      <c r="B10" s="34">
        <v>3125</v>
      </c>
      <c r="C10" s="34">
        <v>1208</v>
      </c>
      <c r="D10" s="7">
        <v>4333</v>
      </c>
      <c r="E10" s="60">
        <f t="shared" si="0"/>
        <v>0.72120932379413805</v>
      </c>
      <c r="G10">
        <f t="shared" si="1"/>
        <v>0.72120932379413805</v>
      </c>
    </row>
    <row r="11" spans="1:7" ht="15" customHeight="1" x14ac:dyDescent="0.3">
      <c r="A11" s="9" t="s">
        <v>26</v>
      </c>
      <c r="B11" s="34">
        <v>6131</v>
      </c>
      <c r="C11" s="34">
        <v>2356</v>
      </c>
      <c r="D11" s="7">
        <v>8487</v>
      </c>
      <c r="E11" s="60">
        <f t="shared" si="0"/>
        <v>0.72239896312006602</v>
      </c>
      <c r="G11">
        <f t="shared" si="1"/>
        <v>0.72239896312006602</v>
      </c>
    </row>
    <row r="12" spans="1:7" ht="15" customHeight="1" x14ac:dyDescent="0.3">
      <c r="A12" s="9" t="s">
        <v>27</v>
      </c>
      <c r="B12" s="34">
        <v>16736</v>
      </c>
      <c r="C12" s="34">
        <v>6456</v>
      </c>
      <c r="D12" s="7">
        <v>23192</v>
      </c>
      <c r="E12" s="60">
        <f t="shared" si="0"/>
        <v>0.72162814763711625</v>
      </c>
      <c r="G12">
        <f t="shared" si="1"/>
        <v>0.72162814763711625</v>
      </c>
    </row>
    <row r="13" spans="1:7" ht="15" customHeight="1" x14ac:dyDescent="0.3">
      <c r="A13" s="9" t="s">
        <v>28</v>
      </c>
      <c r="B13" s="34">
        <v>4439</v>
      </c>
      <c r="C13" s="34">
        <v>1596</v>
      </c>
      <c r="D13" s="7">
        <v>6035</v>
      </c>
      <c r="E13" s="60">
        <f t="shared" si="0"/>
        <v>0.73554266777133392</v>
      </c>
      <c r="G13">
        <f t="shared" si="1"/>
        <v>0.73554266777133392</v>
      </c>
    </row>
  </sheetData>
  <mergeCells count="3">
    <mergeCell ref="A1:E1"/>
    <mergeCell ref="A2:E2"/>
    <mergeCell ref="A4:E4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8"/>
  <sheetViews>
    <sheetView zoomScaleNormal="100" workbookViewId="0">
      <selection activeCell="B14" sqref="B14"/>
    </sheetView>
  </sheetViews>
  <sheetFormatPr baseColWidth="10" defaultColWidth="8.6640625" defaultRowHeight="14.4" x14ac:dyDescent="0.3"/>
  <cols>
    <col min="1" max="1" width="15" customWidth="1"/>
  </cols>
  <sheetData>
    <row r="1" spans="1:9" ht="17.25" customHeight="1" x14ac:dyDescent="0.3">
      <c r="A1" s="77" t="s">
        <v>268</v>
      </c>
      <c r="B1" s="77"/>
      <c r="C1" s="77"/>
      <c r="D1" s="77"/>
      <c r="E1" s="77"/>
      <c r="F1" s="77"/>
    </row>
    <row r="2" spans="1:9" ht="15" customHeight="1" x14ac:dyDescent="0.3">
      <c r="A2" s="82" t="s">
        <v>269</v>
      </c>
      <c r="B2" s="82"/>
      <c r="C2" s="82"/>
      <c r="D2" s="82"/>
      <c r="E2" s="82"/>
      <c r="F2" s="82"/>
    </row>
    <row r="4" spans="1:9" ht="15" customHeight="1" x14ac:dyDescent="0.3">
      <c r="A4" s="79" t="s">
        <v>270</v>
      </c>
      <c r="B4" s="79"/>
      <c r="C4" s="79"/>
      <c r="D4" s="79"/>
      <c r="E4" s="79"/>
      <c r="F4" s="79"/>
    </row>
    <row r="5" spans="1:9" ht="15" customHeight="1" x14ac:dyDescent="0.3">
      <c r="A5" s="8" t="s">
        <v>271</v>
      </c>
      <c r="B5" s="8" t="s">
        <v>272</v>
      </c>
      <c r="C5" s="8" t="s">
        <v>273</v>
      </c>
      <c r="D5" s="8" t="s">
        <v>274</v>
      </c>
      <c r="E5" s="8" t="s">
        <v>275</v>
      </c>
    </row>
    <row r="6" spans="1:9" ht="15" customHeight="1" x14ac:dyDescent="0.3">
      <c r="A6" s="9" t="s">
        <v>276</v>
      </c>
      <c r="B6" s="9" t="s">
        <v>19</v>
      </c>
      <c r="C6" s="9" t="s">
        <v>277</v>
      </c>
      <c r="D6" s="9" t="s">
        <v>278</v>
      </c>
      <c r="E6" s="9" t="s">
        <v>279</v>
      </c>
    </row>
    <row r="7" spans="1:9" ht="15" customHeight="1" x14ac:dyDescent="0.3">
      <c r="A7" s="9" t="s">
        <v>280</v>
      </c>
      <c r="B7" s="9" t="s">
        <v>22</v>
      </c>
      <c r="C7" s="9" t="s">
        <v>277</v>
      </c>
      <c r="D7" s="9" t="s">
        <v>281</v>
      </c>
      <c r="E7" s="9" t="s">
        <v>279</v>
      </c>
    </row>
    <row r="8" spans="1:9" ht="15" customHeight="1" x14ac:dyDescent="0.3">
      <c r="A8" s="9" t="s">
        <v>282</v>
      </c>
      <c r="B8" s="9" t="s">
        <v>43</v>
      </c>
      <c r="C8" s="9" t="s">
        <v>25</v>
      </c>
      <c r="D8" s="9" t="s">
        <v>283</v>
      </c>
      <c r="E8" s="9" t="s">
        <v>279</v>
      </c>
    </row>
    <row r="9" spans="1:9" ht="15" customHeight="1" x14ac:dyDescent="0.3">
      <c r="A9" s="9" t="s">
        <v>284</v>
      </c>
      <c r="B9" s="9" t="s">
        <v>43</v>
      </c>
      <c r="C9" s="9" t="s">
        <v>28</v>
      </c>
      <c r="D9" s="9" t="s">
        <v>285</v>
      </c>
      <c r="E9" s="9" t="s">
        <v>279</v>
      </c>
    </row>
    <row r="10" spans="1:9" ht="15" customHeight="1" x14ac:dyDescent="0.3">
      <c r="A10" s="9" t="s">
        <v>286</v>
      </c>
      <c r="B10" s="9" t="s">
        <v>287</v>
      </c>
      <c r="C10" s="9" t="s">
        <v>288</v>
      </c>
      <c r="D10" s="9" t="s">
        <v>289</v>
      </c>
      <c r="E10" s="9" t="s">
        <v>279</v>
      </c>
    </row>
    <row r="12" spans="1:9" x14ac:dyDescent="0.3">
      <c r="A12" t="s">
        <v>302</v>
      </c>
    </row>
    <row r="13" spans="1:9" x14ac:dyDescent="0.3">
      <c r="A13" t="s">
        <v>303</v>
      </c>
      <c r="B13" t="s">
        <v>4</v>
      </c>
      <c r="C13" t="s">
        <v>5</v>
      </c>
      <c r="D13" t="s">
        <v>6</v>
      </c>
      <c r="E13" t="s">
        <v>7</v>
      </c>
      <c r="F13" t="s">
        <v>8</v>
      </c>
      <c r="G13" t="s">
        <v>9</v>
      </c>
      <c r="H13" t="s">
        <v>10</v>
      </c>
      <c r="I13" t="s">
        <v>11</v>
      </c>
    </row>
    <row r="14" spans="1:9" x14ac:dyDescent="0.3">
      <c r="A14" t="s">
        <v>304</v>
      </c>
      <c r="B14">
        <f>Inputs!B6*Inputs!$B$101</f>
        <v>1850</v>
      </c>
      <c r="C14">
        <f>Inputs!C6*Inputs!$B$101</f>
        <v>1850</v>
      </c>
      <c r="D14">
        <f>Inputs!D6*Inputs!$B$101</f>
        <v>1850</v>
      </c>
      <c r="E14">
        <f>Inputs!E6*Inputs!$B$101</f>
        <v>1850</v>
      </c>
      <c r="F14">
        <f>Inputs!F6*Inputs!$B$101</f>
        <v>1850</v>
      </c>
      <c r="G14">
        <f>Inputs!G6*Inputs!$B$101</f>
        <v>1850</v>
      </c>
      <c r="H14">
        <f>Inputs!H6*Inputs!$B$101</f>
        <v>1850</v>
      </c>
      <c r="I14">
        <f>Inputs!I6*Inputs!$B$101</f>
        <v>1850</v>
      </c>
    </row>
    <row r="15" spans="1:9" x14ac:dyDescent="0.3">
      <c r="A15" t="s">
        <v>305</v>
      </c>
      <c r="B15">
        <f>IFERROR(C14,0)</f>
        <v>1850</v>
      </c>
      <c r="C15">
        <f t="shared" ref="C15:I18" si="0">IFERROR(D14,0)</f>
        <v>1850</v>
      </c>
      <c r="D15">
        <f t="shared" si="0"/>
        <v>1850</v>
      </c>
      <c r="E15">
        <f t="shared" si="0"/>
        <v>1850</v>
      </c>
      <c r="F15">
        <f t="shared" si="0"/>
        <v>1850</v>
      </c>
      <c r="G15">
        <f t="shared" si="0"/>
        <v>1850</v>
      </c>
      <c r="H15">
        <f t="shared" si="0"/>
        <v>1850</v>
      </c>
      <c r="I15">
        <f t="shared" si="0"/>
        <v>0</v>
      </c>
    </row>
    <row r="16" spans="1:9" x14ac:dyDescent="0.3">
      <c r="A16" t="s">
        <v>306</v>
      </c>
      <c r="B16">
        <f>IFERROR(C15,0)</f>
        <v>1850</v>
      </c>
      <c r="C16">
        <f t="shared" si="0"/>
        <v>1850</v>
      </c>
      <c r="D16">
        <f t="shared" si="0"/>
        <v>1850</v>
      </c>
      <c r="E16">
        <f t="shared" si="0"/>
        <v>1850</v>
      </c>
      <c r="F16">
        <f t="shared" si="0"/>
        <v>1850</v>
      </c>
      <c r="G16">
        <f t="shared" si="0"/>
        <v>1850</v>
      </c>
      <c r="H16">
        <f t="shared" si="0"/>
        <v>0</v>
      </c>
      <c r="I16">
        <f t="shared" si="0"/>
        <v>0</v>
      </c>
    </row>
    <row r="17" spans="1:9" x14ac:dyDescent="0.3">
      <c r="A17" t="s">
        <v>307</v>
      </c>
      <c r="B17">
        <f>IFERROR(C16,0)</f>
        <v>1850</v>
      </c>
      <c r="C17">
        <f t="shared" si="0"/>
        <v>1850</v>
      </c>
      <c r="D17">
        <f t="shared" si="0"/>
        <v>1850</v>
      </c>
      <c r="E17">
        <f t="shared" si="0"/>
        <v>1850</v>
      </c>
      <c r="F17">
        <f t="shared" si="0"/>
        <v>1850</v>
      </c>
      <c r="G17">
        <f t="shared" si="0"/>
        <v>0</v>
      </c>
      <c r="H17">
        <f t="shared" si="0"/>
        <v>0</v>
      </c>
      <c r="I17">
        <f t="shared" si="0"/>
        <v>0</v>
      </c>
    </row>
    <row r="18" spans="1:9" x14ac:dyDescent="0.3">
      <c r="A18" t="s">
        <v>308</v>
      </c>
      <c r="B18">
        <f>IFERROR(C17,0)</f>
        <v>1850</v>
      </c>
      <c r="C18">
        <f t="shared" si="0"/>
        <v>1850</v>
      </c>
      <c r="D18">
        <f t="shared" si="0"/>
        <v>1850</v>
      </c>
      <c r="E18">
        <f t="shared" si="0"/>
        <v>1850</v>
      </c>
      <c r="F18">
        <f t="shared" si="0"/>
        <v>0</v>
      </c>
      <c r="G18">
        <f t="shared" si="0"/>
        <v>0</v>
      </c>
      <c r="H18">
        <f t="shared" si="0"/>
        <v>0</v>
      </c>
      <c r="I18">
        <f t="shared" si="0"/>
        <v>0</v>
      </c>
    </row>
  </sheetData>
  <mergeCells count="3">
    <mergeCell ref="A1:F1"/>
    <mergeCell ref="A2:F2"/>
    <mergeCell ref="A4:F4"/>
  </mergeCell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K37"/>
  <sheetViews>
    <sheetView zoomScaleNormal="100" workbookViewId="0">
      <selection activeCell="I11" sqref="I11"/>
    </sheetView>
  </sheetViews>
  <sheetFormatPr baseColWidth="10" defaultColWidth="8.6640625" defaultRowHeight="14.4" x14ac:dyDescent="0.3"/>
  <cols>
    <col min="1" max="1" width="15" customWidth="1"/>
  </cols>
  <sheetData>
    <row r="1" spans="1:11" ht="17.25" customHeight="1" x14ac:dyDescent="0.3">
      <c r="A1" s="95" t="s">
        <v>309</v>
      </c>
      <c r="B1" s="95"/>
      <c r="C1" s="95"/>
      <c r="D1" s="95"/>
      <c r="E1" s="95"/>
      <c r="F1" s="95"/>
      <c r="G1" s="95"/>
      <c r="H1" s="95"/>
    </row>
    <row r="2" spans="1:11" ht="15" customHeight="1" x14ac:dyDescent="0.3">
      <c r="A2" s="82" t="s">
        <v>310</v>
      </c>
      <c r="B2" s="82"/>
      <c r="C2" s="82"/>
      <c r="D2" s="82"/>
      <c r="E2" s="82"/>
      <c r="F2" s="82"/>
      <c r="G2" s="82"/>
      <c r="H2" s="82"/>
    </row>
    <row r="4" spans="1:11" ht="15" customHeight="1" x14ac:dyDescent="0.3">
      <c r="A4" s="79" t="s">
        <v>290</v>
      </c>
      <c r="B4" s="79"/>
      <c r="C4" s="79"/>
      <c r="D4" s="79"/>
      <c r="E4" s="79"/>
      <c r="F4" s="79"/>
      <c r="G4" s="79"/>
      <c r="H4" s="79"/>
    </row>
    <row r="5" spans="1:11" ht="15" customHeight="1" x14ac:dyDescent="0.3">
      <c r="A5" s="8" t="s">
        <v>311</v>
      </c>
      <c r="B5" s="8"/>
      <c r="C5" s="8"/>
      <c r="D5" s="8"/>
      <c r="E5" s="8"/>
      <c r="J5" t="s">
        <v>312</v>
      </c>
      <c r="K5">
        <v>100</v>
      </c>
    </row>
    <row r="6" spans="1:11" ht="15" customHeight="1" x14ac:dyDescent="0.3">
      <c r="A6" s="9" t="s">
        <v>15</v>
      </c>
      <c r="B6" s="34" t="s">
        <v>4</v>
      </c>
      <c r="C6" s="70" t="s">
        <v>5</v>
      </c>
      <c r="D6" s="71" t="s">
        <v>6</v>
      </c>
      <c r="E6" s="9" t="s">
        <v>7</v>
      </c>
      <c r="F6" t="s">
        <v>8</v>
      </c>
      <c r="G6" t="s">
        <v>9</v>
      </c>
      <c r="H6" t="s">
        <v>10</v>
      </c>
      <c r="I6" t="s">
        <v>11</v>
      </c>
    </row>
    <row r="7" spans="1:11" ht="15" customHeight="1" x14ac:dyDescent="0.3">
      <c r="A7" s="9" t="s">
        <v>19</v>
      </c>
      <c r="B7" s="34"/>
      <c r="C7" s="70"/>
      <c r="D7" s="71"/>
      <c r="E7" s="9"/>
    </row>
    <row r="8" spans="1:11" ht="15" customHeight="1" x14ac:dyDescent="0.3">
      <c r="A8" s="9" t="s">
        <v>22</v>
      </c>
      <c r="B8" s="34"/>
      <c r="C8" s="70"/>
      <c r="D8" s="71"/>
      <c r="E8" s="9"/>
    </row>
    <row r="9" spans="1:11" ht="15" customHeight="1" x14ac:dyDescent="0.3">
      <c r="A9" s="9" t="s">
        <v>23</v>
      </c>
      <c r="B9" s="34"/>
      <c r="C9" s="70"/>
      <c r="D9" s="71"/>
      <c r="E9" s="9"/>
    </row>
    <row r="10" spans="1:11" ht="15" customHeight="1" x14ac:dyDescent="0.3">
      <c r="A10" s="9" t="s">
        <v>24</v>
      </c>
      <c r="B10" s="34"/>
      <c r="C10" s="70"/>
      <c r="D10" s="71"/>
      <c r="E10" s="9"/>
    </row>
    <row r="11" spans="1:11" ht="15" customHeight="1" x14ac:dyDescent="0.3">
      <c r="A11" s="9" t="s">
        <v>25</v>
      </c>
      <c r="B11" s="34"/>
      <c r="C11" s="70"/>
      <c r="D11" s="71"/>
      <c r="E11" s="9"/>
    </row>
    <row r="12" spans="1:11" ht="15" customHeight="1" x14ac:dyDescent="0.3">
      <c r="A12" s="9" t="s">
        <v>26</v>
      </c>
      <c r="B12" s="34"/>
      <c r="C12" s="70"/>
      <c r="D12" s="71"/>
      <c r="E12" s="9"/>
    </row>
    <row r="13" spans="1:11" ht="15" customHeight="1" x14ac:dyDescent="0.3">
      <c r="A13" s="9" t="s">
        <v>27</v>
      </c>
      <c r="B13" s="34"/>
      <c r="C13" s="70"/>
      <c r="D13" s="71"/>
      <c r="E13" s="9"/>
    </row>
    <row r="14" spans="1:11" x14ac:dyDescent="0.3">
      <c r="A14" t="s">
        <v>28</v>
      </c>
    </row>
    <row r="16" spans="1:11" x14ac:dyDescent="0.3">
      <c r="A16" t="s">
        <v>313</v>
      </c>
    </row>
    <row r="17" spans="1:11" x14ac:dyDescent="0.3">
      <c r="A17" t="s">
        <v>15</v>
      </c>
      <c r="B17" t="s">
        <v>4</v>
      </c>
      <c r="C17" t="s">
        <v>5</v>
      </c>
      <c r="D17" t="s">
        <v>6</v>
      </c>
      <c r="E17" t="s">
        <v>7</v>
      </c>
      <c r="F17" t="s">
        <v>8</v>
      </c>
      <c r="G17" t="s">
        <v>9</v>
      </c>
      <c r="H17" t="s">
        <v>10</v>
      </c>
      <c r="I17" t="s">
        <v>11</v>
      </c>
    </row>
    <row r="18" spans="1:11" x14ac:dyDescent="0.3">
      <c r="A18" t="s">
        <v>19</v>
      </c>
      <c r="B18" s="74">
        <f>Inventario_Dinamico!B10</f>
        <v>2662</v>
      </c>
      <c r="C18" s="74">
        <f>Inventario_Dinamico!C10</f>
        <v>812</v>
      </c>
      <c r="D18" s="74">
        <f>Inventario_Dinamico!D10</f>
        <v>-1038</v>
      </c>
      <c r="E18" s="74">
        <f>Inventario_Dinamico!E10</f>
        <v>-2888</v>
      </c>
      <c r="F18" s="74">
        <f>Inventario_Dinamico!F10</f>
        <v>-2888</v>
      </c>
      <c r="G18" s="74">
        <f>Inventario_Dinamico!G10</f>
        <v>-2888</v>
      </c>
      <c r="H18" s="74">
        <f>Inventario_Dinamico!H10</f>
        <v>-2888</v>
      </c>
      <c r="I18" s="74">
        <f>Inventario_Dinamico!I10</f>
        <v>-2888</v>
      </c>
    </row>
    <row r="19" spans="1:11" x14ac:dyDescent="0.3">
      <c r="A19" t="s">
        <v>22</v>
      </c>
      <c r="B19" s="74">
        <f>Inventario_Dinamico!B16</f>
        <v>688</v>
      </c>
      <c r="C19" s="74">
        <f>Inventario_Dinamico!C16</f>
        <v>318</v>
      </c>
      <c r="D19" s="74">
        <f>Inventario_Dinamico!D16</f>
        <v>-52</v>
      </c>
      <c r="E19" s="74">
        <f>Inventario_Dinamico!E16</f>
        <v>-422</v>
      </c>
      <c r="F19" s="74">
        <f>Inventario_Dinamico!F16</f>
        <v>-792</v>
      </c>
      <c r="G19" s="74">
        <f>Inventario_Dinamico!G16</f>
        <v>-792</v>
      </c>
      <c r="H19" s="74">
        <f>Inventario_Dinamico!H16</f>
        <v>-792</v>
      </c>
      <c r="I19" s="74">
        <f>Inventario_Dinamico!I16</f>
        <v>-792</v>
      </c>
    </row>
    <row r="20" spans="1:11" x14ac:dyDescent="0.3">
      <c r="A20" t="s">
        <v>23</v>
      </c>
      <c r="B20" s="74">
        <f>Inventario_Dinamico!B22</f>
        <v>111.5</v>
      </c>
      <c r="C20" s="74">
        <f>Inventario_Dinamico!C22</f>
        <v>93</v>
      </c>
      <c r="D20" s="74">
        <f>Inventario_Dinamico!D22</f>
        <v>74.5</v>
      </c>
      <c r="E20" s="74">
        <f>Inventario_Dinamico!E22</f>
        <v>56</v>
      </c>
      <c r="F20" s="74">
        <f>Inventario_Dinamico!F22</f>
        <v>37.5</v>
      </c>
      <c r="G20" s="74">
        <f>Inventario_Dinamico!G22</f>
        <v>19</v>
      </c>
      <c r="H20" s="74">
        <f>Inventario_Dinamico!H22</f>
        <v>0.5</v>
      </c>
      <c r="I20" s="74">
        <f>Inventario_Dinamico!I22</f>
        <v>0.5</v>
      </c>
    </row>
    <row r="21" spans="1:11" x14ac:dyDescent="0.3">
      <c r="A21" t="s">
        <v>24</v>
      </c>
      <c r="B21" s="74">
        <f>Inventario_Dinamico!B28</f>
        <v>-9532</v>
      </c>
      <c r="C21" s="74">
        <f>Inventario_Dinamico!C28</f>
        <v>-24332</v>
      </c>
      <c r="D21" s="74">
        <f>Inventario_Dinamico!D28</f>
        <v>-39132</v>
      </c>
      <c r="E21" s="74">
        <f>Inventario_Dinamico!E28</f>
        <v>-53932</v>
      </c>
      <c r="F21" s="74">
        <f>Inventario_Dinamico!F28</f>
        <v>-68732</v>
      </c>
      <c r="G21" s="74">
        <f>Inventario_Dinamico!G28</f>
        <v>-83532</v>
      </c>
      <c r="H21" s="74">
        <f>Inventario_Dinamico!H28</f>
        <v>-98332</v>
      </c>
      <c r="I21" s="74">
        <f>Inventario_Dinamico!I28</f>
        <v>-98332</v>
      </c>
    </row>
    <row r="22" spans="1:11" x14ac:dyDescent="0.3">
      <c r="A22" t="s">
        <v>25</v>
      </c>
      <c r="B22" s="74">
        <f>Inventario_Dinamico!B34</f>
        <v>3778</v>
      </c>
      <c r="C22" s="74">
        <f>Inventario_Dinamico!C34</f>
        <v>3223</v>
      </c>
      <c r="D22" s="74">
        <f>Inventario_Dinamico!D34</f>
        <v>2668</v>
      </c>
      <c r="E22" s="74">
        <f>Inventario_Dinamico!E34</f>
        <v>2113</v>
      </c>
      <c r="F22" s="74">
        <f>Inventario_Dinamico!F34</f>
        <v>1558</v>
      </c>
      <c r="G22" s="74">
        <f>Inventario_Dinamico!G34</f>
        <v>1003</v>
      </c>
      <c r="H22" s="74">
        <f>Inventario_Dinamico!H34</f>
        <v>448</v>
      </c>
      <c r="I22" s="74">
        <f>Inventario_Dinamico!I34</f>
        <v>448</v>
      </c>
    </row>
    <row r="23" spans="1:11" x14ac:dyDescent="0.3">
      <c r="A23" t="s">
        <v>26</v>
      </c>
      <c r="B23" s="74">
        <f>Inventario_Dinamico!B40</f>
        <v>7377</v>
      </c>
      <c r="C23" s="74">
        <f>Inventario_Dinamico!C40</f>
        <v>6267</v>
      </c>
      <c r="D23" s="74">
        <f>Inventario_Dinamico!D40</f>
        <v>5157</v>
      </c>
      <c r="E23" s="74">
        <f>Inventario_Dinamico!E40</f>
        <v>4047</v>
      </c>
      <c r="F23" s="74">
        <f>Inventario_Dinamico!F40</f>
        <v>2937</v>
      </c>
      <c r="G23" s="74">
        <f>Inventario_Dinamico!G40</f>
        <v>1827</v>
      </c>
      <c r="H23" s="74">
        <f>Inventario_Dinamico!H40</f>
        <v>717</v>
      </c>
      <c r="I23" s="74">
        <f>Inventario_Dinamico!I40</f>
        <v>717</v>
      </c>
    </row>
    <row r="24" spans="1:11" x14ac:dyDescent="0.3">
      <c r="A24" t="s">
        <v>27</v>
      </c>
      <c r="B24" s="74">
        <f>Inventario_Dinamico!B46</f>
        <v>19492</v>
      </c>
      <c r="C24" s="74">
        <f>Inventario_Dinamico!C46</f>
        <v>15792</v>
      </c>
      <c r="D24" s="74">
        <f>Inventario_Dinamico!D46</f>
        <v>12092</v>
      </c>
      <c r="E24" s="74">
        <f>Inventario_Dinamico!E46</f>
        <v>8392</v>
      </c>
      <c r="F24" s="74">
        <f>Inventario_Dinamico!F46</f>
        <v>4692</v>
      </c>
      <c r="G24" s="74">
        <f>Inventario_Dinamico!G46</f>
        <v>992</v>
      </c>
      <c r="H24" s="74">
        <f>Inventario_Dinamico!H46</f>
        <v>-2708</v>
      </c>
      <c r="I24" s="74">
        <f>Inventario_Dinamico!I46</f>
        <v>-2708</v>
      </c>
    </row>
    <row r="25" spans="1:11" x14ac:dyDescent="0.3">
      <c r="A25" t="s">
        <v>28</v>
      </c>
      <c r="B25" s="74">
        <f>Inventario_Dinamico!B52</f>
        <v>4647.5</v>
      </c>
      <c r="C25" s="74">
        <f>Inventario_Dinamico!C52</f>
        <v>3260</v>
      </c>
      <c r="D25" s="74">
        <f>Inventario_Dinamico!D52</f>
        <v>1872.5</v>
      </c>
      <c r="E25" s="74">
        <f>Inventario_Dinamico!E52</f>
        <v>485</v>
      </c>
      <c r="F25" s="74">
        <f>Inventario_Dinamico!F52</f>
        <v>-902.5</v>
      </c>
      <c r="G25" s="74">
        <f>Inventario_Dinamico!G52</f>
        <v>-2290</v>
      </c>
      <c r="H25" s="74">
        <f>Inventario_Dinamico!H52</f>
        <v>-3677.5</v>
      </c>
      <c r="I25" s="74">
        <f>Inventario_Dinamico!I52</f>
        <v>-3677.5</v>
      </c>
    </row>
    <row r="27" spans="1:11" x14ac:dyDescent="0.3">
      <c r="A27" t="s">
        <v>314</v>
      </c>
    </row>
    <row r="28" spans="1:11" x14ac:dyDescent="0.3">
      <c r="A28" t="s">
        <v>15</v>
      </c>
      <c r="B28" t="s">
        <v>4</v>
      </c>
      <c r="C28" t="s">
        <v>5</v>
      </c>
      <c r="D28" t="s">
        <v>6</v>
      </c>
      <c r="E28" t="s">
        <v>7</v>
      </c>
      <c r="F28" t="s">
        <v>8</v>
      </c>
      <c r="G28" t="s">
        <v>9</v>
      </c>
      <c r="H28" t="s">
        <v>10</v>
      </c>
      <c r="I28" t="s">
        <v>11</v>
      </c>
      <c r="J28" t="s">
        <v>315</v>
      </c>
      <c r="K28" t="s">
        <v>316</v>
      </c>
    </row>
    <row r="29" spans="1:11" x14ac:dyDescent="0.3">
      <c r="A29" t="s">
        <v>19</v>
      </c>
      <c r="B29" s="74">
        <f t="shared" ref="B29:B36" si="0">B7-B18</f>
        <v>-2662</v>
      </c>
      <c r="C29" s="74">
        <f t="shared" ref="C29:I29" si="1">C7-C18</f>
        <v>-812</v>
      </c>
      <c r="D29" s="74">
        <f t="shared" si="1"/>
        <v>1038</v>
      </c>
      <c r="E29" s="74">
        <f t="shared" si="1"/>
        <v>2888</v>
      </c>
      <c r="F29" s="74">
        <f t="shared" si="1"/>
        <v>2888</v>
      </c>
      <c r="G29" s="74">
        <f t="shared" si="1"/>
        <v>2888</v>
      </c>
      <c r="H29" s="74">
        <f t="shared" si="1"/>
        <v>2888</v>
      </c>
      <c r="I29" s="74">
        <f t="shared" si="1"/>
        <v>2888</v>
      </c>
      <c r="J29" t="e">
        <f>SUM(ABS(B29:I29))</f>
        <v>#VALUE!</v>
      </c>
      <c r="K29" t="e">
        <f>IF(J29&gt;$K$5,"REVISAR","OK")</f>
        <v>#VALUE!</v>
      </c>
    </row>
    <row r="30" spans="1:11" x14ac:dyDescent="0.3">
      <c r="A30" t="s">
        <v>22</v>
      </c>
      <c r="B30" s="74">
        <f t="shared" si="0"/>
        <v>-688</v>
      </c>
      <c r="C30" s="74">
        <f t="shared" ref="C30:I30" si="2">C8-C19</f>
        <v>-318</v>
      </c>
      <c r="D30" s="74">
        <f t="shared" si="2"/>
        <v>52</v>
      </c>
      <c r="E30" s="74">
        <f t="shared" si="2"/>
        <v>422</v>
      </c>
      <c r="F30" s="74">
        <f t="shared" si="2"/>
        <v>792</v>
      </c>
      <c r="G30" s="74">
        <f t="shared" si="2"/>
        <v>792</v>
      </c>
      <c r="H30" s="74">
        <f t="shared" si="2"/>
        <v>792</v>
      </c>
      <c r="I30" s="74">
        <f t="shared" si="2"/>
        <v>792</v>
      </c>
      <c r="J30" t="e">
        <f t="shared" ref="J30:J36" si="3">SUM(ABS(B30:I30))</f>
        <v>#VALUE!</v>
      </c>
      <c r="K30" t="e">
        <f t="shared" ref="K30:K36" si="4">IF(J30&gt;$K$5,"REVISAR","OK")</f>
        <v>#VALUE!</v>
      </c>
    </row>
    <row r="31" spans="1:11" x14ac:dyDescent="0.3">
      <c r="A31" t="s">
        <v>23</v>
      </c>
      <c r="B31" s="74">
        <f t="shared" si="0"/>
        <v>-111.5</v>
      </c>
      <c r="C31" s="74">
        <f t="shared" ref="C31:I31" si="5">C9-C20</f>
        <v>-93</v>
      </c>
      <c r="D31" s="74">
        <f t="shared" si="5"/>
        <v>-74.5</v>
      </c>
      <c r="E31" s="74">
        <f t="shared" si="5"/>
        <v>-56</v>
      </c>
      <c r="F31" s="74">
        <f t="shared" si="5"/>
        <v>-37.5</v>
      </c>
      <c r="G31" s="74">
        <f t="shared" si="5"/>
        <v>-19</v>
      </c>
      <c r="H31" s="74">
        <f t="shared" si="5"/>
        <v>-0.5</v>
      </c>
      <c r="I31" s="74">
        <f t="shared" si="5"/>
        <v>-0.5</v>
      </c>
      <c r="J31" t="e">
        <f t="shared" si="3"/>
        <v>#VALUE!</v>
      </c>
      <c r="K31" t="e">
        <f t="shared" si="4"/>
        <v>#VALUE!</v>
      </c>
    </row>
    <row r="32" spans="1:11" x14ac:dyDescent="0.3">
      <c r="A32" t="s">
        <v>24</v>
      </c>
      <c r="B32" s="74">
        <f t="shared" si="0"/>
        <v>9532</v>
      </c>
      <c r="C32" s="74">
        <f t="shared" ref="C32:I32" si="6">C10-C21</f>
        <v>24332</v>
      </c>
      <c r="D32" s="74">
        <f t="shared" si="6"/>
        <v>39132</v>
      </c>
      <c r="E32" s="74">
        <f t="shared" si="6"/>
        <v>53932</v>
      </c>
      <c r="F32" s="74">
        <f t="shared" si="6"/>
        <v>68732</v>
      </c>
      <c r="G32" s="74">
        <f t="shared" si="6"/>
        <v>83532</v>
      </c>
      <c r="H32" s="74">
        <f t="shared" si="6"/>
        <v>98332</v>
      </c>
      <c r="I32" s="74">
        <f t="shared" si="6"/>
        <v>98332</v>
      </c>
      <c r="J32" t="e">
        <f t="shared" si="3"/>
        <v>#VALUE!</v>
      </c>
      <c r="K32" t="e">
        <f t="shared" si="4"/>
        <v>#VALUE!</v>
      </c>
    </row>
    <row r="33" spans="1:11" x14ac:dyDescent="0.3">
      <c r="A33" t="s">
        <v>25</v>
      </c>
      <c r="B33" s="74">
        <f t="shared" si="0"/>
        <v>-3778</v>
      </c>
      <c r="C33" s="74">
        <f t="shared" ref="C33:I33" si="7">C11-C22</f>
        <v>-3223</v>
      </c>
      <c r="D33" s="74">
        <f t="shared" si="7"/>
        <v>-2668</v>
      </c>
      <c r="E33" s="74">
        <f t="shared" si="7"/>
        <v>-2113</v>
      </c>
      <c r="F33" s="74">
        <f t="shared" si="7"/>
        <v>-1558</v>
      </c>
      <c r="G33" s="74">
        <f t="shared" si="7"/>
        <v>-1003</v>
      </c>
      <c r="H33" s="74">
        <f t="shared" si="7"/>
        <v>-448</v>
      </c>
      <c r="I33" s="74">
        <f t="shared" si="7"/>
        <v>-448</v>
      </c>
      <c r="J33" t="e">
        <f t="shared" si="3"/>
        <v>#VALUE!</v>
      </c>
      <c r="K33" t="e">
        <f t="shared" si="4"/>
        <v>#VALUE!</v>
      </c>
    </row>
    <row r="34" spans="1:11" x14ac:dyDescent="0.3">
      <c r="A34" t="s">
        <v>26</v>
      </c>
      <c r="B34" s="74">
        <f t="shared" si="0"/>
        <v>-7377</v>
      </c>
      <c r="C34" s="74">
        <f t="shared" ref="C34:I34" si="8">C12-C23</f>
        <v>-6267</v>
      </c>
      <c r="D34" s="74">
        <f t="shared" si="8"/>
        <v>-5157</v>
      </c>
      <c r="E34" s="74">
        <f t="shared" si="8"/>
        <v>-4047</v>
      </c>
      <c r="F34" s="74">
        <f t="shared" si="8"/>
        <v>-2937</v>
      </c>
      <c r="G34" s="74">
        <f t="shared" si="8"/>
        <v>-1827</v>
      </c>
      <c r="H34" s="74">
        <f t="shared" si="8"/>
        <v>-717</v>
      </c>
      <c r="I34" s="74">
        <f t="shared" si="8"/>
        <v>-717</v>
      </c>
      <c r="J34" t="e">
        <f t="shared" si="3"/>
        <v>#VALUE!</v>
      </c>
      <c r="K34" t="e">
        <f t="shared" si="4"/>
        <v>#VALUE!</v>
      </c>
    </row>
    <row r="35" spans="1:11" x14ac:dyDescent="0.3">
      <c r="A35" t="s">
        <v>27</v>
      </c>
      <c r="B35" s="74">
        <f t="shared" si="0"/>
        <v>-19492</v>
      </c>
      <c r="C35" s="74">
        <f t="shared" ref="C35:I35" si="9">C13-C24</f>
        <v>-15792</v>
      </c>
      <c r="D35" s="74">
        <f t="shared" si="9"/>
        <v>-12092</v>
      </c>
      <c r="E35" s="74">
        <f t="shared" si="9"/>
        <v>-8392</v>
      </c>
      <c r="F35" s="74">
        <f t="shared" si="9"/>
        <v>-4692</v>
      </c>
      <c r="G35" s="74">
        <f t="shared" si="9"/>
        <v>-992</v>
      </c>
      <c r="H35" s="74">
        <f t="shared" si="9"/>
        <v>2708</v>
      </c>
      <c r="I35" s="74">
        <f t="shared" si="9"/>
        <v>2708</v>
      </c>
      <c r="J35" t="e">
        <f t="shared" si="3"/>
        <v>#VALUE!</v>
      </c>
      <c r="K35" t="e">
        <f t="shared" si="4"/>
        <v>#VALUE!</v>
      </c>
    </row>
    <row r="36" spans="1:11" x14ac:dyDescent="0.3">
      <c r="A36" t="s">
        <v>28</v>
      </c>
      <c r="B36" s="74">
        <f t="shared" si="0"/>
        <v>-4647.5</v>
      </c>
      <c r="C36" s="74">
        <f t="shared" ref="C36:I36" si="10">C14-C25</f>
        <v>-3260</v>
      </c>
      <c r="D36" s="74">
        <f t="shared" si="10"/>
        <v>-1872.5</v>
      </c>
      <c r="E36" s="74">
        <f t="shared" si="10"/>
        <v>-485</v>
      </c>
      <c r="F36" s="74">
        <f t="shared" si="10"/>
        <v>902.5</v>
      </c>
      <c r="G36" s="74">
        <f t="shared" si="10"/>
        <v>2290</v>
      </c>
      <c r="H36" s="74">
        <f t="shared" si="10"/>
        <v>3677.5</v>
      </c>
      <c r="I36" s="74">
        <f t="shared" si="10"/>
        <v>3677.5</v>
      </c>
      <c r="J36" t="e">
        <f t="shared" si="3"/>
        <v>#VALUE!</v>
      </c>
      <c r="K36" t="e">
        <f t="shared" si="4"/>
        <v>#VALUE!</v>
      </c>
    </row>
    <row r="37" spans="1:11" x14ac:dyDescent="0.3">
      <c r="A37" t="s">
        <v>317</v>
      </c>
      <c r="J37" t="e">
        <f>SUM(J29:J36)</f>
        <v>#VALUE!</v>
      </c>
      <c r="K37" t="e">
        <f>IF(J37&gt;$K$5*8,"REVISAR","OK")</f>
        <v>#VALUE!</v>
      </c>
    </row>
  </sheetData>
  <mergeCells count="3">
    <mergeCell ref="A1:H1"/>
    <mergeCell ref="A2:H2"/>
    <mergeCell ref="A4:H4"/>
  </mergeCells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7"/>
  <sheetViews>
    <sheetView tabSelected="1" zoomScaleNormal="100" workbookViewId="0">
      <selection sqref="A1:G1"/>
    </sheetView>
  </sheetViews>
  <sheetFormatPr baseColWidth="10" defaultColWidth="8.6640625" defaultRowHeight="14.4" x14ac:dyDescent="0.3"/>
  <cols>
    <col min="1" max="1" width="15" customWidth="1"/>
  </cols>
  <sheetData>
    <row r="1" spans="1:7" ht="17.25" customHeight="1" x14ac:dyDescent="0.3">
      <c r="A1" s="96" t="s">
        <v>291</v>
      </c>
      <c r="B1" s="96"/>
      <c r="C1" s="96"/>
      <c r="D1" s="96"/>
      <c r="E1" s="96"/>
      <c r="F1" s="96"/>
      <c r="G1" s="96"/>
    </row>
    <row r="2" spans="1:7" ht="15" customHeight="1" x14ac:dyDescent="0.3">
      <c r="A2" s="82" t="s">
        <v>292</v>
      </c>
      <c r="B2" s="82"/>
      <c r="C2" s="82"/>
      <c r="D2" s="82"/>
      <c r="E2" s="82"/>
      <c r="F2" s="82"/>
      <c r="G2" s="82"/>
    </row>
    <row r="4" spans="1:7" ht="15" customHeight="1" x14ac:dyDescent="0.3">
      <c r="A4" s="79" t="s">
        <v>293</v>
      </c>
      <c r="B4" s="79"/>
      <c r="C4" s="79"/>
      <c r="D4" s="79"/>
      <c r="E4" s="79"/>
      <c r="F4" s="79"/>
      <c r="G4" s="79"/>
    </row>
    <row r="5" spans="1:7" ht="15" customHeight="1" x14ac:dyDescent="0.3">
      <c r="A5" s="8" t="s">
        <v>15</v>
      </c>
      <c r="B5" s="8" t="s">
        <v>294</v>
      </c>
      <c r="C5" s="8" t="s">
        <v>295</v>
      </c>
      <c r="D5" s="8" t="s">
        <v>296</v>
      </c>
      <c r="E5" s="8" t="s">
        <v>297</v>
      </c>
      <c r="F5" s="8" t="s">
        <v>120</v>
      </c>
      <c r="G5" s="8" t="s">
        <v>298</v>
      </c>
    </row>
    <row r="6" spans="1:7" ht="15" customHeight="1" x14ac:dyDescent="0.3">
      <c r="A6" s="9" t="s">
        <v>19</v>
      </c>
      <c r="B6" s="72">
        <v>3.67</v>
      </c>
      <c r="C6" s="72">
        <v>6.18</v>
      </c>
      <c r="D6" s="72">
        <v>3.58</v>
      </c>
      <c r="E6" s="73" t="str">
        <f>Inputs!B69</f>
        <v>A</v>
      </c>
      <c r="F6" s="70">
        <f>SUM(Compras_y_Lotes!G18:G25)</f>
        <v>0</v>
      </c>
      <c r="G6" s="71">
        <f>IFERROR(F6*CHOOSE(MATCH(E6,{"A","B","C"},0),B6,C6,D6),0)</f>
        <v>0</v>
      </c>
    </row>
    <row r="7" spans="1:7" ht="15" customHeight="1" x14ac:dyDescent="0.3">
      <c r="A7" s="9" t="s">
        <v>22</v>
      </c>
      <c r="B7" s="72">
        <v>5.46</v>
      </c>
      <c r="C7" s="72">
        <v>8.33</v>
      </c>
      <c r="D7" s="72">
        <v>5.33</v>
      </c>
      <c r="E7" s="73" t="str">
        <f>Inputs!B77</f>
        <v>A</v>
      </c>
      <c r="F7" s="70">
        <f>SUM(Compras_y_Lotes!G26:G33)</f>
        <v>0</v>
      </c>
      <c r="G7" s="71">
        <f>IFERROR(F7*CHOOSE(MATCH(E7,{"A","B","C"},0),B7,C7,D7),0)</f>
        <v>0</v>
      </c>
    </row>
  </sheetData>
  <mergeCells count="3">
    <mergeCell ref="A1:G1"/>
    <mergeCell ref="A2:G2"/>
    <mergeCell ref="A4:G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18</vt:i4>
      </vt:variant>
    </vt:vector>
  </HeadingPairs>
  <TitlesOfParts>
    <vt:vector size="18" baseType="lpstr">
      <vt:lpstr>BUYING_PLAN_FINAL</vt:lpstr>
      <vt:lpstr>MRP_NetReq</vt:lpstr>
      <vt:lpstr>Inputs</vt:lpstr>
      <vt:lpstr>BOM_Consumo</vt:lpstr>
      <vt:lpstr>Inventario_Dinamico</vt:lpstr>
      <vt:lpstr>Compras_y_Lotes</vt:lpstr>
      <vt:lpstr>Costos</vt:lpstr>
      <vt:lpstr>Cashflow_Compras</vt:lpstr>
      <vt:lpstr>Escenarios</vt:lpstr>
      <vt:lpstr>Analisis_Proveedores</vt:lpstr>
      <vt:lpstr>Dashboard</vt:lpstr>
      <vt:lpstr>Riesgo_Proveedor_B</vt:lpstr>
      <vt:lpstr>Cashflow_Integrado</vt:lpstr>
      <vt:lpstr>EXSIM_Upload</vt:lpstr>
      <vt:lpstr>Multi_Planta</vt:lpstr>
      <vt:lpstr>MRP_LeadTimes</vt:lpstr>
      <vt:lpstr>Reconciliacion</vt:lpstr>
      <vt:lpstr>ESG_CO2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Alberto Daniel Quiroga Villalobos</cp:lastModifiedBy>
  <cp:revision>0</cp:revision>
  <dcterms:created xsi:type="dcterms:W3CDTF">2026-01-12T17:03:36Z</dcterms:created>
  <dcterms:modified xsi:type="dcterms:W3CDTF">2026-01-13T01:27:57Z</dcterms:modified>
  <dc:language>en-US</dc:language>
</cp:coreProperties>
</file>