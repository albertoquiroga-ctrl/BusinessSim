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Procurement/"/>
    </mc:Choice>
  </mc:AlternateContent>
  <xr:revisionPtr revIDLastSave="406" documentId="11_300C377E292435E26BC7E9727970CF20457E0EE2" xr6:coauthVersionLast="47" xr6:coauthVersionMax="47" xr10:uidLastSave="{30C951BA-787E-4EE4-A4D1-59002FC22468}"/>
  <bookViews>
    <workbookView xWindow="-108" yWindow="-108" windowWidth="23256" windowHeight="12456" tabRatio="500" xr2:uid="{00000000-000D-0000-FFFF-FFFF00000000}"/>
  </bookViews>
  <sheets>
    <sheet name="Inputs" sheetId="1" r:id="rId1"/>
    <sheet name="BOM_Consumo" sheetId="2" r:id="rId2"/>
    <sheet name="Inventario_Dinamico" sheetId="3" r:id="rId3"/>
    <sheet name="Compras_y_Lotes" sheetId="4" r:id="rId4"/>
    <sheet name="Assemblies" sheetId="17" r:id="rId5"/>
    <sheet name="Costos" sheetId="5" r:id="rId6"/>
    <sheet name="Cashflow_Compras" sheetId="6" r:id="rId7"/>
    <sheet name="Escenarios" sheetId="7" r:id="rId8"/>
    <sheet name="Analisis_Proveedores" sheetId="8" r:id="rId9"/>
    <sheet name="Dashboard" sheetId="9" r:id="rId10"/>
    <sheet name="Riesgo_Proveedor_B" sheetId="10" r:id="rId11"/>
    <sheet name="Cashflow_Integrado" sheetId="11" r:id="rId12"/>
    <sheet name="EXSIM_Upload" sheetId="12" r:id="rId13"/>
    <sheet name="Multi_Planta" sheetId="13" r:id="rId14"/>
    <sheet name="MRP_LeadTimes" sheetId="14" r:id="rId15"/>
    <sheet name="Reconciliacion" sheetId="15" r:id="rId16"/>
    <sheet name="ESG_CO2" sheetId="16" r:id="rId17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<sst xmlns="http://schemas.openxmlformats.org/spreadsheetml/2006/main" count="339" uniqueCount="339">
  <si>
    <t>INPUTS - PURCHASING MANAGER</t>
  </si>
  <si>
    <t>Solo inputs manuales. AZUL = modificar según tu estrategia. Sin fórmulas en esta hoja.</t>
  </si>
  <si>
    <t>1. PRODUCCIÓN PLANEADA POR QUINCENA (Assembly A)</t>
  </si>
  <si>
    <t>Quincena →</t>
  </si>
  <si>
    <t>Q1</t>
  </si>
  <si>
    <t>Q2</t>
  </si>
  <si>
    <t>Q3</t>
  </si>
  <si>
    <t>Q4</t>
  </si>
  <si>
    <t>Q5</t>
  </si>
  <si>
    <t>Q6</t>
  </si>
  <si>
    <t>Q7</t>
  </si>
  <si>
    <t>Q8</t>
  </si>
  <si>
    <t>TOTAL</t>
  </si>
  <si>
    <t>Producción EC Planta Central</t>
  </si>
  <si>
    <t>Producción EC Planta West</t>
  </si>
  <si>
    <t>Producción EC Planta East</t>
  </si>
  <si>
    <t>Producción EC Planta North</t>
  </si>
  <si>
    <t>Producción EC Planta South</t>
  </si>
  <si>
    <t>Total</t>
  </si>
  <si>
    <t>1. PRODUCCIÓN PLANEADA POR QUINCENA (Assembly B)</t>
  </si>
  <si>
    <t>1. PRODUCCIÓN PLANEADA POR QUINCENA (Assembly D)</t>
  </si>
  <si>
    <t>Material</t>
  </si>
  <si>
    <t>Inventario Inicial Planta Central</t>
  </si>
  <si>
    <t>Inventario Inicial Planta West</t>
  </si>
  <si>
    <t>Inventario Inicial Planta East</t>
  </si>
  <si>
    <t>Inventario Inicial Planta North</t>
  </si>
  <si>
    <t>Inventario Inicial Planta South</t>
  </si>
  <si>
    <t>Unidad</t>
  </si>
  <si>
    <t>Fuente</t>
  </si>
  <si>
    <t>Parte A</t>
  </si>
  <si>
    <t>unidades</t>
  </si>
  <si>
    <t>Fin Periodo 6</t>
  </si>
  <si>
    <t>Parte B</t>
  </si>
  <si>
    <t>Pieza 1</t>
  </si>
  <si>
    <t>Pieza 2</t>
  </si>
  <si>
    <t>Pieza 3</t>
  </si>
  <si>
    <t>Pieza 4</t>
  </si>
  <si>
    <t>Pieza 5</t>
  </si>
  <si>
    <t>Pieza 6</t>
  </si>
  <si>
    <t>Assembly A</t>
  </si>
  <si>
    <t>Assembly B</t>
  </si>
  <si>
    <t>Assembly C</t>
  </si>
  <si>
    <t>Assembly D</t>
  </si>
  <si>
    <t>3. BILL OF MATERIALS (BOM) - Consumo por Electroclean</t>
  </si>
  <si>
    <t>Consumo por EC</t>
  </si>
  <si>
    <t>Observaciones</t>
  </si>
  <si>
    <t>unidades/EC</t>
  </si>
  <si>
    <t>1:1</t>
  </si>
  <si>
    <t>1:5</t>
  </si>
  <si>
    <t>1:100</t>
  </si>
  <si>
    <t>8:1</t>
  </si>
  <si>
    <t>30%</t>
  </si>
  <si>
    <t>60%</t>
  </si>
  <si>
    <t>2:1</t>
  </si>
  <si>
    <t>75%</t>
  </si>
  <si>
    <t>4. BATCH SIZES (Tamaño de Lote)</t>
  </si>
  <si>
    <t>Batch Size</t>
  </si>
  <si>
    <t>MOQ (Min Order)</t>
  </si>
  <si>
    <t>-</t>
  </si>
  <si>
    <t>Lote fijo</t>
  </si>
  <si>
    <t>Individual</t>
  </si>
  <si>
    <t>Caja 100</t>
  </si>
  <si>
    <t>Lote 30</t>
  </si>
  <si>
    <t>Lote 60</t>
  </si>
  <si>
    <t>Lote 100</t>
  </si>
  <si>
    <t>Pallet 150</t>
  </si>
  <si>
    <t>5. PRECIOS POR BATCH</t>
  </si>
  <si>
    <t>Precio, Proveedor A</t>
  </si>
  <si>
    <t>Precio por Unidad Proveedor A</t>
  </si>
  <si>
    <t>Precio por Electroclean Proveedor A</t>
  </si>
  <si>
    <t>Precio, Proveedor B</t>
  </si>
  <si>
    <t>Precio por Unidad Proveedor B</t>
  </si>
  <si>
    <t>Precio por Electroclean Proveedor B</t>
  </si>
  <si>
    <t>Precio, Proveedor C</t>
  </si>
  <si>
    <t>Precio por Unidad Proveedor C</t>
  </si>
  <si>
    <t>Precio por Electroclean Proveedor C</t>
  </si>
  <si>
    <t>Totales</t>
  </si>
  <si>
    <t>6. ORDERING COST &amp; HOLDING COST</t>
  </si>
  <si>
    <t>Ordering Cost</t>
  </si>
  <si>
    <t>Holding Cost/U/Q</t>
  </si>
  <si>
    <t>Notas</t>
  </si>
  <si>
    <t>Por pedido / Por unidad-quincena</t>
  </si>
  <si>
    <t>Piezas 1-6</t>
  </si>
  <si>
    <t>Solo compra en t=0, sin costos adicionales</t>
  </si>
  <si>
    <t>7. PROVEEDORES - PARTE A</t>
  </si>
  <si>
    <t>ID</t>
  </si>
  <si>
    <t>Precio Base</t>
  </si>
  <si>
    <t>Términos Pago</t>
  </si>
  <si>
    <t>Descuento</t>
  </si>
  <si>
    <t>MOQ Desc.</t>
  </si>
  <si>
    <t>Confiabilidad</t>
  </si>
  <si>
    <t>A</t>
  </si>
  <si>
    <t>Inmediato (0Q)</t>
  </si>
  <si>
    <t>No</t>
  </si>
  <si>
    <t>100%</t>
  </si>
  <si>
    <t>B</t>
  </si>
  <si>
    <t>+2 Quincenas</t>
  </si>
  <si>
    <t>16% si Q≥150</t>
  </si>
  <si>
    <t>80%</t>
  </si>
  <si>
    <t>C</t>
  </si>
  <si>
    <t>+8 Quincenas</t>
  </si>
  <si>
    <t>PROVEEDOR ELEGIDO →</t>
  </si>
  <si>
    <t>8. PROVEEDORES - PARTE B</t>
  </si>
  <si>
    <t>16% si Q≥80</t>
  </si>
  <si>
    <t>9. SAFETY STOCK (Stock de Seguridad)</t>
  </si>
  <si>
    <t>Safety Stock Planta Center</t>
  </si>
  <si>
    <t>Safety Stock Planta West</t>
  </si>
  <si>
    <t>Safety Stock Planta East</t>
  </si>
  <si>
    <t>Safety Stock Planta North</t>
  </si>
  <si>
    <t>Safety Stock Planta South</t>
  </si>
  <si>
    <t>10. BUFFER MÍNIMO (Cobertura Operativa)</t>
  </si>
  <si>
    <t>Buffer = Quincenas de cobertura mínima antes de alerta</t>
  </si>
  <si>
    <t>Buffer (Quincenas)</t>
  </si>
  <si>
    <t>Consumo Prom/Q</t>
  </si>
  <si>
    <t>Inv. Mínimo Calc</t>
  </si>
  <si>
    <t>Crítico?</t>
  </si>
  <si>
    <t>BOM_CONSUMO - Cálculo de Consumo por Quincena</t>
  </si>
  <si>
    <t>Fórmula: Consumo_Q = Producción_EC_Q × Consumo_por_EC</t>
  </si>
  <si>
    <t>VERDE = datos de Inputs | NEGRO = fórmulas calculadas</t>
  </si>
  <si>
    <t>Planta Centro</t>
  </si>
  <si>
    <t>Consumo/EC</t>
  </si>
  <si>
    <t>PRODUCCIÓN TOTAL EC</t>
  </si>
  <si>
    <t>Planta West</t>
  </si>
  <si>
    <t>Planta East</t>
  </si>
  <si>
    <t>Planta North</t>
  </si>
  <si>
    <t>Planta South</t>
  </si>
  <si>
    <t>INVENTARIO DINÁMICO - Control por Quincena</t>
  </si>
  <si>
    <t>Fórmula: Inv_Final_Q = Inv_Inicial_Q + Recepciones_Q - Consumo_Q</t>
  </si>
  <si>
    <t>AMARILLO = ingresar recepciones manualmente | ROJO = inventario negativo (ALERTA)</t>
  </si>
  <si>
    <t>Concepto</t>
  </si>
  <si>
    <t>Inv_Inicial</t>
  </si>
  <si>
    <t>Recepciones</t>
  </si>
  <si>
    <t>Consumo</t>
  </si>
  <si>
    <t>Inv_Final</t>
  </si>
  <si>
    <t>VALIDACIONES Y ALERTAS</t>
  </si>
  <si>
    <t>Min Global</t>
  </si>
  <si>
    <t>COMPRAS Y LOTES - Decisiones de Compra</t>
  </si>
  <si>
    <t>Convierte consumo en decisiones reales de compra (lotes)</t>
  </si>
  <si>
    <t>AMARILLO = TUS DECISIONES de cuántos lotes comprar</t>
  </si>
  <si>
    <t>PIEZAS 1-6: COMPRA ÚNICA EN t=0</t>
  </si>
  <si>
    <t>Demanda Total</t>
  </si>
  <si>
    <t>Lotes Teóricos</t>
  </si>
  <si>
    <t>COMPRAR (Lotes)</t>
  </si>
  <si>
    <t>Total Unidades</t>
  </si>
  <si>
    <t>Precio/Batch</t>
  </si>
  <si>
    <t>Costo Total</t>
  </si>
  <si>
    <t>Status</t>
  </si>
  <si>
    <t>TOTAL PIEZAS</t>
  </si>
  <si>
    <t>PARTES A y B: COMPRA POR QUINCENA</t>
  </si>
  <si>
    <t>Quincena</t>
  </si>
  <si>
    <t>Demanda</t>
  </si>
  <si>
    <t>Unidades</t>
  </si>
  <si>
    <t>Costo</t>
  </si>
  <si>
    <t>Pago en Q</t>
  </si>
  <si>
    <t>Assembly</t>
  </si>
  <si>
    <t>Holding Cost</t>
  </si>
  <si>
    <t xml:space="preserve">A </t>
  </si>
  <si>
    <t>D</t>
  </si>
  <si>
    <t>COSTOS - Análisis Completo</t>
  </si>
  <si>
    <t>Costo Total = Costo de Compra + Ordering Cost + Holding Cost</t>
  </si>
  <si>
    <t>Costo Compra</t>
  </si>
  <si>
    <t># Pedidos</t>
  </si>
  <si>
    <t>COSTO TOTAL</t>
  </si>
  <si>
    <t>CASHFLOW - Pagos por Quincena</t>
  </si>
  <si>
    <t>Proyección de pagos según términos de cada proveedor</t>
  </si>
  <si>
    <t>IMPORTANTE: Coordinar con Finanzas para asegurar liquidez</t>
  </si>
  <si>
    <t>Piezas 1-6 (t=0)</t>
  </si>
  <si>
    <t>TOTAL PAGOS</t>
  </si>
  <si>
    <t>ESCENARIOS - Análisis Comparativo</t>
  </si>
  <si>
    <t>Compara 3 estrategias: Conservador / Base / Agresivo</t>
  </si>
  <si>
    <t>SELECCIONAR ESCENARIO:</t>
  </si>
  <si>
    <t>Base</t>
  </si>
  <si>
    <t>Parámetro</t>
  </si>
  <si>
    <t>Conservador</t>
  </si>
  <si>
    <t>Agresivo</t>
  </si>
  <si>
    <t>Descripción</t>
  </si>
  <si>
    <t>Safety Stock</t>
  </si>
  <si>
    <t>20%</t>
  </si>
  <si>
    <t>10%</t>
  </si>
  <si>
    <t>5%</t>
  </si>
  <si>
    <t>% sobre consumo promedio</t>
  </si>
  <si>
    <t>Proveedor Parte A</t>
  </si>
  <si>
    <t>A (seguro)</t>
  </si>
  <si>
    <t>B (descuento)</t>
  </si>
  <si>
    <t>Estrategia de proveedor</t>
  </si>
  <si>
    <t>Proveedor Parte B</t>
  </si>
  <si>
    <t>Frecuencia Pedidos</t>
  </si>
  <si>
    <t>Cada 4Q</t>
  </si>
  <si>
    <t>Cada 2Q</t>
  </si>
  <si>
    <t>Cada Q</t>
  </si>
  <si>
    <t>Frecuencia de compra</t>
  </si>
  <si>
    <t>RESULTADOS ESTIMADOS</t>
  </si>
  <si>
    <t>Alto</t>
  </si>
  <si>
    <t>Medio</t>
  </si>
  <si>
    <t>Bajo</t>
  </si>
  <si>
    <t>Costo de compras + inventario</t>
  </si>
  <si>
    <t>Riesgo Stockout</t>
  </si>
  <si>
    <t>Muy Bajo</t>
  </si>
  <si>
    <t>Probabilidad de quedarse sin stock</t>
  </si>
  <si>
    <t>Capital Inmovilizado</t>
  </si>
  <si>
    <t>Inventario promedio</t>
  </si>
  <si>
    <t>Cashflow Peak</t>
  </si>
  <si>
    <t>Distribuido</t>
  </si>
  <si>
    <t>Concentrado</t>
  </si>
  <si>
    <t>Pago máximo en una Q</t>
  </si>
  <si>
    <t>COMPARACIÓN LADO A LADO - KPIs POR ESCENARIO</t>
  </si>
  <si>
    <t>KPI</t>
  </si>
  <si>
    <t>Mejor</t>
  </si>
  <si>
    <t>Diferencia</t>
  </si>
  <si>
    <t>Costo Total Compras</t>
  </si>
  <si>
    <t>Total Pagos</t>
  </si>
  <si>
    <t>Pago Peak</t>
  </si>
  <si>
    <t># Stockouts Esperados</t>
  </si>
  <si>
    <t>Valor Esperado Pérdida</t>
  </si>
  <si>
    <t>Buffer Promedio (Q)</t>
  </si>
  <si>
    <t>ANÁLISIS DE PROVEEDORES - Herramienta de Decisión</t>
  </si>
  <si>
    <t>Compara costo total por proveedor según volumen y términos</t>
  </si>
  <si>
    <t>PARTE A - Análisis Comparativo</t>
  </si>
  <si>
    <t>Volumen a Comprar (batches):</t>
  </si>
  <si>
    <t>Proveedor</t>
  </si>
  <si>
    <t>Precio Final</t>
  </si>
  <si>
    <t>Riesgo</t>
  </si>
  <si>
    <t>Costo Ajustado</t>
  </si>
  <si>
    <t>Ranking</t>
  </si>
  <si>
    <t>RECOMENDACIÓN:</t>
  </si>
  <si>
    <t>PARTE B - Análisis Comparativo</t>
  </si>
  <si>
    <t>DASHBOARD - Purchasing Manager</t>
  </si>
  <si>
    <t>INDICADORES CLAVE (KPIs)</t>
  </si>
  <si>
    <t>Costo Total de Compras:</t>
  </si>
  <si>
    <t>Total Pagos Periodo:</t>
  </si>
  <si>
    <t># Pedidos Totales:</t>
  </si>
  <si>
    <t>pedidos</t>
  </si>
  <si>
    <t>Pago Pico (Max en una Q):</t>
  </si>
  <si>
    <t>Inventario Negativo:</t>
  </si>
  <si>
    <t>TBD</t>
  </si>
  <si>
    <t>materiales</t>
  </si>
  <si>
    <t>Stock &lt; Safety:</t>
  </si>
  <si>
    <t>ESTRATEGIA ACTUAL</t>
  </si>
  <si>
    <t>Proveedor Parte A:</t>
  </si>
  <si>
    <t>Proveedor Parte B:</t>
  </si>
  <si>
    <t>Escenario:</t>
  </si>
  <si>
    <t>⚠️ ALERTAS CRÍTICAS</t>
  </si>
  <si>
    <t>Materiales con Inv &lt; Buffer:</t>
  </si>
  <si>
    <t>Riesgo por Proveedor B:</t>
  </si>
  <si>
    <t>Cashflow Peak &gt; $100k:</t>
  </si>
  <si>
    <t>ANÁLISIS DE RIESGO - PROVEEDOR B</t>
  </si>
  <si>
    <t>CRÍTICO: Proveedor B tiene 20% probabilidad de NO ENTREGAR (sin pago, pero SIN producción)</t>
  </si>
  <si>
    <t>PARÁMETROS DE RIESGO</t>
  </si>
  <si>
    <t>Valor</t>
  </si>
  <si>
    <t>Prob. Incumplimiento Prov. B</t>
  </si>
  <si>
    <t>EXSIM Rules</t>
  </si>
  <si>
    <t>Costo Oportunidad ($/EC perdido)</t>
  </si>
  <si>
    <t>Margin estimado</t>
  </si>
  <si>
    <t>Lead time recuperación (Q)</t>
  </si>
  <si>
    <t>Assumption</t>
  </si>
  <si>
    <t>ANÁLISIS DE IMPACTO POR MATERIAL (si usas Proveedor B)</t>
  </si>
  <si>
    <t>Proveedor Elegido</t>
  </si>
  <si>
    <t>Total Lotes P7</t>
  </si>
  <si>
    <t>Prob. Falla</t>
  </si>
  <si>
    <t>Lotes Perdidos (Esperado)</t>
  </si>
  <si>
    <t>Unidades Perdidas</t>
  </si>
  <si>
    <t>EC Sin Producir</t>
  </si>
  <si>
    <t>Costo Oportunidad</t>
  </si>
  <si>
    <t>DECISIÓN: PROVEEDOR A vs B (Análisis Ajustado por Riesgo)</t>
  </si>
  <si>
    <t>Ahorro</t>
  </si>
  <si>
    <t>Costo Neto Ajustado</t>
  </si>
  <si>
    <t>Decisión Recomendada</t>
  </si>
  <si>
    <t>CASHFLOW INTEGRADO - PURCHASING</t>
  </si>
  <si>
    <t>Pagos REALES por quincena: Compras + Ordering + Holding (para coordinar con Finanzas)</t>
  </si>
  <si>
    <t>1. PAGOS DE COMPRAS (según términos de proveedor)</t>
  </si>
  <si>
    <t>Parte A (según proveedor)</t>
  </si>
  <si>
    <t>Parte B (según proveedor)</t>
  </si>
  <si>
    <t>SUBTOTAL COMPRAS</t>
  </si>
  <si>
    <t>2. ORDERING COSTS (por pedido realizado)</t>
  </si>
  <si>
    <t>SUBTOTAL ORDERING</t>
  </si>
  <si>
    <t>3. HOLDING COSTS (por inventario promedio en quincena)</t>
  </si>
  <si>
    <t>SUBTOTAL HOLDING</t>
  </si>
  <si>
    <t>TOTAL OUTFLOW PURCHASING</t>
  </si>
  <si>
    <t>ANÁLISIS</t>
  </si>
  <si>
    <t>Pago Máximo (Peak):</t>
  </si>
  <si>
    <t>Quincena más costosa</t>
  </si>
  <si>
    <t>Pago Mínimo:</t>
  </si>
  <si>
    <t>Quincena más barata</t>
  </si>
  <si>
    <t>Pago Promedio:</t>
  </si>
  <si>
    <t>Promedio por quincena</t>
  </si>
  <si>
    <t>Desviación Est.:</t>
  </si>
  <si>
    <t>Volatilidad del flujo</t>
  </si>
  <si>
    <t>EXSIM UPLOAD - COPIAR DIRECTO A PLATAFORMA</t>
  </si>
  <si>
    <t>Formato exacto para subir decisiones a EXSIM. Copiar columnas B-E directamente.</t>
  </si>
  <si>
    <t>PIEZAS 1-6 (Compra única en t=0)</t>
  </si>
  <si>
    <t>Fortnight</t>
  </si>
  <si>
    <t>Lots</t>
  </si>
  <si>
    <t>Supplier</t>
  </si>
  <si>
    <t>Notes</t>
  </si>
  <si>
    <t>Único</t>
  </si>
  <si>
    <t>PARTE A (Por Quincena)</t>
  </si>
  <si>
    <t>PARTE B (Por Quincena)</t>
  </si>
  <si>
    <t>MULTI-PLANTA: CENTRO Y OESTE</t>
  </si>
  <si>
    <t>Inventarios y producción por región (EXSIM requiere separación)</t>
  </si>
  <si>
    <t>INVENTARIO POR PLANTA</t>
  </si>
  <si>
    <t>Centro</t>
  </si>
  <si>
    <t>Oeste</t>
  </si>
  <si>
    <t>% Centro</t>
  </si>
  <si>
    <t>MRP - PRODUCCIÓN POR SECCIÓN</t>
  </si>
  <si>
    <t>5 secciones (S1-S5), cada una tarda 1 quincena. WIP entre secciones.</t>
  </si>
  <si>
    <t>FLUJO DE PRODUCCIÓN</t>
  </si>
  <si>
    <t>Sección</t>
  </si>
  <si>
    <t>Input</t>
  </si>
  <si>
    <t>Process</t>
  </si>
  <si>
    <t>Output</t>
  </si>
  <si>
    <t>Lead Time</t>
  </si>
  <si>
    <t>S1</t>
  </si>
  <si>
    <t>Ensambla Piezas</t>
  </si>
  <si>
    <t>Semi A</t>
  </si>
  <si>
    <t>1Q</t>
  </si>
  <si>
    <t>S2</t>
  </si>
  <si>
    <t>Semi B</t>
  </si>
  <si>
    <t>S3</t>
  </si>
  <si>
    <t>Semi C</t>
  </si>
  <si>
    <t>S4</t>
  </si>
  <si>
    <t>Semi D</t>
  </si>
  <si>
    <t>S5</t>
  </si>
  <si>
    <t>Semis</t>
  </si>
  <si>
    <t>Ensambla final</t>
  </si>
  <si>
    <t>Electroclean</t>
  </si>
  <si>
    <t>RECONCILIACIÓN CON REPORTES EXSIM</t>
  </si>
  <si>
    <t>Pega reportes del simulador aquí para comparar</t>
  </si>
  <si>
    <t>RAW MATERIALS INVENTORY</t>
  </si>
  <si>
    <t>EXSIM Q1</t>
  </si>
  <si>
    <t>Modelo Q1</t>
  </si>
  <si>
    <t>Diff</t>
  </si>
  <si>
    <t>ESG - EMISIONES CO2</t>
  </si>
  <si>
    <t>kg CO2 por proveedor (Tabla VII caso EXSIM)</t>
  </si>
  <si>
    <t>EMISIONES POR PROVEEDOR</t>
  </si>
  <si>
    <t>Prov A (kg)</t>
  </si>
  <si>
    <t>Prov B (kg)</t>
  </si>
  <si>
    <t>Prov C (kg)</t>
  </si>
  <si>
    <t>Elegido</t>
  </si>
  <si>
    <t>Total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</si>
</sst>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\$#,##0"/>
    <numFmt numFmtId="167" formatCode="0.0"/>
    <numFmt numFmtId="168" formatCode="#,##0.0"/>
  </numFmts>
  <fonts count="23">
    <font>
      <sz val="11"/>
      <color theme="1"/>
      <name val="Calibri"/>
      <family val="2"/>
    </font>
    <font>
      <sz val="10"/>
      <name val="Arial"/>
      <family val="2"/>
    </font>
    <font>
      <b/>
      <sz val="14"/>
      <name val="Cambria"/>
      <family val="1"/>
    </font>
    <font>
      <i/>
      <sz val="9"/>
      <color rgb="FF0000FF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sz val="10"/>
      <color rgb="FF0000FF"/>
      <name val="Cambria"/>
      <family val="1"/>
    </font>
    <font>
      <sz val="10"/>
      <color rgb="FF000000"/>
      <name val="Cambria"/>
      <family val="1"/>
    </font>
    <font>
      <i/>
      <sz val="9"/>
      <name val="Cambria"/>
      <family val="1"/>
    </font>
    <font>
      <i/>
      <sz val="9"/>
      <color rgb="FFFF0000"/>
      <name val="Cambria"/>
      <family val="1"/>
    </font>
    <font>
      <i/>
      <sz val="9"/>
      <color rgb="FF008000"/>
      <name val="Cambria"/>
      <family val="1"/>
    </font>
    <font>
      <sz val="10"/>
      <color rgb="FF008000"/>
      <name val="Cambria"/>
      <family val="1"/>
    </font>
    <font>
      <i/>
      <sz val="9"/>
      <color rgb="FFFF6B00"/>
      <name val="Cambria"/>
      <family val="1"/>
    </font>
    <font>
      <sz val="10"/>
      <name val="Cambria"/>
      <family val="1"/>
    </font>
    <font>
      <b/>
      <sz val="11"/>
      <color rgb="FF008000"/>
      <name val="Cambria"/>
      <family val="1"/>
    </font>
    <font>
      <b/>
      <sz val="16"/>
      <color rgb="FFFFFFFF"/>
      <name val="Cambria"/>
      <family val="1"/>
    </font>
    <font>
      <b/>
      <sz val="12"/>
      <color rgb="FFFF0000"/>
      <name val="Cambria"/>
      <family val="1"/>
    </font>
    <font>
      <b/>
      <sz val="14"/>
      <color rgb="FFFF0000"/>
      <name val="Cambria"/>
      <family val="1"/>
    </font>
    <font>
      <b/>
      <i/>
      <sz val="10"/>
      <color rgb="FFFF0000"/>
      <name val="Cambria"/>
      <family val="1"/>
    </font>
    <font>
      <b/>
      <sz val="12"/>
      <color rgb="FFFFFFFF"/>
      <name val="Cambria"/>
      <family val="1"/>
    </font>
    <font>
      <b/>
      <sz val="14"/>
      <color rgb="FFFFFFFF"/>
      <name val="Cambria"/>
      <family val="1"/>
    </font>
    <font>
      <sz val="11"/>
      <color rgb="FF008000"/>
      <name val="Cambria"/>
      <family val="1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203764"/>
      </patternFill>
    </fill>
    <fill>
      <patternFill patternType="solid">
        <fgColor rgb="FFE7E6E6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203764"/>
        <bgColor rgb="FF1F4E78"/>
      </patternFill>
    </fill>
    <fill>
      <patternFill patternType="solid">
        <fgColor rgb="FFFFC7CE"/>
        <bgColor rgb="FFE7E6E6"/>
      </patternFill>
    </fill>
    <fill>
      <patternFill patternType="solid">
        <fgColor rgb="FFFFA5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008000"/>
        <bgColor rgb="FF228B22"/>
      </patternFill>
    </fill>
    <fill>
      <patternFill patternType="solid">
        <fgColor rgb="FF0066CC"/>
        <bgColor rgb="FF008080"/>
      </patternFill>
    </fill>
    <fill>
      <patternFill patternType="solid">
        <fgColor rgb="FF228B22"/>
        <bgColor rgb="FF008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/>
  </cellStyleXfs>
  <cellXfs count="113">
    <xf numFmtId="0" applyNumberFormat="1" fontId="0" applyFont="1" fillId="0" applyFill="1" borderId="0" applyBorder="1" xfId="0" applyProtection="1"/>
    <xf numFmtId="44" applyNumberFormat="1" fontId="1" applyFont="1" fillId="0" applyFill="1" borderId="0" applyBorder="1" xfId="1" applyProtection="1"/>
    <xf numFmtId="0" applyNumberFormat="1" fontId="17" applyFont="1" fillId="0" applyFill="1" borderId="0" applyBorder="1" xfId="0" applyProtection="1"/>
    <xf numFmtId="0" applyNumberFormat="1" fontId="16" applyFont="1" fillId="7" applyFill="1" borderId="0" applyBorder="1" xfId="0" applyProtection="1"/>
    <xf numFmtId="0" applyNumberFormat="1" fontId="15" applyFont="1" fillId="6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2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4" applyFont="1" fillId="2" applyFill="1" borderId="1" applyBorder="1" xfId="0" applyProtection="1"/>
    <xf numFmtId="0" applyNumberFormat="1" fontId="4" applyFont="1" fillId="2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5" applyFont="1" fillId="3" applyFill="1" borderId="1" applyBorder="1" xfId="0" applyProtection="1" applyAlignment="1">
      <alignment horizontal="center"/>
    </xf>
    <xf numFmtId="0" applyNumberFormat="1" fontId="5" applyFont="1" fillId="0" applyFill="1" borderId="1" applyBorder="1" xfId="0" applyProtection="1"/>
    <xf numFmtId="3" applyNumberFormat="1" fontId="6" applyFont="1" fillId="4" applyFill="1" borderId="1" applyBorder="1" xfId="0" applyProtection="1" applyAlignment="1">
      <alignment horizontal="right"/>
    </xf>
    <xf numFmtId="3" applyNumberFormat="1" fontId="7" applyFont="1" fillId="3" applyFill="1" borderId="1" applyBorder="1" xfId="0" applyProtection="1"/>
    <xf numFmtId="0" applyNumberFormat="1" fontId="5" applyFont="1" fillId="3" applyFill="1" borderId="1" applyBorder="1" xfId="0" applyProtection="1"/>
    <xf numFmtId="0" applyNumberFormat="1" fontId="0" applyFont="1" fillId="0" applyFill="1" borderId="1" applyBorder="1" xfId="0" applyProtection="1"/>
    <xf numFmtId="0" applyNumberFormat="1" fontId="0" applyFont="1" fillId="0" applyFill="1" borderId="1" applyBorder="1" xfId="0" applyProtection="1" applyAlignment="1">
      <alignment horizontal="center"/>
    </xf>
    <xf numFmtId="0" applyNumberFormat="1" fontId="8" applyFont="1" fillId="0" applyFill="1" borderId="1" applyBorder="1" xfId="0" applyProtection="1"/>
    <xf numFmtId="2" applyNumberFormat="1" fontId="6" applyFont="1" fillId="4" applyFill="1" borderId="1" applyBorder="1" xfId="0" applyProtection="1" applyAlignment="1">
      <alignment horizontal="right"/>
    </xf>
    <xf numFmtId="164" applyNumberFormat="1" fontId="0" applyFont="1" fillId="0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 applyAlignment="1">
      <alignment horizontal="left"/>
    </xf>
    <xf numFmtId="0" applyNumberFormat="1" fontId="5" applyFont="1" fillId="0" applyFill="1" borderId="0" applyBorder="1" xfId="0" applyProtection="1"/>
    <xf numFmtId="0" applyNumberFormat="1" fontId="6" applyFont="1" fillId="4" applyFill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/>
    <xf numFmtId="167" applyNumberFormat="1" fontId="6" applyFont="1" fillId="4" applyFill="1" borderId="1" applyBorder="1" xfId="0" applyProtection="1" applyAlignment="1">
      <alignment horizontal="right"/>
    </xf>
    <xf numFmtId="3" applyNumberFormat="1" fontId="7" applyFont="1" fillId="0" applyFill="1" borderId="1" applyBorder="1" xfId="0" applyProtection="1" applyAlignment="1">
      <alignment horizontal="right"/>
    </xf>
    <xf numFmtId="0" applyNumberFormat="1" fontId="7" applyFont="1" fillId="0" applyFill="1" borderId="1" applyBorder="1" xfId="0" applyProtection="1"/>
    <xf numFmtId="0" applyNumberFormat="1" fontId="8" applyFont="1" fillId="0" applyFill="1" borderId="0" applyBorder="1" xfId="0" applyProtection="1"/>
    <xf numFmtId="0" applyNumberFormat="1" fontId="4" applyFont="1" fillId="2" applyFill="1" borderId="1" applyBorder="1" xfId="0" applyProtection="1" applyAlignment="1">
      <alignment horizontal="center"/>
    </xf>
    <xf numFmtId="4" applyNumberFormat="1" fontId="7" applyFont="1" fillId="0" applyFill="1" borderId="1" applyBorder="1" xfId="0" applyProtection="1" applyAlignment="1">
      <alignment horizontal="right"/>
    </xf>
    <xf numFmtId="3" applyNumberFormat="1" fontId="7" applyFont="1" fillId="3" applyFill="1" borderId="1" applyBorder="1" xfId="0" applyProtection="1" applyAlignment="1">
      <alignment horizontal="right"/>
    </xf>
    <xf numFmtId="3" applyNumberFormat="1" fontId="11" applyFont="1" fillId="3" applyFill="1" borderId="1" applyBorder="1" xfId="0" applyProtection="1" applyAlignment="1">
      <alignment horizontal="right"/>
    </xf>
    <xf numFmtId="3" applyNumberFormat="1" fontId="11" applyFont="1" fillId="0" applyFill="1" borderId="1" applyBorder="1" xfId="0" applyProtection="1" applyAlignment="1">
      <alignment horizontal="right"/>
    </xf>
    <xf numFmtId="3" applyNumberFormat="1" fontId="5" applyFont="1" fillId="3" applyFill="1" borderId="1" applyBorder="1" xfId="0" applyProtection="1" applyAlignment="1">
      <alignment horizontal="right"/>
    </xf>
    <xf numFmtId="3" applyNumberFormat="1" fontId="7" applyFont="1" fillId="4" applyFill="1" borderId="1" applyBorder="1" xfId="0" applyProtection="1"/>
    <xf numFmtId="0" applyNumberFormat="1" fontId="5" applyFont="1" fillId="3" applyFill="1" borderId="1" applyBorder="1" xfId="0" applyProtection="1" applyAlignment="1">
      <alignment horizontal="center" wrapText="1"/>
    </xf>
    <xf numFmtId="3" applyNumberFormat="1" fontId="11" applyFont="1" fillId="0" applyFill="1" borderId="1" applyBorder="1" xfId="0" applyProtection="1"/>
    <xf numFmtId="3" applyNumberFormat="1" fontId="7" applyFont="1" fillId="0" applyFill="1" borderId="1" applyBorder="1" xfId="0" applyProtection="1"/>
    <xf numFmtId="3" applyNumberFormat="1" fontId="6" applyFont="1" fillId="4" applyFill="1" borderId="1" applyBorder="1" xfId="0" applyProtection="1"/>
    <xf numFmtId="164" applyNumberFormat="1" fontId="11" applyFont="1" fillId="0" applyFill="1" borderId="1" applyBorder="1" xfId="0" applyProtection="1"/>
    <xf numFmtId="164" applyNumberFormat="1" fontId="7" applyFont="1" fillId="0" applyFill="1" borderId="1" applyBorder="1" xfId="0" applyProtection="1"/>
    <xf numFmtId="164" applyNumberFormat="1" fontId="4" applyFont="1" fillId="2" applyFill="1" borderId="1" applyBorder="1" xfId="0" applyProtection="1"/>
    <xf numFmtId="0" applyNumberFormat="1" fontId="11" applyFont="1" fillId="0" applyFill="1" borderId="1" applyBorder="1" xfId="0" applyProtection="1"/>
    <xf numFmtId="0" applyNumberFormat="1" fontId="4" applyFont="1" fillId="2" applyFill="1" borderId="1" applyBorder="1" xfId="0" applyProtection="1" applyAlignment="1">
      <alignment horizontal="center" wrapText="1"/>
    </xf>
    <xf numFmtId="1" applyNumberFormat="1" fontId="7" applyFont="1" fillId="0" applyFill="1" borderId="1" applyBorder="1" xfId="0" applyProtection="1" applyAlignment="1">
      <alignment horizontal="center"/>
    </xf>
    <xf numFmtId="1" applyNumberFormat="1" fontId="7" applyFont="1" fillId="0" applyFill="1" borderId="1" applyBorder="1" xfId="0" applyProtection="1"/>
    <xf numFmtId="164" applyNumberFormat="1" fontId="6" applyFont="1" fillId="4" applyFill="1" borderId="1" applyBorder="1" xfId="0" applyProtection="1"/>
    <xf numFmtId="1" applyNumberFormat="1" fontId="4" applyFont="1" fillId="2" applyFill="1" borderId="1" applyBorder="1" xfId="0" applyProtection="1"/>
    <xf numFmtId="164" applyNumberFormat="1" fontId="0" applyFont="1" fillId="0" applyFill="1" borderId="1" applyBorder="1" xfId="0" applyProtection="1"/>
    <xf numFmtId="0" applyNumberFormat="1" fontId="6" applyFont="1" fillId="4" applyFill="1" borderId="1" applyBorder="1" xfId="0" applyProtection="1"/>
    <xf numFmtId="0" applyNumberFormat="1" fontId="13" applyFont="1" fillId="0" applyFill="1" borderId="1" applyBorder="1" xfId="0" applyProtection="1"/>
    <xf numFmtId="164" applyNumberFormat="1" fontId="14" applyFont="1" fillId="5" applyFill="1" borderId="1" applyBorder="1" xfId="0" applyProtection="1"/>
    <xf numFmtId="0" applyNumberFormat="1" fontId="14" applyFont="1" fillId="5" applyFill="1" borderId="1" applyBorder="1" xfId="0" applyProtection="1"/>
    <xf numFmtId="3" applyNumberFormat="1" fontId="6" applyFont="1" fillId="4" applyFill="1" borderId="0" applyBorder="1" xfId="0" applyProtection="1"/>
    <xf numFmtId="9" applyNumberFormat="1" fontId="0" applyFont="1" fillId="0" applyFill="1" borderId="1" applyBorder="1" xfId="0" applyProtection="1"/>
    <xf numFmtId="0" applyNumberFormat="1" fontId="14" applyFont="1" fillId="4" applyFill="1" borderId="0" applyBorder="1" xfId="0" applyProtection="1"/>
    <xf numFmtId="164" applyNumberFormat="1" fontId="14" applyFont="1" fillId="4" applyFill="1" borderId="0" applyBorder="1" xfId="0" applyProtection="1"/>
    <xf numFmtId="0" applyNumberFormat="1" fontId="5" applyFont="1" fillId="0" applyFill="1" borderId="0" applyBorder="1" xfId="0" applyProtection="1" applyAlignment="1">
      <alignment horizontal="right"/>
    </xf>
    <xf numFmtId="164" applyNumberFormat="1" fontId="7" applyFont="1" fillId="3" applyFill="1" borderId="1" applyBorder="1" xfId="0" applyProtection="1"/>
    <xf numFmtId="0" applyNumberFormat="1" fontId="0" applyFont="1" fillId="3" applyFill="1" borderId="1" applyBorder="1" xfId="0" applyProtection="1"/>
    <xf numFmtId="0" applyNumberFormat="1" fontId="7" applyFont="1" fillId="3" applyFill="1" borderId="1" applyBorder="1" xfId="0" applyProtection="1"/>
    <xf numFmtId="0" applyNumberFormat="1" fontId="7" applyFont="1" fillId="4" applyFill="1" borderId="1" applyBorder="1" xfId="0" applyProtection="1"/>
    <xf numFmtId="9" applyNumberFormat="1" fontId="6" applyFont="1" fillId="4" applyFill="1" borderId="1" applyBorder="1" xfId="0" applyProtection="1"/>
    <xf numFmtId="0" applyNumberFormat="1" fontId="11" applyFont="1" fillId="0" applyFill="1" borderId="1" applyBorder="1" xfId="0" applyProtection="1" applyAlignment="1">
      <alignment horizontal="center"/>
    </xf>
    <xf numFmtId="9" applyNumberFormat="1" fontId="7" applyFont="1" fillId="0" applyFill="1" borderId="1" applyBorder="1" xfId="0" applyProtection="1"/>
    <xf numFmtId="168" applyNumberFormat="1" fontId="7" applyFont="1" fillId="8" applyFill="1" borderId="1" applyBorder="1" xfId="0" applyProtection="1"/>
    <xf numFmtId="3" applyNumberFormat="1" fontId="7" applyFont="1" fillId="7" applyFill="1" borderId="1" applyBorder="1" xfId="0" applyProtection="1"/>
    <xf numFmtId="164" applyNumberFormat="1" fontId="7" applyFont="1" fillId="7" applyFill="1" borderId="1" applyBorder="1" xfId="0" applyProtection="1"/>
    <xf numFmtId="164" applyNumberFormat="1" fontId="7" applyFont="1" fillId="5" applyFill="1" borderId="1" applyBorder="1" xfId="0" applyProtection="1"/>
    <xf numFmtId="164" applyNumberFormat="1" fontId="11" applyFont="1" fillId="7" applyFill="1" borderId="1" applyBorder="1" xfId="0" applyProtection="1"/>
    <xf numFmtId="164" applyNumberFormat="1" fontId="5" applyFont="1" fillId="3" applyFill="1" borderId="1" applyBorder="1" xfId="0" applyProtection="1"/>
    <xf numFmtId="164" applyNumberFormat="1" fontId="4" applyFont="1" fillId="9" applyFill="1" borderId="1" applyBorder="1" xfId="0" applyProtection="1"/>
    <xf numFmtId="164" applyNumberFormat="1" fontId="7" applyFont="1" fillId="4" applyFill="1" borderId="1" applyBorder="1" xfId="0" applyProtection="1"/>
    <xf numFmtId="1" applyNumberFormat="1" fontId="0" applyFont="1" fillId="0" applyFill="1" borderId="1" applyBorder="1" xfId="0" applyProtection="1" applyAlignment="1">
      <alignment horizontal="center"/>
    </xf>
    <xf numFmtId="3" applyNumberFormat="1" fontId="21" applyFont="1" fillId="0" applyFill="1" borderId="1" applyBorder="1" xfId="0" applyProtection="1"/>
    <xf numFmtId="3" applyNumberFormat="1" fontId="0" applyFont="1" fillId="0" applyFill="1" borderId="1" applyBorder="1" xfId="0" applyProtection="1"/>
    <xf numFmtId="167" applyNumberFormat="1" fontId="6" applyFont="1" fillId="0" applyFill="1" borderId="1" applyBorder="1" xfId="0" applyProtection="1"/>
    <xf numFmtId="0" applyNumberFormat="1" fontId="21" applyFont="1" fillId="0" applyFill="1" borderId="1" applyBorder="1" xfId="0" applyProtection="1"/>
    <xf numFmtId="0" applyNumberFormat="1" fontId="18" applyFont="1" fillId="0" applyFill="1" borderId="0" applyBorder="1" xfId="0" applyProtection="1"/>
    <xf numFmtId="0" applyNumberFormat="1" fontId="0" applyFont="1" fillId="0" applyFill="1" borderId="2" applyBorder="1" xfId="0" applyProtection="1" applyAlignment="1">
      <alignment horizontal="center" vertical="center"/>
    </xf>
    <xf numFmtId="0" applyNumberFormat="1" fontId="19" applyFont="1" fillId="9" applyFill="1" borderId="0" applyBorder="1" xfId="0" applyProtection="1" applyAlignment="1">
      <alignment horizontal="center" vertical="center"/>
    </xf>
    <xf numFmtId="0" applyNumberFormat="1" fontId="20" applyFont="1" fillId="10" applyFill="1" borderId="0" applyBorder="1" xfId="0" applyProtection="1"/>
    <xf numFmtId="0" applyNumberFormat="1" fontId="20" applyFont="1" fillId="11" applyFill="1" borderId="0" applyBorder="1" xfId="0" applyProtection="1"/>
    <xf numFmtId="0" applyNumberFormat="1" fontId="20" applyFont="1" fillId="12" applyFill="1" borderId="0" applyBorder="1" xfId="0" applyProtection="1"/>
    <xf numFmtId="0" applyNumberFormat="1" fontId="5" applyFont="1" fillId="3" applyFill="1" borderId="1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5" applyFont="1" fillId="0" applyFill="1" borderId="3" applyBorder="1" xfId="0" applyProtection="1"/>
    <xf numFmtId="3" applyNumberFormat="1" fontId="0" applyFont="1" fillId="0" applyFill="1" borderId="0" applyBorder="1" xfId="0" applyProtection="1"/>
    <xf numFmtId="44" applyNumberFormat="1" fontId="1" applyFont="1" fillId="0" applyFill="1" borderId="1" applyBorder="1" xfId="1" applyProtection="1" applyAlignment="1">
      <alignment horizontal="left"/>
    </xf>
    <xf numFmtId="44" applyNumberFormat="1" fontId="1" applyFont="1" fillId="0" applyFill="1" borderId="1" applyBorder="1" xfId="1" applyProtection="1" applyAlignment="1">
      <alignment horizontal="right"/>
    </xf>
    <xf numFmtId="0" applyNumberFormat="1" fontId="0" applyFont="1" fillId="0" applyFill="1" borderId="3" applyBorder="1" xfId="0" applyProtection="1"/>
    <xf numFmtId="44" applyNumberFormat="1" fontId="0" applyFont="1" fillId="0" applyFill="1" borderId="0" applyBorder="1" xfId="0" applyProtection="1"/>
    <xf numFmtId="0" applyNumberFormat="1" fontId="4" applyFont="1" fillId="2" applyFill="1" borderId="4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8" applyFont="1" fillId="0" applyFill="1" borderId="0" applyBorder="1" xfId="0" applyProtection="1"/>
    <xf numFmtId="44" applyNumberFormat="1" fontId="1" applyFont="1" fillId="0" applyFill="1" borderId="0" applyBorder="1" xfId="1" applyProtection="1" applyAlignment="1">
      <alignment horizontal="right"/>
    </xf>
    <xf numFmtId="0" applyNumberFormat="1" fontId="9" applyFont="1" fillId="0" applyFill="1" borderId="5" applyBorder="1" xfId="0" applyProtection="1"/>
    <xf numFmtId="0" applyNumberFormat="1" fontId="9" applyFont="1" fillId="0" applyFill="1" borderId="6" applyBorder="1" xfId="0" applyProtection="1"/>
    <xf numFmtId="0" applyNumberFormat="1" fontId="9" applyFont="1" fillId="0" applyFill="1" borderId="7" applyBorder="1" xfId="0" applyProtection="1"/>
    <xf numFmtId="0" applyNumberFormat="1" fontId="4" applyFont="1" fillId="2" applyFill="1" borderId="5" applyBorder="1" xfId="0" applyProtection="1"/>
    <xf numFmtId="0" applyNumberFormat="1" fontId="4" applyFont="1" fillId="2" applyFill="1" borderId="6" applyBorder="1" xfId="0" applyProtection="1"/>
    <xf numFmtId="0" applyNumberFormat="1" fontId="4" applyFont="1" fillId="2" applyFill="1" borderId="7" applyBorder="1" xfId="0" applyProtection="1"/>
    <xf numFmtId="0" applyNumberFormat="1" fontId="4" applyFont="1" fillId="2" applyFill="1" borderId="4" applyBorder="1" xfId="0" applyProtection="1"/>
    <xf numFmtId="0" applyNumberFormat="1" fontId="0" applyFont="1" fillId="0" applyFill="1" borderId="5" applyBorder="1" xfId="0" applyProtection="1"/>
    <xf numFmtId="9" applyNumberFormat="1" fontId="6" applyFont="1" fillId="0" applyFill="1" borderId="6" applyBorder="1" xfId="0" applyProtection="1" applyAlignment="1">
      <alignment horizontal="right"/>
    </xf>
    <xf numFmtId="1" applyNumberFormat="1" fontId="6" applyFont="1" fillId="0" applyFill="1" borderId="6" applyBorder="1" xfId="0" applyProtection="1" applyAlignment="1">
      <alignment horizontal="right"/>
    </xf>
    <xf numFmtId="0" applyNumberFormat="1" fontId="5" applyFont="1" fillId="0" applyFill="1" borderId="0" applyBorder="1" xfId="0" applyProtection="1"/>
    <xf numFmtId="44" applyNumberFormat="1" fontId="22" applyFont="1" fillId="0" applyFill="1" borderId="0" applyBorder="1" xfId="0" applyProtection="1"/>
  </cellXfs>
  <cellStyles count="2">
    <cellStyle name="Moneda" xfId="1" builtinId="4"/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B00"/>
      <rgbColor rgb="FF666699"/>
      <rgbColor rgb="FF969696"/>
      <rgbColor rgb="FF203764"/>
      <rgbColor rgb="FF228B2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"/>
  <sheetViews>
    <sheetView tabSelected="1" zoomScaleNormal="100" workbookViewId="0">
      <selection activeCell="G133" sqref="G133"/>
    </sheetView>
  </sheetViews>
  <sheetFormatPr baseColWidth="10" defaultColWidth="8.6640625" defaultRowHeight="14.4" x14ac:dyDescent="0.3"/>
  <cols>
    <col min="1" max="1" width="25" customWidth="1"/>
    <col min="2" max="7" width="15" customWidth="1"/>
    <col min="10" max="10" width="12.33203125" customWidth="1"/>
    <col min="13" max="14" bestFit="1" width="12.44140625" customWidth="1"/>
  </cols>
  <sheetData>
    <row r="1" ht="17.2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ht="15" customHeight="1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ht="15" customHeight="1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</row>
    <row r="6" ht="15" customHeight="1">
      <c r="A6" s="16" t="s">
        <v>13</v>
      </c>
      <c r="B6" s="17">
        <v>1850</v>
      </c>
      <c r="C6" s="17">
        <v>1850</v>
      </c>
      <c r="D6" s="17">
        <v>1850</v>
      </c>
      <c r="E6" s="17">
        <v>1850</v>
      </c>
      <c r="F6" s="17">
        <v>1850</v>
      </c>
      <c r="G6" s="17">
        <v>1850</v>
      </c>
      <c r="H6" s="17">
        <v>1850</v>
      </c>
      <c r="I6" s="17">
        <v>1850</v>
      </c>
      <c r="J6" s="18">
        <f>SUM(B6:I6)</f>
        <v>14800</v>
      </c>
    </row>
    <row r="7">
      <c r="A7" s="16" t="s">
        <v>14</v>
      </c>
      <c r="B7" s="17">
        <v>1850</v>
      </c>
      <c r="C7" s="17">
        <v>1850</v>
      </c>
      <c r="D7" s="17">
        <v>1850</v>
      </c>
      <c r="E7" s="17">
        <v>1850</v>
      </c>
      <c r="F7" s="17">
        <v>1850</v>
      </c>
      <c r="G7" s="17">
        <v>1850</v>
      </c>
      <c r="H7" s="17">
        <v>1850</v>
      </c>
      <c r="I7" s="17">
        <v>1850</v>
      </c>
      <c r="J7" s="18">
        <f>SUM(B7:I7)</f>
        <v>14800</v>
      </c>
    </row>
    <row r="8">
      <c r="A8" s="16" t="s">
        <v>15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8">
        <f ref="J8:J10" t="shared" si="0">SUM(B8:I8)</f>
        <v>0</v>
      </c>
    </row>
    <row r="9">
      <c r="A9" s="16" t="s">
        <v>16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8">
        <f t="shared" si="0"/>
        <v>0</v>
      </c>
    </row>
    <row r="10">
      <c r="A10" s="16" t="s">
        <v>17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8">
        <f t="shared" si="0"/>
        <v>0</v>
      </c>
    </row>
    <row r="11">
      <c r="A11" s="91" t="s">
        <v>18</v>
      </c>
      <c r="B11" s="92">
        <f>+SUM(B6:B10)</f>
        <v>3700</v>
      </c>
      <c r="C11" s="92">
        <f ref="C11:J11" t="shared" si="1">+SUM(C6:C10)</f>
        <v>3700</v>
      </c>
      <c r="D11" s="92">
        <f t="shared" si="1"/>
        <v>3700</v>
      </c>
      <c r="E11" s="92">
        <f t="shared" si="1"/>
        <v>3700</v>
      </c>
      <c r="F11" s="92">
        <f t="shared" si="1"/>
        <v>3700</v>
      </c>
      <c r="G11" s="92">
        <f t="shared" si="1"/>
        <v>3700</v>
      </c>
      <c r="H11" s="92">
        <f t="shared" si="1"/>
        <v>3700</v>
      </c>
      <c r="I11" s="92">
        <f t="shared" si="1"/>
        <v>3700</v>
      </c>
      <c r="J11" s="92">
        <f t="shared" si="1"/>
        <v>29600</v>
      </c>
    </row>
    <row r="12">
      <c r="A12" s="111"/>
      <c r="B12" s="92"/>
      <c r="C12" s="92"/>
      <c r="D12" s="92"/>
      <c r="E12" s="92"/>
      <c r="F12" s="92"/>
      <c r="G12" s="92"/>
      <c r="H12" s="92"/>
      <c r="I12" s="92"/>
      <c r="J12" s="92"/>
    </row>
    <row r="13" ht="15" customHeight="1">
      <c r="A13" s="12" t="s">
        <v>19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ht="15" customHeight="1">
      <c r="A14" s="15" t="s">
        <v>3</v>
      </c>
      <c r="B14" s="15" t="s">
        <v>4</v>
      </c>
      <c r="C14" s="15" t="s">
        <v>5</v>
      </c>
      <c r="D14" s="15" t="s">
        <v>6</v>
      </c>
      <c r="E14" s="15" t="s">
        <v>7</v>
      </c>
      <c r="F14" s="15" t="s">
        <v>8</v>
      </c>
      <c r="G14" s="15" t="s">
        <v>9</v>
      </c>
      <c r="H14" s="15" t="s">
        <v>10</v>
      </c>
      <c r="I14" s="15" t="s">
        <v>11</v>
      </c>
      <c r="J14" s="15" t="s">
        <v>12</v>
      </c>
    </row>
    <row r="15" ht="15" customHeight="1">
      <c r="A15" s="16" t="s">
        <v>13</v>
      </c>
      <c r="B15" s="17">
        <v>1850</v>
      </c>
      <c r="C15" s="17">
        <v>1850</v>
      </c>
      <c r="D15" s="17">
        <v>1850</v>
      </c>
      <c r="E15" s="17">
        <v>1850</v>
      </c>
      <c r="F15" s="17">
        <v>1850</v>
      </c>
      <c r="G15" s="17">
        <v>1850</v>
      </c>
      <c r="H15" s="17">
        <v>1850</v>
      </c>
      <c r="I15" s="17">
        <v>1850</v>
      </c>
      <c r="J15" s="18">
        <f>SUM(B15:I15)</f>
        <v>14800</v>
      </c>
    </row>
    <row r="16">
      <c r="A16" s="16" t="s">
        <v>14</v>
      </c>
      <c r="B16" s="17">
        <v>1850</v>
      </c>
      <c r="C16" s="17">
        <v>1850</v>
      </c>
      <c r="D16" s="17">
        <v>1850</v>
      </c>
      <c r="E16" s="17">
        <v>1850</v>
      </c>
      <c r="F16" s="17">
        <v>1850</v>
      </c>
      <c r="G16" s="17">
        <v>1850</v>
      </c>
      <c r="H16" s="17">
        <v>1850</v>
      </c>
      <c r="I16" s="17">
        <v>1850</v>
      </c>
      <c r="J16" s="18">
        <f>SUM(B16:I16)</f>
        <v>14800</v>
      </c>
    </row>
    <row r="17">
      <c r="A17" s="16" t="s">
        <v>15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8">
        <f ref="J17:J19" t="shared" si="2">SUM(B17:I17)</f>
        <v>0</v>
      </c>
    </row>
    <row r="18">
      <c r="A18" s="16" t="s">
        <v>16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8">
        <f t="shared" si="2"/>
        <v>0</v>
      </c>
    </row>
    <row r="19">
      <c r="A19" s="16" t="s">
        <v>17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8">
        <f t="shared" si="2"/>
        <v>0</v>
      </c>
    </row>
    <row r="20">
      <c r="A20" s="91" t="s">
        <v>18</v>
      </c>
      <c r="B20" s="92">
        <f>+SUM(B15:B19)</f>
        <v>3700</v>
      </c>
      <c r="C20" s="92">
        <f>+SUM(C15:C19)</f>
        <v>3700</v>
      </c>
      <c r="D20" s="92">
        <f>+SUM(D15:D19)</f>
        <v>3700</v>
      </c>
      <c r="E20" s="92">
        <f>+SUM(E15:E19)</f>
        <v>3700</v>
      </c>
      <c r="F20" s="92">
        <f>+SUM(F15:F19)</f>
        <v>3700</v>
      </c>
      <c r="G20" s="92">
        <f>+SUM(G15:G19)</f>
        <v>3700</v>
      </c>
      <c r="H20" s="92">
        <f>+SUM(H15:H19)</f>
        <v>3700</v>
      </c>
      <c r="I20" s="92">
        <f>+SUM(I15:I19)</f>
        <v>3700</v>
      </c>
      <c r="J20" s="92">
        <f>+SUM(J15:J19)</f>
        <v>29600</v>
      </c>
    </row>
    <row r="21">
      <c r="A21" s="111"/>
      <c r="B21" s="92"/>
      <c r="C21" s="92"/>
      <c r="D21" s="92"/>
      <c r="E21" s="92"/>
      <c r="F21" s="92"/>
      <c r="G21" s="92"/>
      <c r="H21" s="92"/>
      <c r="I21" s="92"/>
      <c r="J21" s="92"/>
    </row>
    <row r="22">
      <c r="A22" s="12" t="s">
        <v>20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15" t="s">
        <v>3</v>
      </c>
      <c r="B23" s="15" t="s">
        <v>4</v>
      </c>
      <c r="C23" s="15" t="s">
        <v>5</v>
      </c>
      <c r="D23" s="15" t="s">
        <v>6</v>
      </c>
      <c r="E23" s="15" t="s">
        <v>7</v>
      </c>
      <c r="F23" s="15" t="s">
        <v>8</v>
      </c>
      <c r="G23" s="15" t="s">
        <v>9</v>
      </c>
      <c r="H23" s="15" t="s">
        <v>10</v>
      </c>
      <c r="I23" s="15" t="s">
        <v>11</v>
      </c>
      <c r="J23" s="15" t="s">
        <v>12</v>
      </c>
    </row>
    <row r="24">
      <c r="A24" s="16" t="s">
        <v>13</v>
      </c>
      <c r="B24" s="17">
        <v>1850</v>
      </c>
      <c r="C24" s="17">
        <v>1850</v>
      </c>
      <c r="D24" s="17">
        <v>1850</v>
      </c>
      <c r="E24" s="17">
        <v>1850</v>
      </c>
      <c r="F24" s="17">
        <v>1850</v>
      </c>
      <c r="G24" s="17">
        <v>1850</v>
      </c>
      <c r="H24" s="17">
        <v>1850</v>
      </c>
      <c r="I24" s="17">
        <v>1850</v>
      </c>
      <c r="J24" s="18">
        <f>SUM(B24:I24)</f>
        <v>14800</v>
      </c>
    </row>
    <row r="25">
      <c r="A25" s="16" t="s">
        <v>14</v>
      </c>
      <c r="B25" s="17">
        <v>1850</v>
      </c>
      <c r="C25" s="17">
        <v>1850</v>
      </c>
      <c r="D25" s="17">
        <v>1850</v>
      </c>
      <c r="E25" s="17">
        <v>1850</v>
      </c>
      <c r="F25" s="17">
        <v>1850</v>
      </c>
      <c r="G25" s="17">
        <v>1850</v>
      </c>
      <c r="H25" s="17">
        <v>1850</v>
      </c>
      <c r="I25" s="17">
        <v>1850</v>
      </c>
      <c r="J25" s="18">
        <f>SUM(B25:I25)</f>
        <v>14800</v>
      </c>
    </row>
    <row r="26">
      <c r="A26" s="16" t="s">
        <v>15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8">
        <f ref="J26:J28" t="shared" si="11">SUM(B26:I26)</f>
        <v>0</v>
      </c>
    </row>
    <row r="27">
      <c r="A27" s="16" t="s">
        <v>16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8">
        <f t="shared" si="11"/>
        <v>0</v>
      </c>
    </row>
    <row r="28">
      <c r="A28" s="16" t="s">
        <v>17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8">
        <f t="shared" si="11"/>
        <v>0</v>
      </c>
    </row>
    <row r="29" ht="15" customHeight="1">
      <c r="A29" s="91" t="s">
        <v>18</v>
      </c>
      <c r="B29" s="92">
        <f>+SUM(B24:B28)</f>
        <v>3700</v>
      </c>
      <c r="C29" s="92">
        <f>+SUM(C24:C28)</f>
        <v>3700</v>
      </c>
      <c r="D29" s="92">
        <f>+SUM(D24:D28)</f>
        <v>3700</v>
      </c>
      <c r="E29" s="92">
        <f>+SUM(E24:E28)</f>
        <v>3700</v>
      </c>
      <c r="F29" s="92">
        <f>+SUM(F24:F28)</f>
        <v>3700</v>
      </c>
      <c r="G29" s="92">
        <f>+SUM(G24:G28)</f>
        <v>3700</v>
      </c>
      <c r="H29" s="92">
        <f>+SUM(H24:H28)</f>
        <v>3700</v>
      </c>
      <c r="I29" s="92">
        <f>+SUM(I24:I28)</f>
        <v>3700</v>
      </c>
      <c r="J29" s="92">
        <f>+SUM(J24:J28)</f>
        <v>29600</v>
      </c>
    </row>
    <row r="30" ht="15" customHeight="1">
      <c r="A30" s="91"/>
      <c r="B30" s="92"/>
      <c r="C30" s="92"/>
      <c r="D30" s="92"/>
      <c r="E30" s="92"/>
      <c r="F30" s="92"/>
      <c r="G30" s="92"/>
      <c r="H30" s="92"/>
      <c r="I30" s="92"/>
      <c r="J30" s="92"/>
    </row>
    <row r="31" ht="44.4" customHeight="1">
      <c r="A31" s="19" t="s">
        <v>21</v>
      </c>
      <c r="B31" s="89" t="s">
        <v>22</v>
      </c>
      <c r="C31" s="89" t="s">
        <v>23</v>
      </c>
      <c r="D31" s="89" t="s">
        <v>24</v>
      </c>
      <c r="E31" s="89" t="s">
        <v>25</v>
      </c>
      <c r="F31" s="89" t="s">
        <v>26</v>
      </c>
      <c r="G31" s="19" t="s">
        <v>27</v>
      </c>
      <c r="H31" s="19" t="s">
        <v>28</v>
      </c>
    </row>
    <row r="32" ht="15" customHeight="1">
      <c r="A32" s="20" t="s">
        <v>29</v>
      </c>
      <c r="B32" s="17">
        <v>3496</v>
      </c>
      <c r="C32" s="17">
        <v>1016</v>
      </c>
      <c r="D32" s="17">
        <v>0</v>
      </c>
      <c r="E32" s="17">
        <v>0</v>
      </c>
      <c r="F32" s="17">
        <v>0</v>
      </c>
      <c r="G32" s="21" t="s">
        <v>30</v>
      </c>
      <c r="H32" s="22" t="s">
        <v>31</v>
      </c>
    </row>
    <row r="33" ht="15" customHeight="1">
      <c r="A33" s="20" t="s">
        <v>32</v>
      </c>
      <c r="B33" s="17">
        <v>765</v>
      </c>
      <c r="C33" s="17">
        <v>293</v>
      </c>
      <c r="D33" s="17">
        <v>0</v>
      </c>
      <c r="E33" s="17">
        <v>0</v>
      </c>
      <c r="F33" s="17">
        <v>0</v>
      </c>
      <c r="G33" s="21" t="s">
        <v>30</v>
      </c>
      <c r="H33" s="22" t="s">
        <v>31</v>
      </c>
    </row>
    <row r="34" ht="15" customHeight="1">
      <c r="A34" s="20" t="s">
        <v>33</v>
      </c>
      <c r="B34" s="17">
        <v>94</v>
      </c>
      <c r="C34" s="17">
        <v>36</v>
      </c>
      <c r="D34" s="17">
        <v>0</v>
      </c>
      <c r="E34" s="17">
        <v>0</v>
      </c>
      <c r="F34" s="17">
        <v>0</v>
      </c>
      <c r="G34" s="21" t="s">
        <v>30</v>
      </c>
      <c r="H34" s="22" t="s">
        <v>31</v>
      </c>
    </row>
    <row r="35" ht="15" customHeight="1">
      <c r="A35" s="20" t="s">
        <v>34</v>
      </c>
      <c r="B35" s="17">
        <v>3844</v>
      </c>
      <c r="C35" s="17">
        <v>1424</v>
      </c>
      <c r="D35" s="17">
        <v>0</v>
      </c>
      <c r="E35" s="17">
        <v>0</v>
      </c>
      <c r="F35" s="17">
        <v>0</v>
      </c>
      <c r="G35" s="21" t="s">
        <v>30</v>
      </c>
      <c r="H35" s="22" t="s">
        <v>31</v>
      </c>
    </row>
    <row r="36" ht="15" customHeight="1">
      <c r="A36" s="20" t="s">
        <v>35</v>
      </c>
      <c r="B36" s="17">
        <v>3125</v>
      </c>
      <c r="C36" s="17">
        <v>1208</v>
      </c>
      <c r="D36" s="17">
        <v>0</v>
      </c>
      <c r="E36" s="17">
        <v>0</v>
      </c>
      <c r="F36" s="17">
        <v>0</v>
      </c>
      <c r="G36" s="21" t="s">
        <v>30</v>
      </c>
      <c r="H36" s="22" t="s">
        <v>31</v>
      </c>
    </row>
    <row r="37" ht="15" customHeight="1">
      <c r="A37" s="20" t="s">
        <v>36</v>
      </c>
      <c r="B37" s="17">
        <v>6131</v>
      </c>
      <c r="C37" s="17">
        <v>2356</v>
      </c>
      <c r="D37" s="17">
        <v>0</v>
      </c>
      <c r="E37" s="17">
        <v>0</v>
      </c>
      <c r="F37" s="17">
        <v>0</v>
      </c>
      <c r="G37" s="21" t="s">
        <v>30</v>
      </c>
      <c r="H37" s="22" t="s">
        <v>31</v>
      </c>
    </row>
    <row r="38" ht="15" customHeight="1">
      <c r="A38" s="20" t="s">
        <v>37</v>
      </c>
      <c r="B38" s="17">
        <v>16736</v>
      </c>
      <c r="C38" s="17">
        <v>6456</v>
      </c>
      <c r="D38" s="17">
        <v>0</v>
      </c>
      <c r="E38" s="17">
        <v>0</v>
      </c>
      <c r="F38" s="17">
        <v>0</v>
      </c>
      <c r="G38" s="21" t="s">
        <v>30</v>
      </c>
      <c r="H38" s="22" t="s">
        <v>31</v>
      </c>
    </row>
    <row r="39" ht="15" customHeight="1">
      <c r="A39" s="20" t="s">
        <v>38</v>
      </c>
      <c r="B39" s="17">
        <v>4439</v>
      </c>
      <c r="C39" s="17">
        <v>1596</v>
      </c>
      <c r="D39" s="17">
        <v>0</v>
      </c>
      <c r="E39" s="17">
        <v>0</v>
      </c>
      <c r="F39" s="17">
        <v>0</v>
      </c>
      <c r="G39" s="21" t="s">
        <v>30</v>
      </c>
      <c r="H39" s="22" t="s">
        <v>31</v>
      </c>
    </row>
    <row r="40" ht="15" customHeight="1">
      <c r="A40" s="20" t="s">
        <v>39</v>
      </c>
      <c r="B40" s="17">
        <v>7432</v>
      </c>
      <c r="C40" s="17">
        <v>3622</v>
      </c>
      <c r="D40" s="17">
        <v>0</v>
      </c>
      <c r="E40" s="17">
        <v>0</v>
      </c>
      <c r="F40" s="17">
        <v>0</v>
      </c>
      <c r="G40" s="21" t="s">
        <v>30</v>
      </c>
      <c r="H40" s="22" t="s">
        <v>31</v>
      </c>
    </row>
    <row r="41" ht="15" customHeight="1">
      <c r="A41" s="20" t="s">
        <v>40</v>
      </c>
      <c r="B41" s="17">
        <v>5392</v>
      </c>
      <c r="C41" s="17">
        <v>2210</v>
      </c>
      <c r="D41" s="17">
        <v>0</v>
      </c>
      <c r="E41" s="17">
        <v>0</v>
      </c>
      <c r="F41" s="17">
        <v>0</v>
      </c>
      <c r="G41" s="21" t="s">
        <v>30</v>
      </c>
      <c r="H41" s="22" t="s">
        <v>31</v>
      </c>
    </row>
    <row r="42" ht="15" customHeight="1">
      <c r="A42" s="20" t="s">
        <v>41</v>
      </c>
      <c r="B42" s="17">
        <v>3766</v>
      </c>
      <c r="C42" s="17">
        <v>2416</v>
      </c>
      <c r="D42" s="17">
        <v>0</v>
      </c>
      <c r="E42" s="17">
        <v>0</v>
      </c>
      <c r="F42" s="17">
        <v>0</v>
      </c>
      <c r="G42" s="21" t="s">
        <v>30</v>
      </c>
      <c r="H42" s="22" t="s">
        <v>31</v>
      </c>
    </row>
    <row r="43" ht="15" customHeight="1">
      <c r="A43" s="20" t="s">
        <v>42</v>
      </c>
      <c r="B43" s="17">
        <v>6606</v>
      </c>
      <c r="C43" s="17">
        <v>2266</v>
      </c>
      <c r="D43" s="17">
        <v>0</v>
      </c>
      <c r="E43" s="17">
        <v>0</v>
      </c>
      <c r="F43" s="17">
        <v>0</v>
      </c>
      <c r="G43" s="21" t="s">
        <v>30</v>
      </c>
      <c r="H43" s="22" t="s">
        <v>31</v>
      </c>
    </row>
    <row r="46" ht="15" customHeight="1">
      <c r="A46" s="12" t="s">
        <v>43</v>
      </c>
      <c r="B46" s="12"/>
      <c r="C46" s="12"/>
      <c r="D46" s="12"/>
    </row>
    <row r="47" ht="15" customHeight="1">
      <c r="A47" s="19" t="s">
        <v>21</v>
      </c>
      <c r="B47" s="19" t="s">
        <v>44</v>
      </c>
      <c r="C47" s="19" t="s">
        <v>27</v>
      </c>
      <c r="D47" s="19" t="s">
        <v>45</v>
      </c>
    </row>
    <row r="48" ht="15" customHeight="1">
      <c r="A48" s="20" t="s">
        <v>29</v>
      </c>
      <c r="B48" s="23">
        <v>1</v>
      </c>
      <c r="C48" s="20" t="s">
        <v>46</v>
      </c>
      <c r="D48" s="22" t="s">
        <v>47</v>
      </c>
    </row>
    <row r="49" ht="15" customHeight="1">
      <c r="A49" s="20" t="s">
        <v>32</v>
      </c>
      <c r="B49" s="23">
        <v>0.2</v>
      </c>
      <c r="C49" s="20" t="s">
        <v>46</v>
      </c>
      <c r="D49" s="22" t="s">
        <v>48</v>
      </c>
    </row>
    <row r="50" ht="15" customHeight="1">
      <c r="A50" s="20" t="s">
        <v>33</v>
      </c>
      <c r="B50" s="23">
        <v>0.01</v>
      </c>
      <c r="C50" s="20" t="s">
        <v>46</v>
      </c>
      <c r="D50" s="22" t="s">
        <v>49</v>
      </c>
    </row>
    <row r="51" ht="15" customHeight="1">
      <c r="A51" s="20" t="s">
        <v>34</v>
      </c>
      <c r="B51" s="23">
        <v>8</v>
      </c>
      <c r="C51" s="20" t="s">
        <v>46</v>
      </c>
      <c r="D51" s="22" t="s">
        <v>50</v>
      </c>
    </row>
    <row r="52" ht="15" customHeight="1">
      <c r="A52" s="20" t="s">
        <v>35</v>
      </c>
      <c r="B52" s="23">
        <v>0.3</v>
      </c>
      <c r="C52" s="20" t="s">
        <v>46</v>
      </c>
      <c r="D52" s="22" t="s">
        <v>51</v>
      </c>
    </row>
    <row r="53" ht="15" customHeight="1">
      <c r="A53" s="20" t="s">
        <v>36</v>
      </c>
      <c r="B53" s="23">
        <v>0.6</v>
      </c>
      <c r="C53" s="20" t="s">
        <v>46</v>
      </c>
      <c r="D53" s="22" t="s">
        <v>52</v>
      </c>
    </row>
    <row r="54" ht="15" customHeight="1">
      <c r="A54" s="20" t="s">
        <v>37</v>
      </c>
      <c r="B54" s="23">
        <v>2</v>
      </c>
      <c r="C54" s="20" t="s">
        <v>46</v>
      </c>
      <c r="D54" s="22" t="s">
        <v>53</v>
      </c>
    </row>
    <row r="55" ht="15" customHeight="1">
      <c r="A55" s="20" t="s">
        <v>38</v>
      </c>
      <c r="B55" s="23">
        <v>0.75</v>
      </c>
      <c r="C55" s="20" t="s">
        <v>46</v>
      </c>
      <c r="D55" s="22" t="s">
        <v>54</v>
      </c>
    </row>
    <row r="56" ht="15" customHeight="1">
      <c r="A56" s="20" t="s">
        <v>39</v>
      </c>
      <c r="B56" s="23">
        <v>1</v>
      </c>
      <c r="C56" s="20" t="s">
        <v>46</v>
      </c>
      <c r="D56" s="22" t="s">
        <v>47</v>
      </c>
    </row>
    <row r="57" ht="15" customHeight="1">
      <c r="A57" s="20" t="s">
        <v>40</v>
      </c>
      <c r="B57" s="23">
        <v>1</v>
      </c>
      <c r="C57" s="20" t="s">
        <v>46</v>
      </c>
      <c r="D57" s="22" t="s">
        <v>47</v>
      </c>
    </row>
    <row r="58" ht="15" customHeight="1">
      <c r="A58" s="20" t="s">
        <v>41</v>
      </c>
      <c r="B58" s="23">
        <v>1</v>
      </c>
      <c r="C58" s="20" t="s">
        <v>46</v>
      </c>
      <c r="D58" s="22" t="s">
        <v>47</v>
      </c>
    </row>
    <row r="59" ht="15" customHeight="1">
      <c r="A59" s="20" t="s">
        <v>42</v>
      </c>
      <c r="B59" s="23">
        <v>1</v>
      </c>
      <c r="C59" s="20" t="s">
        <v>46</v>
      </c>
      <c r="D59" s="22" t="s">
        <v>47</v>
      </c>
    </row>
    <row r="60" ht="15" customHeight="1">
      <c r="A60" s="90"/>
      <c r="B60" s="90"/>
      <c r="C60" s="90"/>
      <c r="D60" s="99"/>
    </row>
    <row r="61" ht="15" customHeight="1">
      <c r="A61" s="90"/>
      <c r="B61" s="90"/>
      <c r="C61" s="90"/>
      <c r="D61" s="99"/>
    </row>
    <row r="62">
      <c r="A62" s="90"/>
      <c r="B62" s="90"/>
      <c r="C62" s="90"/>
    </row>
    <row r="64" ht="15" customHeight="1">
      <c r="A64" s="107" t="s">
        <v>55</v>
      </c>
      <c r="B64" s="107"/>
      <c r="C64" s="107"/>
      <c r="D64" s="107"/>
    </row>
    <row r="65" ht="15" customHeight="1">
      <c r="A65" s="19" t="s">
        <v>21</v>
      </c>
      <c r="B65" s="19" t="s">
        <v>56</v>
      </c>
      <c r="C65" s="19" t="s">
        <v>57</v>
      </c>
      <c r="D65" s="19" t="s">
        <v>45</v>
      </c>
    </row>
    <row r="66" ht="15" customHeight="1">
      <c r="A66" s="20" t="s">
        <v>29</v>
      </c>
      <c r="B66" s="17">
        <v>30</v>
      </c>
      <c r="C66" s="21" t="s">
        <v>58</v>
      </c>
      <c r="D66" s="22" t="s">
        <v>59</v>
      </c>
    </row>
    <row r="67" ht="15" customHeight="1">
      <c r="A67" s="20" t="s">
        <v>32</v>
      </c>
      <c r="B67" s="17">
        <v>12</v>
      </c>
      <c r="C67" s="21" t="s">
        <v>58</v>
      </c>
      <c r="D67" s="22" t="s">
        <v>59</v>
      </c>
    </row>
    <row r="68" ht="15" customHeight="1">
      <c r="A68" s="20" t="s">
        <v>33</v>
      </c>
      <c r="B68" s="17">
        <v>1</v>
      </c>
      <c r="C68" s="21" t="s">
        <v>58</v>
      </c>
      <c r="D68" s="22" t="s">
        <v>60</v>
      </c>
    </row>
    <row r="69" ht="15" customHeight="1">
      <c r="A69" s="20" t="s">
        <v>34</v>
      </c>
      <c r="B69" s="17">
        <v>100</v>
      </c>
      <c r="C69" s="21" t="s">
        <v>58</v>
      </c>
      <c r="D69" s="22" t="s">
        <v>61</v>
      </c>
    </row>
    <row r="70" ht="15" customHeight="1">
      <c r="A70" s="20" t="s">
        <v>35</v>
      </c>
      <c r="B70" s="17">
        <v>30</v>
      </c>
      <c r="C70" s="21" t="s">
        <v>58</v>
      </c>
      <c r="D70" s="22" t="s">
        <v>62</v>
      </c>
    </row>
    <row r="71" ht="15" customHeight="1">
      <c r="A71" s="20" t="s">
        <v>36</v>
      </c>
      <c r="B71" s="17">
        <v>60</v>
      </c>
      <c r="C71" s="21" t="s">
        <v>58</v>
      </c>
      <c r="D71" s="22" t="s">
        <v>63</v>
      </c>
    </row>
    <row r="72" ht="15" customHeight="1">
      <c r="A72" s="20" t="s">
        <v>37</v>
      </c>
      <c r="B72" s="17">
        <v>100</v>
      </c>
      <c r="C72" s="21" t="s">
        <v>58</v>
      </c>
      <c r="D72" s="22" t="s">
        <v>64</v>
      </c>
    </row>
    <row r="73" ht="15" customHeight="1">
      <c r="A73" s="20" t="s">
        <v>38</v>
      </c>
      <c r="B73" s="17">
        <v>150</v>
      </c>
      <c r="C73" s="21" t="s">
        <v>58</v>
      </c>
      <c r="D73" s="22" t="s">
        <v>65</v>
      </c>
    </row>
    <row r="74" ht="15" customHeight="1">
      <c r="A74" s="20" t="s">
        <v>39</v>
      </c>
      <c r="B74" s="17">
        <v>1</v>
      </c>
      <c r="C74" s="21" t="s">
        <v>58</v>
      </c>
      <c r="D74" s="22" t="s">
        <v>60</v>
      </c>
    </row>
    <row r="75" ht="15" customHeight="1">
      <c r="A75" s="20" t="s">
        <v>40</v>
      </c>
      <c r="B75" s="17">
        <v>1</v>
      </c>
      <c r="C75" s="21" t="s">
        <v>58</v>
      </c>
      <c r="D75" s="22" t="s">
        <v>60</v>
      </c>
    </row>
    <row r="76" ht="15" customHeight="1">
      <c r="A76" s="20" t="s">
        <v>41</v>
      </c>
      <c r="B76" s="17">
        <v>1</v>
      </c>
      <c r="C76" s="21" t="s">
        <v>58</v>
      </c>
      <c r="D76" s="22" t="s">
        <v>60</v>
      </c>
    </row>
    <row r="77" ht="15" customHeight="1">
      <c r="A77" s="20" t="s">
        <v>42</v>
      </c>
      <c r="B77" s="17">
        <v>1</v>
      </c>
      <c r="C77" s="21" t="s">
        <v>58</v>
      </c>
      <c r="D77" s="22" t="s">
        <v>60</v>
      </c>
    </row>
    <row r="78" ht="15" customHeight="1">
      <c r="A78" s="90"/>
      <c r="C78" s="98"/>
      <c r="D78" s="99"/>
    </row>
    <row r="79" ht="15" customHeight="1"/>
    <row r="80" ht="15" customHeight="1"/>
    <row r="81" ht="15" customHeight="1">
      <c r="A81" s="97" t="s">
        <v>66</v>
      </c>
      <c r="B81" s="97"/>
      <c r="C81" s="97"/>
      <c r="D81" s="97"/>
      <c r="E81" s="97"/>
      <c r="F81" s="97"/>
      <c r="G81" s="97"/>
      <c r="H81" s="97"/>
      <c r="I81" s="97"/>
      <c r="J81" s="97"/>
    </row>
    <row r="82" ht="42" customHeight="1">
      <c r="A82" s="89" t="s">
        <v>21</v>
      </c>
      <c r="B82" s="89" t="s">
        <v>67</v>
      </c>
      <c r="C82" s="89" t="s">
        <v>68</v>
      </c>
      <c r="D82" s="89" t="s">
        <v>69</v>
      </c>
      <c r="E82" s="89" t="s">
        <v>70</v>
      </c>
      <c r="F82" s="89" t="s">
        <v>71</v>
      </c>
      <c r="G82" s="89" t="s">
        <v>72</v>
      </c>
      <c r="H82" s="89" t="s">
        <v>73</v>
      </c>
      <c r="I82" s="89" t="s">
        <v>74</v>
      </c>
      <c r="J82" s="89" t="s">
        <v>75</v>
      </c>
    </row>
    <row r="83" ht="15" customHeight="1">
      <c r="A83" s="20" t="s">
        <v>29</v>
      </c>
      <c r="B83" s="93">
        <v>125</v>
      </c>
      <c r="C83" s="94">
        <f>B83/B66</f>
        <v>4.166666666666667</v>
      </c>
      <c r="D83" s="94">
        <f>C83*B48</f>
        <v>4.166666666666667</v>
      </c>
      <c r="E83" s="94">
        <v>100</v>
      </c>
      <c r="F83" s="94">
        <f>E83/B66</f>
        <v>3.3333333333333335</v>
      </c>
      <c r="G83" s="94">
        <f>F83*B48</f>
        <v>3.3333333333333335</v>
      </c>
      <c r="H83" s="94">
        <v>140</v>
      </c>
      <c r="I83" s="94">
        <f>H83/B66</f>
        <v>4.666666666666667</v>
      </c>
      <c r="J83" s="94">
        <f>I83*B48</f>
        <v>4.666666666666667</v>
      </c>
    </row>
    <row r="84" ht="15" customHeight="1">
      <c r="A84" s="20" t="s">
        <v>32</v>
      </c>
      <c r="B84" s="93">
        <v>330</v>
      </c>
      <c r="C84" s="94">
        <f>B84/B67</f>
        <v>27.5</v>
      </c>
      <c r="D84" s="94">
        <f>C84*B49</f>
        <v>5.5</v>
      </c>
      <c r="E84" s="94">
        <v>264</v>
      </c>
      <c r="F84" s="94">
        <f>E84/B67</f>
        <v>22</v>
      </c>
      <c r="G84" s="94">
        <f>F84*B49</f>
        <v>4.4</v>
      </c>
      <c r="H84" s="94">
        <v>370</v>
      </c>
      <c r="I84" s="94">
        <f>H84/B67</f>
        <v>30.833333333333332</v>
      </c>
      <c r="J84" s="94">
        <f>I84*B49</f>
        <v>6.166666666666667</v>
      </c>
    </row>
    <row r="85" ht="15" customHeight="1">
      <c r="A85" s="20" t="s">
        <v>33</v>
      </c>
      <c r="B85" s="94">
        <v>60</v>
      </c>
      <c r="C85" s="94">
        <f>B85/B68</f>
        <v>60</v>
      </c>
      <c r="D85" s="94">
        <f>C85*B50</f>
        <v>0.6</v>
      </c>
      <c r="E85" s="94">
        <v>60</v>
      </c>
      <c r="F85" s="94">
        <f>E85/B68</f>
        <v>60</v>
      </c>
      <c r="G85" s="94">
        <f>F85*B50</f>
        <v>0.6</v>
      </c>
      <c r="H85" s="94">
        <v>60</v>
      </c>
      <c r="I85" s="94">
        <f>H85/B68</f>
        <v>60</v>
      </c>
      <c r="J85" s="94">
        <f>I85*B50</f>
        <v>0.6</v>
      </c>
    </row>
    <row r="86" ht="15" customHeight="1">
      <c r="A86" s="20" t="s">
        <v>34</v>
      </c>
      <c r="B86" s="94">
        <v>7</v>
      </c>
      <c r="C86" s="94">
        <f ref="C86:C90" t="shared" si="20">B86/B69</f>
        <v>0.07</v>
      </c>
      <c r="D86" s="94">
        <f>C86*B51</f>
        <v>0.56</v>
      </c>
      <c r="E86" s="94">
        <v>7</v>
      </c>
      <c r="F86" s="94">
        <f ref="F86:F90" t="shared" si="21">E86/B69</f>
        <v>0.07</v>
      </c>
      <c r="G86" s="94">
        <f>F86*B51</f>
        <v>0.56</v>
      </c>
      <c r="H86" s="94">
        <v>7</v>
      </c>
      <c r="I86" s="94">
        <f ref="I86:I90" t="shared" si="22">H86/B69</f>
        <v>0.07</v>
      </c>
      <c r="J86" s="94">
        <f>I86*B51</f>
        <v>0.56</v>
      </c>
    </row>
    <row r="87" ht="15" customHeight="1">
      <c r="A87" s="20" t="s">
        <v>35</v>
      </c>
      <c r="B87" s="94">
        <v>36</v>
      </c>
      <c r="C87" s="94">
        <f t="shared" si="20"/>
        <v>1.2</v>
      </c>
      <c r="D87" s="94">
        <f>C87*B52</f>
        <v>0.36</v>
      </c>
      <c r="E87" s="94">
        <v>36</v>
      </c>
      <c r="F87" s="94">
        <f t="shared" si="21"/>
        <v>1.2</v>
      </c>
      <c r="G87" s="94">
        <f>F87*B52</f>
        <v>0.36</v>
      </c>
      <c r="H87" s="94">
        <v>36</v>
      </c>
      <c r="I87" s="94">
        <f t="shared" si="22"/>
        <v>1.2</v>
      </c>
      <c r="J87" s="94">
        <f>I87*B52</f>
        <v>0.36</v>
      </c>
    </row>
    <row r="88" ht="15" customHeight="1">
      <c r="A88" s="20" t="s">
        <v>36</v>
      </c>
      <c r="B88" s="94">
        <v>24</v>
      </c>
      <c r="C88" s="94">
        <f t="shared" si="20"/>
        <v>0.4</v>
      </c>
      <c r="D88" s="94">
        <f>C88*B53</f>
        <v>0.24</v>
      </c>
      <c r="E88" s="94">
        <v>24</v>
      </c>
      <c r="F88" s="94">
        <f t="shared" si="21"/>
        <v>0.4</v>
      </c>
      <c r="G88" s="94">
        <f>F88*B53</f>
        <v>0.24</v>
      </c>
      <c r="H88" s="94">
        <v>24</v>
      </c>
      <c r="I88" s="94">
        <f t="shared" si="22"/>
        <v>0.4</v>
      </c>
      <c r="J88" s="94">
        <f>I88*B53</f>
        <v>0.24</v>
      </c>
      <c r="N88" s="1"/>
    </row>
    <row r="89" ht="15" customHeight="1">
      <c r="A89" s="20" t="s">
        <v>37</v>
      </c>
      <c r="B89" s="94">
        <v>30</v>
      </c>
      <c r="C89" s="94">
        <f t="shared" si="20"/>
        <v>0.3</v>
      </c>
      <c r="D89" s="94">
        <f>C89*B54</f>
        <v>0.6</v>
      </c>
      <c r="E89" s="94">
        <v>30</v>
      </c>
      <c r="F89" s="94">
        <f t="shared" si="21"/>
        <v>0.3</v>
      </c>
      <c r="G89" s="94">
        <f>F89*B54</f>
        <v>0.6</v>
      </c>
      <c r="H89" s="94">
        <v>30</v>
      </c>
      <c r="I89" s="94">
        <f t="shared" si="22"/>
        <v>0.3</v>
      </c>
      <c r="J89" s="94">
        <f>I89*B54</f>
        <v>0.6</v>
      </c>
    </row>
    <row r="90" ht="15" customHeight="1">
      <c r="A90" s="20" t="s">
        <v>38</v>
      </c>
      <c r="B90" s="94">
        <v>28</v>
      </c>
      <c r="C90" s="94">
        <f t="shared" si="20"/>
        <v>0.18666666666666668</v>
      </c>
      <c r="D90" s="94">
        <f>C90*B55</f>
        <v>0.14</v>
      </c>
      <c r="E90" s="94">
        <v>28</v>
      </c>
      <c r="F90" s="94">
        <f t="shared" si="21"/>
        <v>0.18666666666666668</v>
      </c>
      <c r="G90" s="94">
        <f>F90*B55</f>
        <v>0.14</v>
      </c>
      <c r="H90" s="94">
        <v>28</v>
      </c>
      <c r="I90" s="94">
        <f t="shared" si="22"/>
        <v>0.18666666666666668</v>
      </c>
      <c r="J90" s="94">
        <f>I90*B55</f>
        <v>0.14</v>
      </c>
    </row>
    <row r="91">
      <c r="A91" s="95" t="s">
        <v>76</v>
      </c>
      <c r="B91" s="96">
        <f>SUM(B83:B90)</f>
        <v>640</v>
      </c>
      <c r="C91" s="96">
        <f ref="C91:G91" t="shared" si="23">SUM(C83:C90)</f>
        <v>93.823333333333338</v>
      </c>
      <c r="D91" s="112">
        <f t="shared" si="23"/>
        <v>12.166666666666668</v>
      </c>
      <c r="E91" s="96">
        <f>SUM(E83:E90)</f>
        <v>549</v>
      </c>
      <c r="F91" s="96">
        <f>SUM(F83:F90)</f>
        <v>87.49</v>
      </c>
      <c r="G91" s="112">
        <f>SUM(G83:G90)</f>
        <v>10.233333333333334</v>
      </c>
      <c r="H91" s="96">
        <f>SUM(H83:H90)</f>
        <v>695</v>
      </c>
      <c r="I91" s="96">
        <f>SUM(I83:I90)</f>
        <v>97.656666666666666</v>
      </c>
      <c r="J91" s="112">
        <f>SUM(J83:J90)</f>
        <v>13.333333333333334</v>
      </c>
    </row>
    <row r="93" ht="15" customHeight="1">
      <c r="A93" s="12" t="s">
        <v>77</v>
      </c>
      <c r="B93" s="12"/>
      <c r="C93" s="12"/>
      <c r="D93" s="12"/>
      <c r="E93" s="12"/>
      <c r="M93" s="1"/>
      <c r="N93" s="1"/>
    </row>
    <row r="94" ht="15" customHeight="1">
      <c r="A94" s="19" t="s">
        <v>21</v>
      </c>
      <c r="B94" s="19" t="s">
        <v>78</v>
      </c>
      <c r="C94" s="19" t="s">
        <v>79</v>
      </c>
      <c r="D94" s="19" t="s">
        <v>80</v>
      </c>
    </row>
    <row r="95" ht="15" customHeight="1">
      <c r="A95" s="20" t="s">
        <v>29</v>
      </c>
      <c r="B95" s="94">
        <v>2300</v>
      </c>
      <c r="C95" s="94">
        <v>0.3</v>
      </c>
      <c r="D95" s="22" t="s">
        <v>81</v>
      </c>
    </row>
    <row r="96" ht="15" customHeight="1">
      <c r="A96" s="20" t="s">
        <v>32</v>
      </c>
      <c r="B96" s="94">
        <v>6000</v>
      </c>
      <c r="C96" s="94">
        <v>4.5</v>
      </c>
      <c r="D96" s="22" t="s">
        <v>81</v>
      </c>
    </row>
    <row r="97" ht="15" customHeight="1">
      <c r="A97" s="20" t="s">
        <v>82</v>
      </c>
      <c r="B97" s="94">
        <v>0</v>
      </c>
      <c r="C97" s="94">
        <v>0</v>
      </c>
      <c r="D97" s="22" t="s">
        <v>83</v>
      </c>
    </row>
    <row r="98" ht="15" customHeight="1">
      <c r="A98" s="20" t="s">
        <v>39</v>
      </c>
      <c r="B98" s="94">
        <v>0</v>
      </c>
      <c r="C98" s="94">
        <v>0.2</v>
      </c>
      <c r="D98" s="22" t="s">
        <v>81</v>
      </c>
    </row>
    <row r="99" ht="15" customHeight="1">
      <c r="A99" s="20" t="s">
        <v>40</v>
      </c>
      <c r="B99" s="94">
        <v>0</v>
      </c>
      <c r="C99" s="94">
        <v>0.4</v>
      </c>
      <c r="D99" s="22" t="s">
        <v>81</v>
      </c>
    </row>
    <row r="100" ht="15" customHeight="1">
      <c r="A100" s="20" t="s">
        <v>41</v>
      </c>
      <c r="B100" s="94">
        <v>0</v>
      </c>
      <c r="C100" s="94">
        <v>0.6</v>
      </c>
      <c r="D100" s="22" t="s">
        <v>81</v>
      </c>
    </row>
    <row r="101" ht="15" customHeight="1">
      <c r="A101" s="20" t="s">
        <v>42</v>
      </c>
      <c r="B101" s="94">
        <v>0</v>
      </c>
      <c r="C101" s="94">
        <v>0.2</v>
      </c>
      <c r="D101" s="22" t="s">
        <v>81</v>
      </c>
    </row>
    <row r="102" ht="15" customHeight="1">
      <c r="A102" s="90"/>
      <c r="B102" s="100"/>
      <c r="C102" s="100"/>
      <c r="D102" s="22"/>
    </row>
    <row r="105" ht="15" customHeight="1">
      <c r="A105" s="12" t="s">
        <v>84</v>
      </c>
      <c r="B105" s="12"/>
      <c r="C105" s="12"/>
      <c r="D105" s="12"/>
      <c r="E105" s="12"/>
      <c r="F105" s="12"/>
      <c r="G105" s="12"/>
    </row>
    <row r="106" ht="15" customHeight="1">
      <c r="A106" s="19" t="s">
        <v>85</v>
      </c>
      <c r="B106" s="19" t="s">
        <v>86</v>
      </c>
      <c r="C106" s="19" t="s">
        <v>87</v>
      </c>
      <c r="D106" s="19" t="s">
        <v>88</v>
      </c>
      <c r="E106" s="19" t="s">
        <v>89</v>
      </c>
      <c r="F106" s="19" t="s">
        <v>90</v>
      </c>
    </row>
    <row r="107" ht="15" customHeight="1">
      <c r="A107" s="21" t="s">
        <v>91</v>
      </c>
      <c r="B107" s="24">
        <v>125</v>
      </c>
      <c r="C107" s="25" t="s">
        <v>92</v>
      </c>
      <c r="D107" s="25" t="s">
        <v>93</v>
      </c>
      <c r="E107" s="25" t="s">
        <v>58</v>
      </c>
      <c r="F107" s="21" t="s">
        <v>94</v>
      </c>
    </row>
    <row r="108" ht="15" customHeight="1">
      <c r="A108" s="21" t="s">
        <v>95</v>
      </c>
      <c r="B108" s="24">
        <v>100</v>
      </c>
      <c r="C108" s="25" t="s">
        <v>96</v>
      </c>
      <c r="D108" s="25" t="s">
        <v>97</v>
      </c>
      <c r="E108" s="25">
        <v>150</v>
      </c>
      <c r="F108" s="21" t="s">
        <v>98</v>
      </c>
    </row>
    <row r="109" ht="15" customHeight="1">
      <c r="A109" s="21" t="s">
        <v>99</v>
      </c>
      <c r="B109" s="24">
        <v>140</v>
      </c>
      <c r="C109" s="25" t="s">
        <v>100</v>
      </c>
      <c r="D109" s="25" t="s">
        <v>93</v>
      </c>
      <c r="E109" s="25" t="s">
        <v>58</v>
      </c>
      <c r="F109" s="21" t="s">
        <v>94</v>
      </c>
    </row>
    <row r="110" ht="15" customHeight="1">
      <c r="A110" s="26" t="s">
        <v>101</v>
      </c>
      <c r="B110" s="27" t="s">
        <v>99</v>
      </c>
    </row>
    <row r="113" ht="15" customHeight="1">
      <c r="A113" s="12" t="s">
        <v>102</v>
      </c>
      <c r="B113" s="12"/>
      <c r="C113" s="12"/>
      <c r="D113" s="12"/>
      <c r="E113" s="12"/>
      <c r="F113" s="12"/>
      <c r="G113" s="12"/>
    </row>
    <row r="114" ht="15" customHeight="1">
      <c r="A114" s="19" t="s">
        <v>85</v>
      </c>
      <c r="B114" s="19" t="s">
        <v>86</v>
      </c>
      <c r="C114" s="19" t="s">
        <v>87</v>
      </c>
      <c r="D114" s="19" t="s">
        <v>88</v>
      </c>
      <c r="E114" s="19" t="s">
        <v>89</v>
      </c>
      <c r="F114" s="19" t="s">
        <v>90</v>
      </c>
    </row>
    <row r="115" ht="15" customHeight="1">
      <c r="A115" s="21" t="s">
        <v>91</v>
      </c>
      <c r="B115" s="24">
        <v>330</v>
      </c>
      <c r="C115" s="25" t="s">
        <v>92</v>
      </c>
      <c r="D115" s="25" t="s">
        <v>93</v>
      </c>
      <c r="E115" s="25" t="s">
        <v>58</v>
      </c>
      <c r="F115" s="21" t="s">
        <v>94</v>
      </c>
    </row>
    <row r="116" ht="15" customHeight="1">
      <c r="A116" s="21" t="s">
        <v>95</v>
      </c>
      <c r="B116" s="24">
        <v>264</v>
      </c>
      <c r="C116" s="25" t="s">
        <v>96</v>
      </c>
      <c r="D116" s="25" t="s">
        <v>103</v>
      </c>
      <c r="E116" s="25">
        <v>80</v>
      </c>
      <c r="F116" s="21" t="s">
        <v>98</v>
      </c>
    </row>
    <row r="117" ht="15" customHeight="1">
      <c r="A117" s="21" t="s">
        <v>99</v>
      </c>
      <c r="B117" s="24">
        <v>370</v>
      </c>
      <c r="C117" s="25" t="s">
        <v>100</v>
      </c>
      <c r="D117" s="25" t="s">
        <v>93</v>
      </c>
      <c r="E117" s="25" t="s">
        <v>58</v>
      </c>
      <c r="F117" s="21" t="s">
        <v>94</v>
      </c>
    </row>
    <row r="118" ht="15" customHeight="1">
      <c r="A118" s="26" t="s">
        <v>101</v>
      </c>
      <c r="B118" s="27" t="s">
        <v>99</v>
      </c>
    </row>
    <row r="121" ht="15" customHeight="1">
      <c r="A121" s="107" t="s">
        <v>104</v>
      </c>
      <c r="B121" s="107"/>
      <c r="C121" s="107"/>
      <c r="D121" s="107"/>
    </row>
    <row r="122" ht="34.8" customHeight="1">
      <c r="A122" s="19" t="s">
        <v>21</v>
      </c>
      <c r="B122" s="89" t="s">
        <v>105</v>
      </c>
      <c r="C122" s="89" t="s">
        <v>106</v>
      </c>
      <c r="D122" s="89" t="s">
        <v>107</v>
      </c>
      <c r="E122" s="89" t="s">
        <v>108</v>
      </c>
      <c r="F122" s="89" t="s">
        <v>109</v>
      </c>
    </row>
    <row r="123" ht="15" customHeight="1">
      <c r="A123" s="20" t="s">
        <v>29</v>
      </c>
      <c r="B123" s="17">
        <f>B6*2*B48</f>
        <v>3700</v>
      </c>
      <c r="C123" s="17">
        <f>B7*2*B48</f>
        <v>3700</v>
      </c>
      <c r="D123" s="17"/>
      <c r="E123" s="17"/>
      <c r="F123" s="17"/>
    </row>
    <row r="124" ht="15" customHeight="1">
      <c r="A124" s="20" t="s">
        <v>32</v>
      </c>
      <c r="B124" s="17">
        <f>B15*2*B49</f>
        <v>740</v>
      </c>
      <c r="C124" s="17">
        <f>B16*2*B49</f>
        <v>740</v>
      </c>
      <c r="D124" s="17"/>
      <c r="E124" s="17"/>
      <c r="F124" s="17"/>
    </row>
    <row r="125" ht="15" customHeight="1">
      <c r="A125" s="20" t="s">
        <v>33</v>
      </c>
      <c r="B125" s="17">
        <f>B15*2*B50</f>
        <v>37</v>
      </c>
      <c r="C125" s="17">
        <f>B16*2*B50</f>
        <v>37</v>
      </c>
      <c r="D125" s="17"/>
      <c r="E125" s="17"/>
      <c r="F125" s="17"/>
    </row>
    <row r="126" ht="15" customHeight="1">
      <c r="A126" s="20" t="s">
        <v>34</v>
      </c>
      <c r="B126" s="17">
        <f>B24*2*B51</f>
        <v>29600</v>
      </c>
      <c r="C126" s="17">
        <f>B25*2*B51</f>
        <v>29600</v>
      </c>
      <c r="D126" s="17"/>
      <c r="E126" s="17"/>
      <c r="F126" s="17"/>
    </row>
    <row r="127" ht="15" customHeight="1">
      <c r="A127" s="20" t="s">
        <v>35</v>
      </c>
      <c r="B127" s="17">
        <f>B24*2*B52</f>
        <v>1110</v>
      </c>
      <c r="C127" s="17">
        <f>B25*2*B52</f>
        <v>1110</v>
      </c>
      <c r="D127" s="17"/>
      <c r="E127" s="17"/>
      <c r="F127" s="17"/>
    </row>
    <row r="128" ht="15" customHeight="1">
      <c r="A128" s="20" t="s">
        <v>36</v>
      </c>
      <c r="B128" s="17">
        <f>B24*2*B53</f>
        <v>2220</v>
      </c>
      <c r="C128" s="17">
        <f>B25*2*B53</f>
        <v>2220</v>
      </c>
      <c r="D128" s="17"/>
      <c r="E128" s="17"/>
      <c r="F128" s="17"/>
    </row>
    <row r="129" ht="15" customHeight="1">
      <c r="A129" s="20" t="s">
        <v>37</v>
      </c>
      <c r="B129" s="17">
        <f>B24*2*B54</f>
        <v>7400</v>
      </c>
      <c r="C129" s="17">
        <f>B25*2*B54</f>
        <v>7400</v>
      </c>
      <c r="D129" s="17"/>
      <c r="E129" s="17"/>
      <c r="F129" s="17"/>
    </row>
    <row r="130" ht="15" customHeight="1">
      <c r="A130" s="20" t="s">
        <v>38</v>
      </c>
      <c r="B130" s="17">
        <f>B24*2*B55</f>
        <v>2775</v>
      </c>
      <c r="C130" s="17">
        <f>B25*2*B55</f>
        <v>2775</v>
      </c>
      <c r="D130" s="17"/>
      <c r="E130" s="17"/>
      <c r="F130" s="17"/>
    </row>
    <row r="131" ht="15" customHeight="1">
      <c r="A131" s="20" t="s">
        <v>39</v>
      </c>
      <c r="B131" s="17">
        <f>B6*2</f>
        <v>3700</v>
      </c>
      <c r="C131" s="17">
        <f>B7*2</f>
        <v>3700</v>
      </c>
      <c r="D131" s="17"/>
      <c r="E131" s="17"/>
      <c r="F131" s="17"/>
    </row>
    <row r="132" ht="15" customHeight="1">
      <c r="A132" s="20" t="s">
        <v>40</v>
      </c>
      <c r="B132" s="17">
        <f>B15</f>
        <v>1850</v>
      </c>
      <c r="C132" s="17">
        <f>B16</f>
        <v>1850</v>
      </c>
      <c r="D132" s="17"/>
      <c r="E132" s="17"/>
      <c r="F132" s="17"/>
    </row>
    <row r="133" ht="15" customHeight="1">
      <c r="A133" s="20" t="s">
        <v>41</v>
      </c>
      <c r="B133" s="17">
        <v>0</v>
      </c>
      <c r="C133" s="17">
        <v>0</v>
      </c>
      <c r="D133" s="17"/>
      <c r="E133" s="17"/>
      <c r="F133" s="17"/>
    </row>
    <row r="134" ht="15" customHeight="1">
      <c r="A134" s="20" t="s">
        <v>42</v>
      </c>
      <c r="B134" s="17">
        <f>B24*2</f>
        <v>3700</v>
      </c>
      <c r="C134" s="17">
        <f>B25*2</f>
        <v>3700</v>
      </c>
      <c r="D134" s="17"/>
      <c r="E134" s="17"/>
      <c r="F134" s="17"/>
    </row>
    <row r="135" ht="15" customHeight="1">
      <c r="A135" s="108"/>
      <c r="C135" s="109"/>
      <c r="D135" s="110"/>
    </row>
    <row r="136" ht="15" customHeight="1">
      <c r="A136" s="104" t="s">
        <v>110</v>
      </c>
      <c r="B136" s="105"/>
      <c r="C136" s="105"/>
      <c r="D136" s="105"/>
      <c r="E136" s="106"/>
    </row>
    <row r="137" ht="15" customHeight="1">
      <c r="A137" s="101" t="s">
        <v>111</v>
      </c>
      <c r="B137" s="102"/>
      <c r="C137" s="102"/>
      <c r="D137" s="102"/>
      <c r="E137" s="103"/>
    </row>
    <row r="138" ht="15" customHeight="1">
      <c r="A138" s="19" t="s">
        <v>21</v>
      </c>
      <c r="B138" s="19" t="s">
        <v>112</v>
      </c>
      <c r="C138" s="19" t="s">
        <v>113</v>
      </c>
      <c r="D138" s="19" t="s">
        <v>114</v>
      </c>
      <c r="E138" s="19" t="s">
        <v>115</v>
      </c>
    </row>
    <row r="139" ht="15" customHeight="1">
      <c r="A139" s="20" t="s">
        <v>29</v>
      </c>
      <c r="B139" s="29">
        <v>2</v>
      </c>
      <c r="C139" s="30">
        <f>BOM_Consumo!K6/8</f>
        <v>1850</v>
      </c>
      <c r="D139" s="30">
        <f ref="D139:D146" t="shared" si="24">B139*C139</f>
        <v>3700</v>
      </c>
      <c r="E139" s="31" t="str">
        <f ref="E139:E146" t="shared" si="25">IF(B139&gt;=1.5,"NO","SÍ - RIESGO ALTO")</f>
        <v>NO</v>
      </c>
    </row>
    <row r="140" ht="15" customHeight="1">
      <c r="A140" s="20" t="s">
        <v>32</v>
      </c>
      <c r="B140" s="29">
        <v>2</v>
      </c>
      <c r="C140" s="30">
        <f>BOM_Consumo!K7/8</f>
        <v>370</v>
      </c>
      <c r="D140" s="30">
        <f t="shared" si="24"/>
        <v>740</v>
      </c>
      <c r="E140" s="31" t="str">
        <f t="shared" si="25"/>
        <v>NO</v>
      </c>
    </row>
    <row r="141" ht="15" customHeight="1">
      <c r="A141" s="20" t="s">
        <v>33</v>
      </c>
      <c r="B141" s="29">
        <v>2</v>
      </c>
      <c r="C141" s="30">
        <f>BOM_Consumo!K8/8</f>
        <v>18.5</v>
      </c>
      <c r="D141" s="30">
        <f t="shared" si="24"/>
        <v>37</v>
      </c>
      <c r="E141" s="31" t="str">
        <f t="shared" si="25"/>
        <v>NO</v>
      </c>
    </row>
    <row r="142" ht="15" customHeight="1">
      <c r="A142" s="20" t="s">
        <v>34</v>
      </c>
      <c r="B142" s="29">
        <v>2</v>
      </c>
      <c r="C142" s="30">
        <f>BOM_Consumo!K9/8</f>
        <v>14800</v>
      </c>
      <c r="D142" s="30">
        <f t="shared" si="24"/>
        <v>29600</v>
      </c>
      <c r="E142" s="31" t="str">
        <f t="shared" si="25"/>
        <v>NO</v>
      </c>
    </row>
    <row r="143" ht="15" customHeight="1">
      <c r="A143" s="20" t="s">
        <v>35</v>
      </c>
      <c r="B143" s="29">
        <v>2</v>
      </c>
      <c r="C143" s="30">
        <f>BOM_Consumo!K10/8</f>
        <v>555</v>
      </c>
      <c r="D143" s="30">
        <f t="shared" si="24"/>
        <v>1110</v>
      </c>
      <c r="E143" s="31" t="str">
        <f t="shared" si="25"/>
        <v>NO</v>
      </c>
    </row>
    <row r="144" ht="15" customHeight="1">
      <c r="A144" s="20" t="s">
        <v>36</v>
      </c>
      <c r="B144" s="29">
        <v>2</v>
      </c>
      <c r="C144" s="30">
        <f>BOM_Consumo!K11/8</f>
        <v>1110</v>
      </c>
      <c r="D144" s="30">
        <f t="shared" si="24"/>
        <v>2220</v>
      </c>
      <c r="E144" s="31" t="str">
        <f t="shared" si="25"/>
        <v>NO</v>
      </c>
    </row>
    <row r="145" ht="15" customHeight="1">
      <c r="A145" s="20" t="s">
        <v>37</v>
      </c>
      <c r="B145" s="29">
        <v>2</v>
      </c>
      <c r="C145" s="30">
        <f>BOM_Consumo!K12/8</f>
        <v>3700</v>
      </c>
      <c r="D145" s="30">
        <f t="shared" si="24"/>
        <v>7400</v>
      </c>
      <c r="E145" s="31" t="str">
        <f t="shared" si="25"/>
        <v>NO</v>
      </c>
    </row>
    <row r="146" ht="15" customHeight="1">
      <c r="A146" s="20" t="s">
        <v>38</v>
      </c>
      <c r="B146" s="29">
        <v>2</v>
      </c>
      <c r="C146" s="30">
        <f>BOM_Consumo!K13/8</f>
        <v>1387.5</v>
      </c>
      <c r="D146" s="30">
        <f t="shared" si="24"/>
        <v>2775</v>
      </c>
      <c r="E146" s="31" t="str">
        <f t="shared" si="25"/>
        <v>NO</v>
      </c>
    </row>
    <row r="147">
      <c r="A147" s="20" t="s">
        <v>39</v>
      </c>
      <c r="B147" s="29">
        <v>2</v>
      </c>
    </row>
    <row r="148">
      <c r="A148" s="20" t="s">
        <v>40</v>
      </c>
      <c r="B148" s="29">
        <v>2</v>
      </c>
    </row>
    <row r="149">
      <c r="A149" s="20" t="s">
        <v>41</v>
      </c>
      <c r="B149" s="29">
        <v>2</v>
      </c>
    </row>
    <row r="150">
      <c r="A150" s="20" t="s">
        <v>42</v>
      </c>
      <c r="B150" s="29">
        <v>2</v>
      </c>
    </row>
  </sheetData>
  <mergeCells>
    <mergeCell ref="A121:D121"/>
    <mergeCell ref="A136:E136"/>
    <mergeCell ref="A137:E137"/>
    <mergeCell ref="A81:J81"/>
    <mergeCell ref="A13:K13"/>
    <mergeCell ref="A22:K22"/>
    <mergeCell ref="A64:D64"/>
    <mergeCell ref="A93:E93"/>
    <mergeCell ref="A105:G105"/>
    <mergeCell ref="A113:G113"/>
    <mergeCell ref="A1:K1"/>
    <mergeCell ref="A2:K2"/>
    <mergeCell ref="A4:K4"/>
    <mergeCell ref="A46:D46"/>
  </mergeCells>
  <phoneticPr fontId="22" type="noConversion"/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topLeftCell="A45" zoomScaleNormal="100" workbookViewId="0">
      <selection activeCell="C6" sqref="C6"/>
    </sheetView>
  </sheetViews>
  <sheetFormatPr baseColWidth="10" defaultColWidth="8.6640625" defaultRowHeight="14.4" x14ac:dyDescent="0.3"/>
  <cols>
    <col min="1" max="1" width="15" customWidth="1"/>
    <col min="2" max="11" width="12" customWidth="1"/>
  </cols>
  <sheetData>
    <row r="1" ht="17.25" customHeight="1">
      <c r="A1" s="14" t="s">
        <v>116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15" customHeight="1">
      <c r="A2" s="10" t="s">
        <v>117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15" customHeight="1">
      <c r="A3" s="9" t="s">
        <v>118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0" t="s">
        <v>119</v>
      </c>
    </row>
    <row r="5" ht="15" customHeight="1">
      <c r="A5" s="33" t="s">
        <v>21</v>
      </c>
      <c r="B5" s="33" t="s">
        <v>120</v>
      </c>
      <c r="C5" s="33" t="s">
        <v>4</v>
      </c>
      <c r="D5" s="33" t="s">
        <v>5</v>
      </c>
      <c r="E5" s="33" t="s">
        <v>6</v>
      </c>
      <c r="F5" s="33" t="s">
        <v>7</v>
      </c>
      <c r="G5" s="33" t="s">
        <v>8</v>
      </c>
      <c r="H5" s="33" t="s">
        <v>9</v>
      </c>
      <c r="I5" s="33" t="s">
        <v>10</v>
      </c>
      <c r="J5" s="33" t="s">
        <v>11</v>
      </c>
      <c r="K5" s="33" t="s">
        <v>12</v>
      </c>
    </row>
    <row r="6" ht="15" customHeight="1">
      <c r="A6" s="20" t="s">
        <v>29</v>
      </c>
      <c r="B6" s="23">
        <f>XLOOKUP(A6,Inputs!$A$48:$A$55,Inputs!$B$48:$B$55)</f>
      </c>
      <c r="C6" s="34">
        <f>Inputs!B$6*B6</f>
        <v>1850</v>
      </c>
      <c r="D6" s="34">
        <f>Inputs!C$6*B6</f>
        <v>1850</v>
      </c>
      <c r="E6" s="34">
        <f>Inputs!D$6*B6</f>
        <v>1850</v>
      </c>
      <c r="F6" s="34">
        <f>Inputs!E$6*B6</f>
        <v>1850</v>
      </c>
      <c r="G6" s="34">
        <f>Inputs!F$6*B6</f>
        <v>1850</v>
      </c>
      <c r="H6" s="34">
        <f>Inputs!G$6*B6</f>
        <v>1850</v>
      </c>
      <c r="I6" s="34">
        <f>Inputs!H$6*B6</f>
        <v>1850</v>
      </c>
      <c r="J6" s="34">
        <f>Inputs!I$6*B6</f>
        <v>1850</v>
      </c>
      <c r="K6" s="35">
        <f ref="K6:K13" t="shared" si="0">SUM(C6:J6)</f>
        <v>14800</v>
      </c>
    </row>
    <row r="7" ht="15" customHeight="1">
      <c r="A7" s="20" t="s">
        <v>32</v>
      </c>
      <c r="B7" s="23">
        <f>XLOOKUP(A7,Inputs!$A$48:$A$55,Inputs!$B$48:$B$55)</f>
      </c>
      <c r="C7" s="34">
        <f>Inputs!B$6*B7</f>
        <v>370</v>
      </c>
      <c r="D7" s="34">
        <f>Inputs!C$6*B7</f>
        <v>370</v>
      </c>
      <c r="E7" s="34">
        <f>Inputs!D$6*B7</f>
        <v>370</v>
      </c>
      <c r="F7" s="34">
        <f>Inputs!E$6*B7</f>
        <v>370</v>
      </c>
      <c r="G7" s="34">
        <f>Inputs!F$6*B7</f>
        <v>370</v>
      </c>
      <c r="H7" s="34">
        <f>Inputs!G$6*B7</f>
        <v>370</v>
      </c>
      <c r="I7" s="34">
        <f>Inputs!H$6*B7</f>
        <v>370</v>
      </c>
      <c r="J7" s="34">
        <f>Inputs!I$6*B7</f>
        <v>370</v>
      </c>
      <c r="K7" s="35">
        <f t="shared" si="0"/>
        <v>2960</v>
      </c>
    </row>
    <row r="8" ht="15" customHeight="1">
      <c r="A8" s="20" t="s">
        <v>33</v>
      </c>
      <c r="B8" s="23">
        <f>XLOOKUP(A8,Inputs!$A$48:$A$55,Inputs!$B$48:$B$55)</f>
      </c>
      <c r="C8" s="34">
        <f>Inputs!B$6*B8</f>
        <v>18.5</v>
      </c>
      <c r="D8" s="34">
        <f>Inputs!C$6*B8</f>
        <v>18.5</v>
      </c>
      <c r="E8" s="34">
        <f>Inputs!D$6*B8</f>
        <v>18.5</v>
      </c>
      <c r="F8" s="34">
        <f>Inputs!E$6*B8</f>
        <v>18.5</v>
      </c>
      <c r="G8" s="34">
        <f>Inputs!F$6*B8</f>
        <v>18.5</v>
      </c>
      <c r="H8" s="34">
        <f>Inputs!G$6*B8</f>
        <v>18.5</v>
      </c>
      <c r="I8" s="34">
        <f>Inputs!H$6*B8</f>
        <v>18.5</v>
      </c>
      <c r="J8" s="34">
        <f>Inputs!I$6*B8</f>
        <v>18.5</v>
      </c>
      <c r="K8" s="35">
        <f t="shared" si="0"/>
        <v>148</v>
      </c>
    </row>
    <row r="9" ht="15" customHeight="1">
      <c r="A9" s="20" t="s">
        <v>34</v>
      </c>
      <c r="B9" s="23">
        <f>XLOOKUP(A9,Inputs!$A$48:$A$55,Inputs!$B$48:$B$55)</f>
      </c>
      <c r="C9" s="34">
        <f>Inputs!B$6*B9</f>
        <v>14800</v>
      </c>
      <c r="D9" s="34">
        <f>Inputs!C$6*B9</f>
        <v>14800</v>
      </c>
      <c r="E9" s="34">
        <f>Inputs!D$6*B9</f>
        <v>14800</v>
      </c>
      <c r="F9" s="34">
        <f>Inputs!E$6*B9</f>
        <v>14800</v>
      </c>
      <c r="G9" s="34">
        <f>Inputs!F$6*B9</f>
        <v>14800</v>
      </c>
      <c r="H9" s="34">
        <f>Inputs!G$6*B9</f>
        <v>14800</v>
      </c>
      <c r="I9" s="34">
        <f>Inputs!H$6*B9</f>
        <v>14800</v>
      </c>
      <c r="J9" s="34">
        <f>Inputs!I$6*B9</f>
        <v>14800</v>
      </c>
      <c r="K9" s="35">
        <f t="shared" si="0"/>
        <v>118400</v>
      </c>
    </row>
    <row r="10" ht="15" customHeight="1">
      <c r="A10" s="20" t="s">
        <v>35</v>
      </c>
      <c r="B10" s="23">
        <f>XLOOKUP(A10,Inputs!$A$48:$A$55,Inputs!$B$48:$B$55)</f>
      </c>
      <c r="C10" s="34">
        <f>Inputs!B$6*B10</f>
        <v>555</v>
      </c>
      <c r="D10" s="34">
        <f>Inputs!C$6*B10</f>
        <v>555</v>
      </c>
      <c r="E10" s="34">
        <f>Inputs!D$6*B10</f>
        <v>555</v>
      </c>
      <c r="F10" s="34">
        <f>Inputs!E$6*B10</f>
        <v>555</v>
      </c>
      <c r="G10" s="34">
        <f>Inputs!F$6*B10</f>
        <v>555</v>
      </c>
      <c r="H10" s="34">
        <f>Inputs!G$6*B10</f>
        <v>555</v>
      </c>
      <c r="I10" s="34">
        <f>Inputs!H$6*B10</f>
        <v>555</v>
      </c>
      <c r="J10" s="34">
        <f>Inputs!I$6*B10</f>
        <v>555</v>
      </c>
      <c r="K10" s="35">
        <f t="shared" si="0"/>
        <v>4440</v>
      </c>
    </row>
    <row r="11" ht="15" customHeight="1">
      <c r="A11" s="20" t="s">
        <v>36</v>
      </c>
      <c r="B11" s="23">
        <f>XLOOKUP(A11,Inputs!$A$48:$A$55,Inputs!$B$48:$B$55)</f>
      </c>
      <c r="C11" s="34">
        <f>Inputs!B$6*B11</f>
        <v>1110</v>
      </c>
      <c r="D11" s="34">
        <f>Inputs!C$6*B11</f>
        <v>1110</v>
      </c>
      <c r="E11" s="34">
        <f>Inputs!D$6*B11</f>
        <v>1110</v>
      </c>
      <c r="F11" s="34">
        <f>Inputs!E$6*B11</f>
        <v>1110</v>
      </c>
      <c r="G11" s="34">
        <f>Inputs!F$6*B11</f>
        <v>1110</v>
      </c>
      <c r="H11" s="34">
        <f>Inputs!G$6*B11</f>
        <v>1110</v>
      </c>
      <c r="I11" s="34">
        <f>Inputs!H$6*B11</f>
        <v>1110</v>
      </c>
      <c r="J11" s="34">
        <f>Inputs!I$6*B11</f>
        <v>1110</v>
      </c>
      <c r="K11" s="35">
        <f t="shared" si="0"/>
        <v>8880</v>
      </c>
    </row>
    <row r="12" ht="15" customHeight="1">
      <c r="A12" s="20" t="s">
        <v>37</v>
      </c>
      <c r="B12" s="23">
        <f>XLOOKUP(A12,Inputs!$A$48:$A$55,Inputs!$B$48:$B$55)</f>
      </c>
      <c r="C12" s="34">
        <f>Inputs!B$6*B12</f>
        <v>3700</v>
      </c>
      <c r="D12" s="34">
        <f>Inputs!C$6*B12</f>
        <v>3700</v>
      </c>
      <c r="E12" s="34">
        <f>Inputs!D$6*B12</f>
        <v>3700</v>
      </c>
      <c r="F12" s="34">
        <f>Inputs!E$6*B12</f>
        <v>3700</v>
      </c>
      <c r="G12" s="34">
        <f>Inputs!F$6*B12</f>
        <v>3700</v>
      </c>
      <c r="H12" s="34">
        <f>Inputs!G$6*B12</f>
        <v>3700</v>
      </c>
      <c r="I12" s="34">
        <f>Inputs!H$6*B12</f>
        <v>3700</v>
      </c>
      <c r="J12" s="34">
        <f>Inputs!I$6*B12</f>
        <v>3700</v>
      </c>
      <c r="K12" s="35">
        <f t="shared" si="0"/>
        <v>29600</v>
      </c>
    </row>
    <row r="13" ht="15" customHeight="1">
      <c r="A13" s="20" t="s">
        <v>38</v>
      </c>
      <c r="B13" s="23">
        <f>XLOOKUP(A13,Inputs!$A$48:$A$55,Inputs!$B$48:$B$55)</f>
      </c>
      <c r="C13" s="34">
        <f>Inputs!B$6*B13</f>
        <v>1387.5</v>
      </c>
      <c r="D13" s="34">
        <f>Inputs!C$6*B13</f>
        <v>1387.5</v>
      </c>
      <c r="E13" s="34">
        <f>Inputs!D$6*B13</f>
        <v>1387.5</v>
      </c>
      <c r="F13" s="34">
        <f>Inputs!E$6*B13</f>
        <v>1387.5</v>
      </c>
      <c r="G13" s="34">
        <f>Inputs!F$6*B13</f>
        <v>1387.5</v>
      </c>
      <c r="H13" s="34">
        <f>Inputs!G$6*B13</f>
        <v>1387.5</v>
      </c>
      <c r="I13" s="34">
        <f>Inputs!H$6*B13</f>
        <v>1387.5</v>
      </c>
      <c r="J13" s="34">
        <f>Inputs!I$6*B13</f>
        <v>1387.5</v>
      </c>
      <c r="K13" s="35">
        <f t="shared" si="0"/>
        <v>11100</v>
      </c>
    </row>
    <row r="14">
      <c r="A14" s="26" t="s">
        <v>121</v>
      </c>
      <c r="B14" s="26"/>
      <c r="C14" s="36">
        <f>Inputs!B6</f>
        <v>1850</v>
      </c>
      <c r="D14" s="36">
        <f>Inputs!C6</f>
        <v>1850</v>
      </c>
      <c r="E14" s="36">
        <f>Inputs!D6</f>
        <v>1850</v>
      </c>
      <c r="F14" s="36">
        <f>Inputs!E6</f>
        <v>1850</v>
      </c>
      <c r="G14" s="36">
        <f>Inputs!F6</f>
        <v>1850</v>
      </c>
      <c r="H14" s="36">
        <f>Inputs!G6</f>
        <v>1850</v>
      </c>
      <c r="I14" s="36">
        <f>Inputs!H6</f>
        <v>1850</v>
      </c>
      <c r="J14" s="36">
        <f>Inputs!I6</f>
        <v>1850</v>
      </c>
      <c r="K14" s="36">
        <f>Inputs!J6</f>
        <v>14800</v>
      </c>
    </row>
    <row r="15" ht="15" customHeight="1"/>
    <row r="16">
      <c r="A16" s="0" t="s">
        <v>122</v>
      </c>
    </row>
    <row r="17">
      <c r="A17" s="33" t="s">
        <v>21</v>
      </c>
      <c r="B17" s="33" t="s">
        <v>120</v>
      </c>
      <c r="C17" s="33" t="s">
        <v>4</v>
      </c>
      <c r="D17" s="33" t="s">
        <v>5</v>
      </c>
      <c r="E17" s="33" t="s">
        <v>6</v>
      </c>
      <c r="F17" s="33" t="s">
        <v>7</v>
      </c>
      <c r="G17" s="33" t="s">
        <v>8</v>
      </c>
      <c r="H17" s="33" t="s">
        <v>9</v>
      </c>
      <c r="I17" s="33" t="s">
        <v>10</v>
      </c>
      <c r="J17" s="33" t="s">
        <v>11</v>
      </c>
      <c r="K17" s="33" t="s">
        <v>12</v>
      </c>
    </row>
    <row r="18">
      <c r="A18" s="20" t="s">
        <v>29</v>
      </c>
      <c r="B18" s="23">
        <v>1</v>
      </c>
      <c r="C18" s="34">
        <f>Inputs!B$6*B18</f>
        <v>1850</v>
      </c>
      <c r="D18" s="34">
        <f>Inputs!C$6*B18</f>
        <v>1850</v>
      </c>
      <c r="E18" s="34">
        <f>Inputs!D$6*B18</f>
        <v>1850</v>
      </c>
      <c r="F18" s="34">
        <f>Inputs!E$6*B18</f>
        <v>1850</v>
      </c>
      <c r="G18" s="34">
        <f>Inputs!F$6*B18</f>
        <v>1850</v>
      </c>
      <c r="H18" s="34">
        <f>Inputs!G$6*B18</f>
        <v>1850</v>
      </c>
      <c r="I18" s="34">
        <f>Inputs!H$6*B18</f>
        <v>1850</v>
      </c>
      <c r="J18" s="34">
        <f>Inputs!I$6*B18</f>
        <v>1850</v>
      </c>
      <c r="K18" s="35">
        <f ref="K18:K25" t="shared" si="1">SUM(C18:J18)</f>
        <v>14800</v>
      </c>
    </row>
    <row r="19">
      <c r="A19" s="20" t="s">
        <v>32</v>
      </c>
      <c r="B19" s="23">
        <v>0.2</v>
      </c>
      <c r="C19" s="34">
        <f>Inputs!B$6*B19</f>
        <v>370</v>
      </c>
      <c r="D19" s="34">
        <f>Inputs!C$6*B19</f>
        <v>370</v>
      </c>
      <c r="E19" s="34">
        <f>Inputs!D$6*B19</f>
        <v>370</v>
      </c>
      <c r="F19" s="34">
        <f>Inputs!E$6*B19</f>
        <v>370</v>
      </c>
      <c r="G19" s="34">
        <f>Inputs!F$6*B19</f>
        <v>370</v>
      </c>
      <c r="H19" s="34">
        <f>Inputs!G$6*B19</f>
        <v>370</v>
      </c>
      <c r="I19" s="34">
        <f>Inputs!H$6*B19</f>
        <v>370</v>
      </c>
      <c r="J19" s="34">
        <f>Inputs!I$6*B19</f>
        <v>370</v>
      </c>
      <c r="K19" s="35">
        <f t="shared" si="1"/>
        <v>2960</v>
      </c>
    </row>
    <row r="20">
      <c r="A20" s="20" t="s">
        <v>33</v>
      </c>
      <c r="B20" s="23">
        <v>0.01</v>
      </c>
      <c r="C20" s="34">
        <f>Inputs!B$6*B20</f>
        <v>18.5</v>
      </c>
      <c r="D20" s="34">
        <f>Inputs!C$6*B20</f>
        <v>18.5</v>
      </c>
      <c r="E20" s="34">
        <f>Inputs!D$6*B20</f>
        <v>18.5</v>
      </c>
      <c r="F20" s="34">
        <f>Inputs!E$6*B20</f>
        <v>18.5</v>
      </c>
      <c r="G20" s="34">
        <f>Inputs!F$6*B20</f>
        <v>18.5</v>
      </c>
      <c r="H20" s="34">
        <f>Inputs!G$6*B20</f>
        <v>18.5</v>
      </c>
      <c r="I20" s="34">
        <f>Inputs!H$6*B20</f>
        <v>18.5</v>
      </c>
      <c r="J20" s="34">
        <f>Inputs!I$6*B20</f>
        <v>18.5</v>
      </c>
      <c r="K20" s="35">
        <f t="shared" si="1"/>
        <v>148</v>
      </c>
    </row>
    <row r="21">
      <c r="A21" s="20" t="s">
        <v>34</v>
      </c>
      <c r="B21" s="23">
        <v>8</v>
      </c>
      <c r="C21" s="34">
        <f>Inputs!B$6*B21</f>
        <v>14800</v>
      </c>
      <c r="D21" s="34">
        <f>Inputs!C$6*B21</f>
        <v>14800</v>
      </c>
      <c r="E21" s="34">
        <f>Inputs!D$6*B21</f>
        <v>14800</v>
      </c>
      <c r="F21" s="34">
        <f>Inputs!E$6*B21</f>
        <v>14800</v>
      </c>
      <c r="G21" s="34">
        <f>Inputs!F$6*B21</f>
        <v>14800</v>
      </c>
      <c r="H21" s="34">
        <f>Inputs!G$6*B21</f>
        <v>14800</v>
      </c>
      <c r="I21" s="34">
        <f>Inputs!H$6*B21</f>
        <v>14800</v>
      </c>
      <c r="J21" s="34">
        <f>Inputs!I$6*B21</f>
        <v>14800</v>
      </c>
      <c r="K21" s="35">
        <f t="shared" si="1"/>
        <v>118400</v>
      </c>
    </row>
    <row r="22">
      <c r="A22" s="20" t="s">
        <v>35</v>
      </c>
      <c r="B22" s="23">
        <v>0.3</v>
      </c>
      <c r="C22" s="34">
        <f>Inputs!B$6*B22</f>
        <v>555</v>
      </c>
      <c r="D22" s="34">
        <f>Inputs!C$6*B22</f>
        <v>555</v>
      </c>
      <c r="E22" s="34">
        <f>Inputs!D$6*B22</f>
        <v>555</v>
      </c>
      <c r="F22" s="34">
        <f>Inputs!E$6*B22</f>
        <v>555</v>
      </c>
      <c r="G22" s="34">
        <f>Inputs!F$6*B22</f>
        <v>555</v>
      </c>
      <c r="H22" s="34">
        <f>Inputs!G$6*B22</f>
        <v>555</v>
      </c>
      <c r="I22" s="34">
        <f>Inputs!H$6*B22</f>
        <v>555</v>
      </c>
      <c r="J22" s="34">
        <f>Inputs!I$6*B22</f>
        <v>555</v>
      </c>
      <c r="K22" s="35">
        <f t="shared" si="1"/>
        <v>4440</v>
      </c>
    </row>
    <row r="23">
      <c r="A23" s="20" t="s">
        <v>36</v>
      </c>
      <c r="B23" s="23">
        <v>0.6</v>
      </c>
      <c r="C23" s="34">
        <f>Inputs!B$6*B23</f>
        <v>1110</v>
      </c>
      <c r="D23" s="34">
        <f>Inputs!C$6*B23</f>
        <v>1110</v>
      </c>
      <c r="E23" s="34">
        <f>Inputs!D$6*B23</f>
        <v>1110</v>
      </c>
      <c r="F23" s="34">
        <f>Inputs!E$6*B23</f>
        <v>1110</v>
      </c>
      <c r="G23" s="34">
        <f>Inputs!F$6*B23</f>
        <v>1110</v>
      </c>
      <c r="H23" s="34">
        <f>Inputs!G$6*B23</f>
        <v>1110</v>
      </c>
      <c r="I23" s="34">
        <f>Inputs!H$6*B23</f>
        <v>1110</v>
      </c>
      <c r="J23" s="34">
        <f>Inputs!I$6*B23</f>
        <v>1110</v>
      </c>
      <c r="K23" s="35">
        <f t="shared" si="1"/>
        <v>8880</v>
      </c>
    </row>
    <row r="24">
      <c r="A24" s="20" t="s">
        <v>37</v>
      </c>
      <c r="B24" s="23">
        <v>2</v>
      </c>
      <c r="C24" s="34">
        <f>Inputs!B$6*B24</f>
        <v>3700</v>
      </c>
      <c r="D24" s="34">
        <f>Inputs!C$6*B24</f>
        <v>3700</v>
      </c>
      <c r="E24" s="34">
        <f>Inputs!D$6*B24</f>
        <v>3700</v>
      </c>
      <c r="F24" s="34">
        <f>Inputs!E$6*B24</f>
        <v>3700</v>
      </c>
      <c r="G24" s="34">
        <f>Inputs!F$6*B24</f>
        <v>3700</v>
      </c>
      <c r="H24" s="34">
        <f>Inputs!G$6*B24</f>
        <v>3700</v>
      </c>
      <c r="I24" s="34">
        <f>Inputs!H$6*B24</f>
        <v>3700</v>
      </c>
      <c r="J24" s="34">
        <f>Inputs!I$6*B24</f>
        <v>3700</v>
      </c>
      <c r="K24" s="35">
        <f t="shared" si="1"/>
        <v>29600</v>
      </c>
    </row>
    <row r="25">
      <c r="A25" s="20" t="s">
        <v>38</v>
      </c>
      <c r="B25" s="23">
        <v>0.75</v>
      </c>
      <c r="C25" s="34">
        <f>Inputs!B$6*B25</f>
        <v>1387.5</v>
      </c>
      <c r="D25" s="34">
        <f>Inputs!C$6*B25</f>
        <v>1387.5</v>
      </c>
      <c r="E25" s="34">
        <f>Inputs!D$6*B25</f>
        <v>1387.5</v>
      </c>
      <c r="F25" s="34">
        <f>Inputs!E$6*B25</f>
        <v>1387.5</v>
      </c>
      <c r="G25" s="34">
        <f>Inputs!F$6*B25</f>
        <v>1387.5</v>
      </c>
      <c r="H25" s="34">
        <f>Inputs!G$6*B25</f>
        <v>1387.5</v>
      </c>
      <c r="I25" s="34">
        <f>Inputs!H$6*B25</f>
        <v>1387.5</v>
      </c>
      <c r="J25" s="34">
        <f>Inputs!I$6*B25</f>
        <v>1387.5</v>
      </c>
      <c r="K25" s="35">
        <f t="shared" si="1"/>
        <v>11100</v>
      </c>
    </row>
    <row r="26">
      <c r="A26" s="26" t="s">
        <v>121</v>
      </c>
      <c r="B26" s="26"/>
      <c r="C26" s="36">
        <f>Inputs!B7</f>
        <v>1850</v>
      </c>
      <c r="D26" s="36">
        <f>Inputs!C7</f>
        <v>1850</v>
      </c>
      <c r="E26" s="36">
        <f>Inputs!D7</f>
        <v>1850</v>
      </c>
      <c r="F26" s="36">
        <f>Inputs!E7</f>
        <v>1850</v>
      </c>
      <c r="G26" s="36">
        <f>Inputs!F7</f>
        <v>1850</v>
      </c>
      <c r="H26" s="36">
        <f>Inputs!G7</f>
        <v>1850</v>
      </c>
      <c r="I26" s="36">
        <f>Inputs!H7</f>
        <v>1850</v>
      </c>
      <c r="J26" s="36">
        <f>Inputs!I7</f>
        <v>1850</v>
      </c>
      <c r="K26" s="36">
        <f>Inputs!J7</f>
        <v>14800</v>
      </c>
    </row>
    <row r="28">
      <c r="A28" s="0" t="s">
        <v>123</v>
      </c>
    </row>
    <row r="29">
      <c r="A29" s="33" t="s">
        <v>21</v>
      </c>
      <c r="B29" s="33" t="s">
        <v>120</v>
      </c>
      <c r="C29" s="33" t="s">
        <v>4</v>
      </c>
      <c r="D29" s="33" t="s">
        <v>5</v>
      </c>
      <c r="E29" s="33" t="s">
        <v>6</v>
      </c>
      <c r="F29" s="33" t="s">
        <v>7</v>
      </c>
      <c r="G29" s="33" t="s">
        <v>8</v>
      </c>
      <c r="H29" s="33" t="s">
        <v>9</v>
      </c>
      <c r="I29" s="33" t="s">
        <v>10</v>
      </c>
      <c r="J29" s="33" t="s">
        <v>11</v>
      </c>
      <c r="K29" s="33" t="s">
        <v>12</v>
      </c>
    </row>
    <row r="30">
      <c r="A30" s="20" t="s">
        <v>29</v>
      </c>
      <c r="B30" s="23">
        <v>1</v>
      </c>
      <c r="C30" s="34">
        <f>Inputs!B$6*B30</f>
        <v>1850</v>
      </c>
      <c r="D30" s="34">
        <f>Inputs!C$6*B30</f>
        <v>1850</v>
      </c>
      <c r="E30" s="34">
        <f>Inputs!D$6*B30</f>
        <v>1850</v>
      </c>
      <c r="F30" s="34">
        <f>Inputs!E$6*B30</f>
        <v>1850</v>
      </c>
      <c r="G30" s="34">
        <f>Inputs!F$6*B30</f>
        <v>1850</v>
      </c>
      <c r="H30" s="34">
        <f>Inputs!G$6*B30</f>
        <v>1850</v>
      </c>
      <c r="I30" s="34">
        <f>Inputs!H$6*B30</f>
        <v>1850</v>
      </c>
      <c r="J30" s="34">
        <f>Inputs!I$6*B30</f>
        <v>1850</v>
      </c>
      <c r="K30" s="35">
        <f ref="K30:K37" t="shared" si="2">SUM(C30:J30)</f>
        <v>14800</v>
      </c>
    </row>
    <row r="31">
      <c r="A31" s="20" t="s">
        <v>32</v>
      </c>
      <c r="B31" s="23">
        <v>0.2</v>
      </c>
      <c r="C31" s="34">
        <f>Inputs!B$6*B31</f>
        <v>370</v>
      </c>
      <c r="D31" s="34">
        <f>Inputs!C$6*B31</f>
        <v>370</v>
      </c>
      <c r="E31" s="34">
        <f>Inputs!D$6*B31</f>
        <v>370</v>
      </c>
      <c r="F31" s="34">
        <f>Inputs!E$6*B31</f>
        <v>370</v>
      </c>
      <c r="G31" s="34">
        <f>Inputs!F$6*B31</f>
        <v>370</v>
      </c>
      <c r="H31" s="34">
        <f>Inputs!G$6*B31</f>
        <v>370</v>
      </c>
      <c r="I31" s="34">
        <f>Inputs!H$6*B31</f>
        <v>370</v>
      </c>
      <c r="J31" s="34">
        <f>Inputs!I$6*B31</f>
        <v>370</v>
      </c>
      <c r="K31" s="35">
        <f t="shared" si="2"/>
        <v>2960</v>
      </c>
    </row>
    <row r="32">
      <c r="A32" s="20" t="s">
        <v>33</v>
      </c>
      <c r="B32" s="23">
        <v>0.01</v>
      </c>
      <c r="C32" s="34">
        <f>Inputs!B$6*B32</f>
        <v>18.5</v>
      </c>
      <c r="D32" s="34">
        <f>Inputs!C$6*B32</f>
        <v>18.5</v>
      </c>
      <c r="E32" s="34">
        <f>Inputs!D$6*B32</f>
        <v>18.5</v>
      </c>
      <c r="F32" s="34">
        <f>Inputs!E$6*B32</f>
        <v>18.5</v>
      </c>
      <c r="G32" s="34">
        <f>Inputs!F$6*B32</f>
        <v>18.5</v>
      </c>
      <c r="H32" s="34">
        <f>Inputs!G$6*B32</f>
        <v>18.5</v>
      </c>
      <c r="I32" s="34">
        <f>Inputs!H$6*B32</f>
        <v>18.5</v>
      </c>
      <c r="J32" s="34">
        <f>Inputs!I$6*B32</f>
        <v>18.5</v>
      </c>
      <c r="K32" s="35">
        <f t="shared" si="2"/>
        <v>148</v>
      </c>
    </row>
    <row r="33">
      <c r="A33" s="20" t="s">
        <v>34</v>
      </c>
      <c r="B33" s="23">
        <v>8</v>
      </c>
      <c r="C33" s="34">
        <f>Inputs!B$6*B33</f>
        <v>14800</v>
      </c>
      <c r="D33" s="34">
        <f>Inputs!C$6*B33</f>
        <v>14800</v>
      </c>
      <c r="E33" s="34">
        <f>Inputs!D$6*B33</f>
        <v>14800</v>
      </c>
      <c r="F33" s="34">
        <f>Inputs!E$6*B33</f>
        <v>14800</v>
      </c>
      <c r="G33" s="34">
        <f>Inputs!F$6*B33</f>
        <v>14800</v>
      </c>
      <c r="H33" s="34">
        <f>Inputs!G$6*B33</f>
        <v>14800</v>
      </c>
      <c r="I33" s="34">
        <f>Inputs!H$6*B33</f>
        <v>14800</v>
      </c>
      <c r="J33" s="34">
        <f>Inputs!I$6*B33</f>
        <v>14800</v>
      </c>
      <c r="K33" s="35">
        <f t="shared" si="2"/>
        <v>118400</v>
      </c>
    </row>
    <row r="34">
      <c r="A34" s="20" t="s">
        <v>35</v>
      </c>
      <c r="B34" s="23">
        <v>0.3</v>
      </c>
      <c r="C34" s="34">
        <f>Inputs!B$6*B34</f>
        <v>555</v>
      </c>
      <c r="D34" s="34">
        <f>Inputs!C$6*B34</f>
        <v>555</v>
      </c>
      <c r="E34" s="34">
        <f>Inputs!D$6*B34</f>
        <v>555</v>
      </c>
      <c r="F34" s="34">
        <f>Inputs!E$6*B34</f>
        <v>555</v>
      </c>
      <c r="G34" s="34">
        <f>Inputs!F$6*B34</f>
        <v>555</v>
      </c>
      <c r="H34" s="34">
        <f>Inputs!G$6*B34</f>
        <v>555</v>
      </c>
      <c r="I34" s="34">
        <f>Inputs!H$6*B34</f>
        <v>555</v>
      </c>
      <c r="J34" s="34">
        <f>Inputs!I$6*B34</f>
        <v>555</v>
      </c>
      <c r="K34" s="35">
        <f t="shared" si="2"/>
        <v>4440</v>
      </c>
    </row>
    <row r="35">
      <c r="A35" s="20" t="s">
        <v>36</v>
      </c>
      <c r="B35" s="23">
        <v>0.6</v>
      </c>
      <c r="C35" s="34">
        <f>Inputs!B$6*B35</f>
        <v>1110</v>
      </c>
      <c r="D35" s="34">
        <f>Inputs!C$6*B35</f>
        <v>1110</v>
      </c>
      <c r="E35" s="34">
        <f>Inputs!D$6*B35</f>
        <v>1110</v>
      </c>
      <c r="F35" s="34">
        <f>Inputs!E$6*B35</f>
        <v>1110</v>
      </c>
      <c r="G35" s="34">
        <f>Inputs!F$6*B35</f>
        <v>1110</v>
      </c>
      <c r="H35" s="34">
        <f>Inputs!G$6*B35</f>
        <v>1110</v>
      </c>
      <c r="I35" s="34">
        <f>Inputs!H$6*B35</f>
        <v>1110</v>
      </c>
      <c r="J35" s="34">
        <f>Inputs!I$6*B35</f>
        <v>1110</v>
      </c>
      <c r="K35" s="35">
        <f t="shared" si="2"/>
        <v>8880</v>
      </c>
    </row>
    <row r="36">
      <c r="A36" s="20" t="s">
        <v>37</v>
      </c>
      <c r="B36" s="23">
        <v>2</v>
      </c>
      <c r="C36" s="34">
        <f>Inputs!B$6*B36</f>
        <v>3700</v>
      </c>
      <c r="D36" s="34">
        <f>Inputs!C$6*B36</f>
        <v>3700</v>
      </c>
      <c r="E36" s="34">
        <f>Inputs!D$6*B36</f>
        <v>3700</v>
      </c>
      <c r="F36" s="34">
        <f>Inputs!E$6*B36</f>
        <v>3700</v>
      </c>
      <c r="G36" s="34">
        <f>Inputs!F$6*B36</f>
        <v>3700</v>
      </c>
      <c r="H36" s="34">
        <f>Inputs!G$6*B36</f>
        <v>3700</v>
      </c>
      <c r="I36" s="34">
        <f>Inputs!H$6*B36</f>
        <v>3700</v>
      </c>
      <c r="J36" s="34">
        <f>Inputs!I$6*B36</f>
        <v>3700</v>
      </c>
      <c r="K36" s="35">
        <f t="shared" si="2"/>
        <v>29600</v>
      </c>
    </row>
    <row r="37">
      <c r="A37" s="20" t="s">
        <v>38</v>
      </c>
      <c r="B37" s="23">
        <v>0.75</v>
      </c>
      <c r="C37" s="34">
        <f>Inputs!B$6*B37</f>
        <v>1387.5</v>
      </c>
      <c r="D37" s="34">
        <f>Inputs!C$6*B37</f>
        <v>1387.5</v>
      </c>
      <c r="E37" s="34">
        <f>Inputs!D$6*B37</f>
        <v>1387.5</v>
      </c>
      <c r="F37" s="34">
        <f>Inputs!E$6*B37</f>
        <v>1387.5</v>
      </c>
      <c r="G37" s="34">
        <f>Inputs!F$6*B37</f>
        <v>1387.5</v>
      </c>
      <c r="H37" s="34">
        <f>Inputs!G$6*B37</f>
        <v>1387.5</v>
      </c>
      <c r="I37" s="34">
        <f>Inputs!H$6*B37</f>
        <v>1387.5</v>
      </c>
      <c r="J37" s="34">
        <f>Inputs!I$6*B37</f>
        <v>1387.5</v>
      </c>
      <c r="K37" s="35">
        <f t="shared" si="2"/>
        <v>11100</v>
      </c>
    </row>
    <row r="38">
      <c r="A38" s="26" t="s">
        <v>121</v>
      </c>
      <c r="B38" s="26"/>
      <c r="C38" s="36">
        <f>Inputs!B8</f>
        <v>0</v>
      </c>
      <c r="D38" s="36">
        <f>Inputs!C8</f>
        <v>0</v>
      </c>
      <c r="E38" s="36">
        <f>Inputs!D8</f>
        <v>0</v>
      </c>
      <c r="F38" s="36">
        <f>Inputs!E8</f>
        <v>0</v>
      </c>
      <c r="G38" s="36">
        <f>Inputs!F8</f>
        <v>0</v>
      </c>
      <c r="H38" s="36">
        <f>Inputs!G8</f>
        <v>0</v>
      </c>
      <c r="I38" s="36">
        <f>Inputs!H8</f>
        <v>0</v>
      </c>
      <c r="J38" s="36">
        <f>Inputs!I8</f>
        <v>0</v>
      </c>
      <c r="K38" s="36">
        <f>Inputs!J8</f>
        <v>0</v>
      </c>
    </row>
    <row r="40">
      <c r="A40" s="0" t="s">
        <v>124</v>
      </c>
    </row>
    <row r="41">
      <c r="A41" s="33" t="s">
        <v>21</v>
      </c>
      <c r="B41" s="33" t="s">
        <v>120</v>
      </c>
      <c r="C41" s="33" t="s">
        <v>4</v>
      </c>
      <c r="D41" s="33" t="s">
        <v>5</v>
      </c>
      <c r="E41" s="33" t="s">
        <v>6</v>
      </c>
      <c r="F41" s="33" t="s">
        <v>7</v>
      </c>
      <c r="G41" s="33" t="s">
        <v>8</v>
      </c>
      <c r="H41" s="33" t="s">
        <v>9</v>
      </c>
      <c r="I41" s="33" t="s">
        <v>10</v>
      </c>
      <c r="J41" s="33" t="s">
        <v>11</v>
      </c>
      <c r="K41" s="33" t="s">
        <v>12</v>
      </c>
    </row>
    <row r="42">
      <c r="A42" s="20" t="s">
        <v>29</v>
      </c>
      <c r="B42" s="23">
        <v>1</v>
      </c>
      <c r="C42" s="34">
        <f>Inputs!B$6*B42</f>
        <v>1850</v>
      </c>
      <c r="D42" s="34">
        <f>Inputs!C$6*B42</f>
        <v>1850</v>
      </c>
      <c r="E42" s="34">
        <f>Inputs!D$6*B42</f>
        <v>1850</v>
      </c>
      <c r="F42" s="34">
        <f>Inputs!E$6*B42</f>
        <v>1850</v>
      </c>
      <c r="G42" s="34">
        <f>Inputs!F$6*B42</f>
        <v>1850</v>
      </c>
      <c r="H42" s="34">
        <f>Inputs!G$6*B42</f>
        <v>1850</v>
      </c>
      <c r="I42" s="34">
        <f>Inputs!H$6*B42</f>
        <v>1850</v>
      </c>
      <c r="J42" s="34">
        <f>Inputs!I$6*B42</f>
        <v>1850</v>
      </c>
      <c r="K42" s="35">
        <f ref="K42:K49" t="shared" si="3">SUM(C42:J42)</f>
        <v>14800</v>
      </c>
    </row>
    <row r="43">
      <c r="A43" s="20" t="s">
        <v>32</v>
      </c>
      <c r="B43" s="23">
        <v>0.2</v>
      </c>
      <c r="C43" s="34">
        <f>Inputs!B$6*B43</f>
        <v>370</v>
      </c>
      <c r="D43" s="34">
        <f>Inputs!C$6*B43</f>
        <v>370</v>
      </c>
      <c r="E43" s="34">
        <f>Inputs!D$6*B43</f>
        <v>370</v>
      </c>
      <c r="F43" s="34">
        <f>Inputs!E$6*B43</f>
        <v>370</v>
      </c>
      <c r="G43" s="34">
        <f>Inputs!F$6*B43</f>
        <v>370</v>
      </c>
      <c r="H43" s="34">
        <f>Inputs!G$6*B43</f>
        <v>370</v>
      </c>
      <c r="I43" s="34">
        <f>Inputs!H$6*B43</f>
        <v>370</v>
      </c>
      <c r="J43" s="34">
        <f>Inputs!I$6*B43</f>
        <v>370</v>
      </c>
      <c r="K43" s="35">
        <f t="shared" si="3"/>
        <v>2960</v>
      </c>
    </row>
    <row r="44">
      <c r="A44" s="20" t="s">
        <v>33</v>
      </c>
      <c r="B44" s="23">
        <v>0.01</v>
      </c>
      <c r="C44" s="34">
        <f>Inputs!B$6*B44</f>
        <v>18.5</v>
      </c>
      <c r="D44" s="34">
        <f>Inputs!C$6*B44</f>
        <v>18.5</v>
      </c>
      <c r="E44" s="34">
        <f>Inputs!D$6*B44</f>
        <v>18.5</v>
      </c>
      <c r="F44" s="34">
        <f>Inputs!E$6*B44</f>
        <v>18.5</v>
      </c>
      <c r="G44" s="34">
        <f>Inputs!F$6*B44</f>
        <v>18.5</v>
      </c>
      <c r="H44" s="34">
        <f>Inputs!G$6*B44</f>
        <v>18.5</v>
      </c>
      <c r="I44" s="34">
        <f>Inputs!H$6*B44</f>
        <v>18.5</v>
      </c>
      <c r="J44" s="34">
        <f>Inputs!I$6*B44</f>
        <v>18.5</v>
      </c>
      <c r="K44" s="35">
        <f t="shared" si="3"/>
        <v>148</v>
      </c>
    </row>
    <row r="45">
      <c r="A45" s="20" t="s">
        <v>34</v>
      </c>
      <c r="B45" s="23">
        <v>8</v>
      </c>
      <c r="C45" s="34">
        <f>Inputs!B$6*B45</f>
        <v>14800</v>
      </c>
      <c r="D45" s="34">
        <f>Inputs!C$6*B45</f>
        <v>14800</v>
      </c>
      <c r="E45" s="34">
        <f>Inputs!D$6*B45</f>
        <v>14800</v>
      </c>
      <c r="F45" s="34">
        <f>Inputs!E$6*B45</f>
        <v>14800</v>
      </c>
      <c r="G45" s="34">
        <f>Inputs!F$6*B45</f>
        <v>14800</v>
      </c>
      <c r="H45" s="34">
        <f>Inputs!G$6*B45</f>
        <v>14800</v>
      </c>
      <c r="I45" s="34">
        <f>Inputs!H$6*B45</f>
        <v>14800</v>
      </c>
      <c r="J45" s="34">
        <f>Inputs!I$6*B45</f>
        <v>14800</v>
      </c>
      <c r="K45" s="35">
        <f t="shared" si="3"/>
        <v>118400</v>
      </c>
    </row>
    <row r="46">
      <c r="A46" s="20" t="s">
        <v>35</v>
      </c>
      <c r="B46" s="23">
        <v>0.3</v>
      </c>
      <c r="C46" s="34">
        <f>Inputs!B$6*B46</f>
        <v>555</v>
      </c>
      <c r="D46" s="34">
        <f>Inputs!C$6*B46</f>
        <v>555</v>
      </c>
      <c r="E46" s="34">
        <f>Inputs!D$6*B46</f>
        <v>555</v>
      </c>
      <c r="F46" s="34">
        <f>Inputs!E$6*B46</f>
        <v>555</v>
      </c>
      <c r="G46" s="34">
        <f>Inputs!F$6*B46</f>
        <v>555</v>
      </c>
      <c r="H46" s="34">
        <f>Inputs!G$6*B46</f>
        <v>555</v>
      </c>
      <c r="I46" s="34">
        <f>Inputs!H$6*B46</f>
        <v>555</v>
      </c>
      <c r="J46" s="34">
        <f>Inputs!I$6*B46</f>
        <v>555</v>
      </c>
      <c r="K46" s="35">
        <f t="shared" si="3"/>
        <v>4440</v>
      </c>
    </row>
    <row r="47">
      <c r="A47" s="20" t="s">
        <v>36</v>
      </c>
      <c r="B47" s="23">
        <v>0.6</v>
      </c>
      <c r="C47" s="34">
        <f>Inputs!B$6*B47</f>
        <v>1110</v>
      </c>
      <c r="D47" s="34">
        <f>Inputs!C$6*B47</f>
        <v>1110</v>
      </c>
      <c r="E47" s="34">
        <f>Inputs!D$6*B47</f>
        <v>1110</v>
      </c>
      <c r="F47" s="34">
        <f>Inputs!E$6*B47</f>
        <v>1110</v>
      </c>
      <c r="G47" s="34">
        <f>Inputs!F$6*B47</f>
        <v>1110</v>
      </c>
      <c r="H47" s="34">
        <f>Inputs!G$6*B47</f>
        <v>1110</v>
      </c>
      <c r="I47" s="34">
        <f>Inputs!H$6*B47</f>
        <v>1110</v>
      </c>
      <c r="J47" s="34">
        <f>Inputs!I$6*B47</f>
        <v>1110</v>
      </c>
      <c r="K47" s="35">
        <f t="shared" si="3"/>
        <v>8880</v>
      </c>
    </row>
    <row r="48">
      <c r="A48" s="20" t="s">
        <v>37</v>
      </c>
      <c r="B48" s="23">
        <v>2</v>
      </c>
      <c r="C48" s="34">
        <f>Inputs!B$6*B48</f>
        <v>3700</v>
      </c>
      <c r="D48" s="34">
        <f>Inputs!C$6*B48</f>
        <v>3700</v>
      </c>
      <c r="E48" s="34">
        <f>Inputs!D$6*B48</f>
        <v>3700</v>
      </c>
      <c r="F48" s="34">
        <f>Inputs!E$6*B48</f>
        <v>3700</v>
      </c>
      <c r="G48" s="34">
        <f>Inputs!F$6*B48</f>
        <v>3700</v>
      </c>
      <c r="H48" s="34">
        <f>Inputs!G$6*B48</f>
        <v>3700</v>
      </c>
      <c r="I48" s="34">
        <f>Inputs!H$6*B48</f>
        <v>3700</v>
      </c>
      <c r="J48" s="34">
        <f>Inputs!I$6*B48</f>
        <v>3700</v>
      </c>
      <c r="K48" s="35">
        <f t="shared" si="3"/>
        <v>29600</v>
      </c>
    </row>
    <row r="49">
      <c r="A49" s="20" t="s">
        <v>38</v>
      </c>
      <c r="B49" s="23">
        <v>0.75</v>
      </c>
      <c r="C49" s="34">
        <f>Inputs!B$6*B49</f>
        <v>1387.5</v>
      </c>
      <c r="D49" s="34">
        <f>Inputs!C$6*B49</f>
        <v>1387.5</v>
      </c>
      <c r="E49" s="34">
        <f>Inputs!D$6*B49</f>
        <v>1387.5</v>
      </c>
      <c r="F49" s="34">
        <f>Inputs!E$6*B49</f>
        <v>1387.5</v>
      </c>
      <c r="G49" s="34">
        <f>Inputs!F$6*B49</f>
        <v>1387.5</v>
      </c>
      <c r="H49" s="34">
        <f>Inputs!G$6*B49</f>
        <v>1387.5</v>
      </c>
      <c r="I49" s="34">
        <f>Inputs!H$6*B49</f>
        <v>1387.5</v>
      </c>
      <c r="J49" s="34">
        <f>Inputs!I$6*B49</f>
        <v>1387.5</v>
      </c>
      <c r="K49" s="35">
        <f t="shared" si="3"/>
        <v>11100</v>
      </c>
    </row>
    <row r="50">
      <c r="A50" s="26" t="s">
        <v>121</v>
      </c>
      <c r="B50" s="26"/>
      <c r="C50" s="36">
        <f>Inputs!B9</f>
        <v>0</v>
      </c>
      <c r="D50" s="36">
        <f>Inputs!C9</f>
        <v>0</v>
      </c>
      <c r="E50" s="36">
        <f>Inputs!D9</f>
        <v>0</v>
      </c>
      <c r="F50" s="36">
        <f>Inputs!E9</f>
        <v>0</v>
      </c>
      <c r="G50" s="36">
        <f>Inputs!F9</f>
        <v>0</v>
      </c>
      <c r="H50" s="36">
        <f>Inputs!G9</f>
        <v>0</v>
      </c>
      <c r="I50" s="36">
        <f>Inputs!H9</f>
        <v>0</v>
      </c>
      <c r="J50" s="36">
        <f>Inputs!I9</f>
        <v>0</v>
      </c>
      <c r="K50" s="36">
        <f>Inputs!J9</f>
        <v>0</v>
      </c>
    </row>
    <row r="52">
      <c r="A52" s="0" t="s">
        <v>125</v>
      </c>
    </row>
    <row r="53">
      <c r="A53" s="33" t="s">
        <v>21</v>
      </c>
      <c r="B53" s="33" t="s">
        <v>120</v>
      </c>
      <c r="C53" s="33" t="s">
        <v>4</v>
      </c>
      <c r="D53" s="33" t="s">
        <v>5</v>
      </c>
      <c r="E53" s="33" t="s">
        <v>6</v>
      </c>
      <c r="F53" s="33" t="s">
        <v>7</v>
      </c>
      <c r="G53" s="33" t="s">
        <v>8</v>
      </c>
      <c r="H53" s="33" t="s">
        <v>9</v>
      </c>
      <c r="I53" s="33" t="s">
        <v>10</v>
      </c>
      <c r="J53" s="33" t="s">
        <v>11</v>
      </c>
      <c r="K53" s="33" t="s">
        <v>12</v>
      </c>
    </row>
    <row r="54">
      <c r="A54" s="20" t="s">
        <v>29</v>
      </c>
      <c r="B54" s="23">
        <v>1</v>
      </c>
      <c r="C54" s="34">
        <f>Inputs!B$6*B54</f>
        <v>1850</v>
      </c>
      <c r="D54" s="34">
        <f>Inputs!C$6*B54</f>
        <v>1850</v>
      </c>
      <c r="E54" s="34">
        <f>Inputs!D$6*B54</f>
        <v>1850</v>
      </c>
      <c r="F54" s="34">
        <f>Inputs!E$6*B54</f>
        <v>1850</v>
      </c>
      <c r="G54" s="34">
        <f>Inputs!F$6*B54</f>
        <v>1850</v>
      </c>
      <c r="H54" s="34">
        <f>Inputs!G$6*B54</f>
        <v>1850</v>
      </c>
      <c r="I54" s="34">
        <f>Inputs!H$6*B54</f>
        <v>1850</v>
      </c>
      <c r="J54" s="34">
        <f>Inputs!I$6*B54</f>
        <v>1850</v>
      </c>
      <c r="K54" s="35">
        <f ref="K54:K61" t="shared" si="4">SUM(C54:J54)</f>
        <v>14800</v>
      </c>
    </row>
    <row r="55">
      <c r="A55" s="20" t="s">
        <v>32</v>
      </c>
      <c r="B55" s="23">
        <v>0.2</v>
      </c>
      <c r="C55" s="34">
        <f>Inputs!B$6*B55</f>
        <v>370</v>
      </c>
      <c r="D55" s="34">
        <f>Inputs!C$6*B55</f>
        <v>370</v>
      </c>
      <c r="E55" s="34">
        <f>Inputs!D$6*B55</f>
        <v>370</v>
      </c>
      <c r="F55" s="34">
        <f>Inputs!E$6*B55</f>
        <v>370</v>
      </c>
      <c r="G55" s="34">
        <f>Inputs!F$6*B55</f>
        <v>370</v>
      </c>
      <c r="H55" s="34">
        <f>Inputs!G$6*B55</f>
        <v>370</v>
      </c>
      <c r="I55" s="34">
        <f>Inputs!H$6*B55</f>
        <v>370</v>
      </c>
      <c r="J55" s="34">
        <f>Inputs!I$6*B55</f>
        <v>370</v>
      </c>
      <c r="K55" s="35">
        <f t="shared" si="4"/>
        <v>2960</v>
      </c>
    </row>
    <row r="56">
      <c r="A56" s="20" t="s">
        <v>33</v>
      </c>
      <c r="B56" s="23">
        <v>0.01</v>
      </c>
      <c r="C56" s="34">
        <f>Inputs!B$6*B56</f>
        <v>18.5</v>
      </c>
      <c r="D56" s="34">
        <f>Inputs!C$6*B56</f>
        <v>18.5</v>
      </c>
      <c r="E56" s="34">
        <f>Inputs!D$6*B56</f>
        <v>18.5</v>
      </c>
      <c r="F56" s="34">
        <f>Inputs!E$6*B56</f>
        <v>18.5</v>
      </c>
      <c r="G56" s="34">
        <f>Inputs!F$6*B56</f>
        <v>18.5</v>
      </c>
      <c r="H56" s="34">
        <f>Inputs!G$6*B56</f>
        <v>18.5</v>
      </c>
      <c r="I56" s="34">
        <f>Inputs!H$6*B56</f>
        <v>18.5</v>
      </c>
      <c r="J56" s="34">
        <f>Inputs!I$6*B56</f>
        <v>18.5</v>
      </c>
      <c r="K56" s="35">
        <f t="shared" si="4"/>
        <v>148</v>
      </c>
    </row>
    <row r="57">
      <c r="A57" s="20" t="s">
        <v>34</v>
      </c>
      <c r="B57" s="23">
        <v>8</v>
      </c>
      <c r="C57" s="34">
        <f>Inputs!B$6*B57</f>
        <v>14800</v>
      </c>
      <c r="D57" s="34">
        <f>Inputs!C$6*B57</f>
        <v>14800</v>
      </c>
      <c r="E57" s="34">
        <f>Inputs!D$6*B57</f>
        <v>14800</v>
      </c>
      <c r="F57" s="34">
        <f>Inputs!E$6*B57</f>
        <v>14800</v>
      </c>
      <c r="G57" s="34">
        <f>Inputs!F$6*B57</f>
        <v>14800</v>
      </c>
      <c r="H57" s="34">
        <f>Inputs!G$6*B57</f>
        <v>14800</v>
      </c>
      <c r="I57" s="34">
        <f>Inputs!H$6*B57</f>
        <v>14800</v>
      </c>
      <c r="J57" s="34">
        <f>Inputs!I$6*B57</f>
        <v>14800</v>
      </c>
      <c r="K57" s="35">
        <f t="shared" si="4"/>
        <v>118400</v>
      </c>
    </row>
    <row r="58">
      <c r="A58" s="20" t="s">
        <v>35</v>
      </c>
      <c r="B58" s="23">
        <v>0.3</v>
      </c>
      <c r="C58" s="34">
        <f>Inputs!B$6*B58</f>
        <v>555</v>
      </c>
      <c r="D58" s="34">
        <f>Inputs!C$6*B58</f>
        <v>555</v>
      </c>
      <c r="E58" s="34">
        <f>Inputs!D$6*B58</f>
        <v>555</v>
      </c>
      <c r="F58" s="34">
        <f>Inputs!E$6*B58</f>
        <v>555</v>
      </c>
      <c r="G58" s="34">
        <f>Inputs!F$6*B58</f>
        <v>555</v>
      </c>
      <c r="H58" s="34">
        <f>Inputs!G$6*B58</f>
        <v>555</v>
      </c>
      <c r="I58" s="34">
        <f>Inputs!H$6*B58</f>
        <v>555</v>
      </c>
      <c r="J58" s="34">
        <f>Inputs!I$6*B58</f>
        <v>555</v>
      </c>
      <c r="K58" s="35">
        <f t="shared" si="4"/>
        <v>4440</v>
      </c>
    </row>
    <row r="59">
      <c r="A59" s="20" t="s">
        <v>36</v>
      </c>
      <c r="B59" s="23">
        <v>0.6</v>
      </c>
      <c r="C59" s="34">
        <f>Inputs!B$6*B59</f>
        <v>1110</v>
      </c>
      <c r="D59" s="34">
        <f>Inputs!C$6*B59</f>
        <v>1110</v>
      </c>
      <c r="E59" s="34">
        <f>Inputs!D$6*B59</f>
        <v>1110</v>
      </c>
      <c r="F59" s="34">
        <f>Inputs!E$6*B59</f>
        <v>1110</v>
      </c>
      <c r="G59" s="34">
        <f>Inputs!F$6*B59</f>
        <v>1110</v>
      </c>
      <c r="H59" s="34">
        <f>Inputs!G$6*B59</f>
        <v>1110</v>
      </c>
      <c r="I59" s="34">
        <f>Inputs!H$6*B59</f>
        <v>1110</v>
      </c>
      <c r="J59" s="34">
        <f>Inputs!I$6*B59</f>
        <v>1110</v>
      </c>
      <c r="K59" s="35">
        <f t="shared" si="4"/>
        <v>8880</v>
      </c>
    </row>
    <row r="60">
      <c r="A60" s="20" t="s">
        <v>37</v>
      </c>
      <c r="B60" s="23">
        <v>2</v>
      </c>
      <c r="C60" s="34">
        <f>Inputs!B$6*B60</f>
        <v>3700</v>
      </c>
      <c r="D60" s="34">
        <f>Inputs!C$6*B60</f>
        <v>3700</v>
      </c>
      <c r="E60" s="34">
        <f>Inputs!D$6*B60</f>
        <v>3700</v>
      </c>
      <c r="F60" s="34">
        <f>Inputs!E$6*B60</f>
        <v>3700</v>
      </c>
      <c r="G60" s="34">
        <f>Inputs!F$6*B60</f>
        <v>3700</v>
      </c>
      <c r="H60" s="34">
        <f>Inputs!G$6*B60</f>
        <v>3700</v>
      </c>
      <c r="I60" s="34">
        <f>Inputs!H$6*B60</f>
        <v>3700</v>
      </c>
      <c r="J60" s="34">
        <f>Inputs!I$6*B60</f>
        <v>3700</v>
      </c>
      <c r="K60" s="35">
        <f t="shared" si="4"/>
        <v>29600</v>
      </c>
    </row>
    <row r="61">
      <c r="A61" s="20" t="s">
        <v>38</v>
      </c>
      <c r="B61" s="23">
        <v>0.75</v>
      </c>
      <c r="C61" s="34">
        <f>Inputs!B$6*B61</f>
        <v>1387.5</v>
      </c>
      <c r="D61" s="34">
        <f>Inputs!C$6*B61</f>
        <v>1387.5</v>
      </c>
      <c r="E61" s="34">
        <f>Inputs!D$6*B61</f>
        <v>1387.5</v>
      </c>
      <c r="F61" s="34">
        <f>Inputs!E$6*B61</f>
        <v>1387.5</v>
      </c>
      <c r="G61" s="34">
        <f>Inputs!F$6*B61</f>
        <v>1387.5</v>
      </c>
      <c r="H61" s="34">
        <f>Inputs!G$6*B61</f>
        <v>1387.5</v>
      </c>
      <c r="I61" s="34">
        <f>Inputs!H$6*B61</f>
        <v>1387.5</v>
      </c>
      <c r="J61" s="34">
        <f>Inputs!I$6*B61</f>
        <v>1387.5</v>
      </c>
      <c r="K61" s="35">
        <f t="shared" si="4"/>
        <v>11100</v>
      </c>
    </row>
    <row r="62">
      <c r="A62" s="26" t="s">
        <v>121</v>
      </c>
      <c r="B62" s="26"/>
      <c r="C62" s="36">
        <f>Inputs!B10</f>
        <v>0</v>
      </c>
      <c r="D62" s="36">
        <f>Inputs!C10</f>
        <v>0</v>
      </c>
      <c r="E62" s="36">
        <f>Inputs!D10</f>
        <v>0</v>
      </c>
      <c r="F62" s="36">
        <f>Inputs!E10</f>
        <v>0</v>
      </c>
      <c r="G62" s="36">
        <f>Inputs!F10</f>
        <v>0</v>
      </c>
      <c r="H62" s="36">
        <f>Inputs!G10</f>
        <v>0</v>
      </c>
      <c r="I62" s="36">
        <f>Inputs!H10</f>
        <v>0</v>
      </c>
      <c r="J62" s="36">
        <f>Inputs!I10</f>
        <v>0</v>
      </c>
      <c r="K62" s="36">
        <f>Inputs!J10</f>
        <v>0</v>
      </c>
    </row>
    <row r="66">
      <c r="A66" s="26" t="s">
        <v>121</v>
      </c>
      <c r="B66" s="26"/>
      <c r="C66" s="36">
        <f>Inputs!B11</f>
        <v>3700</v>
      </c>
      <c r="D66" s="36">
        <f>Inputs!C11</f>
        <v>3700</v>
      </c>
      <c r="E66" s="36">
        <f>Inputs!D11</f>
        <v>3700</v>
      </c>
      <c r="F66" s="36">
        <f>Inputs!E11</f>
        <v>3700</v>
      </c>
      <c r="G66" s="36">
        <f>Inputs!F11</f>
        <v>3700</v>
      </c>
      <c r="H66" s="36">
        <f>Inputs!G11</f>
        <v>3700</v>
      </c>
      <c r="I66" s="36">
        <f>Inputs!H11</f>
        <v>3700</v>
      </c>
      <c r="J66" s="36">
        <f>Inputs!I11</f>
        <v>3700</v>
      </c>
      <c r="K66" s="36">
        <f>Inputs!J11</f>
        <v>29600</v>
      </c>
    </row>
    <row r="75">
      <c r="A75" s="26"/>
    </row>
  </sheetData>
  <mergeCells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9"/>
  <sheetViews>
    <sheetView zoomScaleNormal="100" workbookViewId="0"/>
  </sheetViews>
  <sheetFormatPr baseColWidth="10" defaultColWidth="8.6640625" defaultRowHeight="14.4" x14ac:dyDescent="0.3"/>
  <cols>
    <col min="1" max="1" width="15" customWidth="1"/>
    <col min="2" max="9" width="12" customWidth="1"/>
  </cols>
  <sheetData>
    <row r="1" ht="17.25" customHeight="1">
      <c r="A1" s="14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15" customHeight="1">
      <c r="A2" s="10" t="s">
        <v>127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ht="15" customHeight="1">
      <c r="A3" s="7" t="s">
        <v>128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ht="15" customHeight="1">
      <c r="A5" s="12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ht="15" customHeight="1">
      <c r="A6" s="15" t="s">
        <v>129</v>
      </c>
      <c r="B6" s="15" t="s">
        <v>4</v>
      </c>
      <c r="C6" s="15" t="s">
        <v>5</v>
      </c>
      <c r="D6" s="15" t="s">
        <v>6</v>
      </c>
      <c r="E6" s="15" t="s">
        <v>7</v>
      </c>
      <c r="F6" s="15" t="s">
        <v>8</v>
      </c>
      <c r="G6" s="15" t="s">
        <v>9</v>
      </c>
      <c r="H6" s="15" t="s">
        <v>10</v>
      </c>
      <c r="I6" s="15" t="s">
        <v>11</v>
      </c>
    </row>
    <row r="7" ht="15" customHeight="1">
      <c r="A7" s="20" t="s">
        <v>130</v>
      </c>
      <c r="B7" s="37">
        <f>Multi_Planta!D6</f>
      </c>
      <c r="C7" s="30">
        <f ref="C7:I7" t="shared" si="0">B10</f>
        <v>-1756</v>
      </c>
      <c r="D7" s="30">
        <f t="shared" si="0"/>
        <v>-3606</v>
      </c>
      <c r="E7" s="30">
        <f t="shared" si="0"/>
        <v>-5456</v>
      </c>
      <c r="F7" s="30">
        <f t="shared" si="0"/>
        <v>-7306</v>
      </c>
      <c r="G7" s="30">
        <f t="shared" si="0"/>
        <v>-9156</v>
      </c>
      <c r="H7" s="30">
        <f t="shared" si="0"/>
        <v>-11006</v>
      </c>
      <c r="I7" s="30">
        <f t="shared" si="0"/>
        <v>-12856</v>
      </c>
    </row>
    <row r="8" ht="15" customHeight="1">
      <c r="A8" s="20" t="s">
        <v>131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</row>
    <row r="9" ht="15" customHeight="1">
      <c r="A9" s="20" t="s">
        <v>132</v>
      </c>
      <c r="B9" s="37">
        <f>BOM_Consumo!C6</f>
        <v>1850</v>
      </c>
      <c r="C9" s="37">
        <f>BOM_Consumo!D6</f>
        <v>1850</v>
      </c>
      <c r="D9" s="37">
        <f>BOM_Consumo!E6</f>
        <v>1850</v>
      </c>
      <c r="E9" s="37">
        <f>BOM_Consumo!F6</f>
        <v>1850</v>
      </c>
      <c r="F9" s="37">
        <f>BOM_Consumo!G6</f>
        <v>1850</v>
      </c>
      <c r="G9" s="37">
        <f>BOM_Consumo!H6</f>
        <v>1850</v>
      </c>
      <c r="H9" s="37">
        <f>BOM_Consumo!I6</f>
        <v>1850</v>
      </c>
      <c r="I9" s="37">
        <f>BOM_Consumo!J6</f>
        <v>1850</v>
      </c>
    </row>
    <row r="10" ht="15" customHeight="1">
      <c r="A10" s="16" t="s">
        <v>133</v>
      </c>
      <c r="B10" s="35">
        <f ref="B10:I10" t="shared" si="1">B7+B8-B9</f>
        <v>-1756</v>
      </c>
      <c r="C10" s="35">
        <f t="shared" si="1"/>
        <v>-3606</v>
      </c>
      <c r="D10" s="35">
        <f t="shared" si="1"/>
        <v>-5456</v>
      </c>
      <c r="E10" s="35">
        <f t="shared" si="1"/>
        <v>-7306</v>
      </c>
      <c r="F10" s="35">
        <f t="shared" si="1"/>
        <v>-9156</v>
      </c>
      <c r="G10" s="35">
        <f t="shared" si="1"/>
        <v>-11006</v>
      </c>
      <c r="H10" s="35">
        <f t="shared" si="1"/>
        <v>-12856</v>
      </c>
      <c r="I10" s="35">
        <f t="shared" si="1"/>
        <v>-14706</v>
      </c>
    </row>
    <row r="11" ht="15" customHeight="1">
      <c r="A11" s="12" t="s">
        <v>32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15" customHeight="1">
      <c r="A12" s="15" t="s">
        <v>129</v>
      </c>
      <c r="B12" s="15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5" t="s">
        <v>10</v>
      </c>
      <c r="I12" s="15" t="s">
        <v>11</v>
      </c>
    </row>
    <row r="13" ht="15" customHeight="1">
      <c r="A13" s="20" t="s">
        <v>130</v>
      </c>
      <c r="B13" s="37">
        <f>Multi_Planta!D7</f>
      </c>
      <c r="C13" s="30">
        <f ref="C13:I13" t="shared" si="2">B16</f>
        <v>3474</v>
      </c>
      <c r="D13" s="30">
        <f t="shared" si="2"/>
        <v>3104</v>
      </c>
      <c r="E13" s="30">
        <f t="shared" si="2"/>
        <v>2734</v>
      </c>
      <c r="F13" s="30">
        <f t="shared" si="2"/>
        <v>2364</v>
      </c>
      <c r="G13" s="30">
        <f t="shared" si="2"/>
        <v>1994</v>
      </c>
      <c r="H13" s="30">
        <f t="shared" si="2"/>
        <v>1624</v>
      </c>
      <c r="I13" s="30">
        <f t="shared" si="2"/>
        <v>1254</v>
      </c>
    </row>
    <row r="14" ht="15" customHeight="1">
      <c r="A14" s="20" t="s">
        <v>131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</row>
    <row r="15" ht="15" customHeight="1">
      <c r="A15" s="20" t="s">
        <v>132</v>
      </c>
      <c r="B15" s="37">
        <f>BOM_Consumo!C7</f>
        <v>370</v>
      </c>
      <c r="C15" s="37">
        <f>BOM_Consumo!D7</f>
        <v>370</v>
      </c>
      <c r="D15" s="37">
        <f>BOM_Consumo!E7</f>
        <v>370</v>
      </c>
      <c r="E15" s="37">
        <f>BOM_Consumo!F7</f>
        <v>370</v>
      </c>
      <c r="F15" s="37">
        <f>BOM_Consumo!G7</f>
        <v>370</v>
      </c>
      <c r="G15" s="37">
        <f>BOM_Consumo!H7</f>
        <v>370</v>
      </c>
      <c r="H15" s="37">
        <f>BOM_Consumo!I7</f>
        <v>370</v>
      </c>
      <c r="I15" s="37">
        <f>BOM_Consumo!J7</f>
        <v>370</v>
      </c>
    </row>
    <row r="16" ht="15" customHeight="1">
      <c r="A16" s="16" t="s">
        <v>133</v>
      </c>
      <c r="B16" s="35">
        <f ref="B16:I16" t="shared" si="3">B13+B14-B15</f>
        <v>3474</v>
      </c>
      <c r="C16" s="35">
        <f t="shared" si="3"/>
        <v>3104</v>
      </c>
      <c r="D16" s="35">
        <f t="shared" si="3"/>
        <v>2734</v>
      </c>
      <c r="E16" s="35">
        <f t="shared" si="3"/>
        <v>2364</v>
      </c>
      <c r="F16" s="35">
        <f t="shared" si="3"/>
        <v>1994</v>
      </c>
      <c r="G16" s="35">
        <f t="shared" si="3"/>
        <v>1624</v>
      </c>
      <c r="H16" s="35">
        <f t="shared" si="3"/>
        <v>1254</v>
      </c>
      <c r="I16" s="35">
        <f t="shared" si="3"/>
        <v>884</v>
      </c>
    </row>
    <row r="17" ht="15" customHeight="1">
      <c r="A17" s="12" t="s">
        <v>33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ht="15" customHeight="1">
      <c r="A18" s="15" t="s">
        <v>129</v>
      </c>
      <c r="B18" s="15" t="s">
        <v>4</v>
      </c>
      <c r="C18" s="15" t="s">
        <v>5</v>
      </c>
      <c r="D18" s="15" t="s">
        <v>6</v>
      </c>
      <c r="E18" s="15" t="s">
        <v>7</v>
      </c>
      <c r="F18" s="15" t="s">
        <v>8</v>
      </c>
      <c r="G18" s="15" t="s">
        <v>9</v>
      </c>
      <c r="H18" s="15" t="s">
        <v>10</v>
      </c>
      <c r="I18" s="15" t="s">
        <v>11</v>
      </c>
    </row>
    <row r="19" ht="15" customHeight="1">
      <c r="A19" s="20" t="s">
        <v>130</v>
      </c>
      <c r="B19" s="37">
        <f>Multi_Planta!D8</f>
      </c>
      <c r="C19" s="30">
        <f ref="C19:I19" t="shared" si="4">B22</f>
        <v>3106.5</v>
      </c>
      <c r="D19" s="30">
        <f t="shared" si="4"/>
        <v>3088</v>
      </c>
      <c r="E19" s="30">
        <f t="shared" si="4"/>
        <v>3069.5</v>
      </c>
      <c r="F19" s="30">
        <f t="shared" si="4"/>
        <v>3051</v>
      </c>
      <c r="G19" s="30">
        <f t="shared" si="4"/>
        <v>3032.5</v>
      </c>
      <c r="H19" s="30">
        <f t="shared" si="4"/>
        <v>3014</v>
      </c>
      <c r="I19" s="30">
        <f t="shared" si="4"/>
        <v>2995.5</v>
      </c>
    </row>
    <row r="20" ht="15" customHeight="1">
      <c r="A20" s="20" t="s">
        <v>131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</row>
    <row r="21" ht="15" customHeight="1">
      <c r="A21" s="20" t="s">
        <v>132</v>
      </c>
      <c r="B21" s="37">
        <f>BOM_Consumo!C8</f>
        <v>18.5</v>
      </c>
      <c r="C21" s="37">
        <f>BOM_Consumo!D8</f>
        <v>18.5</v>
      </c>
      <c r="D21" s="37">
        <f>BOM_Consumo!E8</f>
        <v>18.5</v>
      </c>
      <c r="E21" s="37">
        <f>BOM_Consumo!F8</f>
        <v>18.5</v>
      </c>
      <c r="F21" s="37">
        <f>BOM_Consumo!G8</f>
        <v>18.5</v>
      </c>
      <c r="G21" s="37">
        <f>BOM_Consumo!H8</f>
        <v>18.5</v>
      </c>
      <c r="H21" s="37">
        <f>BOM_Consumo!I8</f>
        <v>18.5</v>
      </c>
      <c r="I21" s="37">
        <f>BOM_Consumo!J8</f>
        <v>18.5</v>
      </c>
    </row>
    <row r="22" ht="15" customHeight="1">
      <c r="A22" s="16" t="s">
        <v>133</v>
      </c>
      <c r="B22" s="35">
        <f ref="B22:I22" t="shared" si="5">B19+B20-B21</f>
        <v>3106.5</v>
      </c>
      <c r="C22" s="35">
        <f t="shared" si="5"/>
        <v>3088</v>
      </c>
      <c r="D22" s="35">
        <f t="shared" si="5"/>
        <v>3069.5</v>
      </c>
      <c r="E22" s="35">
        <f t="shared" si="5"/>
        <v>3051</v>
      </c>
      <c r="F22" s="35">
        <f t="shared" si="5"/>
        <v>3032.5</v>
      </c>
      <c r="G22" s="35">
        <f t="shared" si="5"/>
        <v>3014</v>
      </c>
      <c r="H22" s="35">
        <f t="shared" si="5"/>
        <v>2995.5</v>
      </c>
      <c r="I22" s="35">
        <f t="shared" si="5"/>
        <v>2977</v>
      </c>
    </row>
    <row r="23" ht="15" customHeight="1">
      <c r="A23" s="12" t="s">
        <v>34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ht="15" customHeight="1">
      <c r="A24" s="15" t="s">
        <v>129</v>
      </c>
      <c r="B24" s="15" t="s">
        <v>4</v>
      </c>
      <c r="C24" s="15" t="s">
        <v>5</v>
      </c>
      <c r="D24" s="15" t="s">
        <v>6</v>
      </c>
      <c r="E24" s="15" t="s">
        <v>7</v>
      </c>
      <c r="F24" s="15" t="s">
        <v>8</v>
      </c>
      <c r="G24" s="15" t="s">
        <v>9</v>
      </c>
      <c r="H24" s="15" t="s">
        <v>10</v>
      </c>
      <c r="I24" s="15" t="s">
        <v>11</v>
      </c>
    </row>
    <row r="25" ht="15" customHeight="1">
      <c r="A25" s="20" t="s">
        <v>130</v>
      </c>
      <c r="B25" s="37">
        <f>Multi_Planta!D9</f>
      </c>
      <c r="C25" s="30">
        <f ref="C25:I25" t="shared" si="6">B28</f>
        <v>-8669</v>
      </c>
      <c r="D25" s="30">
        <f t="shared" si="6"/>
        <v>-23469</v>
      </c>
      <c r="E25" s="30">
        <f t="shared" si="6"/>
        <v>-38269</v>
      </c>
      <c r="F25" s="30">
        <f t="shared" si="6"/>
        <v>-53069</v>
      </c>
      <c r="G25" s="30">
        <f t="shared" si="6"/>
        <v>-67869</v>
      </c>
      <c r="H25" s="30">
        <f t="shared" si="6"/>
        <v>-82669</v>
      </c>
      <c r="I25" s="30">
        <f t="shared" si="6"/>
        <v>-97469</v>
      </c>
    </row>
    <row r="26" ht="15" customHeight="1">
      <c r="A26" s="20" t="s">
        <v>131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</row>
    <row r="27" ht="15" customHeight="1">
      <c r="A27" s="20" t="s">
        <v>132</v>
      </c>
      <c r="B27" s="37">
        <f>BOM_Consumo!C9</f>
        <v>14800</v>
      </c>
      <c r="C27" s="37">
        <f>BOM_Consumo!D9</f>
        <v>14800</v>
      </c>
      <c r="D27" s="37">
        <f>BOM_Consumo!E9</f>
        <v>14800</v>
      </c>
      <c r="E27" s="37">
        <f>BOM_Consumo!F9</f>
        <v>14800</v>
      </c>
      <c r="F27" s="37">
        <f>BOM_Consumo!G9</f>
        <v>14800</v>
      </c>
      <c r="G27" s="37">
        <f>BOM_Consumo!H9</f>
        <v>14800</v>
      </c>
      <c r="H27" s="37">
        <f>BOM_Consumo!I9</f>
        <v>14800</v>
      </c>
      <c r="I27" s="37">
        <f>BOM_Consumo!J9</f>
        <v>14800</v>
      </c>
    </row>
    <row r="28" ht="15" customHeight="1">
      <c r="A28" s="16" t="s">
        <v>133</v>
      </c>
      <c r="B28" s="35">
        <f ref="B28:I28" t="shared" si="7">B25+B26-B27</f>
        <v>-8669</v>
      </c>
      <c r="C28" s="35">
        <f t="shared" si="7"/>
        <v>-23469</v>
      </c>
      <c r="D28" s="35">
        <f t="shared" si="7"/>
        <v>-38269</v>
      </c>
      <c r="E28" s="35">
        <f t="shared" si="7"/>
        <v>-53069</v>
      </c>
      <c r="F28" s="35">
        <f t="shared" si="7"/>
        <v>-67869</v>
      </c>
      <c r="G28" s="35">
        <f t="shared" si="7"/>
        <v>-82669</v>
      </c>
      <c r="H28" s="35">
        <f t="shared" si="7"/>
        <v>-97469</v>
      </c>
      <c r="I28" s="35">
        <f t="shared" si="7"/>
        <v>-112269</v>
      </c>
    </row>
    <row r="29" ht="15" customHeight="1">
      <c r="A29" s="12" t="s">
        <v>35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ht="15" customHeight="1">
      <c r="A30" s="15" t="s">
        <v>129</v>
      </c>
      <c r="B30" s="15" t="s">
        <v>4</v>
      </c>
      <c r="C30" s="15" t="s">
        <v>5</v>
      </c>
      <c r="D30" s="15" t="s">
        <v>6</v>
      </c>
      <c r="E30" s="15" t="s">
        <v>7</v>
      </c>
      <c r="F30" s="15" t="s">
        <v>8</v>
      </c>
      <c r="G30" s="15" t="s">
        <v>9</v>
      </c>
      <c r="H30" s="15" t="s">
        <v>10</v>
      </c>
      <c r="I30" s="15" t="s">
        <v>11</v>
      </c>
    </row>
    <row r="31" ht="15" customHeight="1">
      <c r="A31" s="20" t="s">
        <v>130</v>
      </c>
      <c r="B31" s="37">
        <f>Multi_Planta!D10</f>
      </c>
      <c r="C31" s="30">
        <f ref="C31:I31" t="shared" si="8">B34</f>
        <v>16181</v>
      </c>
      <c r="D31" s="30">
        <f t="shared" si="8"/>
        <v>15626</v>
      </c>
      <c r="E31" s="30">
        <f t="shared" si="8"/>
        <v>15071</v>
      </c>
      <c r="F31" s="30">
        <f t="shared" si="8"/>
        <v>14516</v>
      </c>
      <c r="G31" s="30">
        <f t="shared" si="8"/>
        <v>13961</v>
      </c>
      <c r="H31" s="30">
        <f t="shared" si="8"/>
        <v>13406</v>
      </c>
      <c r="I31" s="30">
        <f t="shared" si="8"/>
        <v>12851</v>
      </c>
    </row>
    <row r="32" ht="15" customHeight="1">
      <c r="A32" s="20" t="s">
        <v>131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</row>
    <row r="33" ht="15" customHeight="1">
      <c r="A33" s="20" t="s">
        <v>132</v>
      </c>
      <c r="B33" s="37">
        <f>BOM_Consumo!C10</f>
        <v>555</v>
      </c>
      <c r="C33" s="37">
        <f>BOM_Consumo!D10</f>
        <v>555</v>
      </c>
      <c r="D33" s="37">
        <f>BOM_Consumo!E10</f>
        <v>555</v>
      </c>
      <c r="E33" s="37">
        <f>BOM_Consumo!F10</f>
        <v>555</v>
      </c>
      <c r="F33" s="37">
        <f>BOM_Consumo!G10</f>
        <v>555</v>
      </c>
      <c r="G33" s="37">
        <f>BOM_Consumo!H10</f>
        <v>555</v>
      </c>
      <c r="H33" s="37">
        <f>BOM_Consumo!I10</f>
        <v>555</v>
      </c>
      <c r="I33" s="37">
        <f>BOM_Consumo!J10</f>
        <v>555</v>
      </c>
    </row>
    <row r="34" ht="15" customHeight="1">
      <c r="A34" s="16" t="s">
        <v>133</v>
      </c>
      <c r="B34" s="35">
        <f ref="B34:I34" t="shared" si="9">B31+B32-B33</f>
        <v>16181</v>
      </c>
      <c r="C34" s="35">
        <f t="shared" si="9"/>
        <v>15626</v>
      </c>
      <c r="D34" s="35">
        <f t="shared" si="9"/>
        <v>15071</v>
      </c>
      <c r="E34" s="35">
        <f t="shared" si="9"/>
        <v>14516</v>
      </c>
      <c r="F34" s="35">
        <f t="shared" si="9"/>
        <v>13961</v>
      </c>
      <c r="G34" s="35">
        <f t="shared" si="9"/>
        <v>13406</v>
      </c>
      <c r="H34" s="35">
        <f t="shared" si="9"/>
        <v>12851</v>
      </c>
      <c r="I34" s="35">
        <f t="shared" si="9"/>
        <v>12296</v>
      </c>
    </row>
    <row r="35" ht="15" customHeight="1">
      <c r="A35" s="12" t="s">
        <v>36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ht="15" customHeight="1">
      <c r="A36" s="15" t="s">
        <v>129</v>
      </c>
      <c r="B36" s="15" t="s">
        <v>4</v>
      </c>
      <c r="C36" s="15" t="s">
        <v>5</v>
      </c>
      <c r="D36" s="15" t="s">
        <v>6</v>
      </c>
      <c r="E36" s="15" t="s">
        <v>7</v>
      </c>
      <c r="F36" s="15" t="s">
        <v>8</v>
      </c>
      <c r="G36" s="15" t="s">
        <v>9</v>
      </c>
      <c r="H36" s="15" t="s">
        <v>10</v>
      </c>
      <c r="I36" s="15" t="s">
        <v>11</v>
      </c>
    </row>
    <row r="37" ht="15" customHeight="1">
      <c r="A37" s="20" t="s">
        <v>130</v>
      </c>
      <c r="B37" s="37">
        <f>Multi_Planta!D11</f>
      </c>
      <c r="C37" s="30">
        <f ref="C37:I37" t="shared" si="10">B40</f>
        <v>3329</v>
      </c>
      <c r="D37" s="30">
        <f t="shared" si="10"/>
        <v>2219</v>
      </c>
      <c r="E37" s="30">
        <f t="shared" si="10"/>
        <v>1109</v>
      </c>
      <c r="F37" s="30">
        <f t="shared" si="10"/>
        <v>-1</v>
      </c>
      <c r="G37" s="30">
        <f t="shared" si="10"/>
        <v>-1111</v>
      </c>
      <c r="H37" s="30">
        <f t="shared" si="10"/>
        <v>-2221</v>
      </c>
      <c r="I37" s="30">
        <f t="shared" si="10"/>
        <v>-3331</v>
      </c>
    </row>
    <row r="38" ht="15" customHeight="1">
      <c r="A38" s="20" t="s">
        <v>131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</row>
    <row r="39" ht="15" customHeight="1">
      <c r="A39" s="20" t="s">
        <v>132</v>
      </c>
      <c r="B39" s="37">
        <f>BOM_Consumo!C11</f>
        <v>1110</v>
      </c>
      <c r="C39" s="37">
        <f>BOM_Consumo!D11</f>
        <v>1110</v>
      </c>
      <c r="D39" s="37">
        <f>BOM_Consumo!E11</f>
        <v>1110</v>
      </c>
      <c r="E39" s="37">
        <f>BOM_Consumo!F11</f>
        <v>1110</v>
      </c>
      <c r="F39" s="37">
        <f>BOM_Consumo!G11</f>
        <v>1110</v>
      </c>
      <c r="G39" s="37">
        <f>BOM_Consumo!H11</f>
        <v>1110</v>
      </c>
      <c r="H39" s="37">
        <f>BOM_Consumo!I11</f>
        <v>1110</v>
      </c>
      <c r="I39" s="37">
        <f>BOM_Consumo!J11</f>
        <v>1110</v>
      </c>
    </row>
    <row r="40" ht="15" customHeight="1">
      <c r="A40" s="16" t="s">
        <v>133</v>
      </c>
      <c r="B40" s="35">
        <f ref="B40:I40" t="shared" si="11">B37+B38-B39</f>
        <v>3329</v>
      </c>
      <c r="C40" s="35">
        <f t="shared" si="11"/>
        <v>2219</v>
      </c>
      <c r="D40" s="35">
        <f t="shared" si="11"/>
        <v>1109</v>
      </c>
      <c r="E40" s="35">
        <f t="shared" si="11"/>
        <v>-1</v>
      </c>
      <c r="F40" s="35">
        <f t="shared" si="11"/>
        <v>-1111</v>
      </c>
      <c r="G40" s="35">
        <f t="shared" si="11"/>
        <v>-2221</v>
      </c>
      <c r="H40" s="35">
        <f t="shared" si="11"/>
        <v>-3331</v>
      </c>
      <c r="I40" s="35">
        <f t="shared" si="11"/>
        <v>-4441</v>
      </c>
    </row>
    <row r="41" ht="15" customHeight="1">
      <c r="A41" s="12" t="s">
        <v>37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ht="15" customHeight="1">
      <c r="A42" s="15" t="s">
        <v>129</v>
      </c>
      <c r="B42" s="15" t="s">
        <v>4</v>
      </c>
      <c r="C42" s="15" t="s">
        <v>5</v>
      </c>
      <c r="D42" s="15" t="s">
        <v>6</v>
      </c>
      <c r="E42" s="15" t="s">
        <v>7</v>
      </c>
      <c r="F42" s="15" t="s">
        <v>8</v>
      </c>
      <c r="G42" s="15" t="s">
        <v>9</v>
      </c>
      <c r="H42" s="15" t="s">
        <v>10</v>
      </c>
      <c r="I42" s="15" t="s">
        <v>11</v>
      </c>
    </row>
    <row r="43" ht="15" customHeight="1">
      <c r="A43" s="20" t="s">
        <v>130</v>
      </c>
      <c r="B43" s="37">
        <f>Multi_Planta!D12</f>
      </c>
      <c r="C43" s="30">
        <f ref="C43:I43" t="shared" si="12">B46</f>
        <v>-3700</v>
      </c>
      <c r="D43" s="30">
        <f t="shared" si="12"/>
        <v>-7400</v>
      </c>
      <c r="E43" s="30">
        <f t="shared" si="12"/>
        <v>-11100</v>
      </c>
      <c r="F43" s="30">
        <f t="shared" si="12"/>
        <v>-14800</v>
      </c>
      <c r="G43" s="30">
        <f t="shared" si="12"/>
        <v>-18500</v>
      </c>
      <c r="H43" s="30">
        <f t="shared" si="12"/>
        <v>-22200</v>
      </c>
      <c r="I43" s="30">
        <f t="shared" si="12"/>
        <v>-25900</v>
      </c>
    </row>
    <row r="44" ht="15" customHeight="1">
      <c r="A44" s="20" t="s">
        <v>131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</row>
    <row r="45" ht="15" customHeight="1">
      <c r="A45" s="20" t="s">
        <v>132</v>
      </c>
      <c r="B45" s="37">
        <f>BOM_Consumo!C12</f>
        <v>3700</v>
      </c>
      <c r="C45" s="37">
        <f>BOM_Consumo!D12</f>
        <v>3700</v>
      </c>
      <c r="D45" s="37">
        <f>BOM_Consumo!E12</f>
        <v>3700</v>
      </c>
      <c r="E45" s="37">
        <f>BOM_Consumo!F12</f>
        <v>3700</v>
      </c>
      <c r="F45" s="37">
        <f>BOM_Consumo!G12</f>
        <v>3700</v>
      </c>
      <c r="G45" s="37">
        <f>BOM_Consumo!H12</f>
        <v>3700</v>
      </c>
      <c r="H45" s="37">
        <f>BOM_Consumo!I12</f>
        <v>3700</v>
      </c>
      <c r="I45" s="37">
        <f>BOM_Consumo!J12</f>
        <v>3700</v>
      </c>
    </row>
    <row r="46" ht="15" customHeight="1">
      <c r="A46" s="16" t="s">
        <v>133</v>
      </c>
      <c r="B46" s="35">
        <f ref="B46:I46" t="shared" si="13">B43+B44-B45</f>
        <v>-3700</v>
      </c>
      <c r="C46" s="35">
        <f t="shared" si="13"/>
        <v>-7400</v>
      </c>
      <c r="D46" s="35">
        <f t="shared" si="13"/>
        <v>-11100</v>
      </c>
      <c r="E46" s="35">
        <f t="shared" si="13"/>
        <v>-14800</v>
      </c>
      <c r="F46" s="35">
        <f t="shared" si="13"/>
        <v>-18500</v>
      </c>
      <c r="G46" s="35">
        <f t="shared" si="13"/>
        <v>-22200</v>
      </c>
      <c r="H46" s="35">
        <f t="shared" si="13"/>
        <v>-25900</v>
      </c>
      <c r="I46" s="35">
        <f t="shared" si="13"/>
        <v>-29600</v>
      </c>
    </row>
    <row r="47" ht="15" customHeight="1">
      <c r="A47" s="12" t="s">
        <v>38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ht="15" customHeight="1">
      <c r="A48" s="15" t="s">
        <v>129</v>
      </c>
      <c r="B48" s="15" t="s">
        <v>4</v>
      </c>
      <c r="C48" s="15" t="s">
        <v>5</v>
      </c>
      <c r="D48" s="15" t="s">
        <v>6</v>
      </c>
      <c r="E48" s="15" t="s">
        <v>7</v>
      </c>
      <c r="F48" s="15" t="s">
        <v>8</v>
      </c>
      <c r="G48" s="15" t="s">
        <v>9</v>
      </c>
      <c r="H48" s="15" t="s">
        <v>10</v>
      </c>
      <c r="I48" s="15" t="s">
        <v>11</v>
      </c>
    </row>
    <row r="49" ht="15" customHeight="1">
      <c r="A49" s="20" t="s">
        <v>130</v>
      </c>
      <c r="B49" s="37">
        <f>Multi_Planta!D13</f>
      </c>
      <c r="C49" s="30" t="str">
        <f ref="C49:I49" t="shared" si="14">B52</f>
        <v>OK</v>
      </c>
      <c r="D49" s="30" t="str">
        <f t="shared" si="14"/>
        <v>OK</v>
      </c>
      <c r="E49" s="30" t="str">
        <f t="shared" si="14"/>
        <v>OK</v>
      </c>
      <c r="F49" s="30" t="str">
        <f t="shared" si="14"/>
        <v>OK</v>
      </c>
      <c r="G49" s="30" t="str">
        <f t="shared" si="14"/>
        <v>OK</v>
      </c>
      <c r="H49" s="30" t="str">
        <f t="shared" si="14"/>
        <v>OK</v>
      </c>
      <c r="I49" s="30" t="str">
        <f t="shared" si="14"/>
        <v>OK</v>
      </c>
    </row>
    <row r="50" ht="15" customHeight="1">
      <c r="A50" s="11" t="s">
        <v>134</v>
      </c>
      <c r="B50" s="11"/>
      <c r="C50" s="11"/>
      <c r="D50" s="11"/>
      <c r="E50" s="11"/>
      <c r="F50" s="11"/>
      <c r="G50" s="11"/>
      <c r="H50" s="11"/>
      <c r="I50" s="11"/>
      <c r="J50" s="11"/>
    </row>
    <row r="51" ht="15" customHeight="1">
      <c r="A51" s="19" t="s">
        <v>21</v>
      </c>
      <c r="B51" s="38" t="s">
        <v>4</v>
      </c>
      <c r="C51" s="38" t="s">
        <v>5</v>
      </c>
      <c r="D51" s="38" t="s">
        <v>6</v>
      </c>
      <c r="E51" s="38" t="s">
        <v>7</v>
      </c>
      <c r="F51" s="38" t="s">
        <v>8</v>
      </c>
      <c r="G51" s="38" t="s">
        <v>9</v>
      </c>
      <c r="H51" s="38" t="s">
        <v>10</v>
      </c>
      <c r="I51" s="38" t="s">
        <v>11</v>
      </c>
      <c r="J51" s="19" t="s">
        <v>135</v>
      </c>
    </row>
    <row r="52" ht="15" customHeight="1">
      <c r="A52" s="16" t="s">
        <v>29</v>
      </c>
      <c r="B52" s="35" t="str">
        <f>IF(B9&lt;Inputs!D140,"⚠ RIESGO","OK")</f>
        <v>OK</v>
      </c>
      <c r="C52" s="35" t="str">
        <f>IF(C9&lt;Inputs!D140,"⚠ RIESGO","OK")</f>
        <v>OK</v>
      </c>
      <c r="D52" s="35" t="str">
        <f>IF(D9&lt;Inputs!D140,"⚠ RIESGO","OK")</f>
        <v>OK</v>
      </c>
      <c r="E52" s="35" t="str">
        <f>IF(E9&lt;Inputs!D140,"⚠ RIESGO","OK")</f>
        <v>OK</v>
      </c>
      <c r="F52" s="35" t="str">
        <f>IF(F9&lt;Inputs!D140,"⚠ RIESGO","OK")</f>
        <v>OK</v>
      </c>
      <c r="G52" s="35" t="str">
        <f>IF(G9&lt;Inputs!D140,"⚠ RIESGO","OK")</f>
        <v>OK</v>
      </c>
      <c r="H52" s="35" t="str">
        <f>IF(H9&lt;Inputs!D140,"⚠ RIESGO","OK")</f>
        <v>OK</v>
      </c>
      <c r="I52" s="35" t="str">
        <f>IF(I9&lt;Inputs!D140,"⚠ RIESGO","OK")</f>
        <v>OK</v>
      </c>
      <c r="J52" s="39">
        <f>MIN(B9:I9)</f>
        <v>1850</v>
      </c>
    </row>
    <row r="53" ht="15" customHeight="1">
      <c r="A53" s="20" t="s">
        <v>32</v>
      </c>
      <c r="B53" s="31" t="str">
        <f>IF(B14&lt;Inputs!D141,"⚠ RIESGO","OK")</f>
        <v>⚠ RIESGO</v>
      </c>
      <c r="C53" s="31" t="str">
        <f>IF(C14&lt;Inputs!D141,"⚠ RIESGO","OK")</f>
        <v>⚠ RIESGO</v>
      </c>
      <c r="D53" s="31" t="str">
        <f>IF(D14&lt;Inputs!D141,"⚠ RIESGO","OK")</f>
        <v>⚠ RIESGO</v>
      </c>
      <c r="E53" s="31" t="str">
        <f>IF(E14&lt;Inputs!D141,"⚠ RIESGO","OK")</f>
        <v>⚠ RIESGO</v>
      </c>
      <c r="F53" s="31" t="str">
        <f>IF(F14&lt;Inputs!D141,"⚠ RIESGO","OK")</f>
        <v>⚠ RIESGO</v>
      </c>
      <c r="G53" s="31" t="str">
        <f>IF(G14&lt;Inputs!D141,"⚠ RIESGO","OK")</f>
        <v>⚠ RIESGO</v>
      </c>
      <c r="H53" s="31" t="str">
        <f>IF(H14&lt;Inputs!D141,"⚠ RIESGO","OK")</f>
        <v>⚠ RIESGO</v>
      </c>
      <c r="I53" s="31" t="str">
        <f>IF(I14&lt;Inputs!D141,"⚠ RIESGO","OK")</f>
        <v>⚠ RIESGO</v>
      </c>
      <c r="J53" s="39">
        <f>MIN(B14:I14)</f>
        <v>0</v>
      </c>
    </row>
    <row r="54" ht="15" customHeight="1">
      <c r="A54" s="20" t="s">
        <v>33</v>
      </c>
      <c r="B54" s="31" t="str">
        <f>IF(B19&lt;Inputs!D142,"⚠ RIESGO","OK")</f>
        <v>⚠ RIESGO</v>
      </c>
      <c r="C54" s="31" t="str">
        <f>IF(C19&lt;Inputs!D142,"⚠ RIESGO","OK")</f>
        <v>⚠ RIESGO</v>
      </c>
      <c r="D54" s="31" t="str">
        <f>IF(D19&lt;Inputs!D142,"⚠ RIESGO","OK")</f>
        <v>⚠ RIESGO</v>
      </c>
      <c r="E54" s="31" t="str">
        <f>IF(E19&lt;Inputs!D142,"⚠ RIESGO","OK")</f>
        <v>⚠ RIESGO</v>
      </c>
      <c r="F54" s="31" t="str">
        <f>IF(F19&lt;Inputs!D142,"⚠ RIESGO","OK")</f>
        <v>⚠ RIESGO</v>
      </c>
      <c r="G54" s="31" t="str">
        <f>IF(G19&lt;Inputs!D142,"⚠ RIESGO","OK")</f>
        <v>⚠ RIESGO</v>
      </c>
      <c r="H54" s="31" t="str">
        <f>IF(H19&lt;Inputs!D142,"⚠ RIESGO","OK")</f>
        <v>⚠ RIESGO</v>
      </c>
      <c r="I54" s="31" t="str">
        <f>IF(I19&lt;Inputs!D142,"⚠ RIESGO","OK")</f>
        <v>⚠ RIESGO</v>
      </c>
      <c r="J54" s="39">
        <f>MIN(B19:I19)</f>
        <v>2995.5</v>
      </c>
    </row>
    <row r="55" ht="15" customHeight="1">
      <c r="A55" s="20" t="s">
        <v>34</v>
      </c>
      <c r="B55" s="31" t="str">
        <f>IF(B24&lt;Inputs!D143,"⚠ RIESGO","OK")</f>
        <v>OK</v>
      </c>
      <c r="C55" s="31" t="str">
        <f>IF(C24&lt;Inputs!D143,"⚠ RIESGO","OK")</f>
        <v>OK</v>
      </c>
      <c r="D55" s="31" t="str">
        <f>IF(D24&lt;Inputs!D143,"⚠ RIESGO","OK")</f>
        <v>OK</v>
      </c>
      <c r="E55" s="31" t="str">
        <f>IF(E24&lt;Inputs!D143,"⚠ RIESGO","OK")</f>
        <v>OK</v>
      </c>
      <c r="F55" s="31" t="str">
        <f>IF(F24&lt;Inputs!D143,"⚠ RIESGO","OK")</f>
        <v>OK</v>
      </c>
      <c r="G55" s="31" t="str">
        <f>IF(G24&lt;Inputs!D143,"⚠ RIESGO","OK")</f>
        <v>OK</v>
      </c>
      <c r="H55" s="31" t="str">
        <f>IF(H24&lt;Inputs!D143,"⚠ RIESGO","OK")</f>
        <v>OK</v>
      </c>
      <c r="I55" s="31" t="str">
        <f>IF(I24&lt;Inputs!D143,"⚠ RIESGO","OK")</f>
        <v>OK</v>
      </c>
      <c r="J55" s="39">
        <f>MIN(B24:I24)</f>
        <v>0</v>
      </c>
    </row>
    <row r="56" ht="15" customHeight="1">
      <c r="A56" s="20" t="s">
        <v>35</v>
      </c>
      <c r="B56" s="31" t="str">
        <f>IF(B29&lt;Inputs!D144,"⚠ RIESGO","OK")</f>
        <v>⚠ RIESGO</v>
      </c>
      <c r="C56" s="31" t="str">
        <f>IF(C29&lt;Inputs!D144,"⚠ RIESGO","OK")</f>
        <v>⚠ RIESGO</v>
      </c>
      <c r="D56" s="31" t="str">
        <f>IF(D29&lt;Inputs!D144,"⚠ RIESGO","OK")</f>
        <v>⚠ RIESGO</v>
      </c>
      <c r="E56" s="31" t="str">
        <f>IF(E29&lt;Inputs!D144,"⚠ RIESGO","OK")</f>
        <v>⚠ RIESGO</v>
      </c>
      <c r="F56" s="31" t="str">
        <f>IF(F29&lt;Inputs!D144,"⚠ RIESGO","OK")</f>
        <v>⚠ RIESGO</v>
      </c>
      <c r="G56" s="31" t="str">
        <f>IF(G29&lt;Inputs!D144,"⚠ RIESGO","OK")</f>
        <v>⚠ RIESGO</v>
      </c>
      <c r="H56" s="31" t="str">
        <f>IF(H29&lt;Inputs!D144,"⚠ RIESGO","OK")</f>
        <v>⚠ RIESGO</v>
      </c>
      <c r="I56" s="31" t="str">
        <f>IF(I29&lt;Inputs!D144,"⚠ RIESGO","OK")</f>
        <v>⚠ RIESGO</v>
      </c>
      <c r="J56" s="39">
        <f>MIN(B29:I29)</f>
        <v>0</v>
      </c>
    </row>
    <row r="57" ht="15" customHeight="1">
      <c r="A57" s="20" t="s">
        <v>36</v>
      </c>
      <c r="B57" s="31" t="str">
        <f>IF(B34&lt;Inputs!D145,"⚠ RIESGO","OK")</f>
        <v>OK</v>
      </c>
      <c r="C57" s="31" t="str">
        <f>IF(C34&lt;Inputs!D145,"⚠ RIESGO","OK")</f>
        <v>OK</v>
      </c>
      <c r="D57" s="31" t="str">
        <f>IF(D34&lt;Inputs!D145,"⚠ RIESGO","OK")</f>
        <v>OK</v>
      </c>
      <c r="E57" s="31" t="str">
        <f>IF(E34&lt;Inputs!D145,"⚠ RIESGO","OK")</f>
        <v>OK</v>
      </c>
      <c r="F57" s="31" t="str">
        <f>IF(F34&lt;Inputs!D145,"⚠ RIESGO","OK")</f>
        <v>OK</v>
      </c>
      <c r="G57" s="31" t="str">
        <f>IF(G34&lt;Inputs!D145,"⚠ RIESGO","OK")</f>
        <v>OK</v>
      </c>
      <c r="H57" s="31" t="str">
        <f>IF(H34&lt;Inputs!D145,"⚠ RIESGO","OK")</f>
        <v>OK</v>
      </c>
      <c r="I57" s="31" t="str">
        <f>IF(I34&lt;Inputs!D145,"⚠ RIESGO","OK")</f>
        <v>OK</v>
      </c>
      <c r="J57" s="39">
        <f>MIN(B34:I34)</f>
        <v>12296</v>
      </c>
    </row>
    <row r="58" ht="15" customHeight="1">
      <c r="A58" s="20" t="s">
        <v>37</v>
      </c>
      <c r="B58" s="31" t="str">
        <f>IF(B39&lt;Inputs!D146,"⚠ RIESGO","OK")</f>
        <v>⚠ RIESGO</v>
      </c>
      <c r="C58" s="31" t="str">
        <f>IF(C39&lt;Inputs!D146,"⚠ RIESGO","OK")</f>
        <v>⚠ RIESGO</v>
      </c>
      <c r="D58" s="31" t="str">
        <f>IF(D39&lt;Inputs!D146,"⚠ RIESGO","OK")</f>
        <v>⚠ RIESGO</v>
      </c>
      <c r="E58" s="31" t="str">
        <f>IF(E39&lt;Inputs!D146,"⚠ RIESGO","OK")</f>
        <v>⚠ RIESGO</v>
      </c>
      <c r="F58" s="31" t="str">
        <f>IF(F39&lt;Inputs!D146,"⚠ RIESGO","OK")</f>
        <v>⚠ RIESGO</v>
      </c>
      <c r="G58" s="31" t="str">
        <f>IF(G39&lt;Inputs!D146,"⚠ RIESGO","OK")</f>
        <v>⚠ RIESGO</v>
      </c>
      <c r="H58" s="31" t="str">
        <f>IF(H39&lt;Inputs!D146,"⚠ RIESGO","OK")</f>
        <v>⚠ RIESGO</v>
      </c>
      <c r="I58" s="31" t="str">
        <f>IF(I39&lt;Inputs!D146,"⚠ RIESGO","OK")</f>
        <v>⚠ RIESGO</v>
      </c>
      <c r="J58" s="39">
        <f>MIN(B39:I39)</f>
        <v>1110</v>
      </c>
    </row>
    <row r="59" ht="15" customHeight="1">
      <c r="A59" s="20" t="s">
        <v>38</v>
      </c>
      <c r="B59" s="31" t="str">
        <f>IF(B44&lt;Inputs!D147,"⚠ RIESGO","OK")</f>
        <v>OK</v>
      </c>
      <c r="C59" s="31" t="str">
        <f>IF(C44&lt;Inputs!D147,"⚠ RIESGO","OK")</f>
        <v>OK</v>
      </c>
      <c r="D59" s="31" t="str">
        <f>IF(D44&lt;Inputs!D147,"⚠ RIESGO","OK")</f>
        <v>OK</v>
      </c>
      <c r="E59" s="31" t="str">
        <f>IF(E44&lt;Inputs!D147,"⚠ RIESGO","OK")</f>
        <v>OK</v>
      </c>
      <c r="F59" s="31" t="str">
        <f>IF(F44&lt;Inputs!D147,"⚠ RIESGO","OK")</f>
        <v>OK</v>
      </c>
      <c r="G59" s="31" t="str">
        <f>IF(G44&lt;Inputs!D147,"⚠ RIESGO","OK")</f>
        <v>OK</v>
      </c>
      <c r="H59" s="31" t="str">
        <f>IF(H44&lt;Inputs!D147,"⚠ RIESGO","OK")</f>
        <v>OK</v>
      </c>
      <c r="I59" s="31" t="str">
        <f>IF(I44&lt;Inputs!D147,"⚠ RIESGO","OK")</f>
        <v>OK</v>
      </c>
      <c r="J59" s="39">
        <f>MIN(B44:I44)</f>
        <v>0</v>
      </c>
    </row>
  </sheetData>
  <mergeCells>
    <mergeCell ref="A47:K47"/>
    <mergeCell ref="A50:J50"/>
    <mergeCell ref="A17:K17"/>
    <mergeCell ref="A23:K23"/>
    <mergeCell ref="A29:K29"/>
    <mergeCell ref="A35:K35"/>
    <mergeCell ref="A41:K41"/>
    <mergeCell ref="A1:K1"/>
    <mergeCell ref="A2:K2"/>
    <mergeCell ref="A3:K3"/>
    <mergeCell ref="A5:K5"/>
    <mergeCell ref="A11:K11"/>
  </mergeCells>
  <conditionalFormatting sqref="B10:I10">
    <cfRule type="cellIs" dxfId="0" priority="2" operator="lessThan">
      <formula>0</formula>
    </cfRule>
  </conditionalFormatting>
  <conditionalFormatting sqref="B16:I16">
    <cfRule type="cellIs" dxfId="0" priority="10" operator="lessThan">
      <formula>0</formula>
    </cfRule>
  </conditionalFormatting>
  <conditionalFormatting sqref="B22:I22">
    <cfRule type="cellIs" dxfId="0" priority="18" operator="lessThan">
      <formula>0</formula>
    </cfRule>
  </conditionalFormatting>
  <conditionalFormatting sqref="B28:I28">
    <cfRule type="cellIs" dxfId="0" priority="26" operator="lessThan">
      <formula>0</formula>
    </cfRule>
  </conditionalFormatting>
  <conditionalFormatting sqref="B34:I34">
    <cfRule type="cellIs" dxfId="0" priority="34" operator="lessThan">
      <formula>0</formula>
    </cfRule>
  </conditionalFormatting>
  <conditionalFormatting sqref="B40:I40">
    <cfRule type="cellIs" dxfId="0" priority="42" operator="lessThan">
      <formula>0</formula>
    </cfRule>
  </conditionalFormatting>
  <conditionalFormatting sqref="B46:I46">
    <cfRule type="cellIs" dxfId="0" priority="50" operator="lessThan">
      <formula>0</formula>
    </cfRule>
  </conditionalFormatting>
  <conditionalFormatting sqref="B52:I52">
    <cfRule type="cellIs" dxfId="0" priority="58" operator="lessThan">
      <formula>0</formula>
    </cfRule>
  </conditionalFormatting>
  <conditionalFormatting sqref="B52:I59">
    <cfRule type="cellIs" dxfId="0" priority="59" operator="equal">
      <formula>"⚠ RIESGO"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zoomScaleNormal="100" workbookViewId="0"/>
  </sheetViews>
  <sheetFormatPr baseColWidth="10" defaultColWidth="8.6640625" defaultRowHeight="14.4" x14ac:dyDescent="0.3"/>
  <cols>
    <col min="1" max="1" width="15" customWidth="1"/>
    <col min="2" max="11" width="11" customWidth="1"/>
  </cols>
  <sheetData>
    <row r="1" ht="17.25" customHeight="1">
      <c r="A1" s="14" t="s">
        <v>136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15" customHeight="1">
      <c r="A2" s="10" t="s">
        <v>137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15" customHeight="1">
      <c r="A3" s="6" t="s">
        <v>138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ht="15" customHeight="1">
      <c r="A5" s="12" t="s">
        <v>139</v>
      </c>
      <c r="B5" s="12"/>
      <c r="C5" s="12"/>
      <c r="D5" s="12"/>
      <c r="E5" s="12"/>
      <c r="F5" s="12"/>
      <c r="G5" s="12"/>
      <c r="H5" s="12"/>
      <c r="I5" s="12"/>
      <c r="J5" s="12"/>
    </row>
    <row r="6" ht="23.25" customHeight="1">
      <c r="A6" s="40" t="s">
        <v>21</v>
      </c>
      <c r="B6" s="40" t="s">
        <v>140</v>
      </c>
      <c r="C6" s="40" t="s">
        <v>56</v>
      </c>
      <c r="D6" s="40" t="s">
        <v>141</v>
      </c>
      <c r="E6" s="40" t="s">
        <v>142</v>
      </c>
      <c r="F6" s="40" t="s">
        <v>143</v>
      </c>
      <c r="G6" s="40" t="s">
        <v>144</v>
      </c>
      <c r="H6" s="40" t="s">
        <v>145</v>
      </c>
      <c r="I6" s="40" t="s">
        <v>146</v>
      </c>
    </row>
    <row r="7" ht="15" customHeight="1">
      <c r="A7" s="20" t="s">
        <v>33</v>
      </c>
      <c r="B7" s="41">
        <f>BOM_Consumo!K8</f>
        <v>148</v>
      </c>
      <c r="C7" s="41">
        <f>XLOOKUP(A7,Inputs!$A$66:$A$73,Inputs!$B$66:$B$73)</f>
      </c>
      <c r="D7" s="42">
        <f ref="D7:D12" t="shared" si="0">ROUNDUP(B7/C7,0)</f>
        <v>5</v>
      </c>
      <c r="E7" s="43">
        <f ref="E7:E12" t="shared" si="1">D7</f>
        <v>5</v>
      </c>
      <c r="F7" s="42">
        <f ref="F7:F12" t="shared" si="2">E7*C7</f>
        <v>150</v>
      </c>
      <c r="G7" s="44">
        <f>XLOOKUP(A7,Inputs!$A$82:$A$90,Inputs!$B$82:$B$90)</f>
      </c>
      <c r="H7" s="45">
        <f ref="H7:H12" t="shared" si="3">E7*G7</f>
        <v>0</v>
      </c>
      <c r="I7" s="31" t="str">
        <f ref="I7:I12" t="shared" si="4">IF(F7&gt;=B7,"OK","INSUFICIENTE")</f>
        <v>OK</v>
      </c>
    </row>
    <row r="8" ht="15" customHeight="1">
      <c r="A8" s="20" t="s">
        <v>34</v>
      </c>
      <c r="B8" s="41">
        <f>BOM_Consumo!K9</f>
        <v>118400</v>
      </c>
      <c r="C8" s="41">
        <f>XLOOKUP(A8,Inputs!$A$66:$A$73,Inputs!$B$66:$B$73)</f>
      </c>
      <c r="D8" s="42">
        <f t="shared" si="0"/>
        <v>9867</v>
      </c>
      <c r="E8" s="43">
        <f t="shared" si="1"/>
        <v>9867</v>
      </c>
      <c r="F8" s="42">
        <f t="shared" si="2"/>
        <v>118404</v>
      </c>
      <c r="G8" s="44">
        <f>XLOOKUP(A8,Inputs!$A$82:$A$90,Inputs!$B$82:$B$90)</f>
      </c>
      <c r="H8" s="45" t="e">
        <f t="shared" si="3"/>
        <v>#VALUE!</v>
      </c>
      <c r="I8" s="31" t="str">
        <f t="shared" si="4"/>
        <v>OK</v>
      </c>
    </row>
    <row r="9" ht="15" customHeight="1">
      <c r="A9" s="20" t="s">
        <v>35</v>
      </c>
      <c r="B9" s="41">
        <f>BOM_Consumo!K10</f>
        <v>4440</v>
      </c>
      <c r="C9" s="41">
        <f>XLOOKUP(A9,Inputs!$A$66:$A$73,Inputs!$B$66:$B$73)</f>
      </c>
      <c r="D9" s="42">
        <f t="shared" si="0"/>
        <v>4440</v>
      </c>
      <c r="E9" s="43">
        <f t="shared" si="1"/>
        <v>4440</v>
      </c>
      <c r="F9" s="42">
        <f t="shared" si="2"/>
        <v>4440</v>
      </c>
      <c r="G9" s="44">
        <f>XLOOKUP(A9,Inputs!$A$82:$A$90,Inputs!$B$82:$B$90)</f>
      </c>
      <c r="H9" s="45">
        <f t="shared" si="3"/>
        <v>555000</v>
      </c>
      <c r="I9" s="31" t="str">
        <f t="shared" si="4"/>
        <v>OK</v>
      </c>
    </row>
    <row r="10" ht="15" customHeight="1">
      <c r="A10" s="20" t="s">
        <v>36</v>
      </c>
      <c r="B10" s="41">
        <f>BOM_Consumo!K11</f>
        <v>8880</v>
      </c>
      <c r="C10" s="41">
        <f>XLOOKUP(A10,Inputs!$A$66:$A$73,Inputs!$B$66:$B$73)</f>
      </c>
      <c r="D10" s="42">
        <f t="shared" si="0"/>
        <v>89</v>
      </c>
      <c r="E10" s="43">
        <f t="shared" si="1"/>
        <v>89</v>
      </c>
      <c r="F10" s="42">
        <f t="shared" si="2"/>
        <v>8900</v>
      </c>
      <c r="G10" s="44">
        <f>XLOOKUP(A10,Inputs!$A$82:$A$90,Inputs!$B$82:$B$90)</f>
      </c>
      <c r="H10" s="45">
        <f t="shared" si="3"/>
        <v>29370</v>
      </c>
      <c r="I10" s="31" t="str">
        <f t="shared" si="4"/>
        <v>OK</v>
      </c>
    </row>
    <row r="11" ht="15" customHeight="1">
      <c r="A11" s="20" t="s">
        <v>37</v>
      </c>
      <c r="B11" s="41">
        <f>BOM_Consumo!K12</f>
        <v>29600</v>
      </c>
      <c r="C11" s="41">
        <f>XLOOKUP(A11,Inputs!$A$66:$A$73,Inputs!$B$66:$B$73)</f>
      </c>
      <c r="D11" s="42">
        <f t="shared" si="0"/>
        <v>987</v>
      </c>
      <c r="E11" s="43">
        <f t="shared" si="1"/>
        <v>987</v>
      </c>
      <c r="F11" s="42">
        <f t="shared" si="2"/>
        <v>29610</v>
      </c>
      <c r="G11" s="44">
        <f>XLOOKUP(A11,Inputs!$A$82:$A$90,Inputs!$B$82:$B$90)</f>
      </c>
      <c r="H11" s="45">
        <f t="shared" si="3"/>
        <v>59220</v>
      </c>
      <c r="I11" s="31" t="str">
        <f t="shared" si="4"/>
        <v>OK</v>
      </c>
    </row>
    <row r="12" ht="15" customHeight="1">
      <c r="A12" s="20" t="s">
        <v>38</v>
      </c>
      <c r="B12" s="41">
        <f>BOM_Consumo!K13</f>
        <v>11100</v>
      </c>
      <c r="C12" s="41">
        <f>XLOOKUP(A12,Inputs!$A$66:$A$73,Inputs!$B$66:$B$73)</f>
      </c>
      <c r="D12" s="42">
        <f t="shared" si="0"/>
        <v>185</v>
      </c>
      <c r="E12" s="43">
        <f t="shared" si="1"/>
        <v>185</v>
      </c>
      <c r="F12" s="42">
        <f t="shared" si="2"/>
        <v>11100</v>
      </c>
      <c r="G12" s="44">
        <f>XLOOKUP(A12,Inputs!$A$82:$A$90,Inputs!$B$82:$B$90)</f>
      </c>
      <c r="H12" s="45">
        <f t="shared" si="3"/>
        <v>1295</v>
      </c>
      <c r="I12" s="31" t="str">
        <f t="shared" si="4"/>
        <v>OK</v>
      </c>
    </row>
    <row r="13" ht="15" customHeight="1">
      <c r="A13" s="8" t="s">
        <v>147</v>
      </c>
      <c r="B13" s="8"/>
      <c r="C13" s="8"/>
      <c r="D13" s="8"/>
      <c r="E13" s="8"/>
      <c r="F13" s="8"/>
      <c r="G13" s="8"/>
      <c r="H13" s="46" t="e">
        <f>SUM(H7:H12)</f>
        <v>#VALUE!</v>
      </c>
    </row>
    <row r="16" ht="15" customHeight="1">
      <c r="A16" s="12" t="s">
        <v>148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ht="23.25" customHeight="1">
      <c r="A17" s="40" t="s">
        <v>21</v>
      </c>
      <c r="B17" s="40" t="s">
        <v>149</v>
      </c>
      <c r="C17" s="40" t="s">
        <v>150</v>
      </c>
      <c r="D17" s="40" t="s">
        <v>56</v>
      </c>
      <c r="E17" s="40" t="s">
        <v>141</v>
      </c>
      <c r="F17" s="40" t="s">
        <v>142</v>
      </c>
      <c r="G17" s="40" t="s">
        <v>151</v>
      </c>
      <c r="H17" s="40" t="s">
        <v>144</v>
      </c>
      <c r="I17" s="40" t="s">
        <v>152</v>
      </c>
      <c r="J17" s="40" t="s">
        <v>87</v>
      </c>
      <c r="K17" s="40" t="s">
        <v>153</v>
      </c>
    </row>
    <row r="18" ht="15" customHeight="1">
      <c r="A18" s="5" t="s">
        <v>29</v>
      </c>
      <c r="B18" s="21" t="s">
        <v>4</v>
      </c>
      <c r="C18" s="41">
        <f>BOM_Consumo!C6</f>
        <v>1850</v>
      </c>
      <c r="D18" s="41">
        <f>Inputs!B66</f>
        <v>30</v>
      </c>
      <c r="E18" s="42">
        <f ref="E18:E33" t="shared" si="5">IF(C18&gt;0,ROUNDUP(C18/D18,0),0)</f>
        <v>62</v>
      </c>
      <c r="F18" s="43">
        <v>0</v>
      </c>
      <c r="G18" s="42">
        <f ref="G18:G33" t="shared" si="6">F18*D18</f>
        <v>0</v>
      </c>
      <c r="H18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18" s="45">
        <f ref="I18:I33" t="shared" si="7">F18*H18</f>
        <v>0</v>
      </c>
      <c r="J18" s="47">
        <f>XLOOKUP(XLOOKUP("PROVEEDOR ELEGIDO*",Inputs!$A$105:$A$110,Inputs!$B$105:$B$110,"",2),Inputs!$A$107:$A$109,Inputs!$C$107:$C$109)</f>
      </c>
      <c r="K18" s="31">
        <f>"Q"&amp;(VALUE(MID(B18,2,10))+IF(ISNUMBER(SEARCH("+2",J18)),2,IF(ISNUMBER(SEARCH("+8",J18)),8,0)))</f>
      </c>
    </row>
    <row r="19" ht="15" customHeight="1">
      <c r="A19" s="5"/>
      <c r="B19" s="21" t="s">
        <v>5</v>
      </c>
      <c r="C19" s="41">
        <f>BOM_Consumo!D6</f>
        <v>1850</v>
      </c>
      <c r="D19" s="41">
        <f>Inputs!B66</f>
        <v>30</v>
      </c>
      <c r="E19" s="42">
        <f t="shared" si="5"/>
        <v>62</v>
      </c>
      <c r="F19" s="43">
        <v>0</v>
      </c>
      <c r="G19" s="42">
        <f t="shared" si="6"/>
        <v>0</v>
      </c>
      <c r="H19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19" s="45">
        <f t="shared" si="7"/>
        <v>0</v>
      </c>
      <c r="J19" s="47">
        <f>XLOOKUP(XLOOKUP("PROVEEDOR ELEGIDO*",Inputs!$A$105:$A$110,Inputs!$B$105:$B$110,"",2),Inputs!$A$107:$A$109,Inputs!$C$107:$C$109)</f>
      </c>
      <c r="K19" s="31">
        <f>"Q"&amp;(VALUE(MID(B19,2,10))+IF(ISNUMBER(SEARCH("+2",J19)),2,IF(ISNUMBER(SEARCH("+8",J19)),8,0)))</f>
      </c>
    </row>
    <row r="20" ht="15" customHeight="1">
      <c r="A20" s="5"/>
      <c r="B20" s="21" t="s">
        <v>6</v>
      </c>
      <c r="C20" s="41">
        <f>BOM_Consumo!E6</f>
        <v>1850</v>
      </c>
      <c r="D20" s="41">
        <f>Inputs!B66</f>
        <v>30</v>
      </c>
      <c r="E20" s="42">
        <f t="shared" si="5"/>
        <v>62</v>
      </c>
      <c r="F20" s="43">
        <v>0</v>
      </c>
      <c r="G20" s="42">
        <f t="shared" si="6"/>
        <v>0</v>
      </c>
      <c r="H20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20" s="45">
        <f t="shared" si="7"/>
        <v>0</v>
      </c>
      <c r="J20" s="47">
        <f>XLOOKUP(XLOOKUP("PROVEEDOR ELEGIDO*",Inputs!$A$105:$A$110,Inputs!$B$105:$B$110,"",2),Inputs!$A$107:$A$109,Inputs!$C$107:$C$109)</f>
      </c>
      <c r="K20" s="31">
        <f>"Q"&amp;(VALUE(MID(B20,2,10))+IF(ISNUMBER(SEARCH("+2",J20)),2,IF(ISNUMBER(SEARCH("+8",J20)),8,0)))</f>
      </c>
    </row>
    <row r="21" ht="15" customHeight="1">
      <c r="A21" s="5"/>
      <c r="B21" s="21" t="s">
        <v>7</v>
      </c>
      <c r="C21" s="41">
        <f>BOM_Consumo!F6</f>
        <v>1850</v>
      </c>
      <c r="D21" s="41">
        <f>Inputs!B66</f>
        <v>30</v>
      </c>
      <c r="E21" s="42">
        <f t="shared" si="5"/>
        <v>62</v>
      </c>
      <c r="F21" s="43">
        <v>0</v>
      </c>
      <c r="G21" s="42">
        <f t="shared" si="6"/>
        <v>0</v>
      </c>
      <c r="H21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21" s="45">
        <f t="shared" si="7"/>
        <v>0</v>
      </c>
      <c r="J21" s="47">
        <f>XLOOKUP(XLOOKUP("PROVEEDOR ELEGIDO*",Inputs!$A$105:$A$110,Inputs!$B$105:$B$110,"",2),Inputs!$A$107:$A$109,Inputs!$C$107:$C$109)</f>
      </c>
      <c r="K21" s="31">
        <f>"Q"&amp;(VALUE(MID(B21,2,10))+IF(ISNUMBER(SEARCH("+2",J21)),2,IF(ISNUMBER(SEARCH("+8",J21)),8,0)))</f>
      </c>
    </row>
    <row r="22" ht="15" customHeight="1">
      <c r="A22" s="5"/>
      <c r="B22" s="21" t="s">
        <v>8</v>
      </c>
      <c r="C22" s="41">
        <f>BOM_Consumo!G6</f>
        <v>1850</v>
      </c>
      <c r="D22" s="41">
        <f>Inputs!B66</f>
        <v>30</v>
      </c>
      <c r="E22" s="42">
        <f t="shared" si="5"/>
        <v>62</v>
      </c>
      <c r="F22" s="43">
        <v>0</v>
      </c>
      <c r="G22" s="42">
        <f t="shared" si="6"/>
        <v>0</v>
      </c>
      <c r="H22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22" s="45">
        <f t="shared" si="7"/>
        <v>0</v>
      </c>
      <c r="J22" s="47">
        <f>XLOOKUP(XLOOKUP("PROVEEDOR ELEGIDO*",Inputs!$A$105:$A$110,Inputs!$B$105:$B$110,"",2),Inputs!$A$107:$A$109,Inputs!$C$107:$C$109)</f>
      </c>
      <c r="K22" s="31">
        <f>"Q"&amp;(VALUE(MID(B22,2,10))+IF(ISNUMBER(SEARCH("+2",J22)),2,IF(ISNUMBER(SEARCH("+8",J22)),8,0)))</f>
      </c>
    </row>
    <row r="23" ht="15" customHeight="1">
      <c r="A23" s="5"/>
      <c r="B23" s="21" t="s">
        <v>9</v>
      </c>
      <c r="C23" s="41">
        <f>BOM_Consumo!H6</f>
        <v>1850</v>
      </c>
      <c r="D23" s="41">
        <f>Inputs!B66</f>
        <v>30</v>
      </c>
      <c r="E23" s="42">
        <f t="shared" si="5"/>
        <v>62</v>
      </c>
      <c r="F23" s="43">
        <v>0</v>
      </c>
      <c r="G23" s="42">
        <f t="shared" si="6"/>
        <v>0</v>
      </c>
      <c r="H23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23" s="45">
        <f t="shared" si="7"/>
        <v>0</v>
      </c>
      <c r="J23" s="47">
        <f>XLOOKUP(XLOOKUP("PROVEEDOR ELEGIDO*",Inputs!$A$105:$A$110,Inputs!$B$105:$B$110,"",2),Inputs!$A$107:$A$109,Inputs!$C$107:$C$109)</f>
      </c>
      <c r="K23" s="31">
        <f>"Q"&amp;(VALUE(MID(B23,2,10))+IF(ISNUMBER(SEARCH("+2",J23)),2,IF(ISNUMBER(SEARCH("+8",J23)),8,0)))</f>
      </c>
    </row>
    <row r="24" ht="15" customHeight="1">
      <c r="A24" s="5"/>
      <c r="B24" s="21" t="s">
        <v>10</v>
      </c>
      <c r="C24" s="41">
        <f>BOM_Consumo!I6</f>
        <v>1850</v>
      </c>
      <c r="D24" s="41">
        <f>Inputs!B66</f>
        <v>30</v>
      </c>
      <c r="E24" s="42">
        <f t="shared" si="5"/>
        <v>62</v>
      </c>
      <c r="F24" s="43">
        <v>0</v>
      </c>
      <c r="G24" s="42">
        <f t="shared" si="6"/>
        <v>0</v>
      </c>
      <c r="H24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24" s="45">
        <f t="shared" si="7"/>
        <v>0</v>
      </c>
      <c r="J24" s="47">
        <f>XLOOKUP(XLOOKUP("PROVEEDOR ELEGIDO*",Inputs!$A$105:$A$110,Inputs!$B$105:$B$110,"",2),Inputs!$A$107:$A$109,Inputs!$C$107:$C$109)</f>
      </c>
      <c r="K24" s="31">
        <f>"Q"&amp;(VALUE(MID(B24,2,10))+IF(ISNUMBER(SEARCH("+2",J24)),2,IF(ISNUMBER(SEARCH("+8",J24)),8,0)))</f>
      </c>
    </row>
    <row r="25" ht="15" customHeight="1">
      <c r="A25" s="5"/>
      <c r="B25" s="21" t="s">
        <v>11</v>
      </c>
      <c r="C25" s="41">
        <f>BOM_Consumo!J6</f>
        <v>1850</v>
      </c>
      <c r="D25" s="41">
        <f>Inputs!B66</f>
        <v>30</v>
      </c>
      <c r="E25" s="42">
        <f t="shared" si="5"/>
        <v>62</v>
      </c>
      <c r="F25" s="43">
        <v>0</v>
      </c>
      <c r="G25" s="42">
        <f t="shared" si="6"/>
        <v>0</v>
      </c>
      <c r="H25" s="44">
        <f>IF(XLOOKUP("PROVEEDOR ELEGIDO*",Inputs!$A$105:$A$110,Inputs!$B$105:$B$110,"",2)="B",IF(SUM($F$18:$F$25)&gt;=XLOOKUP("B",Inputs!$A$107:$A$109,Inputs!$E$107:$E$109),XLOOKUP("B",Inputs!$A$107:$A$109,Inputs!$B$107:$B$109)*(1-0.16),XLOOKUP("B",Inputs!$A$107:$A$109,Inputs!$B$107:$B$109)),XLOOKUP(XLOOKUP("PROVEEDOR ELEGIDO*",Inputs!$A$105:$A$110,Inputs!$B$105:$B$110,"",2),Inputs!$A$107:$A$109,Inputs!$B$107:$B$109))</f>
      </c>
      <c r="I25" s="45">
        <f t="shared" si="7"/>
        <v>0</v>
      </c>
      <c r="J25" s="47">
        <f>XLOOKUP(XLOOKUP("PROVEEDOR ELEGIDO*",Inputs!$A$105:$A$110,Inputs!$B$105:$B$110,"",2),Inputs!$A$107:$A$109,Inputs!$C$107:$C$109)</f>
      </c>
      <c r="K25" s="31">
        <f>"Q"&amp;(VALUE(MID(B25,2,10))+IF(ISNUMBER(SEARCH("+2",J25)),2,IF(ISNUMBER(SEARCH("+8",J25)),8,0)))</f>
      </c>
    </row>
    <row r="26" ht="15" customHeight="1">
      <c r="A26" s="5" t="s">
        <v>32</v>
      </c>
      <c r="B26" s="21" t="s">
        <v>4</v>
      </c>
      <c r="C26" s="41">
        <f>BOM_Consumo!C7</f>
        <v>370</v>
      </c>
      <c r="D26" s="41">
        <f>Inputs!B67</f>
        <v>12</v>
      </c>
      <c r="E26" s="42">
        <f t="shared" si="5"/>
        <v>31</v>
      </c>
      <c r="F26" s="43">
        <v>0</v>
      </c>
      <c r="G26" s="42">
        <f t="shared" si="6"/>
        <v>0</v>
      </c>
      <c r="H26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26" s="45">
        <f t="shared" si="7"/>
        <v>0</v>
      </c>
      <c r="J26" s="47">
        <f>XLOOKUP(XLOOKUP("PROVEEDOR ELEGIDO*",Inputs!$A$113:$A$118,Inputs!$B$113:$B$118,"",2),Inputs!$A$115:$A$117,Inputs!$C$115:$C$117)</f>
      </c>
      <c r="K26" s="31">
        <f>"Q"&amp;(VALUE(MID(B26,2,10))+IF(ISNUMBER(SEARCH("+2",J26)),2,IF(ISNUMBER(SEARCH("+8",J26)),8,0)))</f>
      </c>
    </row>
    <row r="27" ht="15" customHeight="1">
      <c r="A27" s="5"/>
      <c r="B27" s="21" t="s">
        <v>5</v>
      </c>
      <c r="C27" s="41">
        <f>BOM_Consumo!D7</f>
        <v>370</v>
      </c>
      <c r="D27" s="41">
        <f>Inputs!B67</f>
        <v>12</v>
      </c>
      <c r="E27" s="42">
        <f t="shared" si="5"/>
        <v>31</v>
      </c>
      <c r="F27" s="43">
        <v>0</v>
      </c>
      <c r="G27" s="42">
        <f t="shared" si="6"/>
        <v>0</v>
      </c>
      <c r="H27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27" s="45">
        <f t="shared" si="7"/>
        <v>0</v>
      </c>
      <c r="J27" s="47">
        <f>XLOOKUP(XLOOKUP("PROVEEDOR ELEGIDO*",Inputs!$A$113:$A$118,Inputs!$B$113:$B$118,"",2),Inputs!$A$115:$A$117,Inputs!$C$115:$C$117)</f>
      </c>
      <c r="K27" s="31">
        <f>"Q"&amp;(VALUE(MID(B27,2,10))+IF(ISNUMBER(SEARCH("+2",J27)),2,IF(ISNUMBER(SEARCH("+8",J27)),8,0)))</f>
      </c>
    </row>
    <row r="28" ht="15" customHeight="1">
      <c r="A28" s="5"/>
      <c r="B28" s="21" t="s">
        <v>6</v>
      </c>
      <c r="C28" s="41">
        <f>BOM_Consumo!E7</f>
        <v>370</v>
      </c>
      <c r="D28" s="41">
        <f>Inputs!B67</f>
        <v>12</v>
      </c>
      <c r="E28" s="42">
        <f t="shared" si="5"/>
        <v>31</v>
      </c>
      <c r="F28" s="43">
        <v>0</v>
      </c>
      <c r="G28" s="42">
        <f t="shared" si="6"/>
        <v>0</v>
      </c>
      <c r="H28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28" s="45">
        <f t="shared" si="7"/>
        <v>0</v>
      </c>
      <c r="J28" s="47">
        <f>XLOOKUP(XLOOKUP("PROVEEDOR ELEGIDO*",Inputs!$A$113:$A$118,Inputs!$B$113:$B$118,"",2),Inputs!$A$115:$A$117,Inputs!$C$115:$C$117)</f>
      </c>
      <c r="K28" s="31">
        <f>"Q"&amp;(VALUE(MID(B28,2,10))+IF(ISNUMBER(SEARCH("+2",J28)),2,IF(ISNUMBER(SEARCH("+8",J28)),8,0)))</f>
      </c>
    </row>
    <row r="29" ht="15" customHeight="1">
      <c r="A29" s="5"/>
      <c r="B29" s="21" t="s">
        <v>7</v>
      </c>
      <c r="C29" s="41">
        <f>BOM_Consumo!F7</f>
        <v>370</v>
      </c>
      <c r="D29" s="41">
        <f>Inputs!B67</f>
        <v>12</v>
      </c>
      <c r="E29" s="42">
        <f t="shared" si="5"/>
        <v>31</v>
      </c>
      <c r="F29" s="43">
        <v>0</v>
      </c>
      <c r="G29" s="42">
        <f t="shared" si="6"/>
        <v>0</v>
      </c>
      <c r="H29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29" s="45">
        <f t="shared" si="7"/>
        <v>0</v>
      </c>
      <c r="J29" s="47">
        <f>XLOOKUP(XLOOKUP("PROVEEDOR ELEGIDO*",Inputs!$A$113:$A$118,Inputs!$B$113:$B$118,"",2),Inputs!$A$115:$A$117,Inputs!$C$115:$C$117)</f>
      </c>
      <c r="K29" s="31">
        <f>"Q"&amp;(VALUE(MID(B29,2,10))+IF(ISNUMBER(SEARCH("+2",J29)),2,IF(ISNUMBER(SEARCH("+8",J29)),8,0)))</f>
      </c>
    </row>
    <row r="30" ht="15" customHeight="1">
      <c r="A30" s="5"/>
      <c r="B30" s="21" t="s">
        <v>8</v>
      </c>
      <c r="C30" s="41">
        <f>BOM_Consumo!G7</f>
        <v>370</v>
      </c>
      <c r="D30" s="41">
        <f>Inputs!B67</f>
        <v>12</v>
      </c>
      <c r="E30" s="42">
        <f t="shared" si="5"/>
        <v>31</v>
      </c>
      <c r="F30" s="43">
        <v>0</v>
      </c>
      <c r="G30" s="42">
        <f t="shared" si="6"/>
        <v>0</v>
      </c>
      <c r="H30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30" s="45">
        <f t="shared" si="7"/>
        <v>0</v>
      </c>
      <c r="J30" s="47">
        <f>XLOOKUP(XLOOKUP("PROVEEDOR ELEGIDO*",Inputs!$A$113:$A$118,Inputs!$B$113:$B$118,"",2),Inputs!$A$115:$A$117,Inputs!$C$115:$C$117)</f>
      </c>
      <c r="K30" s="31">
        <f>"Q"&amp;(VALUE(MID(B30,2,10))+IF(ISNUMBER(SEARCH("+2",J30)),2,IF(ISNUMBER(SEARCH("+8",J30)),8,0)))</f>
      </c>
    </row>
    <row r="31" ht="15" customHeight="1">
      <c r="A31" s="5"/>
      <c r="B31" s="21" t="s">
        <v>9</v>
      </c>
      <c r="C31" s="41">
        <f>BOM_Consumo!H7</f>
        <v>370</v>
      </c>
      <c r="D31" s="41">
        <f>Inputs!B67</f>
        <v>12</v>
      </c>
      <c r="E31" s="42">
        <f t="shared" si="5"/>
        <v>31</v>
      </c>
      <c r="F31" s="43">
        <v>0</v>
      </c>
      <c r="G31" s="42">
        <f t="shared" si="6"/>
        <v>0</v>
      </c>
      <c r="H31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31" s="45">
        <f t="shared" si="7"/>
        <v>0</v>
      </c>
      <c r="J31" s="47">
        <f>XLOOKUP(XLOOKUP("PROVEEDOR ELEGIDO*",Inputs!$A$113:$A$118,Inputs!$B$113:$B$118,"",2),Inputs!$A$115:$A$117,Inputs!$C$115:$C$117)</f>
      </c>
      <c r="K31" s="31">
        <f>"Q"&amp;(VALUE(MID(B31,2,10))+IF(ISNUMBER(SEARCH("+2",J31)),2,IF(ISNUMBER(SEARCH("+8",J31)),8,0)))</f>
      </c>
    </row>
    <row r="32" ht="15" customHeight="1">
      <c r="A32" s="5"/>
      <c r="B32" s="21" t="s">
        <v>10</v>
      </c>
      <c r="C32" s="41">
        <f>BOM_Consumo!I7</f>
        <v>370</v>
      </c>
      <c r="D32" s="41">
        <f>Inputs!B67</f>
        <v>12</v>
      </c>
      <c r="E32" s="42">
        <f t="shared" si="5"/>
        <v>31</v>
      </c>
      <c r="F32" s="43">
        <v>0</v>
      </c>
      <c r="G32" s="42">
        <f t="shared" si="6"/>
        <v>0</v>
      </c>
      <c r="H32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32" s="45">
        <f t="shared" si="7"/>
        <v>0</v>
      </c>
      <c r="J32" s="47">
        <f>XLOOKUP(XLOOKUP("PROVEEDOR ELEGIDO*",Inputs!$A$113:$A$118,Inputs!$B$113:$B$118,"",2),Inputs!$A$115:$A$117,Inputs!$C$115:$C$117)</f>
      </c>
      <c r="K32" s="31">
        <f>"Q"&amp;(VALUE(MID(B32,2,10))+IF(ISNUMBER(SEARCH("+2",J32)),2,IF(ISNUMBER(SEARCH("+8",J32)),8,0)))</f>
      </c>
    </row>
    <row r="33" ht="15" customHeight="1">
      <c r="A33" s="5"/>
      <c r="B33" s="21" t="s">
        <v>11</v>
      </c>
      <c r="C33" s="41">
        <f>BOM_Consumo!J7</f>
        <v>370</v>
      </c>
      <c r="D33" s="41">
        <f>Inputs!B67</f>
        <v>12</v>
      </c>
      <c r="E33" s="42">
        <f t="shared" si="5"/>
        <v>31</v>
      </c>
      <c r="F33" s="43">
        <v>0</v>
      </c>
      <c r="G33" s="42">
        <f t="shared" si="6"/>
        <v>0</v>
      </c>
      <c r="H33" s="44">
        <f>IF(XLOOKUP("PROVEEDOR ELEGIDO*",Inputs!$A$113:$A$118,Inputs!$B$113:$B$118,"",2)="B",IF(SUM($F$26:$F$33)&gt;=XLOOKUP("B",Inputs!$A$115:$A$117,Inputs!$E$115:$E$117),XLOOKUP("B",Inputs!$A$115:$A$117,Inputs!$B$115:$B$117)*(1-0.16),XLOOKUP("B",Inputs!$A$115:$A$117,Inputs!$B$115:$B$117)),XLOOKUP(XLOOKUP("PROVEEDOR ELEGIDO*",Inputs!$A$113:$A$118,Inputs!$B$113:$B$118,"",2),Inputs!$A$115:$A$117,Inputs!$B$115:$B$117))</f>
      </c>
      <c r="I33" s="45">
        <f t="shared" si="7"/>
        <v>0</v>
      </c>
      <c r="J33" s="47">
        <f>XLOOKUP(XLOOKUP("PROVEEDOR ELEGIDO*",Inputs!$A$113:$A$118,Inputs!$B$113:$B$118,"",2),Inputs!$A$115:$A$117,Inputs!$C$115:$C$117)</f>
      </c>
      <c r="K33" s="31">
        <f>"Q"&amp;(VALUE(MID(B33,2,10))+IF(ISNUMBER(SEARCH("+2",J33)),2,IF(ISNUMBER(SEARCH("+8",J33)),8,0)))</f>
      </c>
    </row>
  </sheetData>
  <mergeCells>
    <mergeCell ref="A16:L16"/>
    <mergeCell ref="A18:A25"/>
    <mergeCell ref="A26:A33"/>
    <mergeCell ref="A1:L1"/>
    <mergeCell ref="A2:L2"/>
    <mergeCell ref="A3:L3"/>
    <mergeCell ref="A5:J5"/>
    <mergeCell ref="A13:G1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526C-5F77-4E93-92B7-98C2613E2081}">
  <dimension ref="A1:B5"/>
  <sheetViews>
    <sheetView workbookViewId="0">
      <selection activeCell="B2" sqref="B2:B5"/>
    </sheetView>
  </sheetViews>
  <sheetFormatPr baseColWidth="10" defaultRowHeight="14.4" x14ac:dyDescent="0.3"/>
  <sheetData>
    <row r="1">
      <c r="A1" s="0" t="s">
        <v>154</v>
      </c>
      <c r="B1" s="0" t="s">
        <v>155</v>
      </c>
    </row>
    <row r="2">
      <c r="A2" s="0" t="s">
        <v>156</v>
      </c>
      <c r="B2" s="1">
        <v>0.2</v>
      </c>
    </row>
    <row r="3">
      <c r="A3" s="0" t="s">
        <v>95</v>
      </c>
      <c r="B3" s="1">
        <v>0.4</v>
      </c>
    </row>
    <row r="4">
      <c r="A4" s="0" t="s">
        <v>99</v>
      </c>
      <c r="B4" s="1">
        <v>0.6</v>
      </c>
    </row>
    <row r="5">
      <c r="A5" s="0" t="s">
        <v>157</v>
      </c>
      <c r="B5" s="1">
        <v>0.2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/>
  </sheetViews>
  <sheetFormatPr baseColWidth="10" defaultColWidth="8.6640625" defaultRowHeight="14.4" x14ac:dyDescent="0.3"/>
  <cols>
    <col min="1" max="6" width="15" customWidth="1"/>
  </cols>
  <sheetData>
    <row r="1" ht="17.25" customHeight="1">
      <c r="A1" s="14" t="s">
        <v>158</v>
      </c>
      <c r="B1" s="14"/>
      <c r="C1" s="14"/>
      <c r="D1" s="14"/>
      <c r="E1" s="14"/>
      <c r="F1" s="14"/>
    </row>
    <row r="2" ht="15" customHeight="1">
      <c r="A2" s="10" t="s">
        <v>159</v>
      </c>
      <c r="B2" s="10"/>
      <c r="C2" s="10"/>
      <c r="D2" s="10"/>
      <c r="E2" s="10"/>
      <c r="F2" s="10"/>
    </row>
    <row r="4" ht="15" customHeight="1">
      <c r="A4" s="48" t="s">
        <v>21</v>
      </c>
      <c r="B4" s="48" t="s">
        <v>160</v>
      </c>
      <c r="C4" s="48" t="s">
        <v>161</v>
      </c>
      <c r="D4" s="48" t="s">
        <v>78</v>
      </c>
      <c r="E4" s="48" t="s">
        <v>155</v>
      </c>
      <c r="F4" s="48" t="s">
        <v>145</v>
      </c>
    </row>
    <row r="5" ht="15" customHeight="1">
      <c r="A5" s="20" t="s">
        <v>33</v>
      </c>
      <c r="B5" s="44">
        <f>Compras_y_Lotes!H7</f>
        <v>0</v>
      </c>
      <c r="C5" s="49">
        <v>1</v>
      </c>
      <c r="D5" s="45">
        <v>0</v>
      </c>
      <c r="E5" s="45">
        <v>0</v>
      </c>
      <c r="F5" s="45">
        <f ref="F5:F12" t="shared" si="0">B5+D5+E5</f>
        <v>0</v>
      </c>
    </row>
    <row r="6" ht="15" customHeight="1">
      <c r="A6" s="20" t="s">
        <v>34</v>
      </c>
      <c r="B6" s="44" t="e">
        <f>Compras_y_Lotes!H8</f>
        <v>#VALUE!</v>
      </c>
      <c r="C6" s="49">
        <v>1</v>
      </c>
      <c r="D6" s="45">
        <v>0</v>
      </c>
      <c r="E6" s="45">
        <v>0</v>
      </c>
      <c r="F6" s="45" t="e">
        <f t="shared" si="0"/>
        <v>#VALUE!</v>
      </c>
    </row>
    <row r="7" ht="15" customHeight="1">
      <c r="A7" s="20" t="s">
        <v>35</v>
      </c>
      <c r="B7" s="44">
        <f>Compras_y_Lotes!H9</f>
        <v>555000</v>
      </c>
      <c r="C7" s="49">
        <v>1</v>
      </c>
      <c r="D7" s="45">
        <v>0</v>
      </c>
      <c r="E7" s="45">
        <v>0</v>
      </c>
      <c r="F7" s="45">
        <f t="shared" si="0"/>
        <v>555000</v>
      </c>
    </row>
    <row r="8" ht="15" customHeight="1">
      <c r="A8" s="20" t="s">
        <v>36</v>
      </c>
      <c r="B8" s="44">
        <f>Compras_y_Lotes!H10</f>
        <v>29370</v>
      </c>
      <c r="C8" s="49">
        <v>1</v>
      </c>
      <c r="D8" s="45">
        <v>0</v>
      </c>
      <c r="E8" s="45">
        <v>0</v>
      </c>
      <c r="F8" s="45">
        <f t="shared" si="0"/>
        <v>29370</v>
      </c>
    </row>
    <row r="9" ht="15" customHeight="1">
      <c r="A9" s="20" t="s">
        <v>37</v>
      </c>
      <c r="B9" s="44">
        <f>Compras_y_Lotes!H11</f>
        <v>59220</v>
      </c>
      <c r="C9" s="49">
        <v>1</v>
      </c>
      <c r="D9" s="45">
        <v>0</v>
      </c>
      <c r="E9" s="45">
        <v>0</v>
      </c>
      <c r="F9" s="45">
        <f t="shared" si="0"/>
        <v>59220</v>
      </c>
    </row>
    <row r="10" ht="15" customHeight="1">
      <c r="A10" s="20" t="s">
        <v>38</v>
      </c>
      <c r="B10" s="44">
        <f>Compras_y_Lotes!H12</f>
        <v>1295</v>
      </c>
      <c r="C10" s="49">
        <v>1</v>
      </c>
      <c r="D10" s="45">
        <v>0</v>
      </c>
      <c r="E10" s="45">
        <v>0</v>
      </c>
      <c r="F10" s="45">
        <f t="shared" si="0"/>
        <v>1295</v>
      </c>
    </row>
    <row r="11" ht="15" customHeight="1">
      <c r="A11" s="20" t="s">
        <v>29</v>
      </c>
      <c r="B11" s="44">
        <f>SUM(Compras_y_Lotes!I18:I25)</f>
        <v>0</v>
      </c>
      <c r="C11" s="50">
        <f>COUNTIF(Compras_y_Lotes!F18:F25,"&gt;0")</f>
        <v>0</v>
      </c>
      <c r="D11" s="45">
        <f>C11*XLOOKUP(A11,Inputs!$A$95:$A$101,Inputs!$B$95:$B$101)</f>
      </c>
      <c r="E11" s="51">
        <f>SUMPRODUCT((Inventario_Dinamico!B7:I7+Inventario_Dinamico!B10:I10)/2)*XLOOKUP(A11,Inputs!$A$95:$A$101,Inputs!$C$95:$C$101)</f>
      </c>
      <c r="F11" s="45">
        <f t="shared" si="0"/>
        <v>0</v>
      </c>
    </row>
    <row r="12" ht="15" customHeight="1">
      <c r="A12" s="20" t="s">
        <v>32</v>
      </c>
      <c r="B12" s="44">
        <f>SUM(Compras_y_Lotes!I26:I33)</f>
        <v>0</v>
      </c>
      <c r="C12" s="50">
        <f>COUNTIF(Compras_y_Lotes!F26:F33,"&gt;0")</f>
        <v>0</v>
      </c>
      <c r="D12" s="45">
        <f>C12*XLOOKUP(A12,Inputs!$A$95:$A$101,Inputs!$B$95:$B$101)</f>
      </c>
      <c r="E12" s="51">
        <f>SUMPRODUCT((Inventario_Dinamico!B13:I13+Inventario_Dinamico!B16:I16)/2)*XLOOKUP(A12,Inputs!$A$95:$A$101,Inputs!$C$95:$C$101)</f>
      </c>
      <c r="F12" s="45">
        <f t="shared" si="0"/>
        <v>0</v>
      </c>
    </row>
    <row r="13" ht="15" customHeight="1">
      <c r="A13" s="26" t="s">
        <v>162</v>
      </c>
      <c r="B13" s="46" t="e">
        <f>SUM(B5:B12)</f>
        <v>#VALUE!</v>
      </c>
      <c r="C13" s="52">
        <f>SUM(C5:C12)</f>
        <v>6</v>
      </c>
      <c r="D13" s="46">
        <f>SUM(D5:D12)</f>
        <v>0</v>
      </c>
      <c r="E13" s="46">
        <f>SUM(E5:E12)</f>
        <v>0</v>
      </c>
      <c r="F13" s="46" t="e">
        <f>SUM(F5:F12)</f>
        <v>#VALUE!</v>
      </c>
    </row>
  </sheetData>
  <mergeCells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zoomScaleNormal="100" workbookViewId="0">
      <selection sqref="A1:L1"/>
    </sheetView>
  </sheetViews>
  <sheetFormatPr baseColWidth="10" defaultColWidth="8.6640625" defaultRowHeight="14.4" x14ac:dyDescent="0.3"/>
  <cols>
    <col min="1" max="1" width="18" customWidth="1"/>
    <col min="2" max="10" width="12" customWidth="1"/>
  </cols>
  <sheetData>
    <row r="1" ht="17.25" customHeight="1">
      <c r="A1" s="14" t="s">
        <v>163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15" customHeight="1">
      <c r="A2" s="10" t="s">
        <v>164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ht="15" customHeight="1">
      <c r="A3" s="7" t="s">
        <v>165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ht="15" customHeight="1">
      <c r="A5" s="33" t="s">
        <v>129</v>
      </c>
      <c r="B5" s="33" t="s">
        <v>4</v>
      </c>
      <c r="C5" s="33" t="s">
        <v>5</v>
      </c>
      <c r="D5" s="33" t="s">
        <v>6</v>
      </c>
      <c r="E5" s="33" t="s">
        <v>7</v>
      </c>
      <c r="F5" s="33" t="s">
        <v>8</v>
      </c>
      <c r="G5" s="33" t="s">
        <v>9</v>
      </c>
      <c r="H5" s="33" t="s">
        <v>10</v>
      </c>
      <c r="I5" s="33" t="s">
        <v>11</v>
      </c>
      <c r="J5" s="33" t="s">
        <v>12</v>
      </c>
    </row>
    <row r="6" ht="15" customHeight="1">
      <c r="A6" s="16" t="s">
        <v>166</v>
      </c>
      <c r="B6" s="44" t="e">
        <f>Compras_y_Lotes!H13</f>
        <v>#VALUE!</v>
      </c>
      <c r="C6" s="53">
        <v>0</v>
      </c>
      <c r="D6" s="53">
        <v>0</v>
      </c>
      <c r="E6" s="53">
        <v>0</v>
      </c>
      <c r="F6" s="53">
        <v>0</v>
      </c>
      <c r="G6" s="53">
        <v>0</v>
      </c>
      <c r="H6" s="53">
        <v>0</v>
      </c>
      <c r="I6" s="53">
        <v>0</v>
      </c>
      <c r="J6" s="45" t="e">
        <f>SUM(B6:I6)</f>
        <v>#VALUE!</v>
      </c>
    </row>
    <row r="7" ht="15" customHeight="1">
      <c r="A7" s="20" t="s">
        <v>29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1">
        <v>0</v>
      </c>
      <c r="I7" s="51">
        <v>0</v>
      </c>
      <c r="J7" s="45">
        <f>SUM(B7:I7)</f>
        <v>0</v>
      </c>
    </row>
    <row r="8" ht="15" customHeight="1">
      <c r="A8" s="20" t="s">
        <v>32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45">
        <f>SUM(B8:I8)</f>
        <v>0</v>
      </c>
    </row>
    <row r="9" ht="15" customHeight="1">
      <c r="A9" s="16" t="s">
        <v>167</v>
      </c>
      <c r="B9" s="46" t="e">
        <f ref="B9:I9" t="shared" si="0">SUM(B6:B8)</f>
        <v>#VALUE!</v>
      </c>
      <c r="C9" s="46">
        <f t="shared" si="0"/>
        <v>0</v>
      </c>
      <c r="D9" s="46">
        <f t="shared" si="0"/>
        <v>0</v>
      </c>
      <c r="E9" s="46">
        <f t="shared" si="0"/>
        <v>0</v>
      </c>
      <c r="F9" s="46">
        <f t="shared" si="0"/>
        <v>0</v>
      </c>
      <c r="G9" s="46">
        <f t="shared" si="0"/>
        <v>0</v>
      </c>
      <c r="H9" s="46">
        <f t="shared" si="0"/>
        <v>0</v>
      </c>
      <c r="I9" s="46">
        <f t="shared" si="0"/>
        <v>0</v>
      </c>
      <c r="J9" s="46" t="e">
        <f>SUM(B9:I9)</f>
        <v>#VALUE!</v>
      </c>
    </row>
  </sheetData>
  <mergeCells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22" customWidth="1"/>
    <col min="2" max="5" width="18" customWidth="1"/>
  </cols>
  <sheetData>
    <row r="1" ht="17.25" customHeight="1">
      <c r="A1" s="14" t="s">
        <v>168</v>
      </c>
      <c r="B1" s="14"/>
      <c r="C1" s="14"/>
      <c r="D1" s="14"/>
      <c r="E1" s="14"/>
      <c r="F1" s="14"/>
    </row>
    <row r="2" ht="15" customHeight="1">
      <c r="A2" s="10" t="s">
        <v>169</v>
      </c>
      <c r="B2" s="10"/>
      <c r="C2" s="10"/>
      <c r="D2" s="10"/>
      <c r="E2" s="10"/>
      <c r="F2" s="10"/>
    </row>
    <row r="4" ht="15" customHeight="1">
      <c r="A4" s="26" t="s">
        <v>170</v>
      </c>
      <c r="B4" s="54" t="s">
        <v>171</v>
      </c>
    </row>
    <row r="6" ht="15" customHeight="1">
      <c r="A6" s="28" t="s">
        <v>172</v>
      </c>
      <c r="B6" s="28" t="s">
        <v>173</v>
      </c>
      <c r="C6" s="28" t="s">
        <v>171</v>
      </c>
      <c r="D6" s="28" t="s">
        <v>174</v>
      </c>
      <c r="E6" s="28" t="s">
        <v>175</v>
      </c>
    </row>
    <row r="7" ht="15" customHeight="1">
      <c r="A7" s="16" t="s">
        <v>176</v>
      </c>
      <c r="B7" s="20" t="s">
        <v>177</v>
      </c>
      <c r="C7" s="20" t="s">
        <v>178</v>
      </c>
      <c r="D7" s="20" t="s">
        <v>179</v>
      </c>
      <c r="E7" s="20" t="s">
        <v>180</v>
      </c>
    </row>
    <row r="8" ht="15" customHeight="1">
      <c r="A8" s="16" t="s">
        <v>181</v>
      </c>
      <c r="B8" s="20" t="s">
        <v>182</v>
      </c>
      <c r="C8" s="20" t="s">
        <v>91</v>
      </c>
      <c r="D8" s="20" t="s">
        <v>183</v>
      </c>
      <c r="E8" s="20" t="s">
        <v>184</v>
      </c>
    </row>
    <row r="9" ht="15" customHeight="1">
      <c r="A9" s="16" t="s">
        <v>185</v>
      </c>
      <c r="B9" s="20" t="s">
        <v>182</v>
      </c>
      <c r="C9" s="20" t="s">
        <v>91</v>
      </c>
      <c r="D9" s="20" t="s">
        <v>183</v>
      </c>
      <c r="E9" s="20" t="s">
        <v>184</v>
      </c>
    </row>
    <row r="10" ht="15" customHeight="1">
      <c r="A10" s="16" t="s">
        <v>186</v>
      </c>
      <c r="B10" s="20" t="s">
        <v>187</v>
      </c>
      <c r="C10" s="20" t="s">
        <v>188</v>
      </c>
      <c r="D10" s="20" t="s">
        <v>189</v>
      </c>
      <c r="E10" s="20" t="s">
        <v>190</v>
      </c>
    </row>
    <row r="11" ht="15" customHeight="1">
      <c r="A11" s="55"/>
      <c r="B11" s="20"/>
      <c r="C11" s="20"/>
      <c r="D11" s="20"/>
      <c r="E11" s="20"/>
    </row>
    <row r="12" ht="15" customHeight="1">
      <c r="A12" s="16" t="s">
        <v>191</v>
      </c>
      <c r="B12" s="20"/>
      <c r="C12" s="20"/>
      <c r="D12" s="20"/>
      <c r="E12" s="20"/>
    </row>
    <row r="13" ht="15" customHeight="1">
      <c r="A13" s="16" t="s">
        <v>145</v>
      </c>
      <c r="B13" s="20" t="s">
        <v>192</v>
      </c>
      <c r="C13" s="20" t="s">
        <v>193</v>
      </c>
      <c r="D13" s="20" t="s">
        <v>194</v>
      </c>
      <c r="E13" s="20" t="s">
        <v>195</v>
      </c>
    </row>
    <row r="14" ht="15" customHeight="1">
      <c r="A14" s="16" t="s">
        <v>196</v>
      </c>
      <c r="B14" s="20" t="s">
        <v>197</v>
      </c>
      <c r="C14" s="20" t="s">
        <v>194</v>
      </c>
      <c r="D14" s="20" t="s">
        <v>193</v>
      </c>
      <c r="E14" s="20" t="s">
        <v>198</v>
      </c>
    </row>
    <row r="15" ht="15" customHeight="1">
      <c r="A15" s="16" t="s">
        <v>199</v>
      </c>
      <c r="B15" s="20" t="s">
        <v>192</v>
      </c>
      <c r="C15" s="20" t="s">
        <v>193</v>
      </c>
      <c r="D15" s="20" t="s">
        <v>194</v>
      </c>
      <c r="E15" s="20" t="s">
        <v>200</v>
      </c>
    </row>
    <row r="16" ht="15" customHeight="1">
      <c r="A16" s="16" t="s">
        <v>201</v>
      </c>
      <c r="B16" s="20" t="s">
        <v>202</v>
      </c>
      <c r="C16" s="20" t="s">
        <v>193</v>
      </c>
      <c r="D16" s="20" t="s">
        <v>203</v>
      </c>
      <c r="E16" s="20" t="s">
        <v>204</v>
      </c>
    </row>
    <row r="20" ht="15" customHeight="1">
      <c r="A20" s="12" t="s">
        <v>205</v>
      </c>
      <c r="B20" s="12"/>
      <c r="C20" s="12"/>
      <c r="D20" s="12"/>
      <c r="E20" s="12"/>
      <c r="F20" s="12"/>
    </row>
    <row r="21" ht="15" customHeight="1">
      <c r="A21" s="19" t="s">
        <v>206</v>
      </c>
      <c r="B21" s="19" t="s">
        <v>173</v>
      </c>
      <c r="C21" s="19" t="s">
        <v>171</v>
      </c>
      <c r="D21" s="19" t="s">
        <v>174</v>
      </c>
      <c r="E21" s="19" t="s">
        <v>207</v>
      </c>
      <c r="F21" s="19" t="s">
        <v>208</v>
      </c>
    </row>
    <row r="22" ht="15" customHeight="1">
      <c r="A22" s="16" t="s">
        <v>209</v>
      </c>
      <c r="B22" s="45" t="e">
        <f>Costos!F13</f>
        <v>#VALUE!</v>
      </c>
      <c r="C22" s="45" t="e">
        <f>Costos!F13</f>
        <v>#VALUE!</v>
      </c>
      <c r="D22" s="45" t="e">
        <f>Costos!F13*0.9</f>
        <v>#VALUE!</v>
      </c>
      <c r="E22" s="56" t="e">
        <f>MIN(B22:D22)</f>
        <v>#VALUE!</v>
      </c>
      <c r="F22" s="45" t="e">
        <f ref="F22:F27" t="shared" si="0">MAX(B22:D22)-MIN(B22:D22)</f>
        <v>#VALUE!</v>
      </c>
    </row>
    <row r="23" ht="15" customHeight="1">
      <c r="A23" s="16" t="s">
        <v>210</v>
      </c>
      <c r="B23" s="45">
        <f>Cashflow_Integrado!J33</f>
        <v>0</v>
      </c>
      <c r="C23" s="45">
        <f>Cashflow_Integrado!J33</f>
        <v>0</v>
      </c>
      <c r="D23" s="45">
        <f>Cashflow_Integrado!J33*0.92</f>
        <v>0</v>
      </c>
      <c r="E23" s="56">
        <f>MIN(B23:D23)</f>
        <v>0</v>
      </c>
      <c r="F23" s="45">
        <f t="shared" si="0"/>
        <v>0</v>
      </c>
    </row>
    <row r="24" ht="15" customHeight="1">
      <c r="A24" s="16" t="s">
        <v>211</v>
      </c>
      <c r="B24" s="45">
        <f>Cashflow_Integrado!B37</f>
        <v>0</v>
      </c>
      <c r="C24" s="45">
        <f>Cashflow_Integrado!B37</f>
        <v>0</v>
      </c>
      <c r="D24" s="45">
        <f>Cashflow_Integrado!B37*1.15</f>
        <v>0</v>
      </c>
      <c r="E24" s="56">
        <f>MIN(B24:D24)</f>
        <v>0</v>
      </c>
      <c r="F24" s="45">
        <f t="shared" si="0"/>
        <v>0</v>
      </c>
    </row>
    <row r="25" ht="15" customHeight="1">
      <c r="A25" s="16" t="s">
        <v>212</v>
      </c>
      <c r="B25" s="20">
        <v>0</v>
      </c>
      <c r="C25" s="20">
        <v>1</v>
      </c>
      <c r="D25" s="20">
        <v>3</v>
      </c>
      <c r="E25" s="57">
        <f>MIN(B25:D25)</f>
        <v>0</v>
      </c>
      <c r="F25" s="31">
        <f t="shared" si="0"/>
        <v>3</v>
      </c>
    </row>
    <row r="26" ht="15" customHeight="1">
      <c r="A26" s="16" t="s">
        <v>213</v>
      </c>
      <c r="B26" s="45">
        <f>Riesgo_Proveedor_B!I14</f>
        <v>0</v>
      </c>
      <c r="C26" s="45">
        <f>Riesgo_Proveedor_B!I14</f>
        <v>0</v>
      </c>
      <c r="D26" s="45">
        <f>Riesgo_Proveedor_B!I14*2.5</f>
        <v>0</v>
      </c>
      <c r="E26" s="56">
        <f>MIN(B26:D26)</f>
        <v>0</v>
      </c>
      <c r="F26" s="45">
        <f t="shared" si="0"/>
        <v>0</v>
      </c>
    </row>
    <row r="27" ht="15" customHeight="1">
      <c r="A27" s="16" t="s">
        <v>214</v>
      </c>
      <c r="B27" s="20">
        <v>1.5</v>
      </c>
      <c r="C27" s="20">
        <v>1</v>
      </c>
      <c r="D27" s="20">
        <v>0.5</v>
      </c>
      <c r="E27" s="57">
        <f>MAX(B27:D27)</f>
        <v>1.5</v>
      </c>
      <c r="F27" s="31">
        <f t="shared" si="0"/>
        <v>1</v>
      </c>
    </row>
  </sheetData>
  <mergeCells>
    <mergeCell ref="A1:F1"/>
    <mergeCell ref="A2:F2"/>
    <mergeCell ref="A20:F2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zoomScaleNormal="100" workbookViewId="0">
      <selection sqref="A1:J1"/>
    </sheetView>
  </sheetViews>
  <sheetFormatPr baseColWidth="10" defaultColWidth="8.6640625" defaultRowHeight="14.4" x14ac:dyDescent="0.3"/>
  <cols>
    <col min="1" max="10" width="13" customWidth="1"/>
  </cols>
  <sheetData>
    <row r="1" ht="17.25" customHeight="1">
      <c r="A1" s="14" t="s">
        <v>215</v>
      </c>
      <c r="B1" s="14"/>
      <c r="C1" s="14"/>
      <c r="D1" s="14"/>
      <c r="E1" s="14"/>
      <c r="F1" s="14"/>
      <c r="G1" s="14"/>
      <c r="H1" s="14"/>
      <c r="I1" s="14"/>
      <c r="J1" s="14"/>
    </row>
    <row r="2" ht="15" customHeight="1">
      <c r="A2" s="10" t="s">
        <v>216</v>
      </c>
      <c r="B2" s="10"/>
      <c r="C2" s="10"/>
      <c r="D2" s="10"/>
      <c r="E2" s="10"/>
      <c r="F2" s="10"/>
      <c r="G2" s="10"/>
      <c r="H2" s="10"/>
      <c r="I2" s="10"/>
      <c r="J2" s="10"/>
    </row>
    <row r="4" ht="15" customHeight="1">
      <c r="A4" s="12" t="s">
        <v>217</v>
      </c>
      <c r="B4" s="12"/>
      <c r="C4" s="12"/>
      <c r="D4" s="12"/>
      <c r="E4" s="12"/>
      <c r="F4" s="12"/>
      <c r="G4" s="12"/>
      <c r="H4" s="12"/>
      <c r="I4" s="12"/>
      <c r="J4" s="12"/>
    </row>
    <row r="5" ht="15" customHeight="1">
      <c r="A5" s="0" t="s">
        <v>218</v>
      </c>
      <c r="B5" s="58">
        <f>SUM(Compras_y_Lotes!F18:F25)</f>
      </c>
    </row>
    <row r="7" ht="15" customHeight="1">
      <c r="A7" s="40" t="s">
        <v>219</v>
      </c>
      <c r="B7" s="40" t="s">
        <v>86</v>
      </c>
      <c r="C7" s="40" t="s">
        <v>88</v>
      </c>
      <c r="D7" s="40" t="s">
        <v>89</v>
      </c>
      <c r="E7" s="40" t="s">
        <v>220</v>
      </c>
      <c r="F7" s="40" t="s">
        <v>160</v>
      </c>
      <c r="G7" s="40" t="s">
        <v>87</v>
      </c>
      <c r="H7" s="40" t="s">
        <v>221</v>
      </c>
      <c r="I7" s="40" t="s">
        <v>222</v>
      </c>
      <c r="J7" s="40" t="s">
        <v>223</v>
      </c>
    </row>
    <row r="8" ht="15" customHeight="1">
      <c r="A8" s="20" t="s">
        <v>91</v>
      </c>
      <c r="B8" s="53">
        <f>XLOOKUP(A8,Inputs!$A$107:$A$109,Inputs!$B$107:$B$109)</f>
      </c>
      <c r="C8" s="59">
        <f>LET(txt,XLOOKUP(A8,Inputs!$A$107:$A$109,Inputs!$D$107:$D$109),IFERROR(VALUE(LEFT(txt,FIND("%",txt)-1))/100,0))</f>
      </c>
      <c r="D8" s="20">
        <f>IFERROR(--XLOOKUP(A8,Inputs!$A$107:$A$109,Inputs!$E$107:$E$109),0)</f>
      </c>
      <c r="E8" s="45">
        <f>B8</f>
        <v>125</v>
      </c>
      <c r="F8" s="45">
        <f>B5*E8</f>
        <v>68750</v>
      </c>
      <c r="G8" s="20">
        <f>XLOOKUP(A8,Inputs!$A$107:$A$109,Inputs!$C$107:$C$109)</f>
      </c>
      <c r="H8" s="20">
        <f>LET(txt,XLOOKUP(A8,Inputs!$A$107:$A$109,Inputs!$F$107:$F$109),IFERROR(1-VALUE(LEFT(txt,FIND("%",txt)-1))/100,0))</f>
      </c>
      <c r="I8" s="45">
        <f>F8</f>
        <v>68750</v>
      </c>
      <c r="J8" s="20">
        <v>0</v>
      </c>
    </row>
    <row r="9" ht="15" customHeight="1">
      <c r="A9" s="20" t="s">
        <v>95</v>
      </c>
      <c r="B9" s="53">
        <f>XLOOKUP(A9,Inputs!$A$107:$A$109,Inputs!$B$107:$B$109)</f>
      </c>
      <c r="C9" s="59">
        <f>LET(txt,XLOOKUP(A9,Inputs!$A$107:$A$109,Inputs!$D$107:$D$109),IFERROR(VALUE(LEFT(txt,FIND("%",txt)-1))/100,0))</f>
      </c>
      <c r="D9" s="20">
        <f>IFERROR(--XLOOKUP(A9,Inputs!$A$107:$A$109,Inputs!$E$107:$E$109),0)</f>
      </c>
      <c r="E9" s="45">
        <f>IF(B5&gt;=D9,B9*(1-C9),B9)</f>
        <v>105</v>
      </c>
      <c r="F9" s="45">
        <f>B5*E9</f>
        <v>57750</v>
      </c>
      <c r="G9" s="20">
        <f>XLOOKUP(A9,Inputs!$A$107:$A$109,Inputs!$C$107:$C$109)</f>
      </c>
      <c r="H9" s="20">
        <f>LET(txt,XLOOKUP(A9,Inputs!$A$107:$A$109,Inputs!$F$107:$F$109),IFERROR(1-VALUE(LEFT(txt,FIND("%",txt)-1))/100,0))</f>
      </c>
      <c r="I9" s="45">
        <f>F9*1.05</f>
        <v>60637.5</v>
      </c>
      <c r="J9" s="20">
        <v>0</v>
      </c>
    </row>
    <row r="10" ht="15" customHeight="1">
      <c r="A10" s="20" t="s">
        <v>99</v>
      </c>
      <c r="B10" s="53">
        <f>XLOOKUP(A10,Inputs!$A$107:$A$109,Inputs!$B$107:$B$109)</f>
      </c>
      <c r="C10" s="59">
        <f>LET(txt,XLOOKUP(A10,Inputs!$A$107:$A$109,Inputs!$D$107:$D$109),IFERROR(VALUE(LEFT(txt,FIND("%",txt)-1))/100,0))</f>
      </c>
      <c r="D10" s="20">
        <f>IFERROR(--XLOOKUP(A10,Inputs!$A$107:$A$109,Inputs!$E$107:$E$109),0)</f>
      </c>
      <c r="E10" s="45">
        <f>B10</f>
        <v>140</v>
      </c>
      <c r="F10" s="45">
        <f>B5*E10</f>
        <v>77000</v>
      </c>
      <c r="G10" s="20">
        <f>XLOOKUP(A10,Inputs!$A$107:$A$109,Inputs!$C$107:$C$109)</f>
      </c>
      <c r="H10" s="20">
        <f>LET(txt,XLOOKUP(A10,Inputs!$A$107:$A$109,Inputs!$F$107:$F$109),IFERROR(1-VALUE(LEFT(txt,FIND("%",txt)-1))/100,0))</f>
      </c>
      <c r="I10" s="45">
        <f>F10*0.97</f>
        <v>74690</v>
      </c>
      <c r="J10" s="20">
        <v>0</v>
      </c>
    </row>
    <row r="11" ht="15" customHeight="1">
      <c r="A11" s="26" t="s">
        <v>224</v>
      </c>
      <c r="B11" s="60" t="str">
        <f>INDEX(A8:A10,MATCH(MIN(I8:I10),I8:I10,0))</f>
        <v>B</v>
      </c>
    </row>
    <row r="14" ht="15" customHeight="1">
      <c r="A14" s="12" t="s">
        <v>225</v>
      </c>
      <c r="B14" s="12"/>
      <c r="C14" s="12"/>
      <c r="D14" s="12"/>
      <c r="E14" s="12"/>
      <c r="F14" s="12"/>
      <c r="G14" s="12"/>
      <c r="H14" s="12"/>
      <c r="I14" s="12"/>
      <c r="J14" s="12"/>
    </row>
    <row r="15" ht="15" customHeight="1">
      <c r="A15" s="0" t="s">
        <v>218</v>
      </c>
      <c r="B15" s="58">
        <f>SUM(Compras_y_Lotes!F26:F33)</f>
      </c>
    </row>
    <row r="17" ht="15" customHeight="1">
      <c r="A17" s="19" t="s">
        <v>219</v>
      </c>
      <c r="B17" s="19">
        <v>330</v>
      </c>
      <c r="C17" s="19" t="s">
        <v>88</v>
      </c>
      <c r="D17" s="19" t="s">
        <v>89</v>
      </c>
      <c r="E17" s="19" t="s">
        <v>220</v>
      </c>
      <c r="F17" s="19" t="s">
        <v>160</v>
      </c>
      <c r="G17" s="19" t="s">
        <v>87</v>
      </c>
      <c r="H17" s="19" t="s">
        <v>221</v>
      </c>
      <c r="I17" s="19" t="s">
        <v>222</v>
      </c>
      <c r="J17" s="19" t="s">
        <v>223</v>
      </c>
    </row>
    <row r="18" ht="15" customHeight="1">
      <c r="A18" s="20" t="s">
        <v>91</v>
      </c>
      <c r="B18" s="53">
        <f>XLOOKUP(A18,Inputs!$A$115:$A$117,Inputs!$B$115:$B$117)</f>
      </c>
      <c r="C18" s="59">
        <f>LET(txt,XLOOKUP(A18,Inputs!$A$115:$A$117,Inputs!$D$115:$D$117),IFERROR(VALUE(LEFT(txt,FIND("%",txt)-1))/100,0))</f>
      </c>
      <c r="D18" s="20">
        <f>IFERROR(--XLOOKUP(A18,Inputs!$A$115:$A$117,Inputs!$E$115:$E$117),0)</f>
      </c>
      <c r="E18" s="45">
        <f>B18</f>
        <v>264</v>
      </c>
      <c r="F18" s="45">
        <f>B15*E18</f>
        <v>50160</v>
      </c>
      <c r="G18" s="20">
        <f>XLOOKUP(A18,Inputs!$A$115:$A$117,Inputs!$C$115:$C$117)</f>
      </c>
      <c r="H18" s="20">
        <f>LET(txt,XLOOKUP(A18,Inputs!$A$115:$A$117,Inputs!$F$115:$F$117),IFERROR(1-VALUE(LEFT(txt,FIND("%",txt)-1))/100,0))</f>
      </c>
      <c r="I18" s="45" t="str">
        <f>F17</f>
        <v>Costo Compra</v>
      </c>
      <c r="J18" s="20">
        <v>0</v>
      </c>
    </row>
    <row r="19" ht="15" customHeight="1">
      <c r="A19" s="20" t="s">
        <v>95</v>
      </c>
      <c r="B19" s="53">
        <f>XLOOKUP(A19,Inputs!$A$115:$A$117,Inputs!$B$115:$B$117)</f>
      </c>
      <c r="C19" s="59">
        <f>LET(txt,XLOOKUP(A19,Inputs!$A$115:$A$117,Inputs!$D$115:$D$117),IFERROR(VALUE(LEFT(txt,FIND("%",txt)-1))/100,0))</f>
      </c>
      <c r="D19" s="20">
        <f>IFERROR(--XLOOKUP(A19,Inputs!$A$115:$A$117,Inputs!$E$115:$E$117),0)</f>
      </c>
      <c r="E19" s="45">
        <f>IF(B15&gt;=D19,B19*(1-C19),B19)</f>
        <v>296</v>
      </c>
      <c r="F19" s="45">
        <f>B15*E19</f>
        <v>56240</v>
      </c>
      <c r="G19" s="20">
        <f>XLOOKUP(A19,Inputs!$A$115:$A$117,Inputs!$C$115:$C$117)</f>
      </c>
      <c r="H19" s="20">
        <f>LET(txt,XLOOKUP(A19,Inputs!$A$115:$A$117,Inputs!$F$115:$F$117),IFERROR(1-VALUE(LEFT(txt,FIND("%",txt)-1))/100,0))</f>
      </c>
      <c r="I19" s="45">
        <f>F19*1.05</f>
        <v>59052</v>
      </c>
      <c r="J19" s="20">
        <v>0</v>
      </c>
    </row>
    <row r="20" ht="15" customHeight="1">
      <c r="A20" s="20" t="s">
        <v>99</v>
      </c>
      <c r="B20" s="53">
        <f>XLOOKUP(A20,Inputs!$A$115:$A$117,Inputs!$B$115:$B$117)</f>
      </c>
      <c r="C20" s="59">
        <f>LET(txt,XLOOKUP(A20,Inputs!$A$115:$A$117,Inputs!$D$115:$D$117),IFERROR(VALUE(LEFT(txt,FIND("%",txt)-1))/100,0))</f>
      </c>
      <c r="D20" s="20">
        <f>IFERROR(--XLOOKUP(A20,Inputs!$A$115:$A$117,Inputs!$E$115:$E$117),0)</f>
      </c>
      <c r="E20" s="45">
        <f>B20</f>
        <v>370</v>
      </c>
      <c r="F20" s="45">
        <f>B15*E20</f>
        <v>70300</v>
      </c>
      <c r="G20" s="20">
        <f>XLOOKUP(A20,Inputs!$A$115:$A$117,Inputs!$C$115:$C$117)</f>
      </c>
      <c r="H20" s="20">
        <f>LET(txt,XLOOKUP(A20,Inputs!$A$115:$A$117,Inputs!$F$115:$F$117),IFERROR(1-VALUE(LEFT(txt,FIND("%",txt)-1))/100,0))</f>
      </c>
      <c r="I20" s="45">
        <f>F20*0.97</f>
        <v>68191</v>
      </c>
      <c r="J20" s="20">
        <v>0</v>
      </c>
    </row>
    <row r="21" ht="15" customHeight="1">
      <c r="A21" s="26" t="s">
        <v>224</v>
      </c>
      <c r="B21" s="61" t="str">
        <f>INDEX(A18:A20,MATCH(MIN(I18:I20),I18:I20,0))</f>
        <v>B</v>
      </c>
    </row>
  </sheetData>
  <mergeCells>
    <mergeCell ref="A1:J1"/>
    <mergeCell ref="A2:J2"/>
    <mergeCell ref="A4:J4"/>
    <mergeCell ref="A14:J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workbookViewId="0"/>
  </sheetViews>
  <sheetFormatPr baseColWidth="10" defaultColWidth="8.6640625" defaultRowHeight="14.4" x14ac:dyDescent="0.3"/>
  <cols>
    <col min="1" max="1" width="25" customWidth="1"/>
    <col min="2" max="2" width="18" customWidth="1"/>
  </cols>
  <sheetData>
    <row r="1" ht="24.75" customHeight="1">
      <c r="A1" s="4" t="s">
        <v>226</v>
      </c>
      <c r="B1" s="4"/>
      <c r="C1" s="4"/>
      <c r="D1" s="4"/>
      <c r="E1" s="4"/>
      <c r="F1" s="4"/>
      <c r="G1" s="4"/>
      <c r="H1" s="4"/>
    </row>
    <row r="3" ht="15" customHeight="1">
      <c r="A3" s="12" t="s">
        <v>227</v>
      </c>
      <c r="B3" s="12"/>
      <c r="C3" s="12"/>
      <c r="D3" s="12"/>
      <c r="E3" s="12"/>
      <c r="F3" s="12"/>
      <c r="G3" s="12"/>
      <c r="H3" s="12"/>
    </row>
    <row r="5" ht="15" customHeight="1">
      <c r="A5" s="62" t="s">
        <v>228</v>
      </c>
      <c r="B5" s="63" t="e">
        <f>Costos!F13</f>
        <v>#VALUE!</v>
      </c>
    </row>
    <row r="6" ht="15" customHeight="1">
      <c r="A6" s="62" t="s">
        <v>229</v>
      </c>
      <c r="B6" s="63" t="e">
        <f>Cashflow_Compras!J9</f>
        <v>#VALUE!</v>
      </c>
    </row>
    <row r="7" ht="15" customHeight="1">
      <c r="A7" s="62" t="s">
        <v>230</v>
      </c>
      <c r="B7" s="18">
        <f>SUM(Costos!C5:C12)</f>
        <v>6</v>
      </c>
      <c r="C7" s="32" t="s">
        <v>231</v>
      </c>
    </row>
    <row r="8" ht="15" customHeight="1">
      <c r="A8" s="62" t="s">
        <v>232</v>
      </c>
      <c r="B8" s="63" t="e">
        <f>MAX(Cashflow_Compras!B9:I9)</f>
        <v>#VALUE!</v>
      </c>
    </row>
    <row r="9" ht="15" customHeight="1">
      <c r="A9" s="62"/>
    </row>
    <row r="10" ht="15" customHeight="1">
      <c r="A10" s="62" t="s">
        <v>233</v>
      </c>
      <c r="B10" s="64" t="s">
        <v>234</v>
      </c>
      <c r="C10" s="32" t="s">
        <v>235</v>
      </c>
    </row>
    <row r="11" ht="15" customHeight="1">
      <c r="A11" s="62" t="s">
        <v>236</v>
      </c>
      <c r="B11" s="64" t="s">
        <v>234</v>
      </c>
      <c r="C11" s="32" t="s">
        <v>235</v>
      </c>
    </row>
    <row r="14" ht="15" customHeight="1">
      <c r="A14" s="12" t="s">
        <v>237</v>
      </c>
      <c r="B14" s="12"/>
      <c r="C14" s="12"/>
      <c r="D14" s="12"/>
      <c r="E14" s="12"/>
      <c r="F14" s="12"/>
      <c r="G14" s="12"/>
      <c r="H14" s="12"/>
    </row>
    <row r="16" ht="15" customHeight="1">
      <c r="A16" s="62" t="s">
        <v>238</v>
      </c>
      <c r="B16" s="65" t="str">
        <f>Inputs!B94</f>
        <v>Ordering Cost</v>
      </c>
    </row>
    <row r="17" ht="15" customHeight="1">
      <c r="A17" s="62" t="s">
        <v>239</v>
      </c>
      <c r="B17" s="65" t="str">
        <f>Inputs!B110</f>
        <v>C</v>
      </c>
    </row>
    <row r="18" ht="15" customHeight="1">
      <c r="A18" s="62" t="s">
        <v>240</v>
      </c>
      <c r="B18" s="65" t="str">
        <f>Escenarios!B4</f>
        <v>Base</v>
      </c>
    </row>
    <row r="25" ht="15" customHeight="1">
      <c r="A25" s="3" t="s">
        <v>241</v>
      </c>
      <c r="B25" s="3"/>
      <c r="C25" s="3"/>
      <c r="D25" s="3"/>
      <c r="E25" s="3"/>
      <c r="F25" s="3"/>
    </row>
    <row r="27" ht="15" customHeight="1">
      <c r="A27" s="62" t="s">
        <v>242</v>
      </c>
      <c r="B27" s="66">
        <f>COUNTIF(Inventario_Dinamico!J52:J59,"&lt;0")</f>
        <v>0</v>
      </c>
      <c r="C27" s="32" t="s">
        <v>235</v>
      </c>
    </row>
    <row r="28" ht="15" customHeight="1">
      <c r="A28" s="62" t="s">
        <v>243</v>
      </c>
      <c r="B28" s="66" t="str">
        <f>IF(OR(Inputs!B94="B",Inputs!B110="B"),"SÍ - REVISAR","NO")</f>
        <v>NO</v>
      </c>
    </row>
    <row r="29" ht="15" customHeight="1">
      <c r="A29" s="62" t="s">
        <v>244</v>
      </c>
      <c r="B29" s="66" t="str">
        <f>IF(Cashflow_Integrado!B37&gt;100000,"SÍ - ALERTA","NO")</f>
        <v>NO</v>
      </c>
    </row>
  </sheetData>
  <mergeCells>
    <mergeCell ref="A1:H1"/>
    <mergeCell ref="A3:H3"/>
    <mergeCell ref="A14:H14"/>
    <mergeCell ref="A25:F2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zoomScaleNormal="100" workbookViewId="0">
      <selection sqref="A1:J1"/>
    </sheetView>
  </sheetViews>
  <sheetFormatPr baseColWidth="10" defaultColWidth="8.6640625" defaultRowHeight="14.4" x14ac:dyDescent="0.3"/>
  <cols>
    <col min="1" max="1" width="15" customWidth="1"/>
    <col min="2" max="7" width="13" customWidth="1"/>
    <col min="8" max="8" width="18" customWidth="1"/>
    <col min="9" max="9" width="13" customWidth="1"/>
  </cols>
  <sheetData>
    <row r="1" ht="17.25" customHeight="1">
      <c r="A1" s="2" t="s">
        <v>245</v>
      </c>
      <c r="B1" s="2"/>
      <c r="C1" s="2"/>
      <c r="D1" s="2"/>
      <c r="E1" s="2"/>
      <c r="F1" s="2"/>
      <c r="G1" s="2"/>
      <c r="H1" s="2"/>
      <c r="I1" s="2"/>
      <c r="J1" s="2"/>
    </row>
    <row r="2" ht="15" customHeight="1">
      <c r="A2" s="83" t="s">
        <v>246</v>
      </c>
      <c r="B2" s="83"/>
      <c r="C2" s="83"/>
      <c r="D2" s="83"/>
      <c r="E2" s="83"/>
      <c r="F2" s="83"/>
      <c r="G2" s="83"/>
      <c r="H2" s="83"/>
      <c r="I2" s="83"/>
      <c r="J2" s="83"/>
    </row>
    <row r="4" ht="15" customHeight="1">
      <c r="A4" s="12" t="s">
        <v>247</v>
      </c>
      <c r="B4" s="12"/>
      <c r="C4" s="12"/>
      <c r="D4" s="12"/>
    </row>
    <row r="6" ht="15" customHeight="1">
      <c r="A6" s="19" t="s">
        <v>172</v>
      </c>
      <c r="B6" s="19" t="s">
        <v>248</v>
      </c>
      <c r="C6" s="19" t="s">
        <v>28</v>
      </c>
    </row>
    <row r="7" ht="15" customHeight="1">
      <c r="A7" s="20" t="s">
        <v>249</v>
      </c>
      <c r="B7" s="67">
        <v>0.2</v>
      </c>
      <c r="C7" s="20" t="s">
        <v>250</v>
      </c>
    </row>
    <row r="8" ht="15" customHeight="1">
      <c r="A8" s="20" t="s">
        <v>251</v>
      </c>
      <c r="B8" s="43">
        <v>150</v>
      </c>
      <c r="C8" s="20" t="s">
        <v>252</v>
      </c>
    </row>
    <row r="9" ht="15" customHeight="1">
      <c r="A9" s="20" t="s">
        <v>253</v>
      </c>
      <c r="B9" s="43">
        <v>1</v>
      </c>
      <c r="C9" s="20" t="s">
        <v>254</v>
      </c>
    </row>
    <row r="12" ht="15" customHeight="1">
      <c r="A12" s="12" t="s">
        <v>255</v>
      </c>
      <c r="B12" s="12"/>
      <c r="C12" s="12"/>
      <c r="D12" s="12"/>
      <c r="E12" s="12"/>
      <c r="F12" s="12"/>
      <c r="G12" s="12"/>
      <c r="H12" s="12"/>
      <c r="I12" s="12"/>
      <c r="J12" s="12"/>
    </row>
    <row r="13" ht="23.25" customHeight="1">
      <c r="A13" s="40" t="s">
        <v>21</v>
      </c>
      <c r="B13" s="40" t="s">
        <v>256</v>
      </c>
      <c r="C13" s="40" t="s">
        <v>257</v>
      </c>
      <c r="D13" s="40" t="s">
        <v>258</v>
      </c>
      <c r="E13" s="40" t="s">
        <v>259</v>
      </c>
      <c r="F13" s="40" t="s">
        <v>260</v>
      </c>
      <c r="G13" s="40" t="s">
        <v>261</v>
      </c>
      <c r="H13" s="40" t="s">
        <v>262</v>
      </c>
      <c r="I13" s="40" t="s">
        <v>213</v>
      </c>
    </row>
    <row r="14" ht="15" customHeight="1">
      <c r="A14" s="20" t="s">
        <v>29</v>
      </c>
      <c r="B14" s="68">
        <f>XLOOKUP("PROVEEDOR ELEGIDO*",Inputs!$A$105:$A$110,Inputs!$B$105:$B$110,"",2)</f>
      </c>
      <c r="C14" s="41">
        <f>SUM(Compras_y_Lotes!F18:F25)</f>
        <v>0</v>
      </c>
      <c r="D14" s="69">
        <f>IF(B14="B",$B$7,0)</f>
        <v>0</v>
      </c>
      <c r="E14" s="70">
        <f>C14*D14</f>
        <v>0</v>
      </c>
      <c r="F14" s="42">
        <f>E14*XLOOKUP(A14,Inputs!$A$66:$A$73,Inputs!$B$66:$B$73)</f>
      </c>
      <c r="G14" s="71">
        <f>F14/XLOOKUP(A14,Inputs!$A$48:$A$55,Inputs!$B$48:$B$55)</f>
      </c>
      <c r="H14" s="45">
        <f>G14*$B$8</f>
        <v>0</v>
      </c>
      <c r="I14" s="72">
        <f>H14</f>
        <v>0</v>
      </c>
    </row>
    <row r="15" ht="15" customHeight="1">
      <c r="A15" s="20" t="s">
        <v>32</v>
      </c>
      <c r="B15" s="68">
        <f>XLOOKUP("PROVEEDOR ELEGIDO*",Inputs!$A$113:$A$118,Inputs!$B$113:$B$118,"",2)</f>
      </c>
      <c r="C15" s="41">
        <f>SUM(Compras_y_Lotes!F26:F33)</f>
        <v>0</v>
      </c>
      <c r="D15" s="69">
        <f>IF(B15="B",$B$7,0)</f>
        <v>0</v>
      </c>
      <c r="E15" s="70">
        <f>C15*D15</f>
        <v>0</v>
      </c>
      <c r="F15" s="42">
        <f>E15*XLOOKUP(A15,Inputs!$A$66:$A$73,Inputs!$B$66:$B$73)</f>
      </c>
      <c r="G15" s="71">
        <f>F15/XLOOKUP(A15,Inputs!$A$48:$A$55,Inputs!$B$48:$B$55)</f>
      </c>
      <c r="H15" s="45">
        <f>G15*$B$8</f>
        <v>0</v>
      </c>
      <c r="I15" s="72">
        <f>H15</f>
        <v>0</v>
      </c>
    </row>
    <row r="18" ht="15" customHeight="1">
      <c r="A18" s="12" t="s">
        <v>263</v>
      </c>
      <c r="B18" s="12"/>
      <c r="C18" s="12"/>
      <c r="D18" s="12"/>
      <c r="E18" s="12"/>
      <c r="F18" s="12"/>
      <c r="G18" s="12"/>
      <c r="H18" s="12"/>
    </row>
    <row r="19" ht="15" customHeight="1">
      <c r="A19" s="19" t="s">
        <v>21</v>
      </c>
      <c r="B19" s="19" t="s">
        <v>219</v>
      </c>
      <c r="C19" s="19" t="s">
        <v>160</v>
      </c>
      <c r="D19" s="19" t="s">
        <v>88</v>
      </c>
      <c r="E19" s="19" t="s">
        <v>264</v>
      </c>
      <c r="F19" s="19" t="s">
        <v>213</v>
      </c>
      <c r="G19" s="19" t="s">
        <v>265</v>
      </c>
      <c r="H19" s="19" t="s">
        <v>266</v>
      </c>
    </row>
    <row r="20" ht="15" customHeight="1">
      <c r="A20" s="20" t="s">
        <v>29</v>
      </c>
      <c r="B20" s="21" t="s">
        <v>91</v>
      </c>
      <c r="C20" s="45">
        <f>SUM(Compras_y_Lotes!I18:I25)</f>
        <v>0</v>
      </c>
      <c r="D20" s="59">
        <v>0</v>
      </c>
      <c r="E20" s="53">
        <v>0</v>
      </c>
      <c r="F20" s="53">
        <v>0</v>
      </c>
      <c r="G20" s="45">
        <f>C20+F20</f>
        <v>0</v>
      </c>
      <c r="H20" s="84"/>
    </row>
    <row r="21" ht="15" customHeight="1">
      <c r="A21" s="20"/>
      <c r="B21" s="21" t="s">
        <v>95</v>
      </c>
      <c r="C21" s="45">
        <f>IF(SUM(Compras_y_Lotes!F18:F25)&gt;=150,C20*(1-0.16),C20)</f>
        <v>0</v>
      </c>
      <c r="D21" s="59">
        <v>0.16</v>
      </c>
      <c r="E21" s="73">
        <f>C20-C21</f>
        <v>0</v>
      </c>
      <c r="F21" s="74">
        <f>I14</f>
        <v>0</v>
      </c>
      <c r="G21" s="45">
        <f>C21+F21</f>
        <v>0</v>
      </c>
      <c r="H21" s="84"/>
    </row>
    <row r="22" ht="15" customHeight="1">
      <c r="A22" s="20" t="s">
        <v>32</v>
      </c>
      <c r="B22" s="21" t="s">
        <v>91</v>
      </c>
      <c r="C22" s="45">
        <f>SUM(Compras_y_Lotes!I26:I33)</f>
        <v>0</v>
      </c>
      <c r="D22" s="59">
        <v>0</v>
      </c>
      <c r="E22" s="53">
        <v>0</v>
      </c>
      <c r="F22" s="53">
        <v>0</v>
      </c>
      <c r="G22" s="45">
        <f>C22+F22</f>
        <v>0</v>
      </c>
      <c r="H22" s="84"/>
    </row>
    <row r="23" ht="15" customHeight="1">
      <c r="A23" s="20"/>
      <c r="B23" s="21" t="s">
        <v>95</v>
      </c>
      <c r="C23" s="45">
        <f>IF(SUM(Compras_y_Lotes!F26:F33)&gt;=80,C22*(1-0.16),C22)</f>
      </c>
      <c r="D23" s="59">
        <v>0.2</v>
      </c>
      <c r="E23" s="73">
        <f>C22-C23</f>
        <v>0</v>
      </c>
      <c r="F23" s="74">
        <f>I15</f>
        <v>0</v>
      </c>
      <c r="G23" s="45">
        <f>C23+F23</f>
        <v>0</v>
      </c>
      <c r="H23" s="84"/>
    </row>
  </sheetData>
  <mergeCells>
    <mergeCell ref="H20:H21"/>
    <mergeCell ref="H22:H23"/>
    <mergeCell ref="A1:J1"/>
    <mergeCell ref="A2:J2"/>
    <mergeCell ref="A4:D4"/>
    <mergeCell ref="A12:J12"/>
    <mergeCell ref="A18:H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3"/>
  <sheetViews>
    <sheetView zoomScaleNormal="100" workbookViewId="0">
      <selection sqref="A1:K1"/>
    </sheetView>
  </sheetViews>
  <sheetFormatPr baseColWidth="10" defaultColWidth="8.6640625" defaultRowHeight="14.4" x14ac:dyDescent="0.3"/>
  <cols>
    <col min="1" max="1" width="22" customWidth="1"/>
    <col min="2" max="10" width="13" customWidth="1"/>
  </cols>
  <sheetData>
    <row r="1" ht="17.25" customHeight="1">
      <c r="A1" s="14" t="s">
        <v>267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15" customHeight="1">
      <c r="A2" s="13" t="s">
        <v>268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ht="15" customHeight="1">
      <c r="A4" s="12" t="s">
        <v>269</v>
      </c>
      <c r="B4" s="12"/>
      <c r="C4" s="12"/>
      <c r="D4" s="12"/>
      <c r="E4" s="12"/>
      <c r="F4" s="12"/>
      <c r="G4" s="12"/>
      <c r="H4" s="12"/>
      <c r="I4" s="12"/>
      <c r="J4" s="12"/>
    </row>
    <row r="5" ht="15" customHeight="1">
      <c r="A5" s="33" t="s">
        <v>129</v>
      </c>
      <c r="B5" s="33" t="s">
        <v>4</v>
      </c>
      <c r="C5" s="33" t="s">
        <v>5</v>
      </c>
      <c r="D5" s="33" t="s">
        <v>6</v>
      </c>
      <c r="E5" s="33" t="s">
        <v>7</v>
      </c>
      <c r="F5" s="33" t="s">
        <v>8</v>
      </c>
      <c r="G5" s="33" t="s">
        <v>9</v>
      </c>
      <c r="H5" s="33" t="s">
        <v>10</v>
      </c>
      <c r="I5" s="33" t="s">
        <v>11</v>
      </c>
      <c r="J5" s="33" t="s">
        <v>12</v>
      </c>
    </row>
    <row r="6" ht="15" customHeight="1">
      <c r="A6" s="16" t="s">
        <v>166</v>
      </c>
      <c r="B6" s="44" t="e">
        <f>Compras_y_Lotes!H13</f>
        <v>#VALUE!</v>
      </c>
      <c r="C6" s="53">
        <v>0</v>
      </c>
      <c r="D6" s="53">
        <v>0</v>
      </c>
      <c r="E6" s="53">
        <v>0</v>
      </c>
      <c r="F6" s="53">
        <v>0</v>
      </c>
      <c r="G6" s="53">
        <v>0</v>
      </c>
      <c r="H6" s="53">
        <v>0</v>
      </c>
      <c r="I6" s="53">
        <v>0</v>
      </c>
      <c r="J6" s="45" t="e">
        <f>B6</f>
        <v>#VALUE!</v>
      </c>
    </row>
    <row r="7" ht="15" customHeight="1">
      <c r="A7" s="20" t="s">
        <v>270</v>
      </c>
      <c r="B7" s="44">
        <f>SUMIFS(Compras_y_Lotes!$I$18:$I$25,Compras_y_Lotes!$K$18:$K$25,B$5)</f>
      </c>
      <c r="C7" s="44">
        <f>SUMIFS(Compras_y_Lotes!$I$18:$I$25,Compras_y_Lotes!$K$18:$K$25,C$5)</f>
      </c>
      <c r="D7" s="44">
        <f>SUMIFS(Compras_y_Lotes!$I$18:$I$25,Compras_y_Lotes!$K$18:$K$25,D$5)</f>
      </c>
      <c r="E7" s="44">
        <f>SUMIFS(Compras_y_Lotes!$I$18:$I$25,Compras_y_Lotes!$K$18:$K$25,E$5)</f>
      </c>
      <c r="F7" s="44">
        <f>SUMIFS(Compras_y_Lotes!$I$18:$I$25,Compras_y_Lotes!$K$18:$K$25,F$5)</f>
      </c>
      <c r="G7" s="44">
        <f>SUMIFS(Compras_y_Lotes!$I$18:$I$25,Compras_y_Lotes!$K$18:$K$25,G$5)</f>
      </c>
      <c r="H7" s="44">
        <f>SUMIFS(Compras_y_Lotes!$I$18:$I$25,Compras_y_Lotes!$K$18:$K$25,H$5)</f>
      </c>
      <c r="I7" s="44">
        <f>SUMIFS(Compras_y_Lotes!$I$18:$I$25,Compras_y_Lotes!$K$18:$K$25,I$5)</f>
      </c>
      <c r="J7" s="45">
        <f>SUM(B7:I7)</f>
        <v>0</v>
      </c>
    </row>
    <row r="8" ht="15" customHeight="1">
      <c r="A8" s="20" t="s">
        <v>271</v>
      </c>
      <c r="B8" s="44">
        <f>SUMIFS(Compras_y_Lotes!$I$26:$I$33,Compras_y_Lotes!$K$26:$K$33,B$5)</f>
      </c>
      <c r="C8" s="44">
        <f>SUMIFS(Compras_y_Lotes!$I$26:$I$33,Compras_y_Lotes!$K$26:$K$33,C$5)</f>
      </c>
      <c r="D8" s="44">
        <f>SUMIFS(Compras_y_Lotes!$I$26:$I$33,Compras_y_Lotes!$K$26:$K$33,D$5)</f>
      </c>
      <c r="E8" s="44">
        <f>SUMIFS(Compras_y_Lotes!$I$26:$I$33,Compras_y_Lotes!$K$26:$K$33,E$5)</f>
      </c>
      <c r="F8" s="44">
        <f>SUMIFS(Compras_y_Lotes!$I$26:$I$33,Compras_y_Lotes!$K$26:$K$33,F$5)</f>
      </c>
      <c r="G8" s="44">
        <f>SUMIFS(Compras_y_Lotes!$I$26:$I$33,Compras_y_Lotes!$K$26:$K$33,G$5)</f>
      </c>
      <c r="H8" s="44">
        <f>SUMIFS(Compras_y_Lotes!$I$26:$I$33,Compras_y_Lotes!$K$26:$K$33,H$5)</f>
      </c>
      <c r="I8" s="44">
        <f>SUMIFS(Compras_y_Lotes!$I$26:$I$33,Compras_y_Lotes!$K$26:$K$33,I$5)</f>
      </c>
      <c r="J8" s="45">
        <f>SUM(B8:I8)</f>
        <v>0</v>
      </c>
    </row>
    <row r="9" ht="15" customHeight="1">
      <c r="A9" s="16" t="s">
        <v>272</v>
      </c>
      <c r="B9" s="75" t="e">
        <f ref="B9:J9" t="shared" si="0">SUM(B6:B8)</f>
        <v>#VALUE!</v>
      </c>
      <c r="C9" s="75">
        <f t="shared" si="0"/>
        <v>0</v>
      </c>
      <c r="D9" s="75">
        <f t="shared" si="0"/>
        <v>0</v>
      </c>
      <c r="E9" s="75">
        <f t="shared" si="0"/>
        <v>0</v>
      </c>
      <c r="F9" s="75">
        <f t="shared" si="0"/>
        <v>0</v>
      </c>
      <c r="G9" s="75">
        <f t="shared" si="0"/>
        <v>0</v>
      </c>
      <c r="H9" s="75">
        <f t="shared" si="0"/>
        <v>0</v>
      </c>
      <c r="I9" s="75">
        <f t="shared" si="0"/>
        <v>0</v>
      </c>
      <c r="J9" s="75" t="e">
        <f t="shared" si="0"/>
        <v>#VALUE!</v>
      </c>
    </row>
    <row r="12" ht="15" customHeight="1">
      <c r="A12" s="12" t="s">
        <v>273</v>
      </c>
      <c r="B12" s="12"/>
      <c r="C12" s="12"/>
      <c r="D12" s="12"/>
      <c r="E12" s="12"/>
      <c r="F12" s="12"/>
      <c r="G12" s="12"/>
      <c r="H12" s="12"/>
      <c r="I12" s="12"/>
      <c r="J12" s="12"/>
    </row>
    <row r="13" ht="15" customHeight="1">
      <c r="A13" s="19" t="s">
        <v>129</v>
      </c>
      <c r="B13" s="19" t="s">
        <v>4</v>
      </c>
      <c r="C13" s="19" t="s">
        <v>5</v>
      </c>
      <c r="D13" s="19" t="s">
        <v>6</v>
      </c>
      <c r="E13" s="19" t="s">
        <v>7</v>
      </c>
      <c r="F13" s="19" t="s">
        <v>8</v>
      </c>
      <c r="G13" s="19" t="s">
        <v>9</v>
      </c>
      <c r="H13" s="19" t="s">
        <v>10</v>
      </c>
      <c r="I13" s="19" t="s">
        <v>11</v>
      </c>
      <c r="J13" s="19" t="s">
        <v>12</v>
      </c>
    </row>
    <row r="14" ht="15" customHeight="1">
      <c r="A14" s="20" t="s">
        <v>29</v>
      </c>
      <c r="B14" s="45">
        <f>IF(Compras_y_Lotes!F18&gt;0,XLOOKUP($A14,Inputs!$A$95:$A$101,Inputs!$B$95:$B$101),0)</f>
      </c>
      <c r="C14" s="45">
        <f>IF(Compras_y_Lotes!F19&gt;0,XLOOKUP($A14,Inputs!$A$95:$A$101,Inputs!$B$95:$B$101),0)</f>
      </c>
      <c r="D14" s="45">
        <f>IF(Compras_y_Lotes!F20&gt;0,XLOOKUP($A14,Inputs!$A$95:$A$101,Inputs!$B$95:$B$101),0)</f>
      </c>
      <c r="E14" s="45">
        <f>IF(Compras_y_Lotes!F21&gt;0,XLOOKUP($A14,Inputs!$A$95:$A$101,Inputs!$B$95:$B$101),0)</f>
      </c>
      <c r="F14" s="45">
        <f>IF(Compras_y_Lotes!F22&gt;0,XLOOKUP($A14,Inputs!$A$95:$A$101,Inputs!$B$95:$B$101),0)</f>
      </c>
      <c r="G14" s="45">
        <f>IF(Compras_y_Lotes!F23&gt;0,XLOOKUP($A14,Inputs!$A$95:$A$101,Inputs!$B$95:$B$101),0)</f>
      </c>
      <c r="H14" s="45">
        <f>IF(Compras_y_Lotes!F24&gt;0,XLOOKUP($A14,Inputs!$A$95:$A$101,Inputs!$B$95:$B$101),0)</f>
      </c>
      <c r="I14" s="45">
        <f>IF(Compras_y_Lotes!F25&gt;0,XLOOKUP($A14,Inputs!$A$95:$A$101,Inputs!$B$95:$B$101),0)</f>
      </c>
      <c r="J14" s="45">
        <f>SUM(B14:I14)</f>
        <v>0</v>
      </c>
    </row>
    <row r="15" ht="15" customHeight="1">
      <c r="A15" s="20" t="s">
        <v>32</v>
      </c>
      <c r="B15" s="45">
        <f>IF(Compras_y_Lotes!F26&gt;0,XLOOKUP($A15,Inputs!$A$95:$A$101,Inputs!$B$95:$B$101),0)</f>
      </c>
      <c r="C15" s="45">
        <f>IF(Compras_y_Lotes!F27&gt;0,XLOOKUP($A15,Inputs!$A$95:$A$101,Inputs!$B$95:$B$101),0)</f>
      </c>
      <c r="D15" s="45">
        <f>IF(Compras_y_Lotes!F28&gt;0,XLOOKUP($A15,Inputs!$A$95:$A$101,Inputs!$B$95:$B$101),0)</f>
      </c>
      <c r="E15" s="45">
        <f>IF(Compras_y_Lotes!F29&gt;0,XLOOKUP($A15,Inputs!$A$95:$A$101,Inputs!$B$95:$B$101),0)</f>
      </c>
      <c r="F15" s="45">
        <f>IF(Compras_y_Lotes!F30&gt;0,XLOOKUP($A15,Inputs!$A$95:$A$101,Inputs!$B$95:$B$101),0)</f>
      </c>
      <c r="G15" s="45">
        <f>IF(Compras_y_Lotes!F31&gt;0,XLOOKUP($A15,Inputs!$A$95:$A$101,Inputs!$B$95:$B$101),0)</f>
      </c>
      <c r="H15" s="45">
        <f>IF(Compras_y_Lotes!F32&gt;0,XLOOKUP($A15,Inputs!$A$95:$A$101,Inputs!$B$95:$B$101),0)</f>
      </c>
      <c r="I15" s="45">
        <f>IF(Compras_y_Lotes!F33&gt;0,XLOOKUP($A15,Inputs!$A$95:$A$101,Inputs!$B$95:$B$101),0)</f>
      </c>
      <c r="J15" s="45">
        <f>SUM(B15:I15)</f>
        <v>0</v>
      </c>
    </row>
    <row r="16" ht="15" customHeight="1">
      <c r="A16" s="16" t="s">
        <v>274</v>
      </c>
      <c r="B16" s="75">
        <f ref="B16:J16" t="shared" si="1">SUM(B14:B15)</f>
        <v>0</v>
      </c>
      <c r="C16" s="75">
        <f t="shared" si="1"/>
        <v>0</v>
      </c>
      <c r="D16" s="75">
        <f t="shared" si="1"/>
        <v>0</v>
      </c>
      <c r="E16" s="75">
        <f t="shared" si="1"/>
        <v>0</v>
      </c>
      <c r="F16" s="75">
        <f t="shared" si="1"/>
        <v>0</v>
      </c>
      <c r="G16" s="75">
        <f t="shared" si="1"/>
        <v>0</v>
      </c>
      <c r="H16" s="75">
        <f t="shared" si="1"/>
        <v>0</v>
      </c>
      <c r="I16" s="75">
        <f t="shared" si="1"/>
        <v>0</v>
      </c>
      <c r="J16" s="75">
        <f t="shared" si="1"/>
        <v>0</v>
      </c>
    </row>
    <row r="19" ht="15" customHeight="1">
      <c r="A19" s="12" t="s">
        <v>275</v>
      </c>
      <c r="B19" s="12"/>
      <c r="C19" s="12"/>
      <c r="D19" s="12"/>
      <c r="E19" s="12"/>
      <c r="F19" s="12"/>
      <c r="G19" s="12"/>
      <c r="H19" s="12"/>
      <c r="I19" s="12"/>
      <c r="J19" s="12"/>
    </row>
    <row r="20" ht="15" customHeight="1">
      <c r="A20" s="19" t="s">
        <v>129</v>
      </c>
      <c r="B20" s="19" t="s">
        <v>4</v>
      </c>
      <c r="C20" s="19" t="s">
        <v>5</v>
      </c>
      <c r="D20" s="19" t="s">
        <v>6</v>
      </c>
      <c r="E20" s="19" t="s">
        <v>7</v>
      </c>
      <c r="F20" s="19" t="s">
        <v>8</v>
      </c>
      <c r="G20" s="19" t="s">
        <v>9</v>
      </c>
      <c r="H20" s="19" t="s">
        <v>10</v>
      </c>
      <c r="I20" s="19" t="s">
        <v>11</v>
      </c>
      <c r="J20" s="19" t="s">
        <v>12</v>
      </c>
    </row>
    <row r="21" ht="15" customHeight="1">
      <c r="A21" s="20" t="s">
        <v>29</v>
      </c>
      <c r="B21" s="45">
        <f>(Inventario_Dinamico!B7+Inventario_Dinamico!B10)/2*XLOOKUP($A21,Inputs!$A$95:$A$101,Inputs!$C$95:$C$101)</f>
      </c>
      <c r="C21" s="45">
        <f>(Inventario_Dinamico!C7+Inventario_Dinamico!C10)/2*XLOOKUP($A21,Inputs!$A$95:$A$101,Inputs!$C$95:$C$101)</f>
      </c>
      <c r="D21" s="45">
        <f>(Inventario_Dinamico!D7+Inventario_Dinamico!D10)/2*XLOOKUP($A21,Inputs!$A$95:$A$101,Inputs!$C$95:$C$101)</f>
      </c>
      <c r="E21" s="45">
        <f>(Inventario_Dinamico!E7+Inventario_Dinamico!E10)/2*XLOOKUP($A21,Inputs!$A$95:$A$101,Inputs!$C$95:$C$101)</f>
      </c>
      <c r="F21" s="45">
        <f>(Inventario_Dinamico!F7+Inventario_Dinamico!F10)/2*XLOOKUP($A21,Inputs!$A$95:$A$101,Inputs!$C$95:$C$101)</f>
      </c>
      <c r="G21" s="45">
        <f>(Inventario_Dinamico!G7+Inventario_Dinamico!G10)/2*XLOOKUP($A21,Inputs!$A$95:$A$101,Inputs!$C$95:$C$101)</f>
      </c>
      <c r="H21" s="45">
        <f>(Inventario_Dinamico!H7+Inventario_Dinamico!H10)/2*XLOOKUP($A21,Inputs!$A$95:$A$101,Inputs!$C$95:$C$101)</f>
      </c>
      <c r="I21" s="45">
        <f>(Inventario_Dinamico!I7+Inventario_Dinamico!I10)/2*XLOOKUP($A21,Inputs!$A$95:$A$101,Inputs!$C$95:$C$101)</f>
      </c>
      <c r="J21" s="45">
        <f>SUM(B21:I21)</f>
        <v>-23379.2</v>
      </c>
    </row>
    <row r="22" ht="15" customHeight="1">
      <c r="A22" s="20" t="s">
        <v>32</v>
      </c>
      <c r="B22" s="45">
        <f>(Inventario_Dinamico!B13+Inventario_Dinamico!B16)/2*XLOOKUP($A22,Inputs!$A$95:$A$101,Inputs!$C$95:$C$101)</f>
      </c>
      <c r="C22" s="45">
        <f>(Inventario_Dinamico!C13+Inventario_Dinamico!C16)/2*XLOOKUP($A22,Inputs!$A$95:$A$101,Inputs!$C$95:$C$101)</f>
      </c>
      <c r="D22" s="45">
        <f>(Inventario_Dinamico!D13+Inventario_Dinamico!D16)/2*XLOOKUP($A22,Inputs!$A$95:$A$101,Inputs!$C$95:$C$101)</f>
      </c>
      <c r="E22" s="45">
        <f>(Inventario_Dinamico!E13+Inventario_Dinamico!E16)/2*XLOOKUP($A22,Inputs!$A$95:$A$101,Inputs!$C$95:$C$101)</f>
      </c>
      <c r="F22" s="45">
        <f>(Inventario_Dinamico!F13+Inventario_Dinamico!F16)/2*XLOOKUP($A22,Inputs!$A$95:$A$101,Inputs!$C$95:$C$101)</f>
      </c>
      <c r="G22" s="45">
        <f>(Inventario_Dinamico!G13+Inventario_Dinamico!G16)/2*XLOOKUP($A22,Inputs!$A$95:$A$101,Inputs!$C$95:$C$101)</f>
      </c>
      <c r="H22" s="45">
        <f>(Inventario_Dinamico!H13+Inventario_Dinamico!H16)/2*XLOOKUP($A22,Inputs!$A$95:$A$101,Inputs!$C$95:$C$101)</f>
      </c>
      <c r="I22" s="45">
        <f>(Inventario_Dinamico!I13+Inventario_Dinamico!I16)/2*XLOOKUP($A22,Inputs!$A$95:$A$101,Inputs!$C$95:$C$101)</f>
      </c>
      <c r="J22" s="45">
        <f>SUM(B22:I22)</f>
        <v>5673.5999999999995</v>
      </c>
    </row>
    <row r="23" ht="15" customHeight="1">
      <c r="A23" s="16" t="s">
        <v>276</v>
      </c>
      <c r="B23" s="75">
        <f ref="B23:J23" t="shared" si="2">SUM(B21:B22)</f>
        <v>765.3</v>
      </c>
      <c r="C23" s="75">
        <f t="shared" si="2"/>
        <v>-85.700000000000159</v>
      </c>
      <c r="D23" s="75">
        <f t="shared" si="2"/>
        <v>-936.70000000000016</v>
      </c>
      <c r="E23" s="75">
        <f t="shared" si="2"/>
        <v>-1787.7000000000003</v>
      </c>
      <c r="F23" s="75">
        <f t="shared" si="2"/>
        <v>-2638.7000000000003</v>
      </c>
      <c r="G23" s="75">
        <f t="shared" si="2"/>
        <v>-3489.7000000000003</v>
      </c>
      <c r="H23" s="75">
        <f t="shared" si="2"/>
        <v>-4340.7000000000007</v>
      </c>
      <c r="I23" s="75">
        <f t="shared" si="2"/>
        <v>-5191.7000000000007</v>
      </c>
      <c r="J23" s="75">
        <f t="shared" si="2"/>
        <v>-17705.600000000002</v>
      </c>
    </row>
    <row r="26" ht="15" customHeight="1">
      <c r="A26" s="85" t="s">
        <v>277</v>
      </c>
      <c r="B26" s="76" t="e">
        <f ref="B26:J26" t="shared" si="3">B9+B16+B23</f>
        <v>#VALUE!</v>
      </c>
      <c r="C26" s="76">
        <f t="shared" si="3"/>
        <v>-85.700000000000159</v>
      </c>
      <c r="D26" s="76">
        <f t="shared" si="3"/>
        <v>-936.70000000000016</v>
      </c>
      <c r="E26" s="76">
        <f t="shared" si="3"/>
        <v>-1787.7000000000003</v>
      </c>
      <c r="F26" s="76">
        <f t="shared" si="3"/>
        <v>-2638.7000000000003</v>
      </c>
      <c r="G26" s="76">
        <f t="shared" si="3"/>
        <v>-3489.7000000000003</v>
      </c>
      <c r="H26" s="76">
        <f t="shared" si="3"/>
        <v>-4340.7000000000007</v>
      </c>
      <c r="I26" s="76">
        <f t="shared" si="3"/>
        <v>-5191.7000000000007</v>
      </c>
      <c r="J26" s="76" t="e">
        <f t="shared" si="3"/>
        <v>#VALUE!</v>
      </c>
    </row>
    <row r="27" ht="15" customHeight="1">
      <c r="A27" s="85"/>
    </row>
    <row r="28" ht="15" customHeight="1">
      <c r="A28" s="12" t="s">
        <v>278</v>
      </c>
      <c r="B28" s="12"/>
      <c r="C28" s="12"/>
      <c r="D28" s="12"/>
    </row>
    <row r="30" ht="15" customHeight="1">
      <c r="A30" s="62" t="s">
        <v>279</v>
      </c>
      <c r="B30" s="77" t="e">
        <f>MAX(B26:I26)</f>
        <v>#VALUE!</v>
      </c>
      <c r="C30" s="32" t="s">
        <v>280</v>
      </c>
    </row>
    <row r="31" ht="15" customHeight="1">
      <c r="A31" s="62" t="s">
        <v>281</v>
      </c>
      <c r="B31" s="77" t="e">
        <f>MIN(B26:I26)</f>
        <v>#VALUE!</v>
      </c>
      <c r="C31" s="32" t="s">
        <v>282</v>
      </c>
    </row>
    <row r="32" ht="15" customHeight="1">
      <c r="A32" s="62" t="s">
        <v>283</v>
      </c>
      <c r="B32" s="77" t="e">
        <f>AVERAGE(B26:I26)</f>
        <v>#VALUE!</v>
      </c>
      <c r="C32" s="32" t="s">
        <v>284</v>
      </c>
    </row>
    <row r="33" ht="15" customHeight="1">
      <c r="A33" s="62" t="s">
        <v>285</v>
      </c>
      <c r="B33" s="77" t="e">
        <f>STDEV(B26:I26)</f>
        <v>#VALUE!</v>
      </c>
      <c r="C33" s="32" t="s">
        <v>286</v>
      </c>
    </row>
  </sheetData>
  <mergeCells>
    <mergeCell ref="A26:A27"/>
    <mergeCell ref="A28:D28"/>
    <mergeCell ref="A1:K1"/>
    <mergeCell ref="A2:K2"/>
    <mergeCell ref="A4:J4"/>
    <mergeCell ref="A12:J12"/>
    <mergeCell ref="A19:J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15" customWidth="1"/>
    <col min="2" max="3" width="10" customWidth="1"/>
    <col min="4" max="4" width="12" customWidth="1"/>
    <col min="5" max="5" width="15" customWidth="1"/>
  </cols>
  <sheetData>
    <row r="1" ht="17.25" customHeight="1">
      <c r="A1" s="86" t="s">
        <v>287</v>
      </c>
      <c r="B1" s="86"/>
      <c r="C1" s="86"/>
      <c r="D1" s="86"/>
      <c r="E1" s="86"/>
    </row>
    <row r="2" ht="15" customHeight="1">
      <c r="A2" s="9" t="s">
        <v>288</v>
      </c>
      <c r="B2" s="9"/>
      <c r="C2" s="9"/>
      <c r="D2" s="9"/>
      <c r="E2" s="9"/>
    </row>
    <row r="4" ht="15" customHeight="1">
      <c r="A4" s="12" t="s">
        <v>289</v>
      </c>
      <c r="B4" s="12"/>
      <c r="C4" s="12"/>
      <c r="D4" s="12"/>
      <c r="E4" s="12"/>
    </row>
    <row r="5" ht="15" customHeight="1">
      <c r="A5" s="19" t="s">
        <v>21</v>
      </c>
      <c r="B5" s="19" t="s">
        <v>290</v>
      </c>
      <c r="C5" s="19" t="s">
        <v>291</v>
      </c>
      <c r="D5" s="19" t="s">
        <v>292</v>
      </c>
      <c r="E5" s="19" t="s">
        <v>293</v>
      </c>
    </row>
    <row r="6" ht="15" customHeight="1">
      <c r="A6" s="20" t="s">
        <v>33</v>
      </c>
      <c r="B6" s="78">
        <v>0</v>
      </c>
      <c r="C6" s="41">
        <f>Compras_y_Lotes!E7</f>
        <v>5</v>
      </c>
      <c r="D6" s="21" t="s">
        <v>294</v>
      </c>
      <c r="E6" s="31" t="str">
        <f ref="E6:E11" t="shared" si="0">IF(C6&gt;0,"Comprar","NO COMPRAR")</f>
        <v>Comprar</v>
      </c>
    </row>
    <row r="7" ht="15" customHeight="1">
      <c r="A7" s="20" t="s">
        <v>34</v>
      </c>
      <c r="B7" s="78">
        <v>0</v>
      </c>
      <c r="C7" s="41">
        <f>Compras_y_Lotes!E8</f>
        <v>9867</v>
      </c>
      <c r="D7" s="21" t="s">
        <v>294</v>
      </c>
      <c r="E7" s="31" t="str">
        <f t="shared" si="0"/>
        <v>Comprar</v>
      </c>
    </row>
    <row r="8" ht="15" customHeight="1">
      <c r="A8" s="20" t="s">
        <v>35</v>
      </c>
      <c r="B8" s="78">
        <v>0</v>
      </c>
      <c r="C8" s="41">
        <f>Compras_y_Lotes!E9</f>
        <v>4440</v>
      </c>
      <c r="D8" s="21" t="s">
        <v>294</v>
      </c>
      <c r="E8" s="31" t="str">
        <f t="shared" si="0"/>
        <v>Comprar</v>
      </c>
    </row>
    <row r="9" ht="15" customHeight="1">
      <c r="A9" s="20" t="s">
        <v>36</v>
      </c>
      <c r="B9" s="78">
        <v>0</v>
      </c>
      <c r="C9" s="41">
        <f>Compras_y_Lotes!E10</f>
        <v>89</v>
      </c>
      <c r="D9" s="21" t="s">
        <v>294</v>
      </c>
      <c r="E9" s="31" t="str">
        <f t="shared" si="0"/>
        <v>Comprar</v>
      </c>
    </row>
    <row r="10" ht="15" customHeight="1">
      <c r="A10" s="20" t="s">
        <v>37</v>
      </c>
      <c r="B10" s="78">
        <v>0</v>
      </c>
      <c r="C10" s="41">
        <f>Compras_y_Lotes!E11</f>
        <v>987</v>
      </c>
      <c r="D10" s="21" t="s">
        <v>294</v>
      </c>
      <c r="E10" s="31" t="str">
        <f t="shared" si="0"/>
        <v>Comprar</v>
      </c>
    </row>
    <row r="11" ht="15" customHeight="1">
      <c r="A11" s="20" t="s">
        <v>38</v>
      </c>
      <c r="B11" s="78">
        <v>0</v>
      </c>
      <c r="C11" s="41">
        <f>Compras_y_Lotes!E12</f>
        <v>185</v>
      </c>
      <c r="D11" s="21" t="s">
        <v>294</v>
      </c>
      <c r="E11" s="31" t="str">
        <f t="shared" si="0"/>
        <v>Comprar</v>
      </c>
    </row>
    <row r="13" ht="15" customHeight="1">
      <c r="A13" s="12" t="s">
        <v>295</v>
      </c>
      <c r="B13" s="12"/>
      <c r="C13" s="12"/>
      <c r="D13" s="12"/>
      <c r="E13" s="12"/>
    </row>
    <row r="14" ht="15" customHeight="1">
      <c r="A14" s="19" t="s">
        <v>21</v>
      </c>
      <c r="B14" s="19" t="s">
        <v>290</v>
      </c>
      <c r="C14" s="19" t="s">
        <v>291</v>
      </c>
      <c r="D14" s="19" t="s">
        <v>292</v>
      </c>
      <c r="E14" s="19" t="s">
        <v>293</v>
      </c>
    </row>
    <row r="15" ht="15" customHeight="1">
      <c r="A15" s="20" t="s">
        <v>29</v>
      </c>
      <c r="B15" s="78">
        <v>1</v>
      </c>
      <c r="C15" s="41">
        <f>Compras_y_Lotes!F18</f>
        <v>0</v>
      </c>
      <c r="D15" s="68">
        <f>XLOOKUP("PROVEEDOR ELEGIDO*",Inputs!$A$105:$A$110,Inputs!$B$105:$B$110,"",2)</f>
      </c>
      <c r="E15" s="31" t="str">
        <f ref="E15:E22" t="shared" si="1">IF(C15&gt;0,"Comprar","-")</f>
        <v>-</v>
      </c>
    </row>
    <row r="16" ht="15" customHeight="1">
      <c r="A16" s="20" t="s">
        <v>29</v>
      </c>
      <c r="B16" s="78">
        <v>2</v>
      </c>
      <c r="C16" s="41">
        <f>Compras_y_Lotes!F19</f>
        <v>0</v>
      </c>
      <c r="D16" s="68">
        <f>XLOOKUP("PROVEEDOR ELEGIDO*",Inputs!$A$105:$A$110,Inputs!$B$105:$B$110,"",2)</f>
      </c>
      <c r="E16" s="31" t="str">
        <f t="shared" si="1"/>
        <v>-</v>
      </c>
    </row>
    <row r="17" ht="15" customHeight="1">
      <c r="A17" s="20" t="s">
        <v>29</v>
      </c>
      <c r="B17" s="78">
        <v>3</v>
      </c>
      <c r="C17" s="41">
        <f>Compras_y_Lotes!F20</f>
        <v>0</v>
      </c>
      <c r="D17" s="68">
        <f>XLOOKUP("PROVEEDOR ELEGIDO*",Inputs!$A$105:$A$110,Inputs!$B$105:$B$110,"",2)</f>
      </c>
      <c r="E17" s="31" t="str">
        <f t="shared" si="1"/>
        <v>-</v>
      </c>
    </row>
    <row r="18" ht="15" customHeight="1">
      <c r="A18" s="20" t="s">
        <v>29</v>
      </c>
      <c r="B18" s="78">
        <v>4</v>
      </c>
      <c r="C18" s="41">
        <f>Compras_y_Lotes!F21</f>
        <v>0</v>
      </c>
      <c r="D18" s="68" t="str">
        <f>Inputs!B94</f>
        <v>Ordering Cost</v>
      </c>
      <c r="E18" s="31" t="str">
        <f t="shared" si="1"/>
        <v>-</v>
      </c>
    </row>
    <row r="19" ht="15" customHeight="1">
      <c r="A19" s="20" t="s">
        <v>29</v>
      </c>
      <c r="B19" s="78">
        <v>5</v>
      </c>
      <c r="C19" s="41">
        <f>Compras_y_Lotes!F22</f>
        <v>0</v>
      </c>
      <c r="D19" s="68" t="str">
        <f>Inputs!B94</f>
        <v>Ordering Cost</v>
      </c>
      <c r="E19" s="31" t="str">
        <f t="shared" si="1"/>
        <v>-</v>
      </c>
    </row>
    <row r="20" ht="15" customHeight="1">
      <c r="A20" s="20" t="s">
        <v>29</v>
      </c>
      <c r="B20" s="78">
        <v>6</v>
      </c>
      <c r="C20" s="41">
        <f>Compras_y_Lotes!F23</f>
        <v>0</v>
      </c>
      <c r="D20" s="68" t="str">
        <f>Inputs!B94</f>
        <v>Ordering Cost</v>
      </c>
      <c r="E20" s="31" t="str">
        <f t="shared" si="1"/>
        <v>-</v>
      </c>
    </row>
    <row r="21" ht="15" customHeight="1">
      <c r="A21" s="20" t="s">
        <v>29</v>
      </c>
      <c r="B21" s="78">
        <v>7</v>
      </c>
      <c r="C21" s="41">
        <f>Compras_y_Lotes!F24</f>
        <v>0</v>
      </c>
      <c r="D21" s="68" t="str">
        <f>Inputs!B94</f>
        <v>Ordering Cost</v>
      </c>
      <c r="E21" s="31" t="str">
        <f t="shared" si="1"/>
        <v>-</v>
      </c>
    </row>
    <row r="22" ht="15" customHeight="1">
      <c r="A22" s="20" t="s">
        <v>29</v>
      </c>
      <c r="B22" s="78">
        <v>8</v>
      </c>
      <c r="C22" s="41">
        <f>Compras_y_Lotes!F25</f>
        <v>0</v>
      </c>
      <c r="D22" s="68" t="str">
        <f>Inputs!B94</f>
        <v>Ordering Cost</v>
      </c>
      <c r="E22" s="31" t="str">
        <f t="shared" si="1"/>
        <v>-</v>
      </c>
    </row>
    <row r="24" ht="15" customHeight="1">
      <c r="A24" s="12" t="s">
        <v>296</v>
      </c>
      <c r="B24" s="12"/>
      <c r="C24" s="12"/>
      <c r="D24" s="12"/>
      <c r="E24" s="12"/>
    </row>
    <row r="25" ht="15" customHeight="1">
      <c r="A25" s="19" t="s">
        <v>21</v>
      </c>
      <c r="B25" s="19" t="s">
        <v>290</v>
      </c>
      <c r="C25" s="19" t="s">
        <v>291</v>
      </c>
      <c r="D25" s="19" t="s">
        <v>292</v>
      </c>
      <c r="E25" s="19" t="s">
        <v>293</v>
      </c>
    </row>
    <row r="26" ht="15" customHeight="1">
      <c r="A26" s="20" t="s">
        <v>32</v>
      </c>
      <c r="B26" s="78">
        <v>1</v>
      </c>
      <c r="C26" s="41">
        <f>Compras_y_Lotes!F26</f>
        <v>0</v>
      </c>
      <c r="D26" s="68" t="str">
        <f>Inputs!B110</f>
        <v>C</v>
      </c>
      <c r="E26" s="31" t="str">
        <f ref="E26:E33" t="shared" si="2">IF(C26&gt;0,"Comprar","-")</f>
        <v>-</v>
      </c>
    </row>
    <row r="27" ht="15" customHeight="1">
      <c r="A27" s="20" t="s">
        <v>32</v>
      </c>
      <c r="B27" s="78">
        <v>2</v>
      </c>
      <c r="C27" s="41">
        <f>Compras_y_Lotes!F27</f>
        <v>0</v>
      </c>
      <c r="D27" s="68" t="str">
        <f>Inputs!B110</f>
        <v>C</v>
      </c>
      <c r="E27" s="31" t="str">
        <f t="shared" si="2"/>
        <v>-</v>
      </c>
    </row>
    <row r="28" ht="15" customHeight="1">
      <c r="A28" s="20" t="s">
        <v>32</v>
      </c>
      <c r="B28" s="78">
        <v>3</v>
      </c>
      <c r="C28" s="41">
        <f>Compras_y_Lotes!F28</f>
        <v>0</v>
      </c>
      <c r="D28" s="68" t="str">
        <f>Inputs!B110</f>
        <v>C</v>
      </c>
      <c r="E28" s="31" t="str">
        <f t="shared" si="2"/>
        <v>-</v>
      </c>
    </row>
    <row r="29" ht="15" customHeight="1">
      <c r="A29" s="20" t="s">
        <v>32</v>
      </c>
      <c r="B29" s="78">
        <v>4</v>
      </c>
      <c r="C29" s="41">
        <f>Compras_y_Lotes!F29</f>
        <v>0</v>
      </c>
      <c r="D29" s="68" t="str">
        <f>Inputs!B110</f>
        <v>C</v>
      </c>
      <c r="E29" s="31" t="str">
        <f t="shared" si="2"/>
        <v>-</v>
      </c>
    </row>
    <row r="30" ht="15" customHeight="1">
      <c r="A30" s="20" t="s">
        <v>32</v>
      </c>
      <c r="B30" s="78">
        <v>5</v>
      </c>
      <c r="C30" s="41">
        <f>Compras_y_Lotes!F30</f>
        <v>0</v>
      </c>
      <c r="D30" s="68" t="str">
        <f>Inputs!B110</f>
        <v>C</v>
      </c>
      <c r="E30" s="31" t="str">
        <f t="shared" si="2"/>
        <v>-</v>
      </c>
    </row>
    <row r="31" ht="15" customHeight="1">
      <c r="A31" s="20" t="s">
        <v>32</v>
      </c>
      <c r="B31" s="78">
        <v>6</v>
      </c>
      <c r="C31" s="41">
        <f>Compras_y_Lotes!F31</f>
        <v>0</v>
      </c>
      <c r="D31" s="68" t="str">
        <f>Inputs!B110</f>
        <v>C</v>
      </c>
      <c r="E31" s="31" t="str">
        <f t="shared" si="2"/>
        <v>-</v>
      </c>
    </row>
    <row r="32" ht="15" customHeight="1">
      <c r="A32" s="20" t="s">
        <v>32</v>
      </c>
      <c r="B32" s="78">
        <v>7</v>
      </c>
      <c r="C32" s="41">
        <f>Compras_y_Lotes!F32</f>
        <v>0</v>
      </c>
      <c r="D32" s="68" t="str">
        <f>Inputs!B110</f>
        <v>C</v>
      </c>
      <c r="E32" s="31" t="str">
        <f t="shared" si="2"/>
        <v>-</v>
      </c>
    </row>
    <row r="33" ht="15" customHeight="1">
      <c r="A33" s="20" t="s">
        <v>32</v>
      </c>
      <c r="B33" s="78">
        <v>8</v>
      </c>
      <c r="C33" s="41">
        <f>Compras_y_Lotes!F33</f>
        <v>0</v>
      </c>
      <c r="D33" s="68" t="str">
        <f>Inputs!B110</f>
        <v>C</v>
      </c>
      <c r="E33" s="31" t="str">
        <f t="shared" si="2"/>
        <v>-</v>
      </c>
    </row>
  </sheetData>
  <mergeCells>
    <mergeCell ref="A1:E1"/>
    <mergeCell ref="A2:E2"/>
    <mergeCell ref="A4:E4"/>
    <mergeCell ref="A13:E13"/>
    <mergeCell ref="A24:E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15" customWidth="1"/>
  </cols>
  <sheetData>
    <row r="1" ht="17.25" customHeight="1">
      <c r="A1" s="14" t="s">
        <v>297</v>
      </c>
      <c r="B1" s="14"/>
      <c r="C1" s="14"/>
      <c r="D1" s="14"/>
      <c r="E1" s="14"/>
    </row>
    <row r="2" ht="15" customHeight="1">
      <c r="A2" s="10" t="s">
        <v>298</v>
      </c>
      <c r="B2" s="10"/>
      <c r="C2" s="10"/>
      <c r="D2" s="10"/>
      <c r="E2" s="10"/>
    </row>
    <row r="4" ht="15" customHeight="1">
      <c r="A4" s="12" t="s">
        <v>299</v>
      </c>
      <c r="B4" s="12"/>
      <c r="C4" s="12"/>
      <c r="D4" s="12"/>
      <c r="E4" s="12"/>
    </row>
    <row r="5" ht="15" customHeight="1">
      <c r="A5" s="19" t="s">
        <v>21</v>
      </c>
      <c r="B5" s="19" t="s">
        <v>300</v>
      </c>
      <c r="C5" s="19" t="s">
        <v>301</v>
      </c>
      <c r="D5" s="19" t="s">
        <v>12</v>
      </c>
      <c r="E5" s="19" t="s">
        <v>302</v>
      </c>
    </row>
    <row r="6" ht="15" customHeight="1">
      <c r="A6" s="20" t="s">
        <v>29</v>
      </c>
      <c r="B6" s="43">
        <v>3496</v>
      </c>
      <c r="C6" s="43">
        <v>1016</v>
      </c>
      <c r="D6" s="18">
        <v>4512</v>
      </c>
      <c r="E6" s="69">
        <f ref="E6:E13" t="shared" si="0">B6/D6</f>
        <v>0.774822695035461</v>
      </c>
    </row>
    <row r="7" ht="15" customHeight="1">
      <c r="A7" s="20" t="s">
        <v>32</v>
      </c>
      <c r="B7" s="43">
        <v>765</v>
      </c>
      <c r="C7" s="43">
        <v>293</v>
      </c>
      <c r="D7" s="18">
        <v>1058</v>
      </c>
      <c r="E7" s="69">
        <f t="shared" si="0"/>
        <v>0.723062381852552</v>
      </c>
    </row>
    <row r="8" ht="15" customHeight="1">
      <c r="A8" s="20" t="s">
        <v>33</v>
      </c>
      <c r="B8" s="43">
        <v>94</v>
      </c>
      <c r="C8" s="43">
        <v>36</v>
      </c>
      <c r="D8" s="18">
        <v>130</v>
      </c>
      <c r="E8" s="69">
        <f t="shared" si="0"/>
        <v>0.72307692307692306</v>
      </c>
    </row>
    <row r="9" ht="15" customHeight="1">
      <c r="A9" s="20" t="s">
        <v>34</v>
      </c>
      <c r="B9" s="43">
        <v>3844</v>
      </c>
      <c r="C9" s="43">
        <v>1424</v>
      </c>
      <c r="D9" s="18">
        <v>5268</v>
      </c>
      <c r="E9" s="69">
        <f t="shared" si="0"/>
        <v>0.72968868640850415</v>
      </c>
    </row>
    <row r="10" ht="15" customHeight="1">
      <c r="A10" s="20" t="s">
        <v>35</v>
      </c>
      <c r="B10" s="43">
        <v>3125</v>
      </c>
      <c r="C10" s="43">
        <v>1208</v>
      </c>
      <c r="D10" s="18">
        <v>4333</v>
      </c>
      <c r="E10" s="69">
        <f t="shared" si="0"/>
        <v>0.721209323794138</v>
      </c>
    </row>
    <row r="11" ht="15" customHeight="1">
      <c r="A11" s="20" t="s">
        <v>36</v>
      </c>
      <c r="B11" s="43">
        <v>6131</v>
      </c>
      <c r="C11" s="43">
        <v>2356</v>
      </c>
      <c r="D11" s="18">
        <v>8487</v>
      </c>
      <c r="E11" s="69">
        <f t="shared" si="0"/>
        <v>0.722398963120066</v>
      </c>
    </row>
    <row r="12" ht="15" customHeight="1">
      <c r="A12" s="20" t="s">
        <v>37</v>
      </c>
      <c r="B12" s="43">
        <v>16736</v>
      </c>
      <c r="C12" s="43">
        <v>6456</v>
      </c>
      <c r="D12" s="18">
        <v>23192</v>
      </c>
      <c r="E12" s="69">
        <f t="shared" si="0"/>
        <v>0.72162814763711625</v>
      </c>
    </row>
    <row r="13" ht="15" customHeight="1">
      <c r="A13" s="20" t="s">
        <v>38</v>
      </c>
      <c r="B13" s="43">
        <v>4439</v>
      </c>
      <c r="C13" s="43">
        <v>1596</v>
      </c>
      <c r="D13" s="18">
        <v>6035</v>
      </c>
      <c r="E13" s="69">
        <f t="shared" si="0"/>
        <v>0.73554266777133392</v>
      </c>
    </row>
  </sheetData>
  <mergeCells>
    <mergeCell ref="A1:E1"/>
    <mergeCell ref="A2:E2"/>
    <mergeCell ref="A4:E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15" customWidth="1"/>
  </cols>
  <sheetData>
    <row r="1" ht="17.25" customHeight="1">
      <c r="A1" s="14" t="s">
        <v>303</v>
      </c>
      <c r="B1" s="14"/>
      <c r="C1" s="14"/>
      <c r="D1" s="14"/>
      <c r="E1" s="14"/>
      <c r="F1" s="14"/>
    </row>
    <row r="2" ht="15" customHeight="1">
      <c r="A2" s="10" t="s">
        <v>304</v>
      </c>
      <c r="B2" s="10"/>
      <c r="C2" s="10"/>
      <c r="D2" s="10"/>
      <c r="E2" s="10"/>
      <c r="F2" s="10"/>
    </row>
    <row r="4" ht="15" customHeight="1">
      <c r="A4" s="12" t="s">
        <v>305</v>
      </c>
      <c r="B4" s="12"/>
      <c r="C4" s="12"/>
      <c r="D4" s="12"/>
      <c r="E4" s="12"/>
      <c r="F4" s="12"/>
    </row>
    <row r="5" ht="15" customHeight="1">
      <c r="A5" s="19" t="s">
        <v>306</v>
      </c>
      <c r="B5" s="19" t="s">
        <v>307</v>
      </c>
      <c r="C5" s="19" t="s">
        <v>308</v>
      </c>
      <c r="D5" s="19" t="s">
        <v>309</v>
      </c>
      <c r="E5" s="19" t="s">
        <v>310</v>
      </c>
    </row>
    <row r="6" ht="15" customHeight="1">
      <c r="A6" s="20" t="s">
        <v>311</v>
      </c>
      <c r="B6" s="20" t="s">
        <v>29</v>
      </c>
      <c r="C6" s="20" t="s">
        <v>312</v>
      </c>
      <c r="D6" s="20" t="s">
        <v>313</v>
      </c>
      <c r="E6" s="20" t="s">
        <v>314</v>
      </c>
    </row>
    <row r="7" ht="15" customHeight="1">
      <c r="A7" s="20" t="s">
        <v>315</v>
      </c>
      <c r="B7" s="20" t="s">
        <v>32</v>
      </c>
      <c r="C7" s="20" t="s">
        <v>312</v>
      </c>
      <c r="D7" s="20" t="s">
        <v>316</v>
      </c>
      <c r="E7" s="20" t="s">
        <v>314</v>
      </c>
    </row>
    <row r="8" ht="15" customHeight="1">
      <c r="A8" s="20" t="s">
        <v>317</v>
      </c>
      <c r="B8" s="20" t="s">
        <v>58</v>
      </c>
      <c r="C8" s="20" t="s">
        <v>35</v>
      </c>
      <c r="D8" s="20" t="s">
        <v>318</v>
      </c>
      <c r="E8" s="20" t="s">
        <v>314</v>
      </c>
    </row>
    <row r="9" ht="15" customHeight="1">
      <c r="A9" s="20" t="s">
        <v>319</v>
      </c>
      <c r="B9" s="20" t="s">
        <v>58</v>
      </c>
      <c r="C9" s="20" t="s">
        <v>38</v>
      </c>
      <c r="D9" s="20" t="s">
        <v>320</v>
      </c>
      <c r="E9" s="20" t="s">
        <v>314</v>
      </c>
    </row>
    <row r="10" ht="15" customHeight="1">
      <c r="A10" s="20" t="s">
        <v>321</v>
      </c>
      <c r="B10" s="20" t="s">
        <v>322</v>
      </c>
      <c r="C10" s="20" t="s">
        <v>323</v>
      </c>
      <c r="D10" s="20" t="s">
        <v>324</v>
      </c>
      <c r="E10" s="20" t="s">
        <v>314</v>
      </c>
    </row>
  </sheetData>
  <mergeCells>
    <mergeCell ref="A1:F1"/>
    <mergeCell ref="A2:F2"/>
    <mergeCell ref="A4:F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Normal="100" workbookViewId="0">
      <selection sqref="A1:H1"/>
    </sheetView>
  </sheetViews>
  <sheetFormatPr baseColWidth="10" defaultColWidth="8.6640625" defaultRowHeight="14.4" x14ac:dyDescent="0.3"/>
  <cols>
    <col min="1" max="1" width="15" customWidth="1"/>
  </cols>
  <sheetData>
    <row r="1" ht="17.25" customHeight="1">
      <c r="A1" s="87" t="s">
        <v>325</v>
      </c>
      <c r="B1" s="87"/>
      <c r="C1" s="87"/>
      <c r="D1" s="87"/>
      <c r="E1" s="87"/>
      <c r="F1" s="87"/>
      <c r="G1" s="87"/>
      <c r="H1" s="87"/>
    </row>
    <row r="2" ht="15" customHeight="1">
      <c r="A2" s="10" t="s">
        <v>326</v>
      </c>
      <c r="B2" s="10"/>
      <c r="C2" s="10"/>
      <c r="D2" s="10"/>
      <c r="E2" s="10"/>
      <c r="F2" s="10"/>
      <c r="G2" s="10"/>
      <c r="H2" s="10"/>
    </row>
    <row r="4" ht="15" customHeight="1">
      <c r="A4" s="12" t="s">
        <v>327</v>
      </c>
      <c r="B4" s="12"/>
      <c r="C4" s="12"/>
      <c r="D4" s="12"/>
      <c r="E4" s="12"/>
      <c r="F4" s="12"/>
      <c r="G4" s="12"/>
      <c r="H4" s="12"/>
    </row>
    <row r="5" ht="15" customHeight="1">
      <c r="A5" s="19" t="s">
        <v>21</v>
      </c>
      <c r="B5" s="19" t="s">
        <v>328</v>
      </c>
      <c r="C5" s="19" t="s">
        <v>329</v>
      </c>
      <c r="D5" s="19" t="s">
        <v>330</v>
      </c>
      <c r="E5" s="19" t="s">
        <v>146</v>
      </c>
    </row>
    <row r="6" ht="15" customHeight="1">
      <c r="A6" s="20" t="s">
        <v>29</v>
      </c>
      <c r="B6" s="43">
        <v>0</v>
      </c>
      <c r="C6" s="79">
        <f>Inventario_Dinamico!B10</f>
        <v>-1756</v>
      </c>
      <c r="D6" s="80">
        <f ref="D6:D13" t="shared" si="0">IFERROR(B6-C6,0)</f>
        <v>1756</v>
      </c>
      <c r="E6" s="20" t="str">
        <f ref="E6:E13" t="shared" si="1">IF(ABS(D6)&gt;100,"REVISAR","OK")</f>
        <v>REVISAR</v>
      </c>
    </row>
    <row r="7" ht="15" customHeight="1">
      <c r="A7" s="20" t="s">
        <v>32</v>
      </c>
      <c r="B7" s="43">
        <v>0</v>
      </c>
      <c r="C7" s="79">
        <f>Inventario_Dinamico!B15</f>
        <v>370</v>
      </c>
      <c r="D7" s="80">
        <f t="shared" si="0"/>
        <v>-370</v>
      </c>
      <c r="E7" s="20" t="str">
        <f t="shared" si="1"/>
        <v>REVISAR</v>
      </c>
    </row>
    <row r="8" ht="15" customHeight="1">
      <c r="A8" s="20" t="s">
        <v>33</v>
      </c>
      <c r="B8" s="43">
        <v>0</v>
      </c>
      <c r="C8" s="79">
        <f>Inventario_Dinamico!B20</f>
        <v>0</v>
      </c>
      <c r="D8" s="80">
        <f t="shared" si="0"/>
        <v>0</v>
      </c>
      <c r="E8" s="20" t="str">
        <f t="shared" si="1"/>
        <v>OK</v>
      </c>
    </row>
    <row r="9" ht="15" customHeight="1">
      <c r="A9" s="20" t="s">
        <v>34</v>
      </c>
      <c r="B9" s="43">
        <v>0</v>
      </c>
      <c r="C9" s="79">
        <f>Inventario_Dinamico!B25</f>
        <v>6131</v>
      </c>
      <c r="D9" s="80">
        <f t="shared" si="0"/>
        <v>-6131</v>
      </c>
      <c r="E9" s="20" t="str">
        <f t="shared" si="1"/>
        <v>REVISAR</v>
      </c>
    </row>
    <row r="10" ht="15" customHeight="1">
      <c r="A10" s="20" t="s">
        <v>35</v>
      </c>
      <c r="B10" s="43">
        <v>0</v>
      </c>
      <c r="C10" s="79" t="str">
        <f>Inventario_Dinamico!B30</f>
        <v>Q1</v>
      </c>
      <c r="D10" s="80">
        <f t="shared" si="0"/>
        <v>0</v>
      </c>
      <c r="E10" s="20" t="str">
        <f t="shared" si="1"/>
        <v>OK</v>
      </c>
    </row>
    <row r="11" ht="15" customHeight="1">
      <c r="A11" s="20" t="s">
        <v>36</v>
      </c>
      <c r="B11" s="43">
        <v>0</v>
      </c>
      <c r="C11" s="79">
        <f>Inventario_Dinamico!B35</f>
        <v>0</v>
      </c>
      <c r="D11" s="80">
        <f t="shared" si="0"/>
        <v>0</v>
      </c>
      <c r="E11" s="20" t="str">
        <f t="shared" si="1"/>
        <v>OK</v>
      </c>
    </row>
    <row r="12" ht="15" customHeight="1">
      <c r="A12" s="20" t="s">
        <v>37</v>
      </c>
      <c r="B12" s="43">
        <v>0</v>
      </c>
      <c r="C12" s="79">
        <f>Inventario_Dinamico!B40</f>
        <v>3329</v>
      </c>
      <c r="D12" s="80">
        <f t="shared" si="0"/>
        <v>-3329</v>
      </c>
      <c r="E12" s="20" t="str">
        <f t="shared" si="1"/>
        <v>REVISAR</v>
      </c>
    </row>
    <row r="13" ht="15" customHeight="1">
      <c r="A13" s="20" t="s">
        <v>38</v>
      </c>
      <c r="B13" s="43">
        <v>0</v>
      </c>
      <c r="C13" s="79">
        <f>Inventario_Dinamico!B45</f>
        <v>3700</v>
      </c>
      <c r="D13" s="80">
        <f t="shared" si="0"/>
        <v>-3700</v>
      </c>
      <c r="E13" s="20" t="str">
        <f t="shared" si="1"/>
        <v>REVISAR</v>
      </c>
    </row>
  </sheetData>
  <mergeCells>
    <mergeCell ref="A1:H1"/>
    <mergeCell ref="A2:H2"/>
    <mergeCell ref="A4:H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zoomScaleNormal="100" workbookViewId="0"/>
  </sheetViews>
  <sheetFormatPr baseColWidth="10" defaultColWidth="8.6640625" defaultRowHeight="14.4" x14ac:dyDescent="0.3"/>
  <cols>
    <col min="1" max="1" width="15" customWidth="1"/>
  </cols>
  <sheetData>
    <row r="1" ht="17.25" customHeight="1">
      <c r="A1" s="88" t="s">
        <v>331</v>
      </c>
      <c r="B1" s="88"/>
      <c r="C1" s="88"/>
      <c r="D1" s="88"/>
      <c r="E1" s="88"/>
      <c r="F1" s="88"/>
      <c r="G1" s="88"/>
    </row>
    <row r="2" ht="15" customHeight="1">
      <c r="A2" s="10" t="s">
        <v>332</v>
      </c>
      <c r="B2" s="10"/>
      <c r="C2" s="10"/>
      <c r="D2" s="10"/>
      <c r="E2" s="10"/>
      <c r="F2" s="10"/>
      <c r="G2" s="10"/>
    </row>
    <row r="4" ht="15" customHeight="1">
      <c r="A4" s="12" t="s">
        <v>333</v>
      </c>
      <c r="B4" s="12"/>
      <c r="C4" s="12"/>
      <c r="D4" s="12"/>
      <c r="E4" s="12"/>
      <c r="F4" s="12"/>
      <c r="G4" s="12"/>
    </row>
    <row r="5" ht="15" customHeight="1">
      <c r="A5" s="19" t="s">
        <v>21</v>
      </c>
      <c r="B5" s="19" t="s">
        <v>334</v>
      </c>
      <c r="C5" s="19" t="s">
        <v>335</v>
      </c>
      <c r="D5" s="19" t="s">
        <v>336</v>
      </c>
      <c r="E5" s="19" t="s">
        <v>337</v>
      </c>
      <c r="F5" s="19" t="s">
        <v>151</v>
      </c>
      <c r="G5" s="19" t="s">
        <v>338</v>
      </c>
    </row>
    <row r="6" ht="15" customHeight="1">
      <c r="A6" s="20" t="s">
        <v>29</v>
      </c>
      <c r="B6" s="81">
        <v>2.5</v>
      </c>
      <c r="C6" s="81">
        <v>3</v>
      </c>
      <c r="D6" s="81">
        <v>2</v>
      </c>
      <c r="E6" s="82" t="str">
        <f>Inputs!B94</f>
        <v>Ordering Cost</v>
      </c>
      <c r="F6" s="79">
        <f>SUM(Compras_y_Lotes!G18:G25)</f>
        <v>0</v>
      </c>
      <c r="G6" s="80">
        <f>IFERROR(F6*CHOOSE(MATCH(E6,{"A","B","C"},0),B6,C6,D6),0)</f>
        <v>0</v>
      </c>
    </row>
    <row r="7" ht="15" customHeight="1">
      <c r="A7" s="20" t="s">
        <v>32</v>
      </c>
      <c r="B7" s="81">
        <v>5</v>
      </c>
      <c r="C7" s="81">
        <v>6</v>
      </c>
      <c r="D7" s="81">
        <v>4.5</v>
      </c>
      <c r="E7" s="82" t="str">
        <f>Inputs!B110</f>
        <v>C</v>
      </c>
      <c r="F7" s="79">
        <f>SUM(Compras_y_Lotes!G26:G33)</f>
        <v>0</v>
      </c>
      <c r="G7" s="80">
        <f>IFERROR(F7*CHOOSE(MATCH(E7,{"A","B","C"},0),B7,C7,D7),0)</f>
        <v>0</v>
      </c>
    </row>
  </sheetData>
  <mergeCells>
    <mergeCell ref="A1:G1"/>
    <mergeCell ref="A2:G2"/>
    <mergeCell ref="A4:G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Inputs</vt:lpstr>
      <vt:lpstr>BOM_Consumo</vt:lpstr>
      <vt:lpstr>Inventario_Dinamico</vt:lpstr>
      <vt:lpstr>Compras_y_Lotes</vt:lpstr>
      <vt:lpstr>Assemblies</vt:lpstr>
      <vt:lpstr>Costos</vt:lpstr>
      <vt:lpstr>Cashflow_Compras</vt:lpstr>
      <vt:lpstr>Escenarios</vt:lpstr>
      <vt:lpstr>Analisis_Proveedores</vt:lpstr>
      <vt:lpstr>Dashboard</vt:lpstr>
      <vt:lpstr>Riesgo_Proveedor_B</vt:lpstr>
      <vt:lpstr>Cashflow_Integrado</vt:lpstr>
      <vt:lpstr>EXSIM_Upload</vt:lpstr>
      <vt:lpstr>Multi_Planta</vt:lpstr>
      <vt:lpstr>MRP_LeadTimes</vt:lpstr>
      <vt:lpstr>Reconciliacion</vt:lpstr>
      <vt:lpstr>ESG_CO2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Daniel Quiroga Villalobos</cp:lastModifiedBy>
  <cp:revision>0</cp:revision>
  <dcterms:created xsi:type="dcterms:W3CDTF">2026-01-12T17:03:36Z</dcterms:created>
  <dcterms:modified xsi:type="dcterms:W3CDTF">2026-01-14T02:45:32Z</dcterms:modified>
  <dc:language>en-US</dc:language>
</cp:coreProperties>
</file>