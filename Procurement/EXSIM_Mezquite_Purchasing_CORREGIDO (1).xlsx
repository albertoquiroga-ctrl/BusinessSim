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406" documentId="11_300C377E292435E26BC7E9727970CF20457E0EE2" xr6:coauthVersionLast="47" xr6:coauthVersionMax="47" xr10:uidLastSave="{30C951BA-787E-4EE4-A4D1-59002FC22468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Assemblies" sheetId="17" r:id="rId5"/>
    <sheet name="Costos" sheetId="5" r:id="rId6"/>
    <sheet name="Cashflow_Compras" sheetId="6" r:id="rId7"/>
    <sheet name="Escenarios" sheetId="7" r:id="rId8"/>
    <sheet name="Analisis_Proveedores" sheetId="8" r:id="rId9"/>
    <sheet name="Dashboard" sheetId="9" r:id="rId10"/>
    <sheet name="Riesgo_Proveedor_B" sheetId="10" r:id="rId11"/>
    <sheet name="Cashflow_Integrado" sheetId="11" r:id="rId12"/>
    <sheet name="EXSIM_Upload" sheetId="12" r:id="rId13"/>
    <sheet name="Multi_Planta" sheetId="13" r:id="rId14"/>
    <sheet name="MRP_LeadTimes" sheetId="14" r:id="rId15"/>
    <sheet name="Reconciliacion" sheetId="15" r:id="rId16"/>
    <sheet name="ESG_CO2" sheetId="16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5" i="1" l="1"/>
  <c r="I86" i="1"/>
  <c r="I87" i="1"/>
  <c r="I88" i="1"/>
  <c r="J88" i="1" s="1"/>
  <c r="I89" i="1"/>
  <c r="J89" i="1" s="1"/>
  <c r="I90" i="1"/>
  <c r="J90" i="1" s="1"/>
  <c r="I85" i="1"/>
  <c r="F86" i="1"/>
  <c r="F87" i="1"/>
  <c r="F88" i="1"/>
  <c r="G88" i="1" s="1"/>
  <c r="F89" i="1"/>
  <c r="G89" i="1" s="1"/>
  <c r="F90" i="1"/>
  <c r="G90" i="1" s="1"/>
  <c r="F85" i="1"/>
  <c r="G85" i="1" s="1"/>
  <c r="C86" i="1"/>
  <c r="C87" i="1"/>
  <c r="C88" i="1"/>
  <c r="C89" i="1"/>
  <c r="C90" i="1"/>
  <c r="C85" i="1"/>
  <c r="D88" i="1"/>
  <c r="D90" i="1"/>
  <c r="C146" i="1"/>
  <c r="C134" i="1"/>
  <c r="C132" i="1"/>
  <c r="C131" i="1"/>
  <c r="C130" i="1"/>
  <c r="C129" i="1"/>
  <c r="B129" i="1"/>
  <c r="C128" i="1"/>
  <c r="C127" i="1"/>
  <c r="C126" i="1"/>
  <c r="C125" i="1"/>
  <c r="C124" i="1"/>
  <c r="C123" i="1"/>
  <c r="B134" i="1"/>
  <c r="B132" i="1"/>
  <c r="B131" i="1"/>
  <c r="B130" i="1"/>
  <c r="B127" i="1"/>
  <c r="B128" i="1"/>
  <c r="B126" i="1"/>
  <c r="B125" i="1"/>
  <c r="B124" i="1"/>
  <c r="B123" i="1"/>
  <c r="I29" i="1"/>
  <c r="H29" i="1"/>
  <c r="G29" i="1"/>
  <c r="F29" i="1"/>
  <c r="E29" i="1"/>
  <c r="D29" i="1"/>
  <c r="C29" i="1"/>
  <c r="B29" i="1"/>
  <c r="J28" i="1"/>
  <c r="J27" i="1"/>
  <c r="J26" i="1"/>
  <c r="J25" i="1"/>
  <c r="J24" i="1"/>
  <c r="I20" i="1"/>
  <c r="H20" i="1"/>
  <c r="G20" i="1"/>
  <c r="F20" i="1"/>
  <c r="E20" i="1"/>
  <c r="D20" i="1"/>
  <c r="C20" i="1"/>
  <c r="B20" i="1"/>
  <c r="J19" i="1"/>
  <c r="J18" i="1"/>
  <c r="J17" i="1"/>
  <c r="J16" i="1"/>
  <c r="J15" i="1"/>
  <c r="J86" i="1"/>
  <c r="J87" i="1"/>
  <c r="G86" i="1"/>
  <c r="G87" i="1"/>
  <c r="D89" i="1"/>
  <c r="D85" i="1"/>
  <c r="D86" i="1"/>
  <c r="D87" i="1"/>
  <c r="E91" i="1"/>
  <c r="H91" i="1"/>
  <c r="B91" i="1"/>
  <c r="I83" i="1"/>
  <c r="J83" i="1" s="1"/>
  <c r="D62" i="2"/>
  <c r="E62" i="2"/>
  <c r="F62" i="2"/>
  <c r="G62" i="2"/>
  <c r="H62" i="2"/>
  <c r="I62" i="2"/>
  <c r="J62" i="2"/>
  <c r="D50" i="2"/>
  <c r="E50" i="2"/>
  <c r="F50" i="2"/>
  <c r="G50" i="2"/>
  <c r="H50" i="2"/>
  <c r="I50" i="2"/>
  <c r="J50" i="2"/>
  <c r="D38" i="2"/>
  <c r="E38" i="2"/>
  <c r="F38" i="2"/>
  <c r="G38" i="2"/>
  <c r="H38" i="2"/>
  <c r="I38" i="2"/>
  <c r="J38" i="2"/>
  <c r="D26" i="2"/>
  <c r="E26" i="2"/>
  <c r="F26" i="2"/>
  <c r="G26" i="2"/>
  <c r="H26" i="2"/>
  <c r="I26" i="2"/>
  <c r="J26" i="2"/>
  <c r="C62" i="2"/>
  <c r="C50" i="2"/>
  <c r="C38" i="2"/>
  <c r="C26" i="2"/>
  <c r="D14" i="2"/>
  <c r="E14" i="2"/>
  <c r="F14" i="2"/>
  <c r="G14" i="2"/>
  <c r="H14" i="2"/>
  <c r="I14" i="2"/>
  <c r="J14" i="2"/>
  <c r="C14" i="2"/>
  <c r="J6" i="1"/>
  <c r="K14" i="2" s="1"/>
  <c r="C11" i="1"/>
  <c r="D66" i="2" s="1"/>
  <c r="D11" i="1"/>
  <c r="E66" i="2" s="1"/>
  <c r="E11" i="1"/>
  <c r="F66" i="2" s="1"/>
  <c r="F11" i="1"/>
  <c r="G66" i="2" s="1"/>
  <c r="G11" i="1"/>
  <c r="H66" i="2" s="1"/>
  <c r="H11" i="1"/>
  <c r="I66" i="2" s="1"/>
  <c r="I11" i="1"/>
  <c r="J66" i="2" s="1"/>
  <c r="B11" i="1"/>
  <c r="C66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I84" i="1"/>
  <c r="J84" i="1" s="1"/>
  <c r="F84" i="1"/>
  <c r="G84" i="1" s="1"/>
  <c r="F83" i="1"/>
  <c r="C84" i="1"/>
  <c r="D84" i="1" s="1"/>
  <c r="C83" i="1"/>
  <c r="D83" i="1" s="1"/>
  <c r="J8" i="1"/>
  <c r="K38" i="2" s="1"/>
  <c r="J9" i="1"/>
  <c r="K50" i="2" s="1"/>
  <c r="J10" i="1"/>
  <c r="K62" i="2" s="1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6" i="2"/>
  <c r="J7" i="1"/>
  <c r="K26" i="2" s="1"/>
  <c r="E7" i="16"/>
  <c r="E6" i="16"/>
  <c r="C11" i="15"/>
  <c r="D11" i="15" s="1"/>
  <c r="E11" i="15" s="1"/>
  <c r="C10" i="15"/>
  <c r="D10" i="15" s="1"/>
  <c r="E10" i="15" s="1"/>
  <c r="D8" i="15"/>
  <c r="E8" i="15" s="1"/>
  <c r="C8" i="15"/>
  <c r="E13" i="13"/>
  <c r="E12" i="13"/>
  <c r="E11" i="13"/>
  <c r="E10" i="13"/>
  <c r="E9" i="13"/>
  <c r="E8" i="13"/>
  <c r="E7" i="13"/>
  <c r="E6" i="13"/>
  <c r="E33" i="12"/>
  <c r="D33" i="12"/>
  <c r="C33" i="12"/>
  <c r="E32" i="12"/>
  <c r="D32" i="12"/>
  <c r="C32" i="12"/>
  <c r="D31" i="12"/>
  <c r="C31" i="12"/>
  <c r="E31" i="12" s="1"/>
  <c r="E30" i="12"/>
  <c r="D30" i="12"/>
  <c r="C30" i="12"/>
  <c r="D29" i="12"/>
  <c r="C29" i="12"/>
  <c r="E29" i="12" s="1"/>
  <c r="E28" i="12"/>
  <c r="D28" i="12"/>
  <c r="C28" i="12"/>
  <c r="D27" i="12"/>
  <c r="C27" i="12"/>
  <c r="E27" i="12" s="1"/>
  <c r="D26" i="12"/>
  <c r="C26" i="12"/>
  <c r="E26" i="12" s="1"/>
  <c r="E22" i="12"/>
  <c r="D22" i="12"/>
  <c r="C22" i="12"/>
  <c r="E21" i="12"/>
  <c r="D21" i="12"/>
  <c r="C21" i="12"/>
  <c r="D20" i="12"/>
  <c r="C20" i="12"/>
  <c r="E20" i="12" s="1"/>
  <c r="E19" i="12"/>
  <c r="D19" i="12"/>
  <c r="C19" i="12"/>
  <c r="D18" i="12"/>
  <c r="C18" i="12"/>
  <c r="E18" i="12" s="1"/>
  <c r="E17" i="12"/>
  <c r="D17" i="12"/>
  <c r="C17" i="12"/>
  <c r="D16" i="12"/>
  <c r="C16" i="12"/>
  <c r="E16" i="12" s="1"/>
  <c r="D15" i="12"/>
  <c r="C15" i="12"/>
  <c r="E15" i="12" s="1"/>
  <c r="I15" i="11"/>
  <c r="H15" i="11"/>
  <c r="G15" i="11"/>
  <c r="F15" i="11"/>
  <c r="E15" i="11"/>
  <c r="D15" i="11"/>
  <c r="C15" i="11"/>
  <c r="B15" i="11"/>
  <c r="I14" i="11"/>
  <c r="H14" i="11"/>
  <c r="G14" i="11"/>
  <c r="F14" i="11"/>
  <c r="E14" i="11"/>
  <c r="D14" i="11"/>
  <c r="C14" i="11"/>
  <c r="B14" i="11"/>
  <c r="C15" i="10"/>
  <c r="B15" i="10"/>
  <c r="D15" i="10" s="1"/>
  <c r="E15" i="10" s="1"/>
  <c r="F15" i="10" s="1"/>
  <c r="G15" i="10" s="1"/>
  <c r="H15" i="10" s="1"/>
  <c r="I15" i="10" s="1"/>
  <c r="F23" i="10" s="1"/>
  <c r="C14" i="10"/>
  <c r="B14" i="10"/>
  <c r="D14" i="10" s="1"/>
  <c r="E14" i="10" s="1"/>
  <c r="F14" i="10" s="1"/>
  <c r="G14" i="10" s="1"/>
  <c r="H14" i="10" s="1"/>
  <c r="I14" i="10" s="1"/>
  <c r="B29" i="9"/>
  <c r="B28" i="9"/>
  <c r="B18" i="9"/>
  <c r="B17" i="9"/>
  <c r="B16" i="9"/>
  <c r="B7" i="9"/>
  <c r="F20" i="8"/>
  <c r="I20" i="8" s="1"/>
  <c r="E20" i="8"/>
  <c r="F19" i="8"/>
  <c r="I19" i="8" s="1"/>
  <c r="E19" i="8"/>
  <c r="I18" i="8"/>
  <c r="B21" i="8" s="1"/>
  <c r="F18" i="8"/>
  <c r="E18" i="8"/>
  <c r="E10" i="8"/>
  <c r="F10" i="8" s="1"/>
  <c r="I10" i="8" s="1"/>
  <c r="F9" i="8"/>
  <c r="I9" i="8" s="1"/>
  <c r="E9" i="8"/>
  <c r="F8" i="8"/>
  <c r="I8" i="8" s="1"/>
  <c r="B11" i="8" s="1"/>
  <c r="E8" i="8"/>
  <c r="F27" i="7"/>
  <c r="E27" i="7"/>
  <c r="F25" i="7"/>
  <c r="E25" i="7"/>
  <c r="F24" i="7"/>
  <c r="D24" i="7"/>
  <c r="C24" i="7"/>
  <c r="E24" i="7" s="1"/>
  <c r="B24" i="7"/>
  <c r="D23" i="7"/>
  <c r="C23" i="7"/>
  <c r="F23" i="7" s="1"/>
  <c r="B23" i="7"/>
  <c r="E23" i="7" s="1"/>
  <c r="I9" i="6"/>
  <c r="H9" i="6"/>
  <c r="G9" i="6"/>
  <c r="F9" i="6"/>
  <c r="E9" i="6"/>
  <c r="D9" i="6"/>
  <c r="C9" i="6"/>
  <c r="J8" i="6"/>
  <c r="J7" i="6"/>
  <c r="C13" i="5"/>
  <c r="E12" i="5"/>
  <c r="D12" i="5"/>
  <c r="C12" i="5"/>
  <c r="E11" i="5"/>
  <c r="E13" i="5" s="1"/>
  <c r="D11" i="5"/>
  <c r="C11" i="5"/>
  <c r="J33" i="4"/>
  <c r="H33" i="4"/>
  <c r="I33" i="4" s="1"/>
  <c r="I8" i="11" s="1"/>
  <c r="D33" i="4"/>
  <c r="G33" i="4" s="1"/>
  <c r="J32" i="4"/>
  <c r="H32" i="4"/>
  <c r="I32" i="4" s="1"/>
  <c r="H8" i="11" s="1"/>
  <c r="D32" i="4"/>
  <c r="G32" i="4" s="1"/>
  <c r="J31" i="4"/>
  <c r="H31" i="4"/>
  <c r="I31" i="4" s="1"/>
  <c r="G8" i="11" s="1"/>
  <c r="D31" i="4"/>
  <c r="G31" i="4" s="1"/>
  <c r="J30" i="4"/>
  <c r="H30" i="4"/>
  <c r="I30" i="4" s="1"/>
  <c r="F8" i="11" s="1"/>
  <c r="D30" i="4"/>
  <c r="G30" i="4" s="1"/>
  <c r="J29" i="4"/>
  <c r="H29" i="4"/>
  <c r="I29" i="4" s="1"/>
  <c r="E8" i="11" s="1"/>
  <c r="D29" i="4"/>
  <c r="G29" i="4" s="1"/>
  <c r="J28" i="4"/>
  <c r="H28" i="4"/>
  <c r="I28" i="4" s="1"/>
  <c r="D8" i="11" s="1"/>
  <c r="D28" i="4"/>
  <c r="G28" i="4" s="1"/>
  <c r="J27" i="4"/>
  <c r="H27" i="4"/>
  <c r="I27" i="4" s="1"/>
  <c r="C8" i="11" s="1"/>
  <c r="D27" i="4"/>
  <c r="G27" i="4" s="1"/>
  <c r="J26" i="4"/>
  <c r="H26" i="4"/>
  <c r="I26" i="4" s="1"/>
  <c r="D26" i="4"/>
  <c r="G26" i="4" s="1"/>
  <c r="J25" i="4"/>
  <c r="H25" i="4"/>
  <c r="I25" i="4" s="1"/>
  <c r="I7" i="11" s="1"/>
  <c r="D25" i="4"/>
  <c r="G25" i="4" s="1"/>
  <c r="J24" i="4"/>
  <c r="H24" i="4"/>
  <c r="I24" i="4" s="1"/>
  <c r="H7" i="11" s="1"/>
  <c r="D24" i="4"/>
  <c r="G24" i="4" s="1"/>
  <c r="J23" i="4"/>
  <c r="H23" i="4"/>
  <c r="I23" i="4" s="1"/>
  <c r="G7" i="11" s="1"/>
  <c r="D23" i="4"/>
  <c r="G23" i="4" s="1"/>
  <c r="J22" i="4"/>
  <c r="H22" i="4"/>
  <c r="I22" i="4" s="1"/>
  <c r="F7" i="11" s="1"/>
  <c r="D22" i="4"/>
  <c r="G22" i="4" s="1"/>
  <c r="J21" i="4"/>
  <c r="H21" i="4"/>
  <c r="I21" i="4" s="1"/>
  <c r="E7" i="11" s="1"/>
  <c r="D21" i="4"/>
  <c r="G21" i="4" s="1"/>
  <c r="J20" i="4"/>
  <c r="H20" i="4"/>
  <c r="I20" i="4" s="1"/>
  <c r="D7" i="11" s="1"/>
  <c r="D20" i="4"/>
  <c r="G20" i="4" s="1"/>
  <c r="J19" i="4"/>
  <c r="H19" i="4"/>
  <c r="I19" i="4" s="1"/>
  <c r="C7" i="11" s="1"/>
  <c r="D19" i="4"/>
  <c r="G19" i="4" s="1"/>
  <c r="J18" i="4"/>
  <c r="H18" i="4"/>
  <c r="I18" i="4" s="1"/>
  <c r="D18" i="4"/>
  <c r="G18" i="4" s="1"/>
  <c r="G12" i="4"/>
  <c r="C12" i="4"/>
  <c r="G11" i="4"/>
  <c r="C11" i="4"/>
  <c r="G10" i="4"/>
  <c r="C10" i="4"/>
  <c r="G9" i="4"/>
  <c r="C9" i="4"/>
  <c r="G8" i="4"/>
  <c r="C8" i="4"/>
  <c r="G7" i="4"/>
  <c r="C7" i="4"/>
  <c r="J59" i="3"/>
  <c r="I59" i="3"/>
  <c r="H59" i="3"/>
  <c r="G59" i="3"/>
  <c r="F59" i="3"/>
  <c r="E59" i="3"/>
  <c r="D59" i="3"/>
  <c r="C59" i="3"/>
  <c r="B59" i="3"/>
  <c r="J56" i="3"/>
  <c r="J55" i="3"/>
  <c r="J53" i="3"/>
  <c r="B49" i="3"/>
  <c r="B43" i="3"/>
  <c r="B37" i="3"/>
  <c r="B31" i="3"/>
  <c r="B25" i="3"/>
  <c r="B19" i="3"/>
  <c r="B13" i="3"/>
  <c r="B7" i="3"/>
  <c r="G13" i="2"/>
  <c r="I12" i="2"/>
  <c r="H45" i="3" s="1"/>
  <c r="H12" i="2"/>
  <c r="G45" i="3" s="1"/>
  <c r="F12" i="2"/>
  <c r="E45" i="3" s="1"/>
  <c r="D12" i="2"/>
  <c r="C45" i="3" s="1"/>
  <c r="E12" i="2"/>
  <c r="D45" i="3" s="1"/>
  <c r="J11" i="2"/>
  <c r="I39" i="3" s="1"/>
  <c r="I11" i="2"/>
  <c r="H39" i="3" s="1"/>
  <c r="H11" i="2"/>
  <c r="G39" i="3" s="1"/>
  <c r="F11" i="2"/>
  <c r="E39" i="3" s="1"/>
  <c r="E11" i="2"/>
  <c r="D39" i="3" s="1"/>
  <c r="D11" i="2"/>
  <c r="C39" i="3" s="1"/>
  <c r="G11" i="2"/>
  <c r="F39" i="3" s="1"/>
  <c r="F10" i="2"/>
  <c r="E33" i="3" s="1"/>
  <c r="I10" i="2"/>
  <c r="H33" i="3" s="1"/>
  <c r="J9" i="2"/>
  <c r="I27" i="3" s="1"/>
  <c r="C9" i="2"/>
  <c r="I7" i="2"/>
  <c r="H7" i="2"/>
  <c r="G7" i="2"/>
  <c r="C30" i="4" s="1"/>
  <c r="E30" i="4" s="1"/>
  <c r="H6" i="2"/>
  <c r="I6" i="2"/>
  <c r="E146" i="1"/>
  <c r="E145" i="1"/>
  <c r="E144" i="1"/>
  <c r="E143" i="1"/>
  <c r="E142" i="1"/>
  <c r="E141" i="1"/>
  <c r="E140" i="1"/>
  <c r="E139" i="1"/>
  <c r="J29" i="1" l="1"/>
  <c r="H16" i="11"/>
  <c r="J20" i="1"/>
  <c r="F91" i="1"/>
  <c r="G16" i="11"/>
  <c r="I16" i="11"/>
  <c r="F16" i="11"/>
  <c r="B16" i="11"/>
  <c r="D16" i="11"/>
  <c r="J11" i="1"/>
  <c r="K66" i="2" s="1"/>
  <c r="D91" i="1"/>
  <c r="C91" i="1"/>
  <c r="J91" i="1"/>
  <c r="G83" i="1"/>
  <c r="G91" i="1" s="1"/>
  <c r="I91" i="1"/>
  <c r="C9" i="11"/>
  <c r="C16" i="11"/>
  <c r="K37" i="2"/>
  <c r="K49" i="2"/>
  <c r="K30" i="2"/>
  <c r="K36" i="2"/>
  <c r="K35" i="2"/>
  <c r="K34" i="2"/>
  <c r="K33" i="2"/>
  <c r="K32" i="2"/>
  <c r="K31" i="2"/>
  <c r="K42" i="2"/>
  <c r="K48" i="2"/>
  <c r="K47" i="2"/>
  <c r="K46" i="2"/>
  <c r="K45" i="2"/>
  <c r="K44" i="2"/>
  <c r="K43" i="2"/>
  <c r="K61" i="2"/>
  <c r="K54" i="2"/>
  <c r="K55" i="2"/>
  <c r="K60" i="2"/>
  <c r="K58" i="2"/>
  <c r="K57" i="2"/>
  <c r="K56" i="2"/>
  <c r="K59" i="2"/>
  <c r="I9" i="11"/>
  <c r="G9" i="11"/>
  <c r="K25" i="2"/>
  <c r="D13" i="5"/>
  <c r="K18" i="2"/>
  <c r="K21" i="2"/>
  <c r="K19" i="2"/>
  <c r="K24" i="2"/>
  <c r="K22" i="2"/>
  <c r="K20" i="2"/>
  <c r="E16" i="11"/>
  <c r="K23" i="2"/>
  <c r="E9" i="11"/>
  <c r="D6" i="2"/>
  <c r="J7" i="2"/>
  <c r="C33" i="4" s="1"/>
  <c r="E33" i="4" s="1"/>
  <c r="E10" i="2"/>
  <c r="D33" i="3" s="1"/>
  <c r="J6" i="2"/>
  <c r="I9" i="3" s="1"/>
  <c r="G10" i="2"/>
  <c r="F33" i="3" s="1"/>
  <c r="F9" i="2"/>
  <c r="E27" i="3" s="1"/>
  <c r="J10" i="2"/>
  <c r="I33" i="3" s="1"/>
  <c r="C7" i="2"/>
  <c r="C26" i="4" s="1"/>
  <c r="E26" i="4" s="1"/>
  <c r="G9" i="2"/>
  <c r="F27" i="3" s="1"/>
  <c r="J15" i="11"/>
  <c r="D7" i="2"/>
  <c r="C27" i="4" s="1"/>
  <c r="E27" i="4" s="1"/>
  <c r="H9" i="2"/>
  <c r="G27" i="3" s="1"/>
  <c r="C11" i="2"/>
  <c r="B39" i="3" s="1"/>
  <c r="B40" i="3" s="1"/>
  <c r="C37" i="3" s="1"/>
  <c r="C40" i="3" s="1"/>
  <c r="D37" i="3" s="1"/>
  <c r="D40" i="3" s="1"/>
  <c r="E37" i="3" s="1"/>
  <c r="E40" i="3" s="1"/>
  <c r="F37" i="3" s="1"/>
  <c r="F40" i="3" s="1"/>
  <c r="G37" i="3" s="1"/>
  <c r="G40" i="3" s="1"/>
  <c r="H37" i="3" s="1"/>
  <c r="H40" i="3" s="1"/>
  <c r="I37" i="3" s="1"/>
  <c r="I40" i="3" s="1"/>
  <c r="C12" i="2"/>
  <c r="F15" i="3"/>
  <c r="C23" i="4"/>
  <c r="E23" i="4" s="1"/>
  <c r="G9" i="3"/>
  <c r="E8" i="2"/>
  <c r="D21" i="3" s="1"/>
  <c r="F8" i="2"/>
  <c r="E21" i="3" s="1"/>
  <c r="C8" i="2"/>
  <c r="D8" i="2"/>
  <c r="C21" i="3" s="1"/>
  <c r="J8" i="2"/>
  <c r="I21" i="3" s="1"/>
  <c r="I8" i="2"/>
  <c r="H21" i="3" s="1"/>
  <c r="C31" i="4"/>
  <c r="E31" i="4" s="1"/>
  <c r="G15" i="3"/>
  <c r="D13" i="2"/>
  <c r="H9" i="11"/>
  <c r="D26" i="7"/>
  <c r="F21" i="10"/>
  <c r="C26" i="7"/>
  <c r="B26" i="7"/>
  <c r="C32" i="4"/>
  <c r="E32" i="4" s="1"/>
  <c r="H15" i="3"/>
  <c r="G8" i="2"/>
  <c r="F21" i="3" s="1"/>
  <c r="H8" i="2"/>
  <c r="G21" i="3" s="1"/>
  <c r="C13" i="2"/>
  <c r="J13" i="2"/>
  <c r="H13" i="2"/>
  <c r="I13" i="2"/>
  <c r="F13" i="2"/>
  <c r="E13" i="2"/>
  <c r="F6" i="16"/>
  <c r="G6" i="16" s="1"/>
  <c r="C9" i="15"/>
  <c r="D9" i="15" s="1"/>
  <c r="E9" i="15" s="1"/>
  <c r="B12" i="5"/>
  <c r="F12" i="5" s="1"/>
  <c r="C24" i="4"/>
  <c r="E24" i="4" s="1"/>
  <c r="H9" i="3"/>
  <c r="B11" i="5"/>
  <c r="F11" i="5" s="1"/>
  <c r="B7" i="11"/>
  <c r="J7" i="11" s="1"/>
  <c r="F9" i="11"/>
  <c r="C20" i="10"/>
  <c r="I9" i="2"/>
  <c r="H27" i="3" s="1"/>
  <c r="H10" i="2"/>
  <c r="G33" i="3" s="1"/>
  <c r="G12" i="2"/>
  <c r="F45" i="3" s="1"/>
  <c r="F7" i="16"/>
  <c r="G7" i="16" s="1"/>
  <c r="E6" i="2"/>
  <c r="F6" i="2"/>
  <c r="E7" i="2"/>
  <c r="D9" i="2"/>
  <c r="C27" i="3" s="1"/>
  <c r="C10" i="2"/>
  <c r="J12" i="2"/>
  <c r="I45" i="3" s="1"/>
  <c r="D9" i="11"/>
  <c r="B8" i="11"/>
  <c r="J8" i="11" s="1"/>
  <c r="C22" i="10"/>
  <c r="J14" i="11"/>
  <c r="G6" i="2"/>
  <c r="F7" i="2"/>
  <c r="E9" i="2"/>
  <c r="D27" i="3" s="1"/>
  <c r="D10" i="2"/>
  <c r="C33" i="3" s="1"/>
  <c r="B27" i="3"/>
  <c r="B28" i="3" s="1"/>
  <c r="C25" i="3" s="1"/>
  <c r="J16" i="11" l="1"/>
  <c r="B15" i="3"/>
  <c r="K12" i="2"/>
  <c r="C145" i="1" s="1"/>
  <c r="D145" i="1" s="1"/>
  <c r="I15" i="3"/>
  <c r="B45" i="3"/>
  <c r="C13" i="15" s="1"/>
  <c r="D13" i="15" s="1"/>
  <c r="E13" i="15" s="1"/>
  <c r="C12" i="15"/>
  <c r="D12" i="15" s="1"/>
  <c r="E12" i="15" s="1"/>
  <c r="K13" i="2"/>
  <c r="B12" i="4" s="1"/>
  <c r="D12" i="4" s="1"/>
  <c r="E12" i="4" s="1"/>
  <c r="J58" i="3"/>
  <c r="C15" i="3"/>
  <c r="C25" i="4"/>
  <c r="E25" i="4" s="1"/>
  <c r="K11" i="2"/>
  <c r="C144" i="1" s="1"/>
  <c r="D144" i="1" s="1"/>
  <c r="C28" i="3"/>
  <c r="D25" i="3" s="1"/>
  <c r="D28" i="3" s="1"/>
  <c r="E25" i="3" s="1"/>
  <c r="E28" i="3" s="1"/>
  <c r="F25" i="3" s="1"/>
  <c r="F28" i="3" s="1"/>
  <c r="G25" i="3" s="1"/>
  <c r="G28" i="3" s="1"/>
  <c r="H25" i="3" s="1"/>
  <c r="H28" i="3" s="1"/>
  <c r="I25" i="3" s="1"/>
  <c r="I28" i="3" s="1"/>
  <c r="C19" i="4"/>
  <c r="E19" i="4" s="1"/>
  <c r="C9" i="3"/>
  <c r="G22" i="10"/>
  <c r="C23" i="10"/>
  <c r="G23" i="10" s="1"/>
  <c r="D15" i="3"/>
  <c r="C28" i="4"/>
  <c r="E28" i="4" s="1"/>
  <c r="C21" i="4"/>
  <c r="E21" i="4" s="1"/>
  <c r="E9" i="3"/>
  <c r="B46" i="3"/>
  <c r="C43" i="3" s="1"/>
  <c r="C46" i="3" s="1"/>
  <c r="D43" i="3" s="1"/>
  <c r="D46" i="3" s="1"/>
  <c r="E43" i="3" s="1"/>
  <c r="E46" i="3" s="1"/>
  <c r="F43" i="3" s="1"/>
  <c r="F46" i="3" s="1"/>
  <c r="G43" i="3" s="1"/>
  <c r="G46" i="3" s="1"/>
  <c r="H43" i="3" s="1"/>
  <c r="H46" i="3" s="1"/>
  <c r="I43" i="3" s="1"/>
  <c r="I46" i="3" s="1"/>
  <c r="K9" i="2"/>
  <c r="B11" i="4"/>
  <c r="D11" i="4" s="1"/>
  <c r="E11" i="4" s="1"/>
  <c r="K7" i="2"/>
  <c r="C140" i="1" s="1"/>
  <c r="D140" i="1" s="1"/>
  <c r="C20" i="4"/>
  <c r="E20" i="4" s="1"/>
  <c r="D9" i="3"/>
  <c r="C7" i="15"/>
  <c r="D7" i="15" s="1"/>
  <c r="E7" i="15" s="1"/>
  <c r="B16" i="3"/>
  <c r="B21" i="3"/>
  <c r="B22" i="3" s="1"/>
  <c r="C19" i="3" s="1"/>
  <c r="K8" i="2"/>
  <c r="C22" i="4"/>
  <c r="E22" i="4" s="1"/>
  <c r="F9" i="3"/>
  <c r="K10" i="2"/>
  <c r="B33" i="3"/>
  <c r="B34" i="3" s="1"/>
  <c r="F26" i="7"/>
  <c r="E26" i="7"/>
  <c r="C18" i="4"/>
  <c r="E18" i="4" s="1"/>
  <c r="K6" i="2"/>
  <c r="B9" i="3"/>
  <c r="C21" i="10"/>
  <c r="G21" i="10" s="1"/>
  <c r="G20" i="10"/>
  <c r="C29" i="4"/>
  <c r="E29" i="4" s="1"/>
  <c r="E15" i="3"/>
  <c r="C139" i="1" l="1"/>
  <c r="D139" i="1" s="1"/>
  <c r="D146" i="1"/>
  <c r="I58" i="3" s="1"/>
  <c r="C52" i="3"/>
  <c r="D49" i="3" s="1"/>
  <c r="I52" i="3"/>
  <c r="B10" i="4"/>
  <c r="D10" i="4" s="1"/>
  <c r="E10" i="4" s="1"/>
  <c r="C9" i="12" s="1"/>
  <c r="E9" i="12" s="1"/>
  <c r="C22" i="3"/>
  <c r="D19" i="3" s="1"/>
  <c r="H52" i="3"/>
  <c r="I49" i="3" s="1"/>
  <c r="F12" i="4"/>
  <c r="I12" i="4" s="1"/>
  <c r="H12" i="4"/>
  <c r="B10" i="5" s="1"/>
  <c r="F10" i="5" s="1"/>
  <c r="C11" i="12"/>
  <c r="E11" i="12" s="1"/>
  <c r="G58" i="3"/>
  <c r="F58" i="3"/>
  <c r="B8" i="4"/>
  <c r="D8" i="4" s="1"/>
  <c r="E8" i="4" s="1"/>
  <c r="C142" i="1"/>
  <c r="D142" i="1" s="1"/>
  <c r="B54" i="3" s="1"/>
  <c r="F52" i="3"/>
  <c r="G49" i="3" s="1"/>
  <c r="D52" i="3"/>
  <c r="E49" i="3" s="1"/>
  <c r="C13" i="3"/>
  <c r="B22" i="11"/>
  <c r="J52" i="3"/>
  <c r="B52" i="3"/>
  <c r="C49" i="3" s="1"/>
  <c r="B10" i="3"/>
  <c r="B57" i="3"/>
  <c r="C31" i="3"/>
  <c r="C34" i="3" s="1"/>
  <c r="F11" i="4"/>
  <c r="I11" i="4" s="1"/>
  <c r="C10" i="12"/>
  <c r="E10" i="12" s="1"/>
  <c r="H11" i="4"/>
  <c r="B9" i="5" s="1"/>
  <c r="F9" i="5" s="1"/>
  <c r="C143" i="1"/>
  <c r="D143" i="1" s="1"/>
  <c r="B9" i="4"/>
  <c r="D9" i="4" s="1"/>
  <c r="E9" i="4" s="1"/>
  <c r="B56" i="3"/>
  <c r="D56" i="3"/>
  <c r="F56" i="3"/>
  <c r="E56" i="3"/>
  <c r="C56" i="3"/>
  <c r="I56" i="3"/>
  <c r="H56" i="3"/>
  <c r="G56" i="3"/>
  <c r="E21" i="10"/>
  <c r="G52" i="3"/>
  <c r="H49" i="3" s="1"/>
  <c r="B7" i="4"/>
  <c r="D7" i="4" s="1"/>
  <c r="E7" i="4" s="1"/>
  <c r="C141" i="1"/>
  <c r="D141" i="1" s="1"/>
  <c r="E52" i="3"/>
  <c r="F49" i="3" s="1"/>
  <c r="E23" i="10"/>
  <c r="D58" i="3" l="1"/>
  <c r="E58" i="3"/>
  <c r="H58" i="3"/>
  <c r="C58" i="3"/>
  <c r="B58" i="3"/>
  <c r="F10" i="4"/>
  <c r="I10" i="4" s="1"/>
  <c r="H10" i="4"/>
  <c r="B8" i="5" s="1"/>
  <c r="F8" i="5" s="1"/>
  <c r="E53" i="3"/>
  <c r="G53" i="3"/>
  <c r="I53" i="3"/>
  <c r="H53" i="3"/>
  <c r="F53" i="3"/>
  <c r="D53" i="3"/>
  <c r="B53" i="3"/>
  <c r="C53" i="3"/>
  <c r="C6" i="15"/>
  <c r="D6" i="15" s="1"/>
  <c r="E6" i="15" s="1"/>
  <c r="C7" i="3"/>
  <c r="B21" i="11"/>
  <c r="C54" i="3"/>
  <c r="C16" i="3"/>
  <c r="D13" i="3" s="1"/>
  <c r="F7" i="4"/>
  <c r="I7" i="4" s="1"/>
  <c r="C6" i="12"/>
  <c r="E6" i="12" s="1"/>
  <c r="H7" i="4"/>
  <c r="C57" i="3"/>
  <c r="D31" i="3"/>
  <c r="D34" i="3" s="1"/>
  <c r="F9" i="4"/>
  <c r="I9" i="4" s="1"/>
  <c r="C8" i="12"/>
  <c r="E8" i="12" s="1"/>
  <c r="H9" i="4"/>
  <c r="B7" i="5" s="1"/>
  <c r="F7" i="5" s="1"/>
  <c r="F8" i="4"/>
  <c r="I8" i="4" s="1"/>
  <c r="H8" i="4"/>
  <c r="B6" i="5" s="1"/>
  <c r="F6" i="5" s="1"/>
  <c r="C7" i="12"/>
  <c r="E7" i="12" s="1"/>
  <c r="C55" i="3"/>
  <c r="E55" i="3"/>
  <c r="D55" i="3"/>
  <c r="B55" i="3"/>
  <c r="I55" i="3"/>
  <c r="H55" i="3"/>
  <c r="F55" i="3"/>
  <c r="G55" i="3"/>
  <c r="D54" i="3"/>
  <c r="D22" i="3"/>
  <c r="E19" i="3" s="1"/>
  <c r="D57" i="3" l="1"/>
  <c r="E31" i="3"/>
  <c r="E34" i="3" s="1"/>
  <c r="B23" i="11"/>
  <c r="D16" i="3"/>
  <c r="E13" i="3" s="1"/>
  <c r="C22" i="11"/>
  <c r="E22" i="3"/>
  <c r="F19" i="3" s="1"/>
  <c r="E54" i="3"/>
  <c r="B5" i="5"/>
  <c r="H13" i="4"/>
  <c r="C10" i="3"/>
  <c r="D7" i="3" s="1"/>
  <c r="D22" i="11" l="1"/>
  <c r="E16" i="3"/>
  <c r="F13" i="3" s="1"/>
  <c r="D10" i="3"/>
  <c r="E7" i="3" s="1"/>
  <c r="C21" i="11"/>
  <c r="B6" i="6"/>
  <c r="B6" i="11"/>
  <c r="B13" i="5"/>
  <c r="F5" i="5"/>
  <c r="F13" i="5" s="1"/>
  <c r="E57" i="3"/>
  <c r="F31" i="3"/>
  <c r="F34" i="3" s="1"/>
  <c r="F54" i="3"/>
  <c r="F22" i="3"/>
  <c r="G19" i="3" s="1"/>
  <c r="E22" i="11" l="1"/>
  <c r="C23" i="11"/>
  <c r="C26" i="11" s="1"/>
  <c r="E10" i="3"/>
  <c r="F7" i="3" s="1"/>
  <c r="F57" i="3"/>
  <c r="G31" i="3"/>
  <c r="G34" i="3" s="1"/>
  <c r="D21" i="11"/>
  <c r="D23" i="11" s="1"/>
  <c r="D26" i="11" s="1"/>
  <c r="J6" i="11"/>
  <c r="J9" i="11" s="1"/>
  <c r="B9" i="11"/>
  <c r="B26" i="11" s="1"/>
  <c r="J6" i="6"/>
  <c r="B9" i="6"/>
  <c r="G22" i="3"/>
  <c r="H19" i="3" s="1"/>
  <c r="G54" i="3"/>
  <c r="D22" i="7"/>
  <c r="B22" i="7"/>
  <c r="B5" i="9"/>
  <c r="C22" i="7"/>
  <c r="F16" i="3"/>
  <c r="G13" i="3" s="1"/>
  <c r="B8" i="9" l="1"/>
  <c r="J9" i="6"/>
  <c r="B6" i="9" s="1"/>
  <c r="F22" i="11"/>
  <c r="E21" i="11"/>
  <c r="H31" i="3"/>
  <c r="H34" i="3" s="1"/>
  <c r="G57" i="3"/>
  <c r="H22" i="3"/>
  <c r="I19" i="3" s="1"/>
  <c r="H54" i="3"/>
  <c r="G16" i="3"/>
  <c r="H13" i="3" s="1"/>
  <c r="F10" i="3"/>
  <c r="G7" i="3" s="1"/>
  <c r="E22" i="7"/>
  <c r="F22" i="7"/>
  <c r="F21" i="11" l="1"/>
  <c r="F23" i="11" s="1"/>
  <c r="F26" i="11" s="1"/>
  <c r="E23" i="11"/>
  <c r="E26" i="11" s="1"/>
  <c r="I22" i="3"/>
  <c r="I54" i="3"/>
  <c r="G10" i="3"/>
  <c r="H7" i="3" s="1"/>
  <c r="H16" i="3"/>
  <c r="I13" i="3" s="1"/>
  <c r="G22" i="11"/>
  <c r="I31" i="3"/>
  <c r="I34" i="3" s="1"/>
  <c r="I57" i="3" s="1"/>
  <c r="H57" i="3"/>
  <c r="J54" i="3"/>
  <c r="H22" i="11" l="1"/>
  <c r="J57" i="3"/>
  <c r="B27" i="9"/>
  <c r="I16" i="3"/>
  <c r="I22" i="11" s="1"/>
  <c r="J22" i="11" s="1"/>
  <c r="H10" i="3"/>
  <c r="I7" i="3" s="1"/>
  <c r="G21" i="11"/>
  <c r="G23" i="11" l="1"/>
  <c r="G26" i="11" s="1"/>
  <c r="I10" i="3"/>
  <c r="I21" i="11" s="1"/>
  <c r="I23" i="11" s="1"/>
  <c r="I26" i="11" s="1"/>
  <c r="H21" i="11"/>
  <c r="H23" i="11" s="1"/>
  <c r="H26" i="11" s="1"/>
  <c r="J21" i="11" l="1"/>
  <c r="J23" i="11" s="1"/>
  <c r="J26" i="11" s="1"/>
  <c r="B32" i="11"/>
  <c r="B30" i="11"/>
  <c r="B31" i="11"/>
  <c r="B33" i="11"/>
</calcChain>
</file>

<file path=xl/sharedStrings.xml><?xml version="1.0" encoding="utf-8"?>
<sst xmlns="http://schemas.openxmlformats.org/spreadsheetml/2006/main" count="997" uniqueCount="343">
  <si>
    <t>INPUTS - PURCHASING MANAGER</t>
  </si>
  <si>
    <t>Solo inputs manuales. AZUL = modificar según tu estrategia. Sin fórmulas en esta hoja.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</si>
  <si>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</si>
  <si>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</si>
  <si>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</si>
  <si>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</si>
  <si>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</si>
  <si>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</si>
  <si>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</si>
  <si>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</si>
  <si>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</si>
  <si>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</si>
  <si>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Material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</si>
  <si>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</si>
  <si>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</si>
  <si>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</si>
  <si>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</si>
  <si>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</si>
  <si>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</si>
  <si>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</si>
  <si>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</si>
  <si>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</si>
  <si>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</si>
  <si>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</si>
  <si>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</si>
  <si>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</si>
  <si>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</si>
  <si>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</si>
  <si>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</si>
  <si>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</si>
  <si>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</si>
  <si>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</si>
  <si>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</si>
  <si>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</si>
  <si>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</si>
  <si>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</si>
  <si>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</si>
  <si>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</si>
  <si>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</si>
  <si>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</si>
  <si>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</si>
  <si>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</si>
  <si>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</si>
  <si>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</si>
  <si>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</si>
  <si>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</si>
  <si>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</si>
  <si>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</si>
  <si>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</si>
  <si>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</si>
  <si>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</si>
  <si>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</si>
  <si>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</si>
  <si>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</si>
  <si>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</si>
  <si>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</si>
  <si>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</si>
  <si>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</si>
  <si>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</si>
  <si>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</si>
  <si>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</si>
  <si>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</si>
  <si>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</si>
  <si>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</si>
  <si>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</si>
  <si>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</si>
  <si>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</si>
  <si>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</si>
  <si>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</si>
  <si>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</si>
  <si>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</si>
  <si>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</si>
  <si>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</si>
  <si>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</si>
  <si>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</si>
  <si>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</si>
  <si>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</si>
  <si>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</si>
  <si>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</si>
  <si>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</si>
  <si>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</si>
  <si>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</si>
  <si>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</si>
  <si>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</si>
  <si>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</si>
  <si>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</si>
  <si>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</si>
  <si>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</si>
  <si>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</si>
  <si>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</si>
  <si>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</si>
  <si>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</si>
  <si>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</si>
  <si>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</si>
  <si>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</si>
  <si>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</si>
  <si>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</si>
  <si>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</si>
  <si>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</si>
  <si>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</si>
  <si>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</si>
  <si>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</si>
  <si>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</si>
  <si>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</si>
  <si>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</si>
  <si>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</si>
  <si>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</si>
  <si>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</si>
  <si>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</si>
  <si>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</si>
  <si>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</si>
  <si>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</si>
  <si>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</si>
  <si>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</si>
  <si>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</si>
  <si>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</si>
  <si>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</si>
  <si>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</si>
  <si>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</si>
  <si>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</si>
  <si>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</si>
  <si>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</si>
  <si>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</si>
  <si>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</si>
  <si>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</si>
  <si>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</si>
  <si>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</si>
  <si>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</si>
  <si>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</si>
  <si>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</si>
  <si>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</si>
  <si>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</si>
  <si>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</si>
  <si>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</si>
  <si>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</si>
  <si>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</si>
  <si>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</si>
  <si>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</si>
  <si>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</si>
  <si>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</si>
  <si>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</si>
  <si>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</si>
  <si>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</si>
  <si>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</si>
  <si>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</si>
  <si>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</si>
  <si>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</si>
  <si>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</si>
  <si>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</si>
  <si>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</si>
  <si>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</si>
  <si>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</si>
  <si>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</si>
  <si>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</si>
  <si>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</si>
  <si>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</si>
  <si>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</si>
  <si>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</si>
  <si>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</si>
  <si>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</si>
  <si>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</si>
  <si>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</si>
  <si>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</si>
  <si>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</si>
  <si>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</si>
  <si>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</si>
  <si>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</si>
  <si>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</si>
  <si>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</si>
  <si>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</si>
  <si>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</si>
  <si>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</si>
  <si>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</si>
  <si>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</si>
  <si>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</si>
  <si>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</si>
  <si>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</si>
  <si>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</si>
  <si>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</si>
  <si>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</si>
  <si>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</si>
  <si>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</si>
  <si>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</si>
  <si>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Inmediato</t>
  </si>
  <si>
    <t>0%</t>
  </si>
  <si>
    <t>+2Q</t>
  </si>
  <si>
    <t>+8Q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</si>
  <si>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</si>
  <si>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</si>
  <si>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</si>
  <si>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</si>
  <si>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</si>
  <si>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</si>
  <si>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</si>
  <si>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</si>
  <si>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</si>
  <si>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</si>
  <si>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</si>
  <si>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</si>
  <si>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</si>
  <si>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</si>
  <si>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</si>
  <si>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</si>
  <si>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</si>
  <si>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</si>
  <si>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</si>
  <si>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</si>
  <si>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</si>
  <si>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</si>
  <si>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</si>
  <si>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</si>
  <si>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</si>
  <si>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</si>
  <si>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</si>
  <si>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</si>
  <si>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</si>
  <si>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</si>
  <si>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</si>
  <si>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</si>
  <si>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</si>
  <si>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</si>
  <si>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</si>
  <si>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</si>
  <si>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</si>
  <si>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</si>
  <si>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</si>
  <si>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</si>
  <si>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</si>
  <si>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</si>
  <si>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</si>
  <si>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</si>
  <si>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</si>
  <si>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</si>
  <si>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</si>
  <si>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</si>
  <si>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</si>
  <si>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</si>
  <si>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</si>
  <si>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</si>
  <si>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</si>
  <si>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</si>
  <si>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</si>
  <si>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</si>
  <si>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</si>
  <si>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</si>
  <si>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</si>
  <si>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</si>
  <si>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</si>
  <si>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</si>
  <si>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</si>
  <si>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</si>
  <si>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</si>
  <si>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</si>
  <si>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</si>
  <si>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</si>
  <si>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</si>
  <si>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</si>
  <si>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</si>
  <si>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</si>
  <si>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</si>
  <si>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</si>
  <si>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</si>
  <si>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</si>
  <si>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</si>
  <si>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</si>
  <si>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</si>
  <si>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</si>
  <si>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</si>
  <si>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</si>
  <si>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</si>
  <si>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</si>
  <si>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</si>
  <si>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</si>
  <si>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</si>
  <si>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</si>
  <si>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</si>
  <si>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</si>
  <si>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</si>
  <si>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</si>
  <si>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</si>
  <si>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</si>
  <si>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</si>
  <si>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</si>
  <si>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</si>
  <si>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</si>
  <si>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</si>
  <si>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</si>
  <si>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</si>
  <si>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RECONCILIACIÓN CON REPORTES EXSIM</t>
  </si>
  <si>
    <t>Pega reportes del simulador aquí para comparar</t>
  </si>
  <si>
    <t>RAW MATERIALS INVENTORY</t>
  </si>
  <si>
    <t>EXSIM Q1</t>
  </si>
  <si>
    <t>Modelo Q1</t>
  </si>
  <si>
    <t>Diff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</si>
  <si>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</si>
  <si>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</si>
  <si>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</si>
  <si>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</si>
  <si>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</si>
  <si>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</si>
  <si>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</si>
  <si>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</si>
  <si>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Producción EC Planta Central</t>
  </si>
  <si>
    <t>Producción EC Planta West</t>
  </si>
  <si>
    <t>Inventario Inicial Planta Central</t>
  </si>
  <si>
    <t>Inventario Inicial Planta West</t>
  </si>
  <si>
    <t>Planta Centro</t>
  </si>
  <si>
    <t>Planta West</t>
  </si>
  <si>
    <t>Totales</t>
  </si>
  <si>
    <t>Producción EC Planta East</t>
  </si>
  <si>
    <t>Producción EC Planta North</t>
  </si>
  <si>
    <t>Producción EC Planta South</t>
  </si>
  <si>
    <t>Precio, Proveedor A</t>
  </si>
  <si>
    <t>Precio por Unidad Proveedor A</t>
  </si>
  <si>
    <t>Precio, Proveedor B</t>
  </si>
  <si>
    <t>Planta East</t>
  </si>
  <si>
    <t>Planta North</t>
  </si>
  <si>
    <t>Planta South</t>
  </si>
  <si>
    <t>Total</t>
  </si>
  <si>
    <t>Inventario Inicial Planta East</t>
  </si>
  <si>
    <t>Inventario Inicial Planta North</t>
  </si>
  <si>
    <t>Inventario Inicial Planta South</t>
  </si>
  <si>
    <t>Precio por Unidad Proveedor B</t>
  </si>
  <si>
    <t>Precio, Proveedor C</t>
  </si>
  <si>
    <t>Precio por Unidad Proveedor C</t>
  </si>
  <si>
    <t>Precio por Electroclean Proveedor A</t>
  </si>
  <si>
    <t>Precio por Electroclean Proveedor B</t>
  </si>
  <si>
    <t>Precio por Electroclean Proveedor C</t>
  </si>
  <si>
    <t>Assembly</t>
  </si>
  <si>
    <t xml:space="preserve">A </t>
  </si>
  <si>
    <t>D</t>
  </si>
  <si>
    <t>Assembly A</t>
  </si>
  <si>
    <t>Assembly B</t>
  </si>
  <si>
    <t>Assembly C</t>
  </si>
  <si>
    <t>Assembly D</t>
  </si>
  <si>
    <t>1. PRODUCCIÓN PLANEADA POR QUINCENA (Assembly A)</t>
  </si>
  <si>
    <t>1. PRODUCCIÓN PLANEADA POR QUINCENA (Assembly B)</t>
  </si>
  <si>
    <t>1. PRODUCCIÓN PLANEADA POR QUINCENA (Assembly D)</t>
  </si>
  <si>
    <t>Safety Stock Planta Center</t>
  </si>
  <si>
    <t>Safety Stock Planta West</t>
  </si>
  <si>
    <t>Safety Stock Planta East</t>
  </si>
  <si>
    <t>Safety Stock Planta North</t>
  </si>
  <si>
    <t>Safety Stock Planta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</si>
</sst>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\$#,##0"/>
    <numFmt numFmtId="167" formatCode="0.0"/>
    <numFmt numFmtId="168" formatCode="#,##0.0"/>
  </numFmts>
  <fonts count="2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  <font>
      <sz val="8"/>
      <name val="Calibri"/>
      <family val="2"/>
      <charset val="1"/>
    </font>
    <font>
      <sz val="11"/>
      <color rgb="FFFF000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113">
    <xf numFmtId="0" fontId="0" fillId="0" borderId="0" xfId="0"/>
    <xf numFmtId="0" fontId="17" fillId="0" borderId="0" xfId="0" applyFont="1"/>
    <xf numFmtId="0" fontId="16" fillId="7" borderId="0" xfId="0" applyFont="1" applyFill="1"/>
    <xf numFmtId="0" fontId="15" fillId="6" borderId="0" xfId="0" applyFont="1" applyFill="1"/>
    <xf numFmtId="0" fontId="0" fillId="0" borderId="0" xfId="0" applyAlignment="1">
      <alignment horizontal="center" vertical="center"/>
    </xf>
    <xf numFmtId="0" fontId="12" fillId="0" borderId="0" xfId="0" applyFont="1"/>
    <xf numFmtId="0" fontId="9" fillId="0" borderId="0" xfId="0" applyFont="1"/>
    <xf numFmtId="0" fontId="5" fillId="0" borderId="0" xfId="0" applyFont="1"/>
    <xf numFmtId="0" fontId="10" fillId="0" borderId="0" xfId="0" applyFont="1"/>
    <xf numFmtId="0" fontId="8" fillId="0" borderId="0" xfId="0" applyFont="1"/>
    <xf numFmtId="0" fontId="4" fillId="2" borderId="1" xfId="0" applyFont="1" applyFill="1" applyBorder="1"/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0" xfId="0" applyFont="1"/>
    <xf numFmtId="0" fontId="6" fillId="4" borderId="1" xfId="0" applyFont="1" applyFill="1" applyBorder="1" applyAlignment="1">
      <alignment horizontal="center"/>
    </xf>
    <xf numFmtId="0" fontId="4" fillId="2" borderId="1" xfId="0" applyFont="1" applyFill="1" applyBorder="1"/>
    <xf numFmtId="167" fontId="6" fillId="4" borderId="1" xfId="0" applyNumberFormat="1" applyFont="1" applyFill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0" fontId="7" fillId="0" borderId="1" xfId="0" applyFont="1" applyBorder="1"/>
    <xf numFmtId="0" fontId="8" fillId="0" borderId="0" xfId="0" applyFont="1"/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3" fontId="5" fillId="3" borderId="1" xfId="0" applyNumberFormat="1" applyFont="1" applyFill="1" applyBorder="1" applyAlignment="1">
      <alignment horizontal="right"/>
    </xf>
    <xf numFmtId="3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wrapText="1"/>
    </xf>
    <xf numFmtId="3" fontId="11" fillId="0" borderId="1" xfId="0" applyNumberFormat="1" applyFont="1" applyBorder="1"/>
    <xf numFmtId="3" fontId="7" fillId="0" borderId="1" xfId="0" applyNumberFormat="1" applyFont="1" applyBorder="1"/>
    <xf numFmtId="3" fontId="6" fillId="4" borderId="1" xfId="0" applyNumberFormat="1" applyFont="1" applyFill="1" applyBorder="1"/>
    <xf numFmtId="164" fontId="11" fillId="0" borderId="1" xfId="0" applyNumberFormat="1" applyFont="1" applyBorder="1"/>
    <xf numFmtId="164" fontId="7" fillId="0" borderId="1" xfId="0" applyNumberFormat="1" applyFont="1" applyBorder="1"/>
    <xf numFmtId="164" fontId="4" fillId="2" borderId="1" xfId="0" applyNumberFormat="1" applyFont="1" applyFill="1" applyBorder="1"/>
    <xf numFmtId="0" fontId="11" fillId="0" borderId="1" xfId="0" applyFont="1" applyBorder="1"/>
    <xf numFmtId="0" fontId="4" fillId="2" borderId="1" xfId="0" applyFont="1" applyFill="1" applyBorder="1" applyAlignment="1">
      <alignment horizontal="center" wrapText="1"/>
    </xf>
    <xf numFmtId="1" fontId="7" fillId="0" borderId="1" xfId="0" applyNumberFormat="1" applyFont="1" applyBorder="1" applyAlignment="1">
      <alignment horizontal="center"/>
    </xf>
    <xf numFmtId="1" fontId="7" fillId="0" borderId="1" xfId="0" applyNumberFormat="1" applyFont="1" applyBorder="1"/>
    <xf numFmtId="164" fontId="6" fillId="4" borderId="1" xfId="0" applyNumberFormat="1" applyFont="1" applyFill="1" applyBorder="1"/>
    <xf numFmtId="1" fontId="4" fillId="2" borderId="1" xfId="0" applyNumberFormat="1" applyFont="1" applyFill="1" applyBorder="1"/>
    <xf numFmtId="164" fontId="0" fillId="0" borderId="1" xfId="0" applyNumberFormat="1" applyBorder="1"/>
    <xf numFmtId="0" fontId="6" fillId="4" borderId="1" xfId="0" applyFont="1" applyFill="1" applyBorder="1"/>
    <xf numFmtId="0" fontId="13" fillId="0" borderId="1" xfId="0" applyFont="1" applyBorder="1"/>
    <xf numFmtId="164" fontId="14" fillId="5" borderId="1" xfId="0" applyNumberFormat="1" applyFont="1" applyFill="1" applyBorder="1"/>
    <xf numFmtId="0" fontId="14" fillId="5" borderId="1" xfId="0" applyFont="1" applyFill="1" applyBorder="1"/>
    <xf numFmtId="3" fontId="6" fillId="4" borderId="0" xfId="0" applyNumberFormat="1" applyFont="1" applyFill="1"/>
    <xf numFmtId="9" fontId="0" fillId="0" borderId="1" xfId="0" applyNumberFormat="1" applyBorder="1"/>
    <xf numFmtId="0" fontId="14" fillId="4" borderId="0" xfId="0" applyFont="1" applyFill="1"/>
    <xf numFmtId="164" fontId="14" fillId="4" borderId="0" xfId="0" applyNumberFormat="1" applyFont="1" applyFill="1"/>
    <xf numFmtId="0" fontId="5" fillId="0" borderId="0" xfId="0" applyFont="1" applyAlignment="1">
      <alignment horizontal="right"/>
    </xf>
    <xf numFmtId="164" fontId="7" fillId="3" borderId="1" xfId="0" applyNumberFormat="1" applyFont="1" applyFill="1" applyBorder="1"/>
    <xf numFmtId="0" fontId="0" fillId="3" borderId="1" xfId="0" applyFill="1" applyBorder="1"/>
    <xf numFmtId="0" fontId="7" fillId="3" borderId="1" xfId="0" applyFont="1" applyFill="1" applyBorder="1"/>
    <xf numFmtId="0" fontId="7" fillId="4" borderId="1" xfId="0" applyFont="1" applyFill="1" applyBorder="1"/>
    <xf numFmtId="9" fontId="6" fillId="4" borderId="1" xfId="0" applyNumberFormat="1" applyFont="1" applyFill="1" applyBorder="1"/>
    <xf numFmtId="0" fontId="11" fillId="0" borderId="1" xfId="0" applyFont="1" applyBorder="1" applyAlignment="1">
      <alignment horizontal="center"/>
    </xf>
    <xf numFmtId="9" fontId="7" fillId="0" borderId="1" xfId="0" applyNumberFormat="1" applyFont="1" applyBorder="1"/>
    <xf numFmtId="168" fontId="7" fillId="8" borderId="1" xfId="0" applyNumberFormat="1" applyFont="1" applyFill="1" applyBorder="1"/>
    <xf numFmtId="3" fontId="7" fillId="7" borderId="1" xfId="0" applyNumberFormat="1" applyFont="1" applyFill="1" applyBorder="1"/>
    <xf numFmtId="164" fontId="7" fillId="7" borderId="1" xfId="0" applyNumberFormat="1" applyFont="1" applyFill="1" applyBorder="1"/>
    <xf numFmtId="164" fontId="7" fillId="5" borderId="1" xfId="0" applyNumberFormat="1" applyFont="1" applyFill="1" applyBorder="1"/>
    <xf numFmtId="164" fontId="11" fillId="7" borderId="1" xfId="0" applyNumberFormat="1" applyFont="1" applyFill="1" applyBorder="1"/>
    <xf numFmtId="164" fontId="5" fillId="3" borderId="1" xfId="0" applyNumberFormat="1" applyFont="1" applyFill="1" applyBorder="1"/>
    <xf numFmtId="164" fontId="4" fillId="9" borderId="1" xfId="0" applyNumberFormat="1" applyFont="1" applyFill="1" applyBorder="1"/>
    <xf numFmtId="164" fontId="7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1" fillId="0" borderId="1" xfId="0" applyNumberFormat="1" applyFont="1" applyBorder="1"/>
    <xf numFmtId="3" fontId="0" fillId="0" borderId="1" xfId="0" applyNumberFormat="1" applyBorder="1"/>
    <xf numFmtId="167" fontId="6" fillId="0" borderId="1" xfId="0" applyNumberFormat="1" applyFont="1" applyBorder="1"/>
    <xf numFmtId="0" fontId="21" fillId="0" borderId="1" xfId="0" applyFont="1" applyBorder="1"/>
    <xf numFmtId="0" fontId="18" fillId="0" borderId="0" xfId="0" applyFont="1"/>
    <xf numFmtId="0" fontId="0" fillId="0" borderId="2" xfId="0" applyBorder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20" fillId="10" borderId="0" xfId="0" applyFont="1" applyFill="1"/>
    <xf numFmtId="0" fontId="20" fillId="11" borderId="0" xfId="0" applyFont="1" applyFill="1"/>
    <xf numFmtId="0" fontId="20" fillId="12" borderId="0" xfId="0" applyFont="1" applyFill="1"/>
    <xf numFmtId="0" fontId="5" fillId="3" borderId="1" xfId="0" applyFont="1" applyFill="1" applyBorder="1" applyAlignment="1">
      <alignment wrapText="1"/>
    </xf>
    <xf numFmtId="0" fontId="0" fillId="0" borderId="0" xfId="0" applyBorder="1"/>
    <xf numFmtId="0" fontId="5" fillId="0" borderId="3" xfId="0" applyFont="1" applyFill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3" xfId="0" applyFill="1" applyBorder="1"/>
    <xf numFmtId="44" fontId="0" fillId="0" borderId="0" xfId="0" applyNumberFormat="1"/>
    <xf numFmtId="0" fontId="4" fillId="2" borderId="4" xfId="0" applyFont="1" applyFill="1" applyBorder="1" applyAlignment="1">
      <alignment horizontal="center"/>
    </xf>
    <xf numFmtId="44" fontId="1" fillId="0" borderId="0" xfId="1"/>
    <xf numFmtId="0" fontId="0" fillId="0" borderId="0" xfId="0" applyBorder="1" applyAlignment="1">
      <alignment horizontal="center"/>
    </xf>
    <xf numFmtId="0" fontId="8" fillId="0" borderId="0" xfId="0" applyFont="1" applyBorder="1"/>
    <xf numFmtId="44" fontId="1" fillId="0" borderId="0" xfId="1" applyBorder="1" applyAlignment="1">
      <alignment horizontal="right"/>
    </xf>
    <xf numFmtId="0" fontId="9" fillId="0" borderId="5" xfId="0" applyFont="1" applyBorder="1"/>
    <xf numFmtId="0" fontId="9" fillId="0" borderId="6" xfId="0" applyFont="1" applyBorder="1"/>
    <xf numFmtId="0" fontId="9" fillId="0" borderId="7" xfId="0" applyFont="1" applyBorder="1"/>
    <xf numFmtId="0" fontId="4" fillId="2" borderId="5" xfId="0" applyFont="1" applyFill="1" applyBorder="1"/>
    <xf numFmtId="0" fontId="4" fillId="2" borderId="6" xfId="0" applyFont="1" applyFill="1" applyBorder="1"/>
    <xf numFmtId="0" fontId="4" fillId="2" borderId="7" xfId="0" applyFont="1" applyFill="1" applyBorder="1"/>
    <xf numFmtId="0" fontId="4" fillId="2" borderId="4" xfId="0" applyFont="1" applyFill="1" applyBorder="1"/>
    <xf numFmtId="0" fontId="0" fillId="0" borderId="5" xfId="0" applyBorder="1"/>
    <xf numFmtId="9" fontId="6" fillId="0" borderId="6" xfId="0" applyNumberFormat="1" applyFont="1" applyBorder="1" applyAlignment="1">
      <alignment horizontal="right"/>
    </xf>
    <xf numFmtId="1" fontId="6" fillId="0" borderId="6" xfId="0" applyNumberFormat="1" applyFont="1" applyBorder="1" applyAlignment="1">
      <alignment horizontal="right"/>
    </xf>
    <xf numFmtId="0" fontId="5" fillId="0" borderId="0" xfId="0" applyFont="1" applyFill="1" applyBorder="1"/>
    <xf numFmtId="44" fontId="23" fillId="0" borderId="0" xfId="0" applyNumberFormat="1" applyFont="1"/>
  </cellXfs>
  <cellStyles count="2">
    <cellStyle name="Moneda" xfId="1" builtinId="4"/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0"/>
  <sheetViews>
    <sheetView tabSelected="1" zoomScaleNormal="100" workbookViewId="0">
      <selection activeCell="G133" sqref="G133"/>
    </sheetView>
  </sheetViews>
  <sheetFormatPr baseColWidth="10" defaultColWidth="8.6640625" defaultRowHeight="14.4" x14ac:dyDescent="0.3"/>
  <cols>
    <col min="1" max="1" width="25" customWidth="1"/>
    <col min="2" max="7" width="15" customWidth="1"/>
    <col min="10" max="10" width="12.33203125" customWidth="1"/>
    <col min="13" max="14" width="12.44140625" bestFit="1" customWidth="1"/>
  </cols>
  <sheetData>
    <row r="1" spans="1:11" ht="17.25" customHeight="1" x14ac:dyDescent="0.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15" customHeight="1" x14ac:dyDescent="0.3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4" spans="1:11" ht="15" customHeight="1" x14ac:dyDescent="0.3">
      <c r="A4" s="11" t="s">
        <v>335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15" customHeight="1" x14ac:dyDescent="0.3">
      <c r="A5" s="14" t="s">
        <v>2</v>
      </c>
      <c r="B5" s="14" t="s">
        <v>3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</row>
    <row r="6" spans="1:11" ht="15" customHeight="1" x14ac:dyDescent="0.3">
      <c r="A6" s="15" t="s">
        <v>302</v>
      </c>
      <c r="B6" s="16">
        <v>1850</v>
      </c>
      <c r="C6" s="16">
        <v>1850</v>
      </c>
      <c r="D6" s="16">
        <v>1850</v>
      </c>
      <c r="E6" s="16">
        <v>1850</v>
      </c>
      <c r="F6" s="16">
        <v>1850</v>
      </c>
      <c r="G6" s="16">
        <v>1850</v>
      </c>
      <c r="H6" s="16">
        <v>1850</v>
      </c>
      <c r="I6" s="16">
        <v>1850</v>
      </c>
      <c r="J6" s="17">
        <f>SUM(B6:I6)</f>
        <v>14800</v>
      </c>
    </row>
    <row r="7" spans="1:11" x14ac:dyDescent="0.3">
      <c r="A7" s="15" t="s">
        <v>303</v>
      </c>
      <c r="B7" s="16">
        <v>1850</v>
      </c>
      <c r="C7" s="16">
        <v>1850</v>
      </c>
      <c r="D7" s="16">
        <v>1850</v>
      </c>
      <c r="E7" s="16">
        <v>1850</v>
      </c>
      <c r="F7" s="16">
        <v>1850</v>
      </c>
      <c r="G7" s="16">
        <v>1850</v>
      </c>
      <c r="H7" s="16">
        <v>1850</v>
      </c>
      <c r="I7" s="16">
        <v>1850</v>
      </c>
      <c r="J7" s="17">
        <f>SUM(B7:I7)</f>
        <v>14800</v>
      </c>
    </row>
    <row r="8" spans="1:11" x14ac:dyDescent="0.3">
      <c r="A8" s="15" t="s">
        <v>309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7">
        <f t="shared" ref="J8:J10" si="0">SUM(B8:I8)</f>
        <v>0</v>
      </c>
    </row>
    <row r="9" spans="1:11" x14ac:dyDescent="0.3">
      <c r="A9" s="15" t="s">
        <v>310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7">
        <f t="shared" si="0"/>
        <v>0</v>
      </c>
    </row>
    <row r="10" spans="1:11" x14ac:dyDescent="0.3">
      <c r="A10" s="15" t="s">
        <v>311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7">
        <f t="shared" si="0"/>
        <v>0</v>
      </c>
    </row>
    <row r="11" spans="1:11" x14ac:dyDescent="0.3">
      <c r="A11" s="90" t="s">
        <v>318</v>
      </c>
      <c r="B11" s="91">
        <f>+SUM(B6:B10)</f>
        <v>3700</v>
      </c>
      <c r="C11" s="91">
        <f t="shared" ref="C11:J11" si="1">+SUM(C6:C10)</f>
        <v>3700</v>
      </c>
      <c r="D11" s="91">
        <f t="shared" si="1"/>
        <v>3700</v>
      </c>
      <c r="E11" s="91">
        <f t="shared" si="1"/>
        <v>3700</v>
      </c>
      <c r="F11" s="91">
        <f t="shared" si="1"/>
        <v>3700</v>
      </c>
      <c r="G11" s="91">
        <f t="shared" si="1"/>
        <v>3700</v>
      </c>
      <c r="H11" s="91">
        <f t="shared" si="1"/>
        <v>3700</v>
      </c>
      <c r="I11" s="91">
        <f t="shared" si="1"/>
        <v>3700</v>
      </c>
      <c r="J11" s="91">
        <f t="shared" si="1"/>
        <v>29600</v>
      </c>
    </row>
    <row r="12" spans="1:11" x14ac:dyDescent="0.3">
      <c r="A12" s="111"/>
      <c r="B12" s="91"/>
      <c r="C12" s="91"/>
      <c r="D12" s="91"/>
      <c r="E12" s="91"/>
      <c r="F12" s="91"/>
      <c r="G12" s="91"/>
      <c r="H12" s="91"/>
      <c r="I12" s="91"/>
      <c r="J12" s="91"/>
    </row>
    <row r="13" spans="1:11" ht="15" customHeight="1" x14ac:dyDescent="0.3">
      <c r="A13" s="11" t="s">
        <v>336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ht="15" customHeight="1" x14ac:dyDescent="0.3">
      <c r="A14" s="14" t="s">
        <v>2</v>
      </c>
      <c r="B14" s="14" t="s">
        <v>3</v>
      </c>
      <c r="C14" s="14" t="s">
        <v>4</v>
      </c>
      <c r="D14" s="14" t="s">
        <v>5</v>
      </c>
      <c r="E14" s="14" t="s">
        <v>6</v>
      </c>
      <c r="F14" s="14" t="s">
        <v>7</v>
      </c>
      <c r="G14" s="14" t="s">
        <v>8</v>
      </c>
      <c r="H14" s="14" t="s">
        <v>9</v>
      </c>
      <c r="I14" s="14" t="s">
        <v>10</v>
      </c>
      <c r="J14" s="14" t="s">
        <v>11</v>
      </c>
    </row>
    <row r="15" spans="1:11" ht="15" customHeight="1" x14ac:dyDescent="0.3">
      <c r="A15" s="15" t="s">
        <v>302</v>
      </c>
      <c r="B15" s="16">
        <v>1850</v>
      </c>
      <c r="C15" s="16">
        <v>1850</v>
      </c>
      <c r="D15" s="16">
        <v>1850</v>
      </c>
      <c r="E15" s="16">
        <v>1850</v>
      </c>
      <c r="F15" s="16">
        <v>1850</v>
      </c>
      <c r="G15" s="16">
        <v>1850</v>
      </c>
      <c r="H15" s="16">
        <v>1850</v>
      </c>
      <c r="I15" s="16">
        <v>1850</v>
      </c>
      <c r="J15" s="17">
        <f>SUM(B15:I15)</f>
        <v>14800</v>
      </c>
    </row>
    <row r="16" spans="1:11" x14ac:dyDescent="0.3">
      <c r="A16" s="15" t="s">
        <v>303</v>
      </c>
      <c r="B16" s="16">
        <v>1850</v>
      </c>
      <c r="C16" s="16">
        <v>1850</v>
      </c>
      <c r="D16" s="16">
        <v>1850</v>
      </c>
      <c r="E16" s="16">
        <v>1850</v>
      </c>
      <c r="F16" s="16">
        <v>1850</v>
      </c>
      <c r="G16" s="16">
        <v>1850</v>
      </c>
      <c r="H16" s="16">
        <v>1850</v>
      </c>
      <c r="I16" s="16">
        <v>1850</v>
      </c>
      <c r="J16" s="17">
        <f>SUM(B16:I16)</f>
        <v>14800</v>
      </c>
    </row>
    <row r="17" spans="1:11" x14ac:dyDescent="0.3">
      <c r="A17" s="15" t="s">
        <v>309</v>
      </c>
      <c r="B17" s="16">
        <v>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7">
        <f t="shared" ref="J17:J19" si="2">SUM(B17:I17)</f>
        <v>0</v>
      </c>
    </row>
    <row r="18" spans="1:11" x14ac:dyDescent="0.3">
      <c r="A18" s="15" t="s">
        <v>310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7">
        <f t="shared" si="2"/>
        <v>0</v>
      </c>
    </row>
    <row r="19" spans="1:11" x14ac:dyDescent="0.3">
      <c r="A19" s="15" t="s">
        <v>311</v>
      </c>
      <c r="B19" s="16">
        <v>0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7">
        <f t="shared" si="2"/>
        <v>0</v>
      </c>
    </row>
    <row r="20" spans="1:11" x14ac:dyDescent="0.3">
      <c r="A20" s="90" t="s">
        <v>318</v>
      </c>
      <c r="B20" s="91">
        <f>+SUM(B15:B19)</f>
        <v>3700</v>
      </c>
      <c r="C20" s="91">
        <f t="shared" ref="C20" si="3">+SUM(C15:C19)</f>
        <v>3700</v>
      </c>
      <c r="D20" s="91">
        <f t="shared" ref="D20" si="4">+SUM(D15:D19)</f>
        <v>3700</v>
      </c>
      <c r="E20" s="91">
        <f t="shared" ref="E20" si="5">+SUM(E15:E19)</f>
        <v>3700</v>
      </c>
      <c r="F20" s="91">
        <f t="shared" ref="F20" si="6">+SUM(F15:F19)</f>
        <v>3700</v>
      </c>
      <c r="G20" s="91">
        <f t="shared" ref="G20" si="7">+SUM(G15:G19)</f>
        <v>3700</v>
      </c>
      <c r="H20" s="91">
        <f t="shared" ref="H20" si="8">+SUM(H15:H19)</f>
        <v>3700</v>
      </c>
      <c r="I20" s="91">
        <f t="shared" ref="I20" si="9">+SUM(I15:I19)</f>
        <v>3700</v>
      </c>
      <c r="J20" s="91">
        <f t="shared" ref="J20" si="10">+SUM(J15:J19)</f>
        <v>29600</v>
      </c>
    </row>
    <row r="21" spans="1:11" x14ac:dyDescent="0.3">
      <c r="A21" s="111"/>
      <c r="B21" s="91"/>
      <c r="C21" s="91"/>
      <c r="D21" s="91"/>
      <c r="E21" s="91"/>
      <c r="F21" s="91"/>
      <c r="G21" s="91"/>
      <c r="H21" s="91"/>
      <c r="I21" s="91"/>
      <c r="J21" s="91"/>
    </row>
    <row r="22" spans="1:11" x14ac:dyDescent="0.3">
      <c r="A22" s="11" t="s">
        <v>337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x14ac:dyDescent="0.3">
      <c r="A23" s="14" t="s">
        <v>2</v>
      </c>
      <c r="B23" s="14" t="s">
        <v>3</v>
      </c>
      <c r="C23" s="14" t="s">
        <v>4</v>
      </c>
      <c r="D23" s="14" t="s">
        <v>5</v>
      </c>
      <c r="E23" s="14" t="s">
        <v>6</v>
      </c>
      <c r="F23" s="14" t="s">
        <v>7</v>
      </c>
      <c r="G23" s="14" t="s">
        <v>8</v>
      </c>
      <c r="H23" s="14" t="s">
        <v>9</v>
      </c>
      <c r="I23" s="14" t="s">
        <v>10</v>
      </c>
      <c r="J23" s="14" t="s">
        <v>11</v>
      </c>
    </row>
    <row r="24" spans="1:11" x14ac:dyDescent="0.3">
      <c r="A24" s="15" t="s">
        <v>302</v>
      </c>
      <c r="B24" s="16">
        <v>1850</v>
      </c>
      <c r="C24" s="16">
        <v>1850</v>
      </c>
      <c r="D24" s="16">
        <v>1850</v>
      </c>
      <c r="E24" s="16">
        <v>1850</v>
      </c>
      <c r="F24" s="16">
        <v>1850</v>
      </c>
      <c r="G24" s="16">
        <v>1850</v>
      </c>
      <c r="H24" s="16">
        <v>1850</v>
      </c>
      <c r="I24" s="16">
        <v>1850</v>
      </c>
      <c r="J24" s="17">
        <f>SUM(B24:I24)</f>
        <v>14800</v>
      </c>
    </row>
    <row r="25" spans="1:11" x14ac:dyDescent="0.3">
      <c r="A25" s="15" t="s">
        <v>303</v>
      </c>
      <c r="B25" s="16">
        <v>1850</v>
      </c>
      <c r="C25" s="16">
        <v>1850</v>
      </c>
      <c r="D25" s="16">
        <v>1850</v>
      </c>
      <c r="E25" s="16">
        <v>1850</v>
      </c>
      <c r="F25" s="16">
        <v>1850</v>
      </c>
      <c r="G25" s="16">
        <v>1850</v>
      </c>
      <c r="H25" s="16">
        <v>1850</v>
      </c>
      <c r="I25" s="16">
        <v>1850</v>
      </c>
      <c r="J25" s="17">
        <f>SUM(B25:I25)</f>
        <v>14800</v>
      </c>
    </row>
    <row r="26" spans="1:11" x14ac:dyDescent="0.3">
      <c r="A26" s="15" t="s">
        <v>309</v>
      </c>
      <c r="B26" s="16">
        <v>0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7">
        <f t="shared" ref="J26:J28" si="11">SUM(B26:I26)</f>
        <v>0</v>
      </c>
    </row>
    <row r="27" spans="1:11" x14ac:dyDescent="0.3">
      <c r="A27" s="15" t="s">
        <v>310</v>
      </c>
      <c r="B27" s="16">
        <v>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7">
        <f t="shared" si="11"/>
        <v>0</v>
      </c>
    </row>
    <row r="28" spans="1:11" x14ac:dyDescent="0.3">
      <c r="A28" s="15" t="s">
        <v>311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7">
        <f t="shared" si="11"/>
        <v>0</v>
      </c>
    </row>
    <row r="29" spans="1:11" ht="15" customHeight="1" x14ac:dyDescent="0.3">
      <c r="A29" s="90" t="s">
        <v>318</v>
      </c>
      <c r="B29" s="91">
        <f>+SUM(B24:B28)</f>
        <v>3700</v>
      </c>
      <c r="C29" s="91">
        <f t="shared" ref="C29" si="12">+SUM(C24:C28)</f>
        <v>3700</v>
      </c>
      <c r="D29" s="91">
        <f t="shared" ref="D29" si="13">+SUM(D24:D28)</f>
        <v>3700</v>
      </c>
      <c r="E29" s="91">
        <f t="shared" ref="E29" si="14">+SUM(E24:E28)</f>
        <v>3700</v>
      </c>
      <c r="F29" s="91">
        <f t="shared" ref="F29" si="15">+SUM(F24:F28)</f>
        <v>3700</v>
      </c>
      <c r="G29" s="91">
        <f t="shared" ref="G29" si="16">+SUM(G24:G28)</f>
        <v>3700</v>
      </c>
      <c r="H29" s="91">
        <f t="shared" ref="H29" si="17">+SUM(H24:H28)</f>
        <v>3700</v>
      </c>
      <c r="I29" s="91">
        <f t="shared" ref="I29" si="18">+SUM(I24:I28)</f>
        <v>3700</v>
      </c>
      <c r="J29" s="91">
        <f t="shared" ref="J29" si="19">+SUM(J24:J28)</f>
        <v>29600</v>
      </c>
    </row>
    <row r="30" spans="1:11" ht="15" customHeight="1" x14ac:dyDescent="0.3">
      <c r="A30" s="90"/>
      <c r="B30" s="91"/>
      <c r="C30" s="91"/>
      <c r="D30" s="91"/>
      <c r="E30" s="91"/>
      <c r="F30" s="91"/>
      <c r="G30" s="91"/>
      <c r="H30" s="91"/>
      <c r="I30" s="91"/>
      <c r="J30" s="91"/>
    </row>
    <row r="31" spans="1:11" ht="44.4" customHeight="1" x14ac:dyDescent="0.3">
      <c r="A31" s="18" t="s">
        <v>12</v>
      </c>
      <c r="B31" s="88" t="s">
        <v>304</v>
      </c>
      <c r="C31" s="88" t="s">
        <v>305</v>
      </c>
      <c r="D31" s="88" t="s">
        <v>319</v>
      </c>
      <c r="E31" s="88" t="s">
        <v>320</v>
      </c>
      <c r="F31" s="88" t="s">
        <v>321</v>
      </c>
      <c r="G31" s="18" t="s">
        <v>13</v>
      </c>
      <c r="H31" s="18" t="s">
        <v>14</v>
      </c>
    </row>
    <row r="32" spans="1:11" ht="15" customHeight="1" x14ac:dyDescent="0.3">
      <c r="A32" s="19" t="s">
        <v>15</v>
      </c>
      <c r="B32" s="16">
        <v>3496</v>
      </c>
      <c r="C32" s="16">
        <v>1016</v>
      </c>
      <c r="D32" s="16">
        <v>0</v>
      </c>
      <c r="E32" s="16">
        <v>0</v>
      </c>
      <c r="F32" s="16">
        <v>0</v>
      </c>
      <c r="G32" s="20" t="s">
        <v>16</v>
      </c>
      <c r="H32" s="21" t="s">
        <v>17</v>
      </c>
    </row>
    <row r="33" spans="1:8" ht="15" customHeight="1" x14ac:dyDescent="0.3">
      <c r="A33" s="19" t="s">
        <v>18</v>
      </c>
      <c r="B33" s="16">
        <v>765</v>
      </c>
      <c r="C33" s="16">
        <v>293</v>
      </c>
      <c r="D33" s="16">
        <v>0</v>
      </c>
      <c r="E33" s="16">
        <v>0</v>
      </c>
      <c r="F33" s="16">
        <v>0</v>
      </c>
      <c r="G33" s="20" t="s">
        <v>16</v>
      </c>
      <c r="H33" s="21" t="s">
        <v>17</v>
      </c>
    </row>
    <row r="34" spans="1:8" ht="15" customHeight="1" x14ac:dyDescent="0.3">
      <c r="A34" s="19" t="s">
        <v>19</v>
      </c>
      <c r="B34" s="16">
        <v>94</v>
      </c>
      <c r="C34" s="16">
        <v>36</v>
      </c>
      <c r="D34" s="16">
        <v>0</v>
      </c>
      <c r="E34" s="16">
        <v>0</v>
      </c>
      <c r="F34" s="16">
        <v>0</v>
      </c>
      <c r="G34" s="20" t="s">
        <v>16</v>
      </c>
      <c r="H34" s="21" t="s">
        <v>17</v>
      </c>
    </row>
    <row r="35" spans="1:8" ht="15" customHeight="1" x14ac:dyDescent="0.3">
      <c r="A35" s="19" t="s">
        <v>20</v>
      </c>
      <c r="B35" s="16">
        <v>3844</v>
      </c>
      <c r="C35" s="16">
        <v>1424</v>
      </c>
      <c r="D35" s="16">
        <v>0</v>
      </c>
      <c r="E35" s="16">
        <v>0</v>
      </c>
      <c r="F35" s="16">
        <v>0</v>
      </c>
      <c r="G35" s="20" t="s">
        <v>16</v>
      </c>
      <c r="H35" s="21" t="s">
        <v>17</v>
      </c>
    </row>
    <row r="36" spans="1:8" ht="15" customHeight="1" x14ac:dyDescent="0.3">
      <c r="A36" s="19" t="s">
        <v>21</v>
      </c>
      <c r="B36" s="16">
        <v>3125</v>
      </c>
      <c r="C36" s="16">
        <v>1208</v>
      </c>
      <c r="D36" s="16">
        <v>0</v>
      </c>
      <c r="E36" s="16">
        <v>0</v>
      </c>
      <c r="F36" s="16">
        <v>0</v>
      </c>
      <c r="G36" s="20" t="s">
        <v>16</v>
      </c>
      <c r="H36" s="21" t="s">
        <v>17</v>
      </c>
    </row>
    <row r="37" spans="1:8" ht="15" customHeight="1" x14ac:dyDescent="0.3">
      <c r="A37" s="19" t="s">
        <v>22</v>
      </c>
      <c r="B37" s="16">
        <v>6131</v>
      </c>
      <c r="C37" s="16">
        <v>2356</v>
      </c>
      <c r="D37" s="16">
        <v>0</v>
      </c>
      <c r="E37" s="16">
        <v>0</v>
      </c>
      <c r="F37" s="16">
        <v>0</v>
      </c>
      <c r="G37" s="20" t="s">
        <v>16</v>
      </c>
      <c r="H37" s="21" t="s">
        <v>17</v>
      </c>
    </row>
    <row r="38" spans="1:8" ht="15" customHeight="1" x14ac:dyDescent="0.3">
      <c r="A38" s="19" t="s">
        <v>23</v>
      </c>
      <c r="B38" s="16">
        <v>16736</v>
      </c>
      <c r="C38" s="16">
        <v>6456</v>
      </c>
      <c r="D38" s="16">
        <v>0</v>
      </c>
      <c r="E38" s="16">
        <v>0</v>
      </c>
      <c r="F38" s="16">
        <v>0</v>
      </c>
      <c r="G38" s="20" t="s">
        <v>16</v>
      </c>
      <c r="H38" s="21" t="s">
        <v>17</v>
      </c>
    </row>
    <row r="39" spans="1:8" ht="15" customHeight="1" x14ac:dyDescent="0.3">
      <c r="A39" s="19" t="s">
        <v>24</v>
      </c>
      <c r="B39" s="16">
        <v>4439</v>
      </c>
      <c r="C39" s="16">
        <v>1596</v>
      </c>
      <c r="D39" s="16">
        <v>0</v>
      </c>
      <c r="E39" s="16">
        <v>0</v>
      </c>
      <c r="F39" s="16">
        <v>0</v>
      </c>
      <c r="G39" s="20" t="s">
        <v>16</v>
      </c>
      <c r="H39" s="21" t="s">
        <v>17</v>
      </c>
    </row>
    <row r="40" spans="1:8" ht="15" customHeight="1" x14ac:dyDescent="0.3">
      <c r="A40" s="19" t="s">
        <v>331</v>
      </c>
      <c r="B40" s="16">
        <v>7432</v>
      </c>
      <c r="C40" s="16">
        <v>3622</v>
      </c>
      <c r="D40" s="16">
        <v>0</v>
      </c>
      <c r="E40" s="16">
        <v>0</v>
      </c>
      <c r="F40" s="16">
        <v>0</v>
      </c>
      <c r="G40" s="20" t="s">
        <v>16</v>
      </c>
      <c r="H40" s="21" t="s">
        <v>17</v>
      </c>
    </row>
    <row r="41" spans="1:8" ht="15" customHeight="1" x14ac:dyDescent="0.3">
      <c r="A41" s="19" t="s">
        <v>332</v>
      </c>
      <c r="B41" s="16">
        <v>5392</v>
      </c>
      <c r="C41" s="16">
        <v>2210</v>
      </c>
      <c r="D41" s="16">
        <v>0</v>
      </c>
      <c r="E41" s="16">
        <v>0</v>
      </c>
      <c r="F41" s="16">
        <v>0</v>
      </c>
      <c r="G41" s="20" t="s">
        <v>16</v>
      </c>
      <c r="H41" s="21" t="s">
        <v>17</v>
      </c>
    </row>
    <row r="42" spans="1:8" ht="15" customHeight="1" x14ac:dyDescent="0.3">
      <c r="A42" s="19" t="s">
        <v>333</v>
      </c>
      <c r="B42" s="16">
        <v>3766</v>
      </c>
      <c r="C42" s="16">
        <v>2416</v>
      </c>
      <c r="D42" s="16">
        <v>0</v>
      </c>
      <c r="E42" s="16">
        <v>0</v>
      </c>
      <c r="F42" s="16">
        <v>0</v>
      </c>
      <c r="G42" s="20" t="s">
        <v>16</v>
      </c>
      <c r="H42" s="21" t="s">
        <v>17</v>
      </c>
    </row>
    <row r="43" spans="1:8" ht="15" customHeight="1" x14ac:dyDescent="0.3">
      <c r="A43" s="19" t="s">
        <v>334</v>
      </c>
      <c r="B43" s="16">
        <v>6606</v>
      </c>
      <c r="C43" s="16">
        <v>2266</v>
      </c>
      <c r="D43" s="16">
        <v>0</v>
      </c>
      <c r="E43" s="16">
        <v>0</v>
      </c>
      <c r="F43" s="16">
        <v>0</v>
      </c>
      <c r="G43" s="20" t="s">
        <v>16</v>
      </c>
      <c r="H43" s="21" t="s">
        <v>17</v>
      </c>
    </row>
    <row r="46" spans="1:8" ht="15" customHeight="1" x14ac:dyDescent="0.3">
      <c r="A46" s="11" t="s">
        <v>25</v>
      </c>
      <c r="B46" s="11"/>
      <c r="C46" s="11"/>
      <c r="D46" s="11"/>
    </row>
    <row r="47" spans="1:8" ht="15" customHeight="1" x14ac:dyDescent="0.3">
      <c r="A47" s="18" t="s">
        <v>12</v>
      </c>
      <c r="B47" s="18" t="s">
        <v>26</v>
      </c>
      <c r="C47" s="18" t="s">
        <v>13</v>
      </c>
      <c r="D47" s="18" t="s">
        <v>27</v>
      </c>
    </row>
    <row r="48" spans="1:8" ht="15" customHeight="1" x14ac:dyDescent="0.3">
      <c r="A48" s="19" t="s">
        <v>15</v>
      </c>
      <c r="B48" s="22">
        <v>1</v>
      </c>
      <c r="C48" s="19" t="s">
        <v>28</v>
      </c>
      <c r="D48" s="21" t="s">
        <v>29</v>
      </c>
    </row>
    <row r="49" spans="1:4" ht="15" customHeight="1" x14ac:dyDescent="0.3">
      <c r="A49" s="19" t="s">
        <v>18</v>
      </c>
      <c r="B49" s="22">
        <v>0.2</v>
      </c>
      <c r="C49" s="19" t="s">
        <v>28</v>
      </c>
      <c r="D49" s="21" t="s">
        <v>30</v>
      </c>
    </row>
    <row r="50" spans="1:4" ht="15" customHeight="1" x14ac:dyDescent="0.3">
      <c r="A50" s="19" t="s">
        <v>19</v>
      </c>
      <c r="B50" s="22">
        <v>0.01</v>
      </c>
      <c r="C50" s="19" t="s">
        <v>28</v>
      </c>
      <c r="D50" s="21" t="s">
        <v>31</v>
      </c>
    </row>
    <row r="51" spans="1:4" ht="15" customHeight="1" x14ac:dyDescent="0.3">
      <c r="A51" s="19" t="s">
        <v>20</v>
      </c>
      <c r="B51" s="22">
        <v>8</v>
      </c>
      <c r="C51" s="19" t="s">
        <v>28</v>
      </c>
      <c r="D51" s="21" t="s">
        <v>32</v>
      </c>
    </row>
    <row r="52" spans="1:4" ht="15" customHeight="1" x14ac:dyDescent="0.3">
      <c r="A52" s="19" t="s">
        <v>21</v>
      </c>
      <c r="B52" s="22">
        <v>0.3</v>
      </c>
      <c r="C52" s="19" t="s">
        <v>28</v>
      </c>
      <c r="D52" s="21" t="s">
        <v>33</v>
      </c>
    </row>
    <row r="53" spans="1:4" ht="15" customHeight="1" x14ac:dyDescent="0.3">
      <c r="A53" s="19" t="s">
        <v>22</v>
      </c>
      <c r="B53" s="22">
        <v>0.6</v>
      </c>
      <c r="C53" s="19" t="s">
        <v>28</v>
      </c>
      <c r="D53" s="21" t="s">
        <v>34</v>
      </c>
    </row>
    <row r="54" spans="1:4" ht="15" customHeight="1" x14ac:dyDescent="0.3">
      <c r="A54" s="19" t="s">
        <v>23</v>
      </c>
      <c r="B54" s="22">
        <v>2</v>
      </c>
      <c r="C54" s="19" t="s">
        <v>28</v>
      </c>
      <c r="D54" s="21" t="s">
        <v>35</v>
      </c>
    </row>
    <row r="55" spans="1:4" ht="15" customHeight="1" x14ac:dyDescent="0.3">
      <c r="A55" s="19" t="s">
        <v>24</v>
      </c>
      <c r="B55" s="22">
        <v>0.75</v>
      </c>
      <c r="C55" s="19" t="s">
        <v>28</v>
      </c>
      <c r="D55" s="21" t="s">
        <v>36</v>
      </c>
    </row>
    <row r="56" spans="1:4" ht="15" customHeight="1" x14ac:dyDescent="0.3">
      <c r="A56" s="19" t="s">
        <v>331</v>
      </c>
      <c r="B56" s="22">
        <v>1</v>
      </c>
      <c r="C56" s="19" t="s">
        <v>28</v>
      </c>
      <c r="D56" s="21" t="s">
        <v>29</v>
      </c>
    </row>
    <row r="57" spans="1:4" ht="15" customHeight="1" x14ac:dyDescent="0.3">
      <c r="A57" s="19" t="s">
        <v>332</v>
      </c>
      <c r="B57" s="22">
        <v>1</v>
      </c>
      <c r="C57" s="19" t="s">
        <v>28</v>
      </c>
      <c r="D57" s="21" t="s">
        <v>29</v>
      </c>
    </row>
    <row r="58" spans="1:4" ht="15" customHeight="1" x14ac:dyDescent="0.3">
      <c r="A58" s="19" t="s">
        <v>333</v>
      </c>
      <c r="B58" s="22">
        <v>1</v>
      </c>
      <c r="C58" s="19" t="s">
        <v>28</v>
      </c>
      <c r="D58" s="21" t="s">
        <v>29</v>
      </c>
    </row>
    <row r="59" spans="1:4" ht="15" customHeight="1" x14ac:dyDescent="0.3">
      <c r="A59" s="19" t="s">
        <v>334</v>
      </c>
      <c r="B59" s="22">
        <v>1</v>
      </c>
      <c r="C59" s="19" t="s">
        <v>28</v>
      </c>
      <c r="D59" s="21" t="s">
        <v>29</v>
      </c>
    </row>
    <row r="60" spans="1:4" ht="15" customHeight="1" x14ac:dyDescent="0.3">
      <c r="A60" s="89"/>
      <c r="B60" s="89"/>
      <c r="C60" s="89"/>
      <c r="D60" s="99"/>
    </row>
    <row r="61" spans="1:4" ht="15" customHeight="1" x14ac:dyDescent="0.3">
      <c r="A61" s="89"/>
      <c r="B61" s="89"/>
      <c r="C61" s="89"/>
      <c r="D61" s="99"/>
    </row>
    <row r="62" spans="1:4" x14ac:dyDescent="0.3">
      <c r="A62" s="89"/>
      <c r="B62" s="89"/>
      <c r="C62" s="89"/>
    </row>
    <row r="64" spans="1:4" ht="15" customHeight="1" x14ac:dyDescent="0.3">
      <c r="A64" s="107" t="s">
        <v>37</v>
      </c>
      <c r="B64" s="107"/>
      <c r="C64" s="107"/>
      <c r="D64" s="107"/>
    </row>
    <row r="65" spans="1:4" ht="15" customHeight="1" x14ac:dyDescent="0.3">
      <c r="A65" s="18" t="s">
        <v>12</v>
      </c>
      <c r="B65" s="18" t="s">
        <v>38</v>
      </c>
      <c r="C65" s="18" t="s">
        <v>39</v>
      </c>
      <c r="D65" s="18" t="s">
        <v>27</v>
      </c>
    </row>
    <row r="66" spans="1:4" ht="15" customHeight="1" x14ac:dyDescent="0.3">
      <c r="A66" s="19" t="s">
        <v>15</v>
      </c>
      <c r="B66" s="16">
        <v>30</v>
      </c>
      <c r="C66" s="20" t="s">
        <v>40</v>
      </c>
      <c r="D66" s="21" t="s">
        <v>41</v>
      </c>
    </row>
    <row r="67" spans="1:4" ht="15" customHeight="1" x14ac:dyDescent="0.3">
      <c r="A67" s="19" t="s">
        <v>18</v>
      </c>
      <c r="B67" s="16">
        <v>12</v>
      </c>
      <c r="C67" s="20" t="s">
        <v>40</v>
      </c>
      <c r="D67" s="21" t="s">
        <v>41</v>
      </c>
    </row>
    <row r="68" spans="1:4" ht="15" customHeight="1" x14ac:dyDescent="0.3">
      <c r="A68" s="19" t="s">
        <v>19</v>
      </c>
      <c r="B68" s="16">
        <v>1</v>
      </c>
      <c r="C68" s="20" t="s">
        <v>40</v>
      </c>
      <c r="D68" s="21" t="s">
        <v>42</v>
      </c>
    </row>
    <row r="69" spans="1:4" ht="15" customHeight="1" x14ac:dyDescent="0.3">
      <c r="A69" s="19" t="s">
        <v>20</v>
      </c>
      <c r="B69" s="16">
        <v>100</v>
      </c>
      <c r="C69" s="20" t="s">
        <v>40</v>
      </c>
      <c r="D69" s="21" t="s">
        <v>43</v>
      </c>
    </row>
    <row r="70" spans="1:4" ht="15" customHeight="1" x14ac:dyDescent="0.3">
      <c r="A70" s="19" t="s">
        <v>21</v>
      </c>
      <c r="B70" s="16">
        <v>30</v>
      </c>
      <c r="C70" s="20" t="s">
        <v>40</v>
      </c>
      <c r="D70" s="21" t="s">
        <v>44</v>
      </c>
    </row>
    <row r="71" spans="1:4" ht="15" customHeight="1" x14ac:dyDescent="0.3">
      <c r="A71" s="19" t="s">
        <v>22</v>
      </c>
      <c r="B71" s="16">
        <v>60</v>
      </c>
      <c r="C71" s="20" t="s">
        <v>40</v>
      </c>
      <c r="D71" s="21" t="s">
        <v>45</v>
      </c>
    </row>
    <row r="72" spans="1:4" ht="15" customHeight="1" x14ac:dyDescent="0.3">
      <c r="A72" s="19" t="s">
        <v>23</v>
      </c>
      <c r="B72" s="16">
        <v>100</v>
      </c>
      <c r="C72" s="20" t="s">
        <v>40</v>
      </c>
      <c r="D72" s="21" t="s">
        <v>46</v>
      </c>
    </row>
    <row r="73" spans="1:4" ht="15" customHeight="1" x14ac:dyDescent="0.3">
      <c r="A73" s="19" t="s">
        <v>24</v>
      </c>
      <c r="B73" s="16">
        <v>150</v>
      </c>
      <c r="C73" s="20" t="s">
        <v>40</v>
      </c>
      <c r="D73" s="21" t="s">
        <v>47</v>
      </c>
    </row>
    <row r="74" spans="1:4" ht="15" customHeight="1" x14ac:dyDescent="0.3">
      <c r="A74" s="19" t="s">
        <v>331</v>
      </c>
      <c r="B74" s="16">
        <v>1</v>
      </c>
      <c r="C74" s="20" t="s">
        <v>40</v>
      </c>
      <c r="D74" s="21" t="s">
        <v>42</v>
      </c>
    </row>
    <row r="75" spans="1:4" ht="15" customHeight="1" x14ac:dyDescent="0.3">
      <c r="A75" s="19" t="s">
        <v>332</v>
      </c>
      <c r="B75" s="16">
        <v>1</v>
      </c>
      <c r="C75" s="20" t="s">
        <v>40</v>
      </c>
      <c r="D75" s="21" t="s">
        <v>42</v>
      </c>
    </row>
    <row r="76" spans="1:4" ht="15" customHeight="1" x14ac:dyDescent="0.3">
      <c r="A76" s="19" t="s">
        <v>333</v>
      </c>
      <c r="B76" s="16">
        <v>1</v>
      </c>
      <c r="C76" s="20" t="s">
        <v>40</v>
      </c>
      <c r="D76" s="21" t="s">
        <v>42</v>
      </c>
    </row>
    <row r="77" spans="1:4" ht="15" customHeight="1" x14ac:dyDescent="0.3">
      <c r="A77" s="19" t="s">
        <v>334</v>
      </c>
      <c r="B77" s="16">
        <v>1</v>
      </c>
      <c r="C77" s="20" t="s">
        <v>40</v>
      </c>
      <c r="D77" s="21" t="s">
        <v>42</v>
      </c>
    </row>
    <row r="78" spans="1:4" ht="15" customHeight="1" x14ac:dyDescent="0.3">
      <c r="A78" s="89"/>
      <c r="C78" s="98"/>
      <c r="D78" s="99"/>
    </row>
    <row r="79" spans="1:4" ht="15" customHeight="1" x14ac:dyDescent="0.3"/>
    <row r="80" spans="1:4" ht="15" customHeight="1" x14ac:dyDescent="0.3"/>
    <row r="81" spans="1:14" ht="15" customHeight="1" x14ac:dyDescent="0.3">
      <c r="A81" s="96" t="s">
        <v>48</v>
      </c>
      <c r="B81" s="96"/>
      <c r="C81" s="96"/>
      <c r="D81" s="96"/>
      <c r="E81" s="96"/>
      <c r="F81" s="96"/>
      <c r="G81" s="96"/>
      <c r="H81" s="96"/>
      <c r="I81" s="96"/>
      <c r="J81" s="96"/>
    </row>
    <row r="82" spans="1:14" ht="42" customHeight="1" x14ac:dyDescent="0.3">
      <c r="A82" s="88" t="s">
        <v>12</v>
      </c>
      <c r="B82" s="88" t="s">
        <v>312</v>
      </c>
      <c r="C82" s="88" t="s">
        <v>313</v>
      </c>
      <c r="D82" s="88" t="s">
        <v>325</v>
      </c>
      <c r="E82" s="88" t="s">
        <v>314</v>
      </c>
      <c r="F82" s="88" t="s">
        <v>322</v>
      </c>
      <c r="G82" s="88" t="s">
        <v>326</v>
      </c>
      <c r="H82" s="88" t="s">
        <v>323</v>
      </c>
      <c r="I82" s="88" t="s">
        <v>324</v>
      </c>
      <c r="J82" s="88" t="s">
        <v>327</v>
      </c>
    </row>
    <row r="83" spans="1:14" ht="15" customHeight="1" x14ac:dyDescent="0.3">
      <c r="A83" s="19" t="s">
        <v>15</v>
      </c>
      <c r="B83" s="92">
        <v>125</v>
      </c>
      <c r="C83" s="93">
        <f>B83/B66</f>
        <v>4.166666666666667</v>
      </c>
      <c r="D83" s="93">
        <f>C83*B48</f>
        <v>4.166666666666667</v>
      </c>
      <c r="E83" s="93">
        <v>100</v>
      </c>
      <c r="F83" s="93">
        <f>E83/B66</f>
        <v>3.3333333333333335</v>
      </c>
      <c r="G83" s="93">
        <f>F83*B48</f>
        <v>3.3333333333333335</v>
      </c>
      <c r="H83" s="93">
        <v>140</v>
      </c>
      <c r="I83" s="93">
        <f>H83/B66</f>
        <v>4.666666666666667</v>
      </c>
      <c r="J83" s="93">
        <f>I83*B48</f>
        <v>4.666666666666667</v>
      </c>
    </row>
    <row r="84" spans="1:14" ht="15" customHeight="1" x14ac:dyDescent="0.3">
      <c r="A84" s="19" t="s">
        <v>18</v>
      </c>
      <c r="B84" s="92">
        <v>330</v>
      </c>
      <c r="C84" s="93">
        <f>B84/B67</f>
        <v>27.5</v>
      </c>
      <c r="D84" s="93">
        <f>C84*B49</f>
        <v>5.5</v>
      </c>
      <c r="E84" s="93">
        <v>264</v>
      </c>
      <c r="F84" s="93">
        <f>E84/B67</f>
        <v>22</v>
      </c>
      <c r="G84" s="93">
        <f>F84*B49</f>
        <v>4.4000000000000004</v>
      </c>
      <c r="H84" s="93">
        <v>370</v>
      </c>
      <c r="I84" s="93">
        <f>H84/B67</f>
        <v>30.833333333333332</v>
      </c>
      <c r="J84" s="93">
        <f>I84*B49</f>
        <v>6.166666666666667</v>
      </c>
    </row>
    <row r="85" spans="1:14" ht="15" customHeight="1" x14ac:dyDescent="0.3">
      <c r="A85" s="19" t="s">
        <v>19</v>
      </c>
      <c r="B85" s="93">
        <v>60</v>
      </c>
      <c r="C85" s="93">
        <f>B85/B68</f>
        <v>60</v>
      </c>
      <c r="D85" s="93">
        <f>C85*B50</f>
        <v>0.6</v>
      </c>
      <c r="E85" s="93">
        <v>60</v>
      </c>
      <c r="F85" s="93">
        <f>E85/B68</f>
        <v>60</v>
      </c>
      <c r="G85" s="93">
        <f>F85*B50</f>
        <v>0.6</v>
      </c>
      <c r="H85" s="93">
        <v>60</v>
      </c>
      <c r="I85" s="93">
        <f>H85/B68</f>
        <v>60</v>
      </c>
      <c r="J85" s="93">
        <f>I85*B50</f>
        <v>0.6</v>
      </c>
    </row>
    <row r="86" spans="1:14" ht="15" customHeight="1" x14ac:dyDescent="0.3">
      <c r="A86" s="19" t="s">
        <v>20</v>
      </c>
      <c r="B86" s="93">
        <v>7</v>
      </c>
      <c r="C86" s="93">
        <f t="shared" ref="C86:C90" si="20">B86/B69</f>
        <v>7.0000000000000007E-2</v>
      </c>
      <c r="D86" s="93">
        <f>C86*B51</f>
        <v>0.56000000000000005</v>
      </c>
      <c r="E86" s="93">
        <v>7</v>
      </c>
      <c r="F86" s="93">
        <f t="shared" ref="F86:F90" si="21">E86/B69</f>
        <v>7.0000000000000007E-2</v>
      </c>
      <c r="G86" s="93">
        <f>F86*B51</f>
        <v>0.56000000000000005</v>
      </c>
      <c r="H86" s="93">
        <v>7</v>
      </c>
      <c r="I86" s="93">
        <f t="shared" ref="I86:I90" si="22">H86/B69</f>
        <v>7.0000000000000007E-2</v>
      </c>
      <c r="J86" s="93">
        <f>I86*B51</f>
        <v>0.56000000000000005</v>
      </c>
    </row>
    <row r="87" spans="1:14" ht="15" customHeight="1" x14ac:dyDescent="0.3">
      <c r="A87" s="19" t="s">
        <v>21</v>
      </c>
      <c r="B87" s="93">
        <v>36</v>
      </c>
      <c r="C87" s="93">
        <f t="shared" si="20"/>
        <v>1.2</v>
      </c>
      <c r="D87" s="93">
        <f>C87*B52</f>
        <v>0.36</v>
      </c>
      <c r="E87" s="93">
        <v>36</v>
      </c>
      <c r="F87" s="93">
        <f t="shared" si="21"/>
        <v>1.2</v>
      </c>
      <c r="G87" s="93">
        <f>F87*B52</f>
        <v>0.36</v>
      </c>
      <c r="H87" s="93">
        <v>36</v>
      </c>
      <c r="I87" s="93">
        <f t="shared" si="22"/>
        <v>1.2</v>
      </c>
      <c r="J87" s="93">
        <f>I87*B52</f>
        <v>0.36</v>
      </c>
    </row>
    <row r="88" spans="1:14" ht="15" customHeight="1" x14ac:dyDescent="0.3">
      <c r="A88" s="19" t="s">
        <v>22</v>
      </c>
      <c r="B88" s="93">
        <v>24</v>
      </c>
      <c r="C88" s="93">
        <f t="shared" si="20"/>
        <v>0.4</v>
      </c>
      <c r="D88" s="93">
        <f>C88*B53</f>
        <v>0.24</v>
      </c>
      <c r="E88" s="93">
        <v>24</v>
      </c>
      <c r="F88" s="93">
        <f t="shared" si="21"/>
        <v>0.4</v>
      </c>
      <c r="G88" s="93">
        <f>F88*B53</f>
        <v>0.24</v>
      </c>
      <c r="H88" s="93">
        <v>24</v>
      </c>
      <c r="I88" s="93">
        <f t="shared" si="22"/>
        <v>0.4</v>
      </c>
      <c r="J88" s="93">
        <f>I88*B53</f>
        <v>0.24</v>
      </c>
      <c r="N88" s="97"/>
    </row>
    <row r="89" spans="1:14" ht="15" customHeight="1" x14ac:dyDescent="0.3">
      <c r="A89" s="19" t="s">
        <v>23</v>
      </c>
      <c r="B89" s="93">
        <v>30</v>
      </c>
      <c r="C89" s="93">
        <f t="shared" si="20"/>
        <v>0.3</v>
      </c>
      <c r="D89" s="93">
        <f>C89*B54</f>
        <v>0.6</v>
      </c>
      <c r="E89" s="93">
        <v>30</v>
      </c>
      <c r="F89" s="93">
        <f t="shared" si="21"/>
        <v>0.3</v>
      </c>
      <c r="G89" s="93">
        <f>F89*B54</f>
        <v>0.6</v>
      </c>
      <c r="H89" s="93">
        <v>30</v>
      </c>
      <c r="I89" s="93">
        <f t="shared" si="22"/>
        <v>0.3</v>
      </c>
      <c r="J89" s="93">
        <f>I89*B54</f>
        <v>0.6</v>
      </c>
    </row>
    <row r="90" spans="1:14" ht="15" customHeight="1" x14ac:dyDescent="0.3">
      <c r="A90" s="19" t="s">
        <v>24</v>
      </c>
      <c r="B90" s="93">
        <v>28</v>
      </c>
      <c r="C90" s="93">
        <f t="shared" si="20"/>
        <v>0.18666666666666668</v>
      </c>
      <c r="D90" s="93">
        <f>C90*B55</f>
        <v>0.14000000000000001</v>
      </c>
      <c r="E90" s="93">
        <v>28</v>
      </c>
      <c r="F90" s="93">
        <f t="shared" si="21"/>
        <v>0.18666666666666668</v>
      </c>
      <c r="G90" s="93">
        <f>F90*B55</f>
        <v>0.14000000000000001</v>
      </c>
      <c r="H90" s="93">
        <v>28</v>
      </c>
      <c r="I90" s="93">
        <f t="shared" si="22"/>
        <v>0.18666666666666668</v>
      </c>
      <c r="J90" s="93">
        <f>I90*B55</f>
        <v>0.14000000000000001</v>
      </c>
    </row>
    <row r="91" spans="1:14" x14ac:dyDescent="0.3">
      <c r="A91" s="94" t="s">
        <v>308</v>
      </c>
      <c r="B91" s="95">
        <f>SUM(B83:B90)</f>
        <v>640</v>
      </c>
      <c r="C91" s="95">
        <f t="shared" ref="C91:G91" si="23">SUM(C83:C90)</f>
        <v>93.823333333333338</v>
      </c>
      <c r="D91" s="112">
        <f t="shared" si="23"/>
        <v>12.166666666666668</v>
      </c>
      <c r="E91" s="95">
        <f>SUM(E83:E90)</f>
        <v>549</v>
      </c>
      <c r="F91" s="95">
        <f>SUM(F83:F90)</f>
        <v>87.49</v>
      </c>
      <c r="G91" s="112">
        <f>SUM(G83:G90)</f>
        <v>10.233333333333334</v>
      </c>
      <c r="H91" s="95">
        <f>SUM(H83:H90)</f>
        <v>695</v>
      </c>
      <c r="I91" s="95">
        <f>SUM(I83:I90)</f>
        <v>97.656666666666666</v>
      </c>
      <c r="J91" s="112">
        <f>SUM(J83:J90)</f>
        <v>13.333333333333334</v>
      </c>
    </row>
    <row r="93" spans="1:14" ht="15" customHeight="1" x14ac:dyDescent="0.3">
      <c r="A93" s="11" t="s">
        <v>49</v>
      </c>
      <c r="B93" s="11"/>
      <c r="C93" s="11"/>
      <c r="D93" s="11"/>
      <c r="E93" s="11"/>
      <c r="M93" s="97"/>
      <c r="N93" s="97"/>
    </row>
    <row r="94" spans="1:14" ht="15" customHeight="1" x14ac:dyDescent="0.3">
      <c r="A94" s="18" t="s">
        <v>12</v>
      </c>
      <c r="B94" s="18" t="s">
        <v>50</v>
      </c>
      <c r="C94" s="18" t="s">
        <v>51</v>
      </c>
      <c r="D94" s="18" t="s">
        <v>52</v>
      </c>
    </row>
    <row r="95" spans="1:14" ht="15" customHeight="1" x14ac:dyDescent="0.3">
      <c r="A95" s="19" t="s">
        <v>15</v>
      </c>
      <c r="B95" s="93">
        <v>2300</v>
      </c>
      <c r="C95" s="93">
        <v>0.3</v>
      </c>
      <c r="D95" s="21" t="s">
        <v>53</v>
      </c>
    </row>
    <row r="96" spans="1:14" ht="15" customHeight="1" x14ac:dyDescent="0.3">
      <c r="A96" s="19" t="s">
        <v>18</v>
      </c>
      <c r="B96" s="93">
        <v>6000</v>
      </c>
      <c r="C96" s="93">
        <v>4.5</v>
      </c>
      <c r="D96" s="21" t="s">
        <v>53</v>
      </c>
    </row>
    <row r="97" spans="1:7" ht="15" customHeight="1" x14ac:dyDescent="0.3">
      <c r="A97" s="19" t="s">
        <v>54</v>
      </c>
      <c r="B97" s="93">
        <v>0</v>
      </c>
      <c r="C97" s="93">
        <v>0</v>
      </c>
      <c r="D97" s="21" t="s">
        <v>55</v>
      </c>
    </row>
    <row r="98" spans="1:7" ht="15" customHeight="1" x14ac:dyDescent="0.3">
      <c r="A98" s="19" t="s">
        <v>331</v>
      </c>
      <c r="B98" s="93">
        <v>0</v>
      </c>
      <c r="C98" s="93">
        <v>0.2</v>
      </c>
      <c r="D98" s="21" t="s">
        <v>53</v>
      </c>
    </row>
    <row r="99" spans="1:7" ht="15" customHeight="1" x14ac:dyDescent="0.3">
      <c r="A99" s="19" t="s">
        <v>332</v>
      </c>
      <c r="B99" s="93">
        <v>0</v>
      </c>
      <c r="C99" s="93">
        <v>0.4</v>
      </c>
      <c r="D99" s="21" t="s">
        <v>53</v>
      </c>
    </row>
    <row r="100" spans="1:7" ht="15" customHeight="1" x14ac:dyDescent="0.3">
      <c r="A100" s="19" t="s">
        <v>333</v>
      </c>
      <c r="B100" s="93">
        <v>0</v>
      </c>
      <c r="C100" s="93">
        <v>0.6</v>
      </c>
      <c r="D100" s="21" t="s">
        <v>53</v>
      </c>
    </row>
    <row r="101" spans="1:7" ht="15" customHeight="1" x14ac:dyDescent="0.3">
      <c r="A101" s="19" t="s">
        <v>334</v>
      </c>
      <c r="B101" s="93">
        <v>0</v>
      </c>
      <c r="C101" s="93">
        <v>0.2</v>
      </c>
      <c r="D101" s="21" t="s">
        <v>53</v>
      </c>
    </row>
    <row r="102" spans="1:7" ht="15" customHeight="1" x14ac:dyDescent="0.3">
      <c r="A102" s="89"/>
      <c r="B102" s="100"/>
      <c r="C102" s="100"/>
      <c r="D102" s="21"/>
    </row>
    <row r="105" spans="1:7" ht="15" customHeight="1" x14ac:dyDescent="0.3">
      <c r="A105" s="11" t="s">
        <v>56</v>
      </c>
      <c r="B105" s="11"/>
      <c r="C105" s="11"/>
      <c r="D105" s="11"/>
      <c r="E105" s="11"/>
      <c r="F105" s="11"/>
      <c r="G105" s="11"/>
    </row>
    <row r="106" spans="1:7" ht="15" customHeight="1" x14ac:dyDescent="0.3">
      <c r="A106" s="18" t="s">
        <v>57</v>
      </c>
      <c r="B106" s="18" t="s">
        <v>58</v>
      </c>
      <c r="C106" s="18" t="s">
        <v>59</v>
      </c>
      <c r="D106" s="18" t="s">
        <v>60</v>
      </c>
      <c r="E106" s="18" t="s">
        <v>61</v>
      </c>
      <c r="F106" s="18" t="s">
        <v>62</v>
      </c>
    </row>
    <row r="107" spans="1:7" ht="15" customHeight="1" x14ac:dyDescent="0.3">
      <c r="A107" s="20" t="s">
        <v>63</v>
      </c>
      <c r="B107" s="23">
        <v>125</v>
      </c>
      <c r="C107" s="24" t="s">
        <v>64</v>
      </c>
      <c r="D107" s="24" t="s">
        <v>65</v>
      </c>
      <c r="E107" s="24" t="s">
        <v>40</v>
      </c>
      <c r="F107" s="20" t="s">
        <v>66</v>
      </c>
    </row>
    <row r="108" spans="1:7" ht="15" customHeight="1" x14ac:dyDescent="0.3">
      <c r="A108" s="20" t="s">
        <v>67</v>
      </c>
      <c r="B108" s="23">
        <v>100</v>
      </c>
      <c r="C108" s="24" t="s">
        <v>68</v>
      </c>
      <c r="D108" s="24" t="s">
        <v>69</v>
      </c>
      <c r="E108" s="24">
        <v>150</v>
      </c>
      <c r="F108" s="20" t="s">
        <v>70</v>
      </c>
    </row>
    <row r="109" spans="1:7" ht="15" customHeight="1" x14ac:dyDescent="0.3">
      <c r="A109" s="20" t="s">
        <v>71</v>
      </c>
      <c r="B109" s="23">
        <v>140</v>
      </c>
      <c r="C109" s="24" t="s">
        <v>72</v>
      </c>
      <c r="D109" s="24" t="s">
        <v>65</v>
      </c>
      <c r="E109" s="24" t="s">
        <v>40</v>
      </c>
      <c r="F109" s="20" t="s">
        <v>66</v>
      </c>
    </row>
    <row r="110" spans="1:7" ht="15" customHeight="1" x14ac:dyDescent="0.3">
      <c r="A110" s="25" t="s">
        <v>73</v>
      </c>
      <c r="B110" s="26" t="s">
        <v>71</v>
      </c>
    </row>
    <row r="113" spans="1:7" ht="15" customHeight="1" x14ac:dyDescent="0.3">
      <c r="A113" s="11" t="s">
        <v>74</v>
      </c>
      <c r="B113" s="11"/>
      <c r="C113" s="11"/>
      <c r="D113" s="11"/>
      <c r="E113" s="11"/>
      <c r="F113" s="11"/>
      <c r="G113" s="11"/>
    </row>
    <row r="114" spans="1:7" ht="15" customHeight="1" x14ac:dyDescent="0.3">
      <c r="A114" s="18" t="s">
        <v>57</v>
      </c>
      <c r="B114" s="18" t="s">
        <v>58</v>
      </c>
      <c r="C114" s="18" t="s">
        <v>59</v>
      </c>
      <c r="D114" s="18" t="s">
        <v>60</v>
      </c>
      <c r="E114" s="18" t="s">
        <v>61</v>
      </c>
      <c r="F114" s="18" t="s">
        <v>62</v>
      </c>
    </row>
    <row r="115" spans="1:7" ht="15" customHeight="1" x14ac:dyDescent="0.3">
      <c r="A115" s="20" t="s">
        <v>63</v>
      </c>
      <c r="B115" s="23">
        <v>330</v>
      </c>
      <c r="C115" s="24" t="s">
        <v>64</v>
      </c>
      <c r="D115" s="24" t="s">
        <v>65</v>
      </c>
      <c r="E115" s="24" t="s">
        <v>40</v>
      </c>
      <c r="F115" s="20" t="s">
        <v>66</v>
      </c>
    </row>
    <row r="116" spans="1:7" ht="15" customHeight="1" x14ac:dyDescent="0.3">
      <c r="A116" s="20" t="s">
        <v>67</v>
      </c>
      <c r="B116" s="23">
        <v>264</v>
      </c>
      <c r="C116" s="24" t="s">
        <v>68</v>
      </c>
      <c r="D116" s="24" t="s">
        <v>75</v>
      </c>
      <c r="E116" s="24">
        <v>80</v>
      </c>
      <c r="F116" s="20" t="s">
        <v>70</v>
      </c>
    </row>
    <row r="117" spans="1:7" ht="15" customHeight="1" x14ac:dyDescent="0.3">
      <c r="A117" s="20" t="s">
        <v>71</v>
      </c>
      <c r="B117" s="23">
        <v>370</v>
      </c>
      <c r="C117" s="24" t="s">
        <v>72</v>
      </c>
      <c r="D117" s="24" t="s">
        <v>65</v>
      </c>
      <c r="E117" s="24" t="s">
        <v>40</v>
      </c>
      <c r="F117" s="20" t="s">
        <v>66</v>
      </c>
    </row>
    <row r="118" spans="1:7" ht="15" customHeight="1" x14ac:dyDescent="0.3">
      <c r="A118" s="25" t="s">
        <v>73</v>
      </c>
      <c r="B118" s="26" t="s">
        <v>71</v>
      </c>
    </row>
    <row r="121" spans="1:7" ht="15" customHeight="1" x14ac:dyDescent="0.3">
      <c r="A121" s="107" t="s">
        <v>76</v>
      </c>
      <c r="B121" s="107"/>
      <c r="C121" s="107"/>
      <c r="D121" s="107"/>
    </row>
    <row r="122" spans="1:7" ht="34.799999999999997" customHeight="1" x14ac:dyDescent="0.3">
      <c r="A122" s="18" t="s">
        <v>12</v>
      </c>
      <c r="B122" s="88" t="s">
        <v>338</v>
      </c>
      <c r="C122" s="88" t="s">
        <v>339</v>
      </c>
      <c r="D122" s="88" t="s">
        <v>340</v>
      </c>
      <c r="E122" s="88" t="s">
        <v>341</v>
      </c>
      <c r="F122" s="88" t="s">
        <v>342</v>
      </c>
    </row>
    <row r="123" spans="1:7" ht="15" customHeight="1" x14ac:dyDescent="0.3">
      <c r="A123" s="19" t="s">
        <v>15</v>
      </c>
      <c r="B123" s="16">
        <f>B6*2*B48</f>
        <v>3700</v>
      </c>
      <c r="C123" s="16">
        <f>B7*2*B48</f>
        <v>3700</v>
      </c>
      <c r="D123" s="16"/>
      <c r="E123" s="16"/>
      <c r="F123" s="16"/>
    </row>
    <row r="124" spans="1:7" ht="15" customHeight="1" x14ac:dyDescent="0.3">
      <c r="A124" s="19" t="s">
        <v>18</v>
      </c>
      <c r="B124" s="16">
        <f>B15*2*B49</f>
        <v>740</v>
      </c>
      <c r="C124" s="16">
        <f>B16*2*B49</f>
        <v>740</v>
      </c>
      <c r="D124" s="16"/>
      <c r="E124" s="16"/>
      <c r="F124" s="16"/>
    </row>
    <row r="125" spans="1:7" ht="15" customHeight="1" x14ac:dyDescent="0.3">
      <c r="A125" s="19" t="s">
        <v>19</v>
      </c>
      <c r="B125" s="16">
        <f>B15*2*B50</f>
        <v>37</v>
      </c>
      <c r="C125" s="16">
        <f>B16*2*B50</f>
        <v>37</v>
      </c>
      <c r="D125" s="16"/>
      <c r="E125" s="16"/>
      <c r="F125" s="16"/>
    </row>
    <row r="126" spans="1:7" ht="15" customHeight="1" x14ac:dyDescent="0.3">
      <c r="A126" s="19" t="s">
        <v>20</v>
      </c>
      <c r="B126" s="16">
        <f>B24*2*B51</f>
        <v>29600</v>
      </c>
      <c r="C126" s="16">
        <f>B25*2*B51</f>
        <v>29600</v>
      </c>
      <c r="D126" s="16"/>
      <c r="E126" s="16"/>
      <c r="F126" s="16"/>
    </row>
    <row r="127" spans="1:7" ht="15" customHeight="1" x14ac:dyDescent="0.3">
      <c r="A127" s="19" t="s">
        <v>21</v>
      </c>
      <c r="B127" s="16">
        <f>B24*2*B52</f>
        <v>1110</v>
      </c>
      <c r="C127" s="16">
        <f>B25*2*B52</f>
        <v>1110</v>
      </c>
      <c r="D127" s="16"/>
      <c r="E127" s="16"/>
      <c r="F127" s="16"/>
    </row>
    <row r="128" spans="1:7" ht="15" customHeight="1" x14ac:dyDescent="0.3">
      <c r="A128" s="19" t="s">
        <v>22</v>
      </c>
      <c r="B128" s="16">
        <f>B24*2*B53</f>
        <v>2220</v>
      </c>
      <c r="C128" s="16">
        <f>B25*2*B53</f>
        <v>2220</v>
      </c>
      <c r="D128" s="16"/>
      <c r="E128" s="16"/>
      <c r="F128" s="16"/>
    </row>
    <row r="129" spans="1:6" ht="15" customHeight="1" x14ac:dyDescent="0.3">
      <c r="A129" s="19" t="s">
        <v>23</v>
      </c>
      <c r="B129" s="16">
        <f>B24*2*B54</f>
        <v>7400</v>
      </c>
      <c r="C129" s="16">
        <f>B25*2*B54</f>
        <v>7400</v>
      </c>
      <c r="D129" s="16"/>
      <c r="E129" s="16"/>
      <c r="F129" s="16"/>
    </row>
    <row r="130" spans="1:6" ht="15" customHeight="1" x14ac:dyDescent="0.3">
      <c r="A130" s="19" t="s">
        <v>24</v>
      </c>
      <c r="B130" s="16">
        <f>B24*2*B55</f>
        <v>2775</v>
      </c>
      <c r="C130" s="16">
        <f>B25*2*B55</f>
        <v>2775</v>
      </c>
      <c r="D130" s="16"/>
      <c r="E130" s="16"/>
      <c r="F130" s="16"/>
    </row>
    <row r="131" spans="1:6" ht="15" customHeight="1" x14ac:dyDescent="0.3">
      <c r="A131" s="19" t="s">
        <v>331</v>
      </c>
      <c r="B131" s="16">
        <f>B6*2</f>
        <v>3700</v>
      </c>
      <c r="C131" s="16">
        <f>B7*2</f>
        <v>3700</v>
      </c>
      <c r="D131" s="16"/>
      <c r="E131" s="16"/>
      <c r="F131" s="16"/>
    </row>
    <row r="132" spans="1:6" ht="15" customHeight="1" x14ac:dyDescent="0.3">
      <c r="A132" s="19" t="s">
        <v>332</v>
      </c>
      <c r="B132" s="16">
        <f>B15</f>
        <v>1850</v>
      </c>
      <c r="C132" s="16">
        <f>B16</f>
        <v>1850</v>
      </c>
      <c r="D132" s="16"/>
      <c r="E132" s="16"/>
      <c r="F132" s="16"/>
    </row>
    <row r="133" spans="1:6" ht="15" customHeight="1" x14ac:dyDescent="0.3">
      <c r="A133" s="19" t="s">
        <v>333</v>
      </c>
      <c r="B133" s="16">
        <v>0</v>
      </c>
      <c r="C133" s="16">
        <v>0</v>
      </c>
      <c r="D133" s="16"/>
      <c r="E133" s="16"/>
      <c r="F133" s="16"/>
    </row>
    <row r="134" spans="1:6" ht="15" customHeight="1" x14ac:dyDescent="0.3">
      <c r="A134" s="19" t="s">
        <v>334</v>
      </c>
      <c r="B134" s="16">
        <f>B24*2</f>
        <v>3700</v>
      </c>
      <c r="C134" s="16">
        <f>B25*2</f>
        <v>3700</v>
      </c>
      <c r="D134" s="16"/>
      <c r="E134" s="16"/>
      <c r="F134" s="16"/>
    </row>
    <row r="135" spans="1:6" ht="15" customHeight="1" x14ac:dyDescent="0.3">
      <c r="A135" s="108"/>
      <c r="C135" s="109"/>
      <c r="D135" s="110"/>
    </row>
    <row r="136" spans="1:6" ht="15" customHeight="1" x14ac:dyDescent="0.3">
      <c r="A136" s="104" t="s">
        <v>78</v>
      </c>
      <c r="B136" s="105"/>
      <c r="C136" s="105"/>
      <c r="D136" s="105"/>
      <c r="E136" s="106"/>
    </row>
    <row r="137" spans="1:6" ht="15" customHeight="1" x14ac:dyDescent="0.3">
      <c r="A137" s="101" t="s">
        <v>79</v>
      </c>
      <c r="B137" s="102"/>
      <c r="C137" s="102"/>
      <c r="D137" s="102"/>
      <c r="E137" s="103"/>
    </row>
    <row r="138" spans="1:6" ht="15" customHeight="1" x14ac:dyDescent="0.3">
      <c r="A138" s="18" t="s">
        <v>12</v>
      </c>
      <c r="B138" s="18" t="s">
        <v>80</v>
      </c>
      <c r="C138" s="18" t="s">
        <v>81</v>
      </c>
      <c r="D138" s="18" t="s">
        <v>82</v>
      </c>
      <c r="E138" s="18" t="s">
        <v>83</v>
      </c>
    </row>
    <row r="139" spans="1:6" ht="15" customHeight="1" x14ac:dyDescent="0.3">
      <c r="A139" s="19" t="s">
        <v>15</v>
      </c>
      <c r="B139" s="28">
        <v>2</v>
      </c>
      <c r="C139" s="29">
        <f>BOM_Consumo!K6/8</f>
        <v>1850</v>
      </c>
      <c r="D139" s="29">
        <f t="shared" ref="D139:D146" si="24">B139*C139</f>
        <v>3700</v>
      </c>
      <c r="E139" s="30" t="str">
        <f t="shared" ref="E139:E146" si="25">IF(B139&gt;=1.5,"NO","SÍ - RIESGO ALTO")</f>
        <v>NO</v>
      </c>
    </row>
    <row r="140" spans="1:6" ht="15" customHeight="1" x14ac:dyDescent="0.3">
      <c r="A140" s="19" t="s">
        <v>18</v>
      </c>
      <c r="B140" s="28">
        <v>2</v>
      </c>
      <c r="C140" s="29">
        <f>BOM_Consumo!K7/8</f>
        <v>370</v>
      </c>
      <c r="D140" s="29">
        <f t="shared" si="24"/>
        <v>740</v>
      </c>
      <c r="E140" s="30" t="str">
        <f t="shared" si="25"/>
        <v>NO</v>
      </c>
    </row>
    <row r="141" spans="1:6" ht="15" customHeight="1" x14ac:dyDescent="0.3">
      <c r="A141" s="19" t="s">
        <v>19</v>
      </c>
      <c r="B141" s="28">
        <v>2</v>
      </c>
      <c r="C141" s="29">
        <f>BOM_Consumo!K8/8</f>
        <v>18.5</v>
      </c>
      <c r="D141" s="29">
        <f t="shared" si="24"/>
        <v>37</v>
      </c>
      <c r="E141" s="30" t="str">
        <f t="shared" si="25"/>
        <v>NO</v>
      </c>
    </row>
    <row r="142" spans="1:6" ht="15" customHeight="1" x14ac:dyDescent="0.3">
      <c r="A142" s="19" t="s">
        <v>20</v>
      </c>
      <c r="B142" s="28">
        <v>2</v>
      </c>
      <c r="C142" s="29">
        <f>BOM_Consumo!K9/8</f>
        <v>14800</v>
      </c>
      <c r="D142" s="29">
        <f t="shared" si="24"/>
        <v>29600</v>
      </c>
      <c r="E142" s="30" t="str">
        <f t="shared" si="25"/>
        <v>NO</v>
      </c>
    </row>
    <row r="143" spans="1:6" ht="15" customHeight="1" x14ac:dyDescent="0.3">
      <c r="A143" s="19" t="s">
        <v>21</v>
      </c>
      <c r="B143" s="28">
        <v>2</v>
      </c>
      <c r="C143" s="29">
        <f>BOM_Consumo!K10/8</f>
        <v>555</v>
      </c>
      <c r="D143" s="29">
        <f t="shared" si="24"/>
        <v>1110</v>
      </c>
      <c r="E143" s="30" t="str">
        <f t="shared" si="25"/>
        <v>NO</v>
      </c>
    </row>
    <row r="144" spans="1:6" ht="15" customHeight="1" x14ac:dyDescent="0.3">
      <c r="A144" s="19" t="s">
        <v>22</v>
      </c>
      <c r="B144" s="28">
        <v>2</v>
      </c>
      <c r="C144" s="29">
        <f>BOM_Consumo!K11/8</f>
        <v>1110</v>
      </c>
      <c r="D144" s="29">
        <f t="shared" si="24"/>
        <v>2220</v>
      </c>
      <c r="E144" s="30" t="str">
        <f t="shared" si="25"/>
        <v>NO</v>
      </c>
    </row>
    <row r="145" spans="1:5" ht="15" customHeight="1" x14ac:dyDescent="0.3">
      <c r="A145" s="19" t="s">
        <v>23</v>
      </c>
      <c r="B145" s="28">
        <v>2</v>
      </c>
      <c r="C145" s="29">
        <f>BOM_Consumo!K12/8</f>
        <v>3700</v>
      </c>
      <c r="D145" s="29">
        <f t="shared" si="24"/>
        <v>7400</v>
      </c>
      <c r="E145" s="30" t="str">
        <f t="shared" si="25"/>
        <v>NO</v>
      </c>
    </row>
    <row r="146" spans="1:5" ht="15" customHeight="1" x14ac:dyDescent="0.3">
      <c r="A146" s="19" t="s">
        <v>24</v>
      </c>
      <c r="B146" s="28">
        <v>2</v>
      </c>
      <c r="C146" s="29">
        <f>BOM_Consumo!K13/8</f>
        <v>1387.5</v>
      </c>
      <c r="D146" s="29">
        <f t="shared" si="24"/>
        <v>2775</v>
      </c>
      <c r="E146" s="30" t="str">
        <f t="shared" si="25"/>
        <v>NO</v>
      </c>
    </row>
    <row r="147" spans="1:5" x14ac:dyDescent="0.3">
      <c r="A147" s="19" t="s">
        <v>331</v>
      </c>
      <c r="B147" s="28">
        <v>2</v>
      </c>
    </row>
    <row r="148" spans="1:5" x14ac:dyDescent="0.3">
      <c r="A148" s="19" t="s">
        <v>332</v>
      </c>
      <c r="B148" s="28">
        <v>2</v>
      </c>
    </row>
    <row r="149" spans="1:5" x14ac:dyDescent="0.3">
      <c r="A149" s="19" t="s">
        <v>333</v>
      </c>
      <c r="B149" s="28">
        <v>2</v>
      </c>
    </row>
    <row r="150" spans="1:5" x14ac:dyDescent="0.3">
      <c r="A150" s="19" t="s">
        <v>334</v>
      </c>
      <c r="B150" s="28">
        <v>2</v>
      </c>
    </row>
  </sheetData>
  <mergeCells count="14">
    <mergeCell ref="A121:D121"/>
    <mergeCell ref="A136:E136"/>
    <mergeCell ref="A137:E137"/>
    <mergeCell ref="A81:J81"/>
    <mergeCell ref="A13:K13"/>
    <mergeCell ref="A22:K22"/>
    <mergeCell ref="A64:D64"/>
    <mergeCell ref="A93:E93"/>
    <mergeCell ref="A105:G105"/>
    <mergeCell ref="A113:G113"/>
    <mergeCell ref="A1:K1"/>
    <mergeCell ref="A2:K2"/>
    <mergeCell ref="A4:K4"/>
    <mergeCell ref="A46:D46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5"/>
  <sheetViews>
    <sheetView topLeftCell="A45" zoomScaleNormal="100" workbookViewId="0">
      <selection activeCell="C6" sqref="C6"/>
    </sheetView>
  </sheetViews>
  <sheetFormatPr baseColWidth="10" defaultColWidth="8.6640625" defaultRowHeight="14.4" x14ac:dyDescent="0.3"/>
  <cols>
    <col min="1" max="1" width="15" customWidth="1"/>
    <col min="2" max="11" width="12" customWidth="1"/>
  </cols>
  <sheetData>
    <row r="1" spans="1:12" ht="17.25" customHeight="1" x14ac:dyDescent="0.3">
      <c r="A1" s="13" t="s">
        <v>84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15" customHeight="1" x14ac:dyDescent="0.3">
      <c r="A2" s="9" t="s">
        <v>85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ht="15" customHeight="1" x14ac:dyDescent="0.3">
      <c r="A3" s="8" t="s">
        <v>86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x14ac:dyDescent="0.3">
      <c r="A4" t="s">
        <v>306</v>
      </c>
    </row>
    <row r="5" spans="1:12" ht="15" customHeight="1" x14ac:dyDescent="0.3">
      <c r="A5" s="32" t="s">
        <v>12</v>
      </c>
      <c r="B5" s="32" t="s">
        <v>87</v>
      </c>
      <c r="C5" s="32" t="s">
        <v>3</v>
      </c>
      <c r="D5" s="32" t="s">
        <v>4</v>
      </c>
      <c r="E5" s="32" t="s">
        <v>5</v>
      </c>
      <c r="F5" s="32" t="s">
        <v>6</v>
      </c>
      <c r="G5" s="32" t="s">
        <v>7</v>
      </c>
      <c r="H5" s="32" t="s">
        <v>8</v>
      </c>
      <c r="I5" s="32" t="s">
        <v>9</v>
      </c>
      <c r="J5" s="32" t="s">
        <v>10</v>
      </c>
      <c r="K5" s="32" t="s">
        <v>11</v>
      </c>
    </row>
    <row r="6" spans="1:12" ht="15" customHeight="1" x14ac:dyDescent="0.3">
      <c r="A6" s="19" t="s">
        <v>15</v>
      </c>
      <c r="B6" s="22">
        <v>1</v>
      </c>
      <c r="C6" s="33">
        <f>Inputs!B$6*B6</f>
        <v>1850</v>
      </c>
      <c r="D6" s="33">
        <f>Inputs!C$6*B6</f>
        <v>1850</v>
      </c>
      <c r="E6" s="33">
        <f>Inputs!D$6*B6</f>
        <v>1850</v>
      </c>
      <c r="F6" s="33">
        <f>Inputs!E$6*B6</f>
        <v>1850</v>
      </c>
      <c r="G6" s="33">
        <f>Inputs!F$6*B6</f>
        <v>1850</v>
      </c>
      <c r="H6" s="33">
        <f>Inputs!G$6*B6</f>
        <v>1850</v>
      </c>
      <c r="I6" s="33">
        <f>Inputs!H$6*B6</f>
        <v>1850</v>
      </c>
      <c r="J6" s="33">
        <f>Inputs!I$6*B6</f>
        <v>1850</v>
      </c>
      <c r="K6" s="34">
        <f t="shared" ref="K6:K13" si="0">SUM(C6:J6)</f>
        <v>14800</v>
      </c>
    </row>
    <row r="7" spans="1:12" ht="15" customHeight="1" x14ac:dyDescent="0.3">
      <c r="A7" s="19" t="s">
        <v>18</v>
      </c>
      <c r="B7" s="22">
        <v>0.2</v>
      </c>
      <c r="C7" s="33">
        <f>Inputs!B$6*B7</f>
        <v>370</v>
      </c>
      <c r="D7" s="33">
        <f>Inputs!C$6*B7</f>
        <v>370</v>
      </c>
      <c r="E7" s="33">
        <f>Inputs!D$6*B7</f>
        <v>370</v>
      </c>
      <c r="F7" s="33">
        <f>Inputs!E$6*B7</f>
        <v>370</v>
      </c>
      <c r="G7" s="33">
        <f>Inputs!F$6*B7</f>
        <v>370</v>
      </c>
      <c r="H7" s="33">
        <f>Inputs!G$6*B7</f>
        <v>370</v>
      </c>
      <c r="I7" s="33">
        <f>Inputs!H$6*B7</f>
        <v>370</v>
      </c>
      <c r="J7" s="33">
        <f>Inputs!I$6*B7</f>
        <v>370</v>
      </c>
      <c r="K7" s="34">
        <f t="shared" si="0"/>
        <v>2960</v>
      </c>
    </row>
    <row r="8" spans="1:12" ht="15" customHeight="1" x14ac:dyDescent="0.3">
      <c r="A8" s="19" t="s">
        <v>19</v>
      </c>
      <c r="B8" s="22">
        <v>0.01</v>
      </c>
      <c r="C8" s="33">
        <f>Inputs!B$6*B8</f>
        <v>18.5</v>
      </c>
      <c r="D8" s="33">
        <f>Inputs!C$6*B8</f>
        <v>18.5</v>
      </c>
      <c r="E8" s="33">
        <f>Inputs!D$6*B8</f>
        <v>18.5</v>
      </c>
      <c r="F8" s="33">
        <f>Inputs!E$6*B8</f>
        <v>18.5</v>
      </c>
      <c r="G8" s="33">
        <f>Inputs!F$6*B8</f>
        <v>18.5</v>
      </c>
      <c r="H8" s="33">
        <f>Inputs!G$6*B8</f>
        <v>18.5</v>
      </c>
      <c r="I8" s="33">
        <f>Inputs!H$6*B8</f>
        <v>18.5</v>
      </c>
      <c r="J8" s="33">
        <f>Inputs!I$6*B8</f>
        <v>18.5</v>
      </c>
      <c r="K8" s="34">
        <f t="shared" si="0"/>
        <v>148</v>
      </c>
    </row>
    <row r="9" spans="1:12" ht="15" customHeight="1" x14ac:dyDescent="0.3">
      <c r="A9" s="19" t="s">
        <v>20</v>
      </c>
      <c r="B9" s="22">
        <v>8</v>
      </c>
      <c r="C9" s="33">
        <f>Inputs!B$6*B9</f>
        <v>14800</v>
      </c>
      <c r="D9" s="33">
        <f>Inputs!C$6*B9</f>
        <v>14800</v>
      </c>
      <c r="E9" s="33">
        <f>Inputs!D$6*B9</f>
        <v>14800</v>
      </c>
      <c r="F9" s="33">
        <f>Inputs!E$6*B9</f>
        <v>14800</v>
      </c>
      <c r="G9" s="33">
        <f>Inputs!F$6*B9</f>
        <v>14800</v>
      </c>
      <c r="H9" s="33">
        <f>Inputs!G$6*B9</f>
        <v>14800</v>
      </c>
      <c r="I9" s="33">
        <f>Inputs!H$6*B9</f>
        <v>14800</v>
      </c>
      <c r="J9" s="33">
        <f>Inputs!I$6*B9</f>
        <v>14800</v>
      </c>
      <c r="K9" s="34">
        <f t="shared" si="0"/>
        <v>118400</v>
      </c>
    </row>
    <row r="10" spans="1:12" ht="15" customHeight="1" x14ac:dyDescent="0.3">
      <c r="A10" s="19" t="s">
        <v>21</v>
      </c>
      <c r="B10" s="22">
        <v>0.3</v>
      </c>
      <c r="C10" s="33">
        <f>Inputs!B$6*B10</f>
        <v>555</v>
      </c>
      <c r="D10" s="33">
        <f>Inputs!C$6*B10</f>
        <v>555</v>
      </c>
      <c r="E10" s="33">
        <f>Inputs!D$6*B10</f>
        <v>555</v>
      </c>
      <c r="F10" s="33">
        <f>Inputs!E$6*B10</f>
        <v>555</v>
      </c>
      <c r="G10" s="33">
        <f>Inputs!F$6*B10</f>
        <v>555</v>
      </c>
      <c r="H10" s="33">
        <f>Inputs!G$6*B10</f>
        <v>555</v>
      </c>
      <c r="I10" s="33">
        <f>Inputs!H$6*B10</f>
        <v>555</v>
      </c>
      <c r="J10" s="33">
        <f>Inputs!I$6*B10</f>
        <v>555</v>
      </c>
      <c r="K10" s="34">
        <f t="shared" si="0"/>
        <v>4440</v>
      </c>
    </row>
    <row r="11" spans="1:12" ht="15" customHeight="1" x14ac:dyDescent="0.3">
      <c r="A11" s="19" t="s">
        <v>22</v>
      </c>
      <c r="B11" s="22">
        <v>0.6</v>
      </c>
      <c r="C11" s="33">
        <f>Inputs!B$6*B11</f>
        <v>1110</v>
      </c>
      <c r="D11" s="33">
        <f>Inputs!C$6*B11</f>
        <v>1110</v>
      </c>
      <c r="E11" s="33">
        <f>Inputs!D$6*B11</f>
        <v>1110</v>
      </c>
      <c r="F11" s="33">
        <f>Inputs!E$6*B11</f>
        <v>1110</v>
      </c>
      <c r="G11" s="33">
        <f>Inputs!F$6*B11</f>
        <v>1110</v>
      </c>
      <c r="H11" s="33">
        <f>Inputs!G$6*B11</f>
        <v>1110</v>
      </c>
      <c r="I11" s="33">
        <f>Inputs!H$6*B11</f>
        <v>1110</v>
      </c>
      <c r="J11" s="33">
        <f>Inputs!I$6*B11</f>
        <v>1110</v>
      </c>
      <c r="K11" s="34">
        <f t="shared" si="0"/>
        <v>8880</v>
      </c>
    </row>
    <row r="12" spans="1:12" ht="15" customHeight="1" x14ac:dyDescent="0.3">
      <c r="A12" s="19" t="s">
        <v>23</v>
      </c>
      <c r="B12" s="22">
        <v>2</v>
      </c>
      <c r="C12" s="33">
        <f>Inputs!B$6*B12</f>
        <v>3700</v>
      </c>
      <c r="D12" s="33">
        <f>Inputs!C$6*B12</f>
        <v>3700</v>
      </c>
      <c r="E12" s="33">
        <f>Inputs!D$6*B12</f>
        <v>3700</v>
      </c>
      <c r="F12" s="33">
        <f>Inputs!E$6*B12</f>
        <v>3700</v>
      </c>
      <c r="G12" s="33">
        <f>Inputs!F$6*B12</f>
        <v>3700</v>
      </c>
      <c r="H12" s="33">
        <f>Inputs!G$6*B12</f>
        <v>3700</v>
      </c>
      <c r="I12" s="33">
        <f>Inputs!H$6*B12</f>
        <v>3700</v>
      </c>
      <c r="J12" s="33">
        <f>Inputs!I$6*B12</f>
        <v>3700</v>
      </c>
      <c r="K12" s="34">
        <f t="shared" si="0"/>
        <v>29600</v>
      </c>
    </row>
    <row r="13" spans="1:12" ht="15" customHeight="1" x14ac:dyDescent="0.3">
      <c r="A13" s="19" t="s">
        <v>24</v>
      </c>
      <c r="B13" s="22">
        <v>0.75</v>
      </c>
      <c r="C13" s="33">
        <f>Inputs!B$6*B13</f>
        <v>1387.5</v>
      </c>
      <c r="D13" s="33">
        <f>Inputs!C$6*B13</f>
        <v>1387.5</v>
      </c>
      <c r="E13" s="33">
        <f>Inputs!D$6*B13</f>
        <v>1387.5</v>
      </c>
      <c r="F13" s="33">
        <f>Inputs!E$6*B13</f>
        <v>1387.5</v>
      </c>
      <c r="G13" s="33">
        <f>Inputs!F$6*B13</f>
        <v>1387.5</v>
      </c>
      <c r="H13" s="33">
        <f>Inputs!G$6*B13</f>
        <v>1387.5</v>
      </c>
      <c r="I13" s="33">
        <f>Inputs!H$6*B13</f>
        <v>1387.5</v>
      </c>
      <c r="J13" s="33">
        <f>Inputs!I$6*B13</f>
        <v>1387.5</v>
      </c>
      <c r="K13" s="34">
        <f t="shared" si="0"/>
        <v>11100</v>
      </c>
    </row>
    <row r="14" spans="1:12" x14ac:dyDescent="0.3">
      <c r="A14" s="25" t="s">
        <v>88</v>
      </c>
      <c r="B14" s="25"/>
      <c r="C14" s="35">
        <f>Inputs!B6</f>
        <v>1850</v>
      </c>
      <c r="D14" s="35">
        <f>Inputs!C6</f>
        <v>1850</v>
      </c>
      <c r="E14" s="35">
        <f>Inputs!D6</f>
        <v>1850</v>
      </c>
      <c r="F14" s="35">
        <f>Inputs!E6</f>
        <v>1850</v>
      </c>
      <c r="G14" s="35">
        <f>Inputs!F6</f>
        <v>1850</v>
      </c>
      <c r="H14" s="35">
        <f>Inputs!G6</f>
        <v>1850</v>
      </c>
      <c r="I14" s="35">
        <f>Inputs!H6</f>
        <v>1850</v>
      </c>
      <c r="J14" s="35">
        <f>Inputs!I6</f>
        <v>1850</v>
      </c>
      <c r="K14" s="35">
        <f>Inputs!J6</f>
        <v>14800</v>
      </c>
    </row>
    <row r="15" spans="1:12" ht="15" customHeight="1" x14ac:dyDescent="0.3"/>
    <row r="16" spans="1:12" x14ac:dyDescent="0.3">
      <c r="A16" t="s">
        <v>307</v>
      </c>
    </row>
    <row r="17" spans="1:11" x14ac:dyDescent="0.3">
      <c r="A17" s="32" t="s">
        <v>12</v>
      </c>
      <c r="B17" s="32" t="s">
        <v>87</v>
      </c>
      <c r="C17" s="32" t="s">
        <v>3</v>
      </c>
      <c r="D17" s="32" t="s">
        <v>4</v>
      </c>
      <c r="E17" s="32" t="s">
        <v>5</v>
      </c>
      <c r="F17" s="32" t="s">
        <v>6</v>
      </c>
      <c r="G17" s="32" t="s">
        <v>7</v>
      </c>
      <c r="H17" s="32" t="s">
        <v>8</v>
      </c>
      <c r="I17" s="32" t="s">
        <v>9</v>
      </c>
      <c r="J17" s="32" t="s">
        <v>10</v>
      </c>
      <c r="K17" s="32" t="s">
        <v>11</v>
      </c>
    </row>
    <row r="18" spans="1:11" x14ac:dyDescent="0.3">
      <c r="A18" s="19" t="s">
        <v>15</v>
      </c>
      <c r="B18" s="22">
        <v>1</v>
      </c>
      <c r="C18" s="33">
        <f>Inputs!B$6*B18</f>
        <v>1850</v>
      </c>
      <c r="D18" s="33">
        <f>Inputs!C$6*B18</f>
        <v>1850</v>
      </c>
      <c r="E18" s="33">
        <f>Inputs!D$6*B18</f>
        <v>1850</v>
      </c>
      <c r="F18" s="33">
        <f>Inputs!E$6*B18</f>
        <v>1850</v>
      </c>
      <c r="G18" s="33">
        <f>Inputs!F$6*B18</f>
        <v>1850</v>
      </c>
      <c r="H18" s="33">
        <f>Inputs!G$6*B18</f>
        <v>1850</v>
      </c>
      <c r="I18" s="33">
        <f>Inputs!H$6*B18</f>
        <v>1850</v>
      </c>
      <c r="J18" s="33">
        <f>Inputs!I$6*B18</f>
        <v>1850</v>
      </c>
      <c r="K18" s="34">
        <f t="shared" ref="K18:K25" si="1">SUM(C18:J18)</f>
        <v>14800</v>
      </c>
    </row>
    <row r="19" spans="1:11" x14ac:dyDescent="0.3">
      <c r="A19" s="19" t="s">
        <v>18</v>
      </c>
      <c r="B19" s="22">
        <v>0.2</v>
      </c>
      <c r="C19" s="33">
        <f>Inputs!B$6*B19</f>
        <v>370</v>
      </c>
      <c r="D19" s="33">
        <f>Inputs!C$6*B19</f>
        <v>370</v>
      </c>
      <c r="E19" s="33">
        <f>Inputs!D$6*B19</f>
        <v>370</v>
      </c>
      <c r="F19" s="33">
        <f>Inputs!E$6*B19</f>
        <v>370</v>
      </c>
      <c r="G19" s="33">
        <f>Inputs!F$6*B19</f>
        <v>370</v>
      </c>
      <c r="H19" s="33">
        <f>Inputs!G$6*B19</f>
        <v>370</v>
      </c>
      <c r="I19" s="33">
        <f>Inputs!H$6*B19</f>
        <v>370</v>
      </c>
      <c r="J19" s="33">
        <f>Inputs!I$6*B19</f>
        <v>370</v>
      </c>
      <c r="K19" s="34">
        <f t="shared" si="1"/>
        <v>2960</v>
      </c>
    </row>
    <row r="20" spans="1:11" x14ac:dyDescent="0.3">
      <c r="A20" s="19" t="s">
        <v>19</v>
      </c>
      <c r="B20" s="22">
        <v>0.01</v>
      </c>
      <c r="C20" s="33">
        <f>Inputs!B$6*B20</f>
        <v>18.5</v>
      </c>
      <c r="D20" s="33">
        <f>Inputs!C$6*B20</f>
        <v>18.5</v>
      </c>
      <c r="E20" s="33">
        <f>Inputs!D$6*B20</f>
        <v>18.5</v>
      </c>
      <c r="F20" s="33">
        <f>Inputs!E$6*B20</f>
        <v>18.5</v>
      </c>
      <c r="G20" s="33">
        <f>Inputs!F$6*B20</f>
        <v>18.5</v>
      </c>
      <c r="H20" s="33">
        <f>Inputs!G$6*B20</f>
        <v>18.5</v>
      </c>
      <c r="I20" s="33">
        <f>Inputs!H$6*B20</f>
        <v>18.5</v>
      </c>
      <c r="J20" s="33">
        <f>Inputs!I$6*B20</f>
        <v>18.5</v>
      </c>
      <c r="K20" s="34">
        <f t="shared" si="1"/>
        <v>148</v>
      </c>
    </row>
    <row r="21" spans="1:11" x14ac:dyDescent="0.3">
      <c r="A21" s="19" t="s">
        <v>20</v>
      </c>
      <c r="B21" s="22">
        <v>8</v>
      </c>
      <c r="C21" s="33">
        <f>Inputs!B$6*B21</f>
        <v>14800</v>
      </c>
      <c r="D21" s="33">
        <f>Inputs!C$6*B21</f>
        <v>14800</v>
      </c>
      <c r="E21" s="33">
        <f>Inputs!D$6*B21</f>
        <v>14800</v>
      </c>
      <c r="F21" s="33">
        <f>Inputs!E$6*B21</f>
        <v>14800</v>
      </c>
      <c r="G21" s="33">
        <f>Inputs!F$6*B21</f>
        <v>14800</v>
      </c>
      <c r="H21" s="33">
        <f>Inputs!G$6*B21</f>
        <v>14800</v>
      </c>
      <c r="I21" s="33">
        <f>Inputs!H$6*B21</f>
        <v>14800</v>
      </c>
      <c r="J21" s="33">
        <f>Inputs!I$6*B21</f>
        <v>14800</v>
      </c>
      <c r="K21" s="34">
        <f t="shared" si="1"/>
        <v>118400</v>
      </c>
    </row>
    <row r="22" spans="1:11" x14ac:dyDescent="0.3">
      <c r="A22" s="19" t="s">
        <v>21</v>
      </c>
      <c r="B22" s="22">
        <v>0.3</v>
      </c>
      <c r="C22" s="33">
        <f>Inputs!B$6*B22</f>
        <v>555</v>
      </c>
      <c r="D22" s="33">
        <f>Inputs!C$6*B22</f>
        <v>555</v>
      </c>
      <c r="E22" s="33">
        <f>Inputs!D$6*B22</f>
        <v>555</v>
      </c>
      <c r="F22" s="33">
        <f>Inputs!E$6*B22</f>
        <v>555</v>
      </c>
      <c r="G22" s="33">
        <f>Inputs!F$6*B22</f>
        <v>555</v>
      </c>
      <c r="H22" s="33">
        <f>Inputs!G$6*B22</f>
        <v>555</v>
      </c>
      <c r="I22" s="33">
        <f>Inputs!H$6*B22</f>
        <v>555</v>
      </c>
      <c r="J22" s="33">
        <f>Inputs!I$6*B22</f>
        <v>555</v>
      </c>
      <c r="K22" s="34">
        <f t="shared" si="1"/>
        <v>4440</v>
      </c>
    </row>
    <row r="23" spans="1:11" x14ac:dyDescent="0.3">
      <c r="A23" s="19" t="s">
        <v>22</v>
      </c>
      <c r="B23" s="22">
        <v>0.6</v>
      </c>
      <c r="C23" s="33">
        <f>Inputs!B$6*B23</f>
        <v>1110</v>
      </c>
      <c r="D23" s="33">
        <f>Inputs!C$6*B23</f>
        <v>1110</v>
      </c>
      <c r="E23" s="33">
        <f>Inputs!D$6*B23</f>
        <v>1110</v>
      </c>
      <c r="F23" s="33">
        <f>Inputs!E$6*B23</f>
        <v>1110</v>
      </c>
      <c r="G23" s="33">
        <f>Inputs!F$6*B23</f>
        <v>1110</v>
      </c>
      <c r="H23" s="33">
        <f>Inputs!G$6*B23</f>
        <v>1110</v>
      </c>
      <c r="I23" s="33">
        <f>Inputs!H$6*B23</f>
        <v>1110</v>
      </c>
      <c r="J23" s="33">
        <f>Inputs!I$6*B23</f>
        <v>1110</v>
      </c>
      <c r="K23" s="34">
        <f t="shared" si="1"/>
        <v>8880</v>
      </c>
    </row>
    <row r="24" spans="1:11" x14ac:dyDescent="0.3">
      <c r="A24" s="19" t="s">
        <v>23</v>
      </c>
      <c r="B24" s="22">
        <v>2</v>
      </c>
      <c r="C24" s="33">
        <f>Inputs!B$6*B24</f>
        <v>3700</v>
      </c>
      <c r="D24" s="33">
        <f>Inputs!C$6*B24</f>
        <v>3700</v>
      </c>
      <c r="E24" s="33">
        <f>Inputs!D$6*B24</f>
        <v>3700</v>
      </c>
      <c r="F24" s="33">
        <f>Inputs!E$6*B24</f>
        <v>3700</v>
      </c>
      <c r="G24" s="33">
        <f>Inputs!F$6*B24</f>
        <v>3700</v>
      </c>
      <c r="H24" s="33">
        <f>Inputs!G$6*B24</f>
        <v>3700</v>
      </c>
      <c r="I24" s="33">
        <f>Inputs!H$6*B24</f>
        <v>3700</v>
      </c>
      <c r="J24" s="33">
        <f>Inputs!I$6*B24</f>
        <v>3700</v>
      </c>
      <c r="K24" s="34">
        <f t="shared" si="1"/>
        <v>29600</v>
      </c>
    </row>
    <row r="25" spans="1:11" x14ac:dyDescent="0.3">
      <c r="A25" s="19" t="s">
        <v>24</v>
      </c>
      <c r="B25" s="22">
        <v>0.75</v>
      </c>
      <c r="C25" s="33">
        <f>Inputs!B$6*B25</f>
        <v>1387.5</v>
      </c>
      <c r="D25" s="33">
        <f>Inputs!C$6*B25</f>
        <v>1387.5</v>
      </c>
      <c r="E25" s="33">
        <f>Inputs!D$6*B25</f>
        <v>1387.5</v>
      </c>
      <c r="F25" s="33">
        <f>Inputs!E$6*B25</f>
        <v>1387.5</v>
      </c>
      <c r="G25" s="33">
        <f>Inputs!F$6*B25</f>
        <v>1387.5</v>
      </c>
      <c r="H25" s="33">
        <f>Inputs!G$6*B25</f>
        <v>1387.5</v>
      </c>
      <c r="I25" s="33">
        <f>Inputs!H$6*B25</f>
        <v>1387.5</v>
      </c>
      <c r="J25" s="33">
        <f>Inputs!I$6*B25</f>
        <v>1387.5</v>
      </c>
      <c r="K25" s="34">
        <f t="shared" si="1"/>
        <v>11100</v>
      </c>
    </row>
    <row r="26" spans="1:11" x14ac:dyDescent="0.3">
      <c r="A26" s="25" t="s">
        <v>88</v>
      </c>
      <c r="B26" s="25"/>
      <c r="C26" s="35">
        <f>Inputs!B7</f>
        <v>1850</v>
      </c>
      <c r="D26" s="35">
        <f>Inputs!C7</f>
        <v>1850</v>
      </c>
      <c r="E26" s="35">
        <f>Inputs!D7</f>
        <v>1850</v>
      </c>
      <c r="F26" s="35">
        <f>Inputs!E7</f>
        <v>1850</v>
      </c>
      <c r="G26" s="35">
        <f>Inputs!F7</f>
        <v>1850</v>
      </c>
      <c r="H26" s="35">
        <f>Inputs!G7</f>
        <v>1850</v>
      </c>
      <c r="I26" s="35">
        <f>Inputs!H7</f>
        <v>1850</v>
      </c>
      <c r="J26" s="35">
        <f>Inputs!I7</f>
        <v>1850</v>
      </c>
      <c r="K26" s="35">
        <f>Inputs!J7</f>
        <v>14800</v>
      </c>
    </row>
    <row r="28" spans="1:11" x14ac:dyDescent="0.3">
      <c r="A28" t="s">
        <v>315</v>
      </c>
    </row>
    <row r="29" spans="1:11" x14ac:dyDescent="0.3">
      <c r="A29" s="32" t="s">
        <v>12</v>
      </c>
      <c r="B29" s="32" t="s">
        <v>87</v>
      </c>
      <c r="C29" s="32" t="s">
        <v>3</v>
      </c>
      <c r="D29" s="32" t="s">
        <v>4</v>
      </c>
      <c r="E29" s="32" t="s">
        <v>5</v>
      </c>
      <c r="F29" s="32" t="s">
        <v>6</v>
      </c>
      <c r="G29" s="32" t="s">
        <v>7</v>
      </c>
      <c r="H29" s="32" t="s">
        <v>8</v>
      </c>
      <c r="I29" s="32" t="s">
        <v>9</v>
      </c>
      <c r="J29" s="32" t="s">
        <v>10</v>
      </c>
      <c r="K29" s="32" t="s">
        <v>11</v>
      </c>
    </row>
    <row r="30" spans="1:11" x14ac:dyDescent="0.3">
      <c r="A30" s="19" t="s">
        <v>15</v>
      </c>
      <c r="B30" s="22">
        <v>1</v>
      </c>
      <c r="C30" s="33">
        <f>Inputs!B$6*B30</f>
        <v>1850</v>
      </c>
      <c r="D30" s="33">
        <f>Inputs!C$6*B30</f>
        <v>1850</v>
      </c>
      <c r="E30" s="33">
        <f>Inputs!D$6*B30</f>
        <v>1850</v>
      </c>
      <c r="F30" s="33">
        <f>Inputs!E$6*B30</f>
        <v>1850</v>
      </c>
      <c r="G30" s="33">
        <f>Inputs!F$6*B30</f>
        <v>1850</v>
      </c>
      <c r="H30" s="33">
        <f>Inputs!G$6*B30</f>
        <v>1850</v>
      </c>
      <c r="I30" s="33">
        <f>Inputs!H$6*B30</f>
        <v>1850</v>
      </c>
      <c r="J30" s="33">
        <f>Inputs!I$6*B30</f>
        <v>1850</v>
      </c>
      <c r="K30" s="34">
        <f t="shared" ref="K30:K37" si="2">SUM(C30:J30)</f>
        <v>14800</v>
      </c>
    </row>
    <row r="31" spans="1:11" x14ac:dyDescent="0.3">
      <c r="A31" s="19" t="s">
        <v>18</v>
      </c>
      <c r="B31" s="22">
        <v>0.2</v>
      </c>
      <c r="C31" s="33">
        <f>Inputs!B$6*B31</f>
        <v>370</v>
      </c>
      <c r="D31" s="33">
        <f>Inputs!C$6*B31</f>
        <v>370</v>
      </c>
      <c r="E31" s="33">
        <f>Inputs!D$6*B31</f>
        <v>370</v>
      </c>
      <c r="F31" s="33">
        <f>Inputs!E$6*B31</f>
        <v>370</v>
      </c>
      <c r="G31" s="33">
        <f>Inputs!F$6*B31</f>
        <v>370</v>
      </c>
      <c r="H31" s="33">
        <f>Inputs!G$6*B31</f>
        <v>370</v>
      </c>
      <c r="I31" s="33">
        <f>Inputs!H$6*B31</f>
        <v>370</v>
      </c>
      <c r="J31" s="33">
        <f>Inputs!I$6*B31</f>
        <v>370</v>
      </c>
      <c r="K31" s="34">
        <f t="shared" si="2"/>
        <v>2960</v>
      </c>
    </row>
    <row r="32" spans="1:11" x14ac:dyDescent="0.3">
      <c r="A32" s="19" t="s">
        <v>19</v>
      </c>
      <c r="B32" s="22">
        <v>0.01</v>
      </c>
      <c r="C32" s="33">
        <f>Inputs!B$6*B32</f>
        <v>18.5</v>
      </c>
      <c r="D32" s="33">
        <f>Inputs!C$6*B32</f>
        <v>18.5</v>
      </c>
      <c r="E32" s="33">
        <f>Inputs!D$6*B32</f>
        <v>18.5</v>
      </c>
      <c r="F32" s="33">
        <f>Inputs!E$6*B32</f>
        <v>18.5</v>
      </c>
      <c r="G32" s="33">
        <f>Inputs!F$6*B32</f>
        <v>18.5</v>
      </c>
      <c r="H32" s="33">
        <f>Inputs!G$6*B32</f>
        <v>18.5</v>
      </c>
      <c r="I32" s="33">
        <f>Inputs!H$6*B32</f>
        <v>18.5</v>
      </c>
      <c r="J32" s="33">
        <f>Inputs!I$6*B32</f>
        <v>18.5</v>
      </c>
      <c r="K32" s="34">
        <f t="shared" si="2"/>
        <v>148</v>
      </c>
    </row>
    <row r="33" spans="1:11" x14ac:dyDescent="0.3">
      <c r="A33" s="19" t="s">
        <v>20</v>
      </c>
      <c r="B33" s="22">
        <v>8</v>
      </c>
      <c r="C33" s="33">
        <f>Inputs!B$6*B33</f>
        <v>14800</v>
      </c>
      <c r="D33" s="33">
        <f>Inputs!C$6*B33</f>
        <v>14800</v>
      </c>
      <c r="E33" s="33">
        <f>Inputs!D$6*B33</f>
        <v>14800</v>
      </c>
      <c r="F33" s="33">
        <f>Inputs!E$6*B33</f>
        <v>14800</v>
      </c>
      <c r="G33" s="33">
        <f>Inputs!F$6*B33</f>
        <v>14800</v>
      </c>
      <c r="H33" s="33">
        <f>Inputs!G$6*B33</f>
        <v>14800</v>
      </c>
      <c r="I33" s="33">
        <f>Inputs!H$6*B33</f>
        <v>14800</v>
      </c>
      <c r="J33" s="33">
        <f>Inputs!I$6*B33</f>
        <v>14800</v>
      </c>
      <c r="K33" s="34">
        <f t="shared" si="2"/>
        <v>118400</v>
      </c>
    </row>
    <row r="34" spans="1:11" x14ac:dyDescent="0.3">
      <c r="A34" s="19" t="s">
        <v>21</v>
      </c>
      <c r="B34" s="22">
        <v>0.3</v>
      </c>
      <c r="C34" s="33">
        <f>Inputs!B$6*B34</f>
        <v>555</v>
      </c>
      <c r="D34" s="33">
        <f>Inputs!C$6*B34</f>
        <v>555</v>
      </c>
      <c r="E34" s="33">
        <f>Inputs!D$6*B34</f>
        <v>555</v>
      </c>
      <c r="F34" s="33">
        <f>Inputs!E$6*B34</f>
        <v>555</v>
      </c>
      <c r="G34" s="33">
        <f>Inputs!F$6*B34</f>
        <v>555</v>
      </c>
      <c r="H34" s="33">
        <f>Inputs!G$6*B34</f>
        <v>555</v>
      </c>
      <c r="I34" s="33">
        <f>Inputs!H$6*B34</f>
        <v>555</v>
      </c>
      <c r="J34" s="33">
        <f>Inputs!I$6*B34</f>
        <v>555</v>
      </c>
      <c r="K34" s="34">
        <f t="shared" si="2"/>
        <v>4440</v>
      </c>
    </row>
    <row r="35" spans="1:11" x14ac:dyDescent="0.3">
      <c r="A35" s="19" t="s">
        <v>22</v>
      </c>
      <c r="B35" s="22">
        <v>0.6</v>
      </c>
      <c r="C35" s="33">
        <f>Inputs!B$6*B35</f>
        <v>1110</v>
      </c>
      <c r="D35" s="33">
        <f>Inputs!C$6*B35</f>
        <v>1110</v>
      </c>
      <c r="E35" s="33">
        <f>Inputs!D$6*B35</f>
        <v>1110</v>
      </c>
      <c r="F35" s="33">
        <f>Inputs!E$6*B35</f>
        <v>1110</v>
      </c>
      <c r="G35" s="33">
        <f>Inputs!F$6*B35</f>
        <v>1110</v>
      </c>
      <c r="H35" s="33">
        <f>Inputs!G$6*B35</f>
        <v>1110</v>
      </c>
      <c r="I35" s="33">
        <f>Inputs!H$6*B35</f>
        <v>1110</v>
      </c>
      <c r="J35" s="33">
        <f>Inputs!I$6*B35</f>
        <v>1110</v>
      </c>
      <c r="K35" s="34">
        <f t="shared" si="2"/>
        <v>8880</v>
      </c>
    </row>
    <row r="36" spans="1:11" x14ac:dyDescent="0.3">
      <c r="A36" s="19" t="s">
        <v>23</v>
      </c>
      <c r="B36" s="22">
        <v>2</v>
      </c>
      <c r="C36" s="33">
        <f>Inputs!B$6*B36</f>
        <v>3700</v>
      </c>
      <c r="D36" s="33">
        <f>Inputs!C$6*B36</f>
        <v>3700</v>
      </c>
      <c r="E36" s="33">
        <f>Inputs!D$6*B36</f>
        <v>3700</v>
      </c>
      <c r="F36" s="33">
        <f>Inputs!E$6*B36</f>
        <v>3700</v>
      </c>
      <c r="G36" s="33">
        <f>Inputs!F$6*B36</f>
        <v>3700</v>
      </c>
      <c r="H36" s="33">
        <f>Inputs!G$6*B36</f>
        <v>3700</v>
      </c>
      <c r="I36" s="33">
        <f>Inputs!H$6*B36</f>
        <v>3700</v>
      </c>
      <c r="J36" s="33">
        <f>Inputs!I$6*B36</f>
        <v>3700</v>
      </c>
      <c r="K36" s="34">
        <f t="shared" si="2"/>
        <v>29600</v>
      </c>
    </row>
    <row r="37" spans="1:11" x14ac:dyDescent="0.3">
      <c r="A37" s="19" t="s">
        <v>24</v>
      </c>
      <c r="B37" s="22">
        <v>0.75</v>
      </c>
      <c r="C37" s="33">
        <f>Inputs!B$6*B37</f>
        <v>1387.5</v>
      </c>
      <c r="D37" s="33">
        <f>Inputs!C$6*B37</f>
        <v>1387.5</v>
      </c>
      <c r="E37" s="33">
        <f>Inputs!D$6*B37</f>
        <v>1387.5</v>
      </c>
      <c r="F37" s="33">
        <f>Inputs!E$6*B37</f>
        <v>1387.5</v>
      </c>
      <c r="G37" s="33">
        <f>Inputs!F$6*B37</f>
        <v>1387.5</v>
      </c>
      <c r="H37" s="33">
        <f>Inputs!G$6*B37</f>
        <v>1387.5</v>
      </c>
      <c r="I37" s="33">
        <f>Inputs!H$6*B37</f>
        <v>1387.5</v>
      </c>
      <c r="J37" s="33">
        <f>Inputs!I$6*B37</f>
        <v>1387.5</v>
      </c>
      <c r="K37" s="34">
        <f t="shared" si="2"/>
        <v>11100</v>
      </c>
    </row>
    <row r="38" spans="1:11" x14ac:dyDescent="0.3">
      <c r="A38" s="25" t="s">
        <v>88</v>
      </c>
      <c r="B38" s="25"/>
      <c r="C38" s="35">
        <f>Inputs!B8</f>
        <v>0</v>
      </c>
      <c r="D38" s="35">
        <f>Inputs!C8</f>
        <v>0</v>
      </c>
      <c r="E38" s="35">
        <f>Inputs!D8</f>
        <v>0</v>
      </c>
      <c r="F38" s="35">
        <f>Inputs!E8</f>
        <v>0</v>
      </c>
      <c r="G38" s="35">
        <f>Inputs!F8</f>
        <v>0</v>
      </c>
      <c r="H38" s="35">
        <f>Inputs!G8</f>
        <v>0</v>
      </c>
      <c r="I38" s="35">
        <f>Inputs!H8</f>
        <v>0</v>
      </c>
      <c r="J38" s="35">
        <f>Inputs!I8</f>
        <v>0</v>
      </c>
      <c r="K38" s="35">
        <f>Inputs!J8</f>
        <v>0</v>
      </c>
    </row>
    <row r="40" spans="1:11" x14ac:dyDescent="0.3">
      <c r="A40" t="s">
        <v>316</v>
      </c>
    </row>
    <row r="41" spans="1:11" x14ac:dyDescent="0.3">
      <c r="A41" s="32" t="s">
        <v>12</v>
      </c>
      <c r="B41" s="32" t="s">
        <v>87</v>
      </c>
      <c r="C41" s="32" t="s">
        <v>3</v>
      </c>
      <c r="D41" s="32" t="s">
        <v>4</v>
      </c>
      <c r="E41" s="32" t="s">
        <v>5</v>
      </c>
      <c r="F41" s="32" t="s">
        <v>6</v>
      </c>
      <c r="G41" s="32" t="s">
        <v>7</v>
      </c>
      <c r="H41" s="32" t="s">
        <v>8</v>
      </c>
      <c r="I41" s="32" t="s">
        <v>9</v>
      </c>
      <c r="J41" s="32" t="s">
        <v>10</v>
      </c>
      <c r="K41" s="32" t="s">
        <v>11</v>
      </c>
    </row>
    <row r="42" spans="1:11" x14ac:dyDescent="0.3">
      <c r="A42" s="19" t="s">
        <v>15</v>
      </c>
      <c r="B42" s="22">
        <v>1</v>
      </c>
      <c r="C42" s="33">
        <f>Inputs!B$6*B42</f>
        <v>1850</v>
      </c>
      <c r="D42" s="33">
        <f>Inputs!C$6*B42</f>
        <v>1850</v>
      </c>
      <c r="E42" s="33">
        <f>Inputs!D$6*B42</f>
        <v>1850</v>
      </c>
      <c r="F42" s="33">
        <f>Inputs!E$6*B42</f>
        <v>1850</v>
      </c>
      <c r="G42" s="33">
        <f>Inputs!F$6*B42</f>
        <v>1850</v>
      </c>
      <c r="H42" s="33">
        <f>Inputs!G$6*B42</f>
        <v>1850</v>
      </c>
      <c r="I42" s="33">
        <f>Inputs!H$6*B42</f>
        <v>1850</v>
      </c>
      <c r="J42" s="33">
        <f>Inputs!I$6*B42</f>
        <v>1850</v>
      </c>
      <c r="K42" s="34">
        <f t="shared" ref="K42:K49" si="3">SUM(C42:J42)</f>
        <v>14800</v>
      </c>
    </row>
    <row r="43" spans="1:11" x14ac:dyDescent="0.3">
      <c r="A43" s="19" t="s">
        <v>18</v>
      </c>
      <c r="B43" s="22">
        <v>0.2</v>
      </c>
      <c r="C43" s="33">
        <f>Inputs!B$6*B43</f>
        <v>370</v>
      </c>
      <c r="D43" s="33">
        <f>Inputs!C$6*B43</f>
        <v>370</v>
      </c>
      <c r="E43" s="33">
        <f>Inputs!D$6*B43</f>
        <v>370</v>
      </c>
      <c r="F43" s="33">
        <f>Inputs!E$6*B43</f>
        <v>370</v>
      </c>
      <c r="G43" s="33">
        <f>Inputs!F$6*B43</f>
        <v>370</v>
      </c>
      <c r="H43" s="33">
        <f>Inputs!G$6*B43</f>
        <v>370</v>
      </c>
      <c r="I43" s="33">
        <f>Inputs!H$6*B43</f>
        <v>370</v>
      </c>
      <c r="J43" s="33">
        <f>Inputs!I$6*B43</f>
        <v>370</v>
      </c>
      <c r="K43" s="34">
        <f t="shared" si="3"/>
        <v>2960</v>
      </c>
    </row>
    <row r="44" spans="1:11" x14ac:dyDescent="0.3">
      <c r="A44" s="19" t="s">
        <v>19</v>
      </c>
      <c r="B44" s="22">
        <v>0.01</v>
      </c>
      <c r="C44" s="33">
        <f>Inputs!B$6*B44</f>
        <v>18.5</v>
      </c>
      <c r="D44" s="33">
        <f>Inputs!C$6*B44</f>
        <v>18.5</v>
      </c>
      <c r="E44" s="33">
        <f>Inputs!D$6*B44</f>
        <v>18.5</v>
      </c>
      <c r="F44" s="33">
        <f>Inputs!E$6*B44</f>
        <v>18.5</v>
      </c>
      <c r="G44" s="33">
        <f>Inputs!F$6*B44</f>
        <v>18.5</v>
      </c>
      <c r="H44" s="33">
        <f>Inputs!G$6*B44</f>
        <v>18.5</v>
      </c>
      <c r="I44" s="33">
        <f>Inputs!H$6*B44</f>
        <v>18.5</v>
      </c>
      <c r="J44" s="33">
        <f>Inputs!I$6*B44</f>
        <v>18.5</v>
      </c>
      <c r="K44" s="34">
        <f t="shared" si="3"/>
        <v>148</v>
      </c>
    </row>
    <row r="45" spans="1:11" x14ac:dyDescent="0.3">
      <c r="A45" s="19" t="s">
        <v>20</v>
      </c>
      <c r="B45" s="22">
        <v>8</v>
      </c>
      <c r="C45" s="33">
        <f>Inputs!B$6*B45</f>
        <v>14800</v>
      </c>
      <c r="D45" s="33">
        <f>Inputs!C$6*B45</f>
        <v>14800</v>
      </c>
      <c r="E45" s="33">
        <f>Inputs!D$6*B45</f>
        <v>14800</v>
      </c>
      <c r="F45" s="33">
        <f>Inputs!E$6*B45</f>
        <v>14800</v>
      </c>
      <c r="G45" s="33">
        <f>Inputs!F$6*B45</f>
        <v>14800</v>
      </c>
      <c r="H45" s="33">
        <f>Inputs!G$6*B45</f>
        <v>14800</v>
      </c>
      <c r="I45" s="33">
        <f>Inputs!H$6*B45</f>
        <v>14800</v>
      </c>
      <c r="J45" s="33">
        <f>Inputs!I$6*B45</f>
        <v>14800</v>
      </c>
      <c r="K45" s="34">
        <f t="shared" si="3"/>
        <v>118400</v>
      </c>
    </row>
    <row r="46" spans="1:11" x14ac:dyDescent="0.3">
      <c r="A46" s="19" t="s">
        <v>21</v>
      </c>
      <c r="B46" s="22">
        <v>0.3</v>
      </c>
      <c r="C46" s="33">
        <f>Inputs!B$6*B46</f>
        <v>555</v>
      </c>
      <c r="D46" s="33">
        <f>Inputs!C$6*B46</f>
        <v>555</v>
      </c>
      <c r="E46" s="33">
        <f>Inputs!D$6*B46</f>
        <v>555</v>
      </c>
      <c r="F46" s="33">
        <f>Inputs!E$6*B46</f>
        <v>555</v>
      </c>
      <c r="G46" s="33">
        <f>Inputs!F$6*B46</f>
        <v>555</v>
      </c>
      <c r="H46" s="33">
        <f>Inputs!G$6*B46</f>
        <v>555</v>
      </c>
      <c r="I46" s="33">
        <f>Inputs!H$6*B46</f>
        <v>555</v>
      </c>
      <c r="J46" s="33">
        <f>Inputs!I$6*B46</f>
        <v>555</v>
      </c>
      <c r="K46" s="34">
        <f t="shared" si="3"/>
        <v>4440</v>
      </c>
    </row>
    <row r="47" spans="1:11" x14ac:dyDescent="0.3">
      <c r="A47" s="19" t="s">
        <v>22</v>
      </c>
      <c r="B47" s="22">
        <v>0.6</v>
      </c>
      <c r="C47" s="33">
        <f>Inputs!B$6*B47</f>
        <v>1110</v>
      </c>
      <c r="D47" s="33">
        <f>Inputs!C$6*B47</f>
        <v>1110</v>
      </c>
      <c r="E47" s="33">
        <f>Inputs!D$6*B47</f>
        <v>1110</v>
      </c>
      <c r="F47" s="33">
        <f>Inputs!E$6*B47</f>
        <v>1110</v>
      </c>
      <c r="G47" s="33">
        <f>Inputs!F$6*B47</f>
        <v>1110</v>
      </c>
      <c r="H47" s="33">
        <f>Inputs!G$6*B47</f>
        <v>1110</v>
      </c>
      <c r="I47" s="33">
        <f>Inputs!H$6*B47</f>
        <v>1110</v>
      </c>
      <c r="J47" s="33">
        <f>Inputs!I$6*B47</f>
        <v>1110</v>
      </c>
      <c r="K47" s="34">
        <f t="shared" si="3"/>
        <v>8880</v>
      </c>
    </row>
    <row r="48" spans="1:11" x14ac:dyDescent="0.3">
      <c r="A48" s="19" t="s">
        <v>23</v>
      </c>
      <c r="B48" s="22">
        <v>2</v>
      </c>
      <c r="C48" s="33">
        <f>Inputs!B$6*B48</f>
        <v>3700</v>
      </c>
      <c r="D48" s="33">
        <f>Inputs!C$6*B48</f>
        <v>3700</v>
      </c>
      <c r="E48" s="33">
        <f>Inputs!D$6*B48</f>
        <v>3700</v>
      </c>
      <c r="F48" s="33">
        <f>Inputs!E$6*B48</f>
        <v>3700</v>
      </c>
      <c r="G48" s="33">
        <f>Inputs!F$6*B48</f>
        <v>3700</v>
      </c>
      <c r="H48" s="33">
        <f>Inputs!G$6*B48</f>
        <v>3700</v>
      </c>
      <c r="I48" s="33">
        <f>Inputs!H$6*B48</f>
        <v>3700</v>
      </c>
      <c r="J48" s="33">
        <f>Inputs!I$6*B48</f>
        <v>3700</v>
      </c>
      <c r="K48" s="34">
        <f t="shared" si="3"/>
        <v>29600</v>
      </c>
    </row>
    <row r="49" spans="1:11" x14ac:dyDescent="0.3">
      <c r="A49" s="19" t="s">
        <v>24</v>
      </c>
      <c r="B49" s="22">
        <v>0.75</v>
      </c>
      <c r="C49" s="33">
        <f>Inputs!B$6*B49</f>
        <v>1387.5</v>
      </c>
      <c r="D49" s="33">
        <f>Inputs!C$6*B49</f>
        <v>1387.5</v>
      </c>
      <c r="E49" s="33">
        <f>Inputs!D$6*B49</f>
        <v>1387.5</v>
      </c>
      <c r="F49" s="33">
        <f>Inputs!E$6*B49</f>
        <v>1387.5</v>
      </c>
      <c r="G49" s="33">
        <f>Inputs!F$6*B49</f>
        <v>1387.5</v>
      </c>
      <c r="H49" s="33">
        <f>Inputs!G$6*B49</f>
        <v>1387.5</v>
      </c>
      <c r="I49" s="33">
        <f>Inputs!H$6*B49</f>
        <v>1387.5</v>
      </c>
      <c r="J49" s="33">
        <f>Inputs!I$6*B49</f>
        <v>1387.5</v>
      </c>
      <c r="K49" s="34">
        <f t="shared" si="3"/>
        <v>11100</v>
      </c>
    </row>
    <row r="50" spans="1:11" x14ac:dyDescent="0.3">
      <c r="A50" s="25" t="s">
        <v>88</v>
      </c>
      <c r="B50" s="25"/>
      <c r="C50" s="35">
        <f>Inputs!B9</f>
        <v>0</v>
      </c>
      <c r="D50" s="35">
        <f>Inputs!C9</f>
        <v>0</v>
      </c>
      <c r="E50" s="35">
        <f>Inputs!D9</f>
        <v>0</v>
      </c>
      <c r="F50" s="35">
        <f>Inputs!E9</f>
        <v>0</v>
      </c>
      <c r="G50" s="35">
        <f>Inputs!F9</f>
        <v>0</v>
      </c>
      <c r="H50" s="35">
        <f>Inputs!G9</f>
        <v>0</v>
      </c>
      <c r="I50" s="35">
        <f>Inputs!H9</f>
        <v>0</v>
      </c>
      <c r="J50" s="35">
        <f>Inputs!I9</f>
        <v>0</v>
      </c>
      <c r="K50" s="35">
        <f>Inputs!J9</f>
        <v>0</v>
      </c>
    </row>
    <row r="52" spans="1:11" x14ac:dyDescent="0.3">
      <c r="A52" t="s">
        <v>317</v>
      </c>
    </row>
    <row r="53" spans="1:11" x14ac:dyDescent="0.3">
      <c r="A53" s="32" t="s">
        <v>12</v>
      </c>
      <c r="B53" s="32" t="s">
        <v>87</v>
      </c>
      <c r="C53" s="32" t="s">
        <v>3</v>
      </c>
      <c r="D53" s="32" t="s">
        <v>4</v>
      </c>
      <c r="E53" s="32" t="s">
        <v>5</v>
      </c>
      <c r="F53" s="32" t="s">
        <v>6</v>
      </c>
      <c r="G53" s="32" t="s">
        <v>7</v>
      </c>
      <c r="H53" s="32" t="s">
        <v>8</v>
      </c>
      <c r="I53" s="32" t="s">
        <v>9</v>
      </c>
      <c r="J53" s="32" t="s">
        <v>10</v>
      </c>
      <c r="K53" s="32" t="s">
        <v>11</v>
      </c>
    </row>
    <row r="54" spans="1:11" x14ac:dyDescent="0.3">
      <c r="A54" s="19" t="s">
        <v>15</v>
      </c>
      <c r="B54" s="22">
        <v>1</v>
      </c>
      <c r="C54" s="33">
        <f>Inputs!B$6*B54</f>
        <v>1850</v>
      </c>
      <c r="D54" s="33">
        <f>Inputs!C$6*B54</f>
        <v>1850</v>
      </c>
      <c r="E54" s="33">
        <f>Inputs!D$6*B54</f>
        <v>1850</v>
      </c>
      <c r="F54" s="33">
        <f>Inputs!E$6*B54</f>
        <v>1850</v>
      </c>
      <c r="G54" s="33">
        <f>Inputs!F$6*B54</f>
        <v>1850</v>
      </c>
      <c r="H54" s="33">
        <f>Inputs!G$6*B54</f>
        <v>1850</v>
      </c>
      <c r="I54" s="33">
        <f>Inputs!H$6*B54</f>
        <v>1850</v>
      </c>
      <c r="J54" s="33">
        <f>Inputs!I$6*B54</f>
        <v>1850</v>
      </c>
      <c r="K54" s="34">
        <f t="shared" ref="K54:K61" si="4">SUM(C54:J54)</f>
        <v>14800</v>
      </c>
    </row>
    <row r="55" spans="1:11" x14ac:dyDescent="0.3">
      <c r="A55" s="19" t="s">
        <v>18</v>
      </c>
      <c r="B55" s="22">
        <v>0.2</v>
      </c>
      <c r="C55" s="33">
        <f>Inputs!B$6*B55</f>
        <v>370</v>
      </c>
      <c r="D55" s="33">
        <f>Inputs!C$6*B55</f>
        <v>370</v>
      </c>
      <c r="E55" s="33">
        <f>Inputs!D$6*B55</f>
        <v>370</v>
      </c>
      <c r="F55" s="33">
        <f>Inputs!E$6*B55</f>
        <v>370</v>
      </c>
      <c r="G55" s="33">
        <f>Inputs!F$6*B55</f>
        <v>370</v>
      </c>
      <c r="H55" s="33">
        <f>Inputs!G$6*B55</f>
        <v>370</v>
      </c>
      <c r="I55" s="33">
        <f>Inputs!H$6*B55</f>
        <v>370</v>
      </c>
      <c r="J55" s="33">
        <f>Inputs!I$6*B55</f>
        <v>370</v>
      </c>
      <c r="K55" s="34">
        <f t="shared" si="4"/>
        <v>2960</v>
      </c>
    </row>
    <row r="56" spans="1:11" x14ac:dyDescent="0.3">
      <c r="A56" s="19" t="s">
        <v>19</v>
      </c>
      <c r="B56" s="22">
        <v>0.01</v>
      </c>
      <c r="C56" s="33">
        <f>Inputs!B$6*B56</f>
        <v>18.5</v>
      </c>
      <c r="D56" s="33">
        <f>Inputs!C$6*B56</f>
        <v>18.5</v>
      </c>
      <c r="E56" s="33">
        <f>Inputs!D$6*B56</f>
        <v>18.5</v>
      </c>
      <c r="F56" s="33">
        <f>Inputs!E$6*B56</f>
        <v>18.5</v>
      </c>
      <c r="G56" s="33">
        <f>Inputs!F$6*B56</f>
        <v>18.5</v>
      </c>
      <c r="H56" s="33">
        <f>Inputs!G$6*B56</f>
        <v>18.5</v>
      </c>
      <c r="I56" s="33">
        <f>Inputs!H$6*B56</f>
        <v>18.5</v>
      </c>
      <c r="J56" s="33">
        <f>Inputs!I$6*B56</f>
        <v>18.5</v>
      </c>
      <c r="K56" s="34">
        <f t="shared" si="4"/>
        <v>148</v>
      </c>
    </row>
    <row r="57" spans="1:11" x14ac:dyDescent="0.3">
      <c r="A57" s="19" t="s">
        <v>20</v>
      </c>
      <c r="B57" s="22">
        <v>8</v>
      </c>
      <c r="C57" s="33">
        <f>Inputs!B$6*B57</f>
        <v>14800</v>
      </c>
      <c r="D57" s="33">
        <f>Inputs!C$6*B57</f>
        <v>14800</v>
      </c>
      <c r="E57" s="33">
        <f>Inputs!D$6*B57</f>
        <v>14800</v>
      </c>
      <c r="F57" s="33">
        <f>Inputs!E$6*B57</f>
        <v>14800</v>
      </c>
      <c r="G57" s="33">
        <f>Inputs!F$6*B57</f>
        <v>14800</v>
      </c>
      <c r="H57" s="33">
        <f>Inputs!G$6*B57</f>
        <v>14800</v>
      </c>
      <c r="I57" s="33">
        <f>Inputs!H$6*B57</f>
        <v>14800</v>
      </c>
      <c r="J57" s="33">
        <f>Inputs!I$6*B57</f>
        <v>14800</v>
      </c>
      <c r="K57" s="34">
        <f t="shared" si="4"/>
        <v>118400</v>
      </c>
    </row>
    <row r="58" spans="1:11" x14ac:dyDescent="0.3">
      <c r="A58" s="19" t="s">
        <v>21</v>
      </c>
      <c r="B58" s="22">
        <v>0.3</v>
      </c>
      <c r="C58" s="33">
        <f>Inputs!B$6*B58</f>
        <v>555</v>
      </c>
      <c r="D58" s="33">
        <f>Inputs!C$6*B58</f>
        <v>555</v>
      </c>
      <c r="E58" s="33">
        <f>Inputs!D$6*B58</f>
        <v>555</v>
      </c>
      <c r="F58" s="33">
        <f>Inputs!E$6*B58</f>
        <v>555</v>
      </c>
      <c r="G58" s="33">
        <f>Inputs!F$6*B58</f>
        <v>555</v>
      </c>
      <c r="H58" s="33">
        <f>Inputs!G$6*B58</f>
        <v>555</v>
      </c>
      <c r="I58" s="33">
        <f>Inputs!H$6*B58</f>
        <v>555</v>
      </c>
      <c r="J58" s="33">
        <f>Inputs!I$6*B58</f>
        <v>555</v>
      </c>
      <c r="K58" s="34">
        <f t="shared" si="4"/>
        <v>4440</v>
      </c>
    </row>
    <row r="59" spans="1:11" x14ac:dyDescent="0.3">
      <c r="A59" s="19" t="s">
        <v>22</v>
      </c>
      <c r="B59" s="22">
        <v>0.6</v>
      </c>
      <c r="C59" s="33">
        <f>Inputs!B$6*B59</f>
        <v>1110</v>
      </c>
      <c r="D59" s="33">
        <f>Inputs!C$6*B59</f>
        <v>1110</v>
      </c>
      <c r="E59" s="33">
        <f>Inputs!D$6*B59</f>
        <v>1110</v>
      </c>
      <c r="F59" s="33">
        <f>Inputs!E$6*B59</f>
        <v>1110</v>
      </c>
      <c r="G59" s="33">
        <f>Inputs!F$6*B59</f>
        <v>1110</v>
      </c>
      <c r="H59" s="33">
        <f>Inputs!G$6*B59</f>
        <v>1110</v>
      </c>
      <c r="I59" s="33">
        <f>Inputs!H$6*B59</f>
        <v>1110</v>
      </c>
      <c r="J59" s="33">
        <f>Inputs!I$6*B59</f>
        <v>1110</v>
      </c>
      <c r="K59" s="34">
        <f t="shared" si="4"/>
        <v>8880</v>
      </c>
    </row>
    <row r="60" spans="1:11" x14ac:dyDescent="0.3">
      <c r="A60" s="19" t="s">
        <v>23</v>
      </c>
      <c r="B60" s="22">
        <v>2</v>
      </c>
      <c r="C60" s="33">
        <f>Inputs!B$6*B60</f>
        <v>3700</v>
      </c>
      <c r="D60" s="33">
        <f>Inputs!C$6*B60</f>
        <v>3700</v>
      </c>
      <c r="E60" s="33">
        <f>Inputs!D$6*B60</f>
        <v>3700</v>
      </c>
      <c r="F60" s="33">
        <f>Inputs!E$6*B60</f>
        <v>3700</v>
      </c>
      <c r="G60" s="33">
        <f>Inputs!F$6*B60</f>
        <v>3700</v>
      </c>
      <c r="H60" s="33">
        <f>Inputs!G$6*B60</f>
        <v>3700</v>
      </c>
      <c r="I60" s="33">
        <f>Inputs!H$6*B60</f>
        <v>3700</v>
      </c>
      <c r="J60" s="33">
        <f>Inputs!I$6*B60</f>
        <v>3700</v>
      </c>
      <c r="K60" s="34">
        <f t="shared" si="4"/>
        <v>29600</v>
      </c>
    </row>
    <row r="61" spans="1:11" x14ac:dyDescent="0.3">
      <c r="A61" s="19" t="s">
        <v>24</v>
      </c>
      <c r="B61" s="22">
        <v>0.75</v>
      </c>
      <c r="C61" s="33">
        <f>Inputs!B$6*B61</f>
        <v>1387.5</v>
      </c>
      <c r="D61" s="33">
        <f>Inputs!C$6*B61</f>
        <v>1387.5</v>
      </c>
      <c r="E61" s="33">
        <f>Inputs!D$6*B61</f>
        <v>1387.5</v>
      </c>
      <c r="F61" s="33">
        <f>Inputs!E$6*B61</f>
        <v>1387.5</v>
      </c>
      <c r="G61" s="33">
        <f>Inputs!F$6*B61</f>
        <v>1387.5</v>
      </c>
      <c r="H61" s="33">
        <f>Inputs!G$6*B61</f>
        <v>1387.5</v>
      </c>
      <c r="I61" s="33">
        <f>Inputs!H$6*B61</f>
        <v>1387.5</v>
      </c>
      <c r="J61" s="33">
        <f>Inputs!I$6*B61</f>
        <v>1387.5</v>
      </c>
      <c r="K61" s="34">
        <f t="shared" si="4"/>
        <v>11100</v>
      </c>
    </row>
    <row r="62" spans="1:11" x14ac:dyDescent="0.3">
      <c r="A62" s="25" t="s">
        <v>88</v>
      </c>
      <c r="B62" s="25"/>
      <c r="C62" s="35">
        <f>Inputs!B10</f>
        <v>0</v>
      </c>
      <c r="D62" s="35">
        <f>Inputs!C10</f>
        <v>0</v>
      </c>
      <c r="E62" s="35">
        <f>Inputs!D10</f>
        <v>0</v>
      </c>
      <c r="F62" s="35">
        <f>Inputs!E10</f>
        <v>0</v>
      </c>
      <c r="G62" s="35">
        <f>Inputs!F10</f>
        <v>0</v>
      </c>
      <c r="H62" s="35">
        <f>Inputs!G10</f>
        <v>0</v>
      </c>
      <c r="I62" s="35">
        <f>Inputs!H10</f>
        <v>0</v>
      </c>
      <c r="J62" s="35">
        <f>Inputs!I10</f>
        <v>0</v>
      </c>
      <c r="K62" s="35">
        <f>Inputs!J10</f>
        <v>0</v>
      </c>
    </row>
    <row r="66" spans="1:11" x14ac:dyDescent="0.3">
      <c r="A66" s="25" t="s">
        <v>88</v>
      </c>
      <c r="B66" s="25"/>
      <c r="C66" s="35">
        <f>Inputs!B11</f>
        <v>3700</v>
      </c>
      <c r="D66" s="35">
        <f>Inputs!C11</f>
        <v>3700</v>
      </c>
      <c r="E66" s="35">
        <f>Inputs!D11</f>
        <v>3700</v>
      </c>
      <c r="F66" s="35">
        <f>Inputs!E11</f>
        <v>3700</v>
      </c>
      <c r="G66" s="35">
        <f>Inputs!F11</f>
        <v>3700</v>
      </c>
      <c r="H66" s="35">
        <f>Inputs!G11</f>
        <v>3700</v>
      </c>
      <c r="I66" s="35">
        <f>Inputs!H11</f>
        <v>3700</v>
      </c>
      <c r="J66" s="35">
        <f>Inputs!I11</f>
        <v>3700</v>
      </c>
      <c r="K66" s="35">
        <f>Inputs!J11</f>
        <v>29600</v>
      </c>
    </row>
    <row r="75" spans="1:11" x14ac:dyDescent="0.3">
      <c r="A75" s="25"/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9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9" width="12" customWidth="1"/>
  </cols>
  <sheetData>
    <row r="1" spans="1:11" ht="17.25" customHeight="1" x14ac:dyDescent="0.3">
      <c r="A1" s="13" t="s">
        <v>89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15" customHeight="1" x14ac:dyDescent="0.3">
      <c r="A2" s="9" t="s">
        <v>90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15" customHeight="1" x14ac:dyDescent="0.3">
      <c r="A3" s="6" t="s">
        <v>91</v>
      </c>
      <c r="B3" s="6"/>
      <c r="C3" s="6"/>
      <c r="D3" s="6"/>
      <c r="E3" s="6"/>
      <c r="F3" s="6"/>
      <c r="G3" s="6"/>
      <c r="H3" s="6"/>
      <c r="I3" s="6"/>
      <c r="J3" s="6"/>
      <c r="K3" s="6"/>
    </row>
    <row r="5" spans="1:11" ht="15" customHeight="1" x14ac:dyDescent="0.3">
      <c r="A5" s="11" t="s">
        <v>15</v>
      </c>
      <c r="B5" s="11"/>
      <c r="C5" s="11"/>
      <c r="D5" s="11"/>
      <c r="E5" s="11"/>
      <c r="F5" s="11"/>
      <c r="G5" s="11"/>
      <c r="H5" s="11"/>
      <c r="I5" s="11"/>
      <c r="J5" s="11"/>
      <c r="K5" s="11"/>
    </row>
    <row r="6" spans="1:11" ht="15" customHeight="1" x14ac:dyDescent="0.3">
      <c r="A6" s="14" t="s">
        <v>92</v>
      </c>
      <c r="B6" s="14" t="s">
        <v>3</v>
      </c>
      <c r="C6" s="14" t="s">
        <v>4</v>
      </c>
      <c r="D6" s="14" t="s">
        <v>5</v>
      </c>
      <c r="E6" s="14" t="s">
        <v>6</v>
      </c>
      <c r="F6" s="14" t="s">
        <v>7</v>
      </c>
      <c r="G6" s="14" t="s">
        <v>8</v>
      </c>
      <c r="H6" s="14" t="s">
        <v>9</v>
      </c>
      <c r="I6" s="14" t="s">
        <v>10</v>
      </c>
    </row>
    <row r="7" spans="1:11" ht="15" customHeight="1" x14ac:dyDescent="0.3">
      <c r="A7" s="19" t="s">
        <v>93</v>
      </c>
      <c r="B7" s="36">
        <f>Inputs!B34</f>
        <v>94</v>
      </c>
      <c r="C7" s="29">
        <f t="shared" ref="C7:I7" si="0">B10</f>
        <v>-1756</v>
      </c>
      <c r="D7" s="29">
        <f t="shared" si="0"/>
        <v>-3606</v>
      </c>
      <c r="E7" s="29">
        <f t="shared" si="0"/>
        <v>-5456</v>
      </c>
      <c r="F7" s="29">
        <f t="shared" si="0"/>
        <v>-7306</v>
      </c>
      <c r="G7" s="29">
        <f t="shared" si="0"/>
        <v>-9156</v>
      </c>
      <c r="H7" s="29">
        <f t="shared" si="0"/>
        <v>-11006</v>
      </c>
      <c r="I7" s="29">
        <f t="shared" si="0"/>
        <v>-12856</v>
      </c>
    </row>
    <row r="8" spans="1:11" ht="15" customHeight="1" x14ac:dyDescent="0.3">
      <c r="A8" s="19" t="s">
        <v>94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</row>
    <row r="9" spans="1:11" ht="15" customHeight="1" x14ac:dyDescent="0.3">
      <c r="A9" s="19" t="s">
        <v>95</v>
      </c>
      <c r="B9" s="36">
        <f>BOM_Consumo!C6</f>
        <v>1850</v>
      </c>
      <c r="C9" s="36">
        <f>BOM_Consumo!D6</f>
        <v>1850</v>
      </c>
      <c r="D9" s="36">
        <f>BOM_Consumo!E6</f>
        <v>1850</v>
      </c>
      <c r="E9" s="36">
        <f>BOM_Consumo!F6</f>
        <v>1850</v>
      </c>
      <c r="F9" s="36">
        <f>BOM_Consumo!G6</f>
        <v>1850</v>
      </c>
      <c r="G9" s="36">
        <f>BOM_Consumo!H6</f>
        <v>1850</v>
      </c>
      <c r="H9" s="36">
        <f>BOM_Consumo!I6</f>
        <v>1850</v>
      </c>
      <c r="I9" s="36">
        <f>BOM_Consumo!J6</f>
        <v>1850</v>
      </c>
    </row>
    <row r="10" spans="1:11" ht="15" customHeight="1" x14ac:dyDescent="0.3">
      <c r="A10" s="15" t="s">
        <v>96</v>
      </c>
      <c r="B10" s="34">
        <f t="shared" ref="B10:I10" si="1">B7+B8-B9</f>
        <v>-1756</v>
      </c>
      <c r="C10" s="34">
        <f t="shared" si="1"/>
        <v>-3606</v>
      </c>
      <c r="D10" s="34">
        <f t="shared" si="1"/>
        <v>-5456</v>
      </c>
      <c r="E10" s="34">
        <f t="shared" si="1"/>
        <v>-7306</v>
      </c>
      <c r="F10" s="34">
        <f t="shared" si="1"/>
        <v>-9156</v>
      </c>
      <c r="G10" s="34">
        <f t="shared" si="1"/>
        <v>-11006</v>
      </c>
      <c r="H10" s="34">
        <f t="shared" si="1"/>
        <v>-12856</v>
      </c>
      <c r="I10" s="34">
        <f t="shared" si="1"/>
        <v>-14706</v>
      </c>
    </row>
    <row r="11" spans="1:11" ht="15" customHeight="1" x14ac:dyDescent="0.3">
      <c r="A11" s="11" t="s">
        <v>18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spans="1:11" ht="15" customHeight="1" x14ac:dyDescent="0.3">
      <c r="A12" s="14" t="s">
        <v>92</v>
      </c>
      <c r="B12" s="14" t="s">
        <v>3</v>
      </c>
      <c r="C12" s="14" t="s">
        <v>4</v>
      </c>
      <c r="D12" s="14" t="s">
        <v>5</v>
      </c>
      <c r="E12" s="14" t="s">
        <v>6</v>
      </c>
      <c r="F12" s="14" t="s">
        <v>7</v>
      </c>
      <c r="G12" s="14" t="s">
        <v>8</v>
      </c>
      <c r="H12" s="14" t="s">
        <v>9</v>
      </c>
      <c r="I12" s="14" t="s">
        <v>10</v>
      </c>
    </row>
    <row r="13" spans="1:11" ht="15" customHeight="1" x14ac:dyDescent="0.3">
      <c r="A13" s="19" t="s">
        <v>93</v>
      </c>
      <c r="B13" s="36">
        <f>Inputs!B35</f>
        <v>3844</v>
      </c>
      <c r="C13" s="29">
        <f t="shared" ref="C13:I13" si="2">B16</f>
        <v>3474</v>
      </c>
      <c r="D13" s="29">
        <f t="shared" si="2"/>
        <v>3104</v>
      </c>
      <c r="E13" s="29">
        <f t="shared" si="2"/>
        <v>2734</v>
      </c>
      <c r="F13" s="29">
        <f t="shared" si="2"/>
        <v>2364</v>
      </c>
      <c r="G13" s="29">
        <f t="shared" si="2"/>
        <v>1994</v>
      </c>
      <c r="H13" s="29">
        <f t="shared" si="2"/>
        <v>1624</v>
      </c>
      <c r="I13" s="29">
        <f t="shared" si="2"/>
        <v>1254</v>
      </c>
    </row>
    <row r="14" spans="1:11" ht="15" customHeight="1" x14ac:dyDescent="0.3">
      <c r="A14" s="19" t="s">
        <v>94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</row>
    <row r="15" spans="1:11" ht="15" customHeight="1" x14ac:dyDescent="0.3">
      <c r="A15" s="19" t="s">
        <v>95</v>
      </c>
      <c r="B15" s="36">
        <f>BOM_Consumo!C7</f>
        <v>370</v>
      </c>
      <c r="C15" s="36">
        <f>BOM_Consumo!D7</f>
        <v>370</v>
      </c>
      <c r="D15" s="36">
        <f>BOM_Consumo!E7</f>
        <v>370</v>
      </c>
      <c r="E15" s="36">
        <f>BOM_Consumo!F7</f>
        <v>370</v>
      </c>
      <c r="F15" s="36">
        <f>BOM_Consumo!G7</f>
        <v>370</v>
      </c>
      <c r="G15" s="36">
        <f>BOM_Consumo!H7</f>
        <v>370</v>
      </c>
      <c r="H15" s="36">
        <f>BOM_Consumo!I7</f>
        <v>370</v>
      </c>
      <c r="I15" s="36">
        <f>BOM_Consumo!J7</f>
        <v>370</v>
      </c>
    </row>
    <row r="16" spans="1:11" ht="15" customHeight="1" x14ac:dyDescent="0.3">
      <c r="A16" s="15" t="s">
        <v>96</v>
      </c>
      <c r="B16" s="34">
        <f t="shared" ref="B16:I16" si="3">B13+B14-B15</f>
        <v>3474</v>
      </c>
      <c r="C16" s="34">
        <f t="shared" si="3"/>
        <v>3104</v>
      </c>
      <c r="D16" s="34">
        <f t="shared" si="3"/>
        <v>2734</v>
      </c>
      <c r="E16" s="34">
        <f t="shared" si="3"/>
        <v>2364</v>
      </c>
      <c r="F16" s="34">
        <f t="shared" si="3"/>
        <v>1994</v>
      </c>
      <c r="G16" s="34">
        <f t="shared" si="3"/>
        <v>1624</v>
      </c>
      <c r="H16" s="34">
        <f t="shared" si="3"/>
        <v>1254</v>
      </c>
      <c r="I16" s="34">
        <f t="shared" si="3"/>
        <v>884</v>
      </c>
    </row>
    <row r="17" spans="1:11" ht="15" customHeight="1" x14ac:dyDescent="0.3">
      <c r="A17" s="11" t="s">
        <v>19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1:11" ht="15" customHeight="1" x14ac:dyDescent="0.3">
      <c r="A18" s="14" t="s">
        <v>92</v>
      </c>
      <c r="B18" s="14" t="s">
        <v>3</v>
      </c>
      <c r="C18" s="14" t="s">
        <v>4</v>
      </c>
      <c r="D18" s="14" t="s">
        <v>5</v>
      </c>
      <c r="E18" s="14" t="s">
        <v>6</v>
      </c>
      <c r="F18" s="14" t="s">
        <v>7</v>
      </c>
      <c r="G18" s="14" t="s">
        <v>8</v>
      </c>
      <c r="H18" s="14" t="s">
        <v>9</v>
      </c>
      <c r="I18" s="14" t="s">
        <v>10</v>
      </c>
    </row>
    <row r="19" spans="1:11" ht="15" customHeight="1" x14ac:dyDescent="0.3">
      <c r="A19" s="19" t="s">
        <v>93</v>
      </c>
      <c r="B19" s="36">
        <f>Inputs!B36</f>
        <v>3125</v>
      </c>
      <c r="C19" s="29">
        <f t="shared" ref="C19:I19" si="4">B22</f>
        <v>3106.5</v>
      </c>
      <c r="D19" s="29">
        <f t="shared" si="4"/>
        <v>3088</v>
      </c>
      <c r="E19" s="29">
        <f t="shared" si="4"/>
        <v>3069.5</v>
      </c>
      <c r="F19" s="29">
        <f t="shared" si="4"/>
        <v>3051</v>
      </c>
      <c r="G19" s="29">
        <f t="shared" si="4"/>
        <v>3032.5</v>
      </c>
      <c r="H19" s="29">
        <f t="shared" si="4"/>
        <v>3014</v>
      </c>
      <c r="I19" s="29">
        <f t="shared" si="4"/>
        <v>2995.5</v>
      </c>
    </row>
    <row r="20" spans="1:11" ht="15" customHeight="1" x14ac:dyDescent="0.3">
      <c r="A20" s="19" t="s">
        <v>94</v>
      </c>
      <c r="B20" s="16">
        <v>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</row>
    <row r="21" spans="1:11" ht="15" customHeight="1" x14ac:dyDescent="0.3">
      <c r="A21" s="19" t="s">
        <v>95</v>
      </c>
      <c r="B21" s="36">
        <f>BOM_Consumo!C8</f>
        <v>18.5</v>
      </c>
      <c r="C21" s="36">
        <f>BOM_Consumo!D8</f>
        <v>18.5</v>
      </c>
      <c r="D21" s="36">
        <f>BOM_Consumo!E8</f>
        <v>18.5</v>
      </c>
      <c r="E21" s="36">
        <f>BOM_Consumo!F8</f>
        <v>18.5</v>
      </c>
      <c r="F21" s="36">
        <f>BOM_Consumo!G8</f>
        <v>18.5</v>
      </c>
      <c r="G21" s="36">
        <f>BOM_Consumo!H8</f>
        <v>18.5</v>
      </c>
      <c r="H21" s="36">
        <f>BOM_Consumo!I8</f>
        <v>18.5</v>
      </c>
      <c r="I21" s="36">
        <f>BOM_Consumo!J8</f>
        <v>18.5</v>
      </c>
    </row>
    <row r="22" spans="1:11" ht="15" customHeight="1" x14ac:dyDescent="0.3">
      <c r="A22" s="15" t="s">
        <v>96</v>
      </c>
      <c r="B22" s="34">
        <f t="shared" ref="B22:I22" si="5">B19+B20-B21</f>
        <v>3106.5</v>
      </c>
      <c r="C22" s="34">
        <f t="shared" si="5"/>
        <v>3088</v>
      </c>
      <c r="D22" s="34">
        <f t="shared" si="5"/>
        <v>3069.5</v>
      </c>
      <c r="E22" s="34">
        <f t="shared" si="5"/>
        <v>3051</v>
      </c>
      <c r="F22" s="34">
        <f t="shared" si="5"/>
        <v>3032.5</v>
      </c>
      <c r="G22" s="34">
        <f t="shared" si="5"/>
        <v>3014</v>
      </c>
      <c r="H22" s="34">
        <f t="shared" si="5"/>
        <v>2995.5</v>
      </c>
      <c r="I22" s="34">
        <f t="shared" si="5"/>
        <v>2977</v>
      </c>
    </row>
    <row r="23" spans="1:11" ht="15" customHeight="1" x14ac:dyDescent="0.3">
      <c r="A23" s="11" t="s">
        <v>20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ht="15" customHeight="1" x14ac:dyDescent="0.3">
      <c r="A24" s="14" t="s">
        <v>92</v>
      </c>
      <c r="B24" s="14" t="s">
        <v>3</v>
      </c>
      <c r="C24" s="14" t="s">
        <v>4</v>
      </c>
      <c r="D24" s="14" t="s">
        <v>5</v>
      </c>
      <c r="E24" s="14" t="s">
        <v>6</v>
      </c>
      <c r="F24" s="14" t="s">
        <v>7</v>
      </c>
      <c r="G24" s="14" t="s">
        <v>8</v>
      </c>
      <c r="H24" s="14" t="s">
        <v>9</v>
      </c>
      <c r="I24" s="14" t="s">
        <v>10</v>
      </c>
    </row>
    <row r="25" spans="1:11" ht="15" customHeight="1" x14ac:dyDescent="0.3">
      <c r="A25" s="19" t="s">
        <v>93</v>
      </c>
      <c r="B25" s="36">
        <f>Inputs!B37</f>
        <v>6131</v>
      </c>
      <c r="C25" s="29">
        <f t="shared" ref="C25:I25" si="6">B28</f>
        <v>-8669</v>
      </c>
      <c r="D25" s="29">
        <f t="shared" si="6"/>
        <v>-23469</v>
      </c>
      <c r="E25" s="29">
        <f t="shared" si="6"/>
        <v>-38269</v>
      </c>
      <c r="F25" s="29">
        <f t="shared" si="6"/>
        <v>-53069</v>
      </c>
      <c r="G25" s="29">
        <f t="shared" si="6"/>
        <v>-67869</v>
      </c>
      <c r="H25" s="29">
        <f t="shared" si="6"/>
        <v>-82669</v>
      </c>
      <c r="I25" s="29">
        <f t="shared" si="6"/>
        <v>-97469</v>
      </c>
    </row>
    <row r="26" spans="1:11" ht="15" customHeight="1" x14ac:dyDescent="0.3">
      <c r="A26" s="19" t="s">
        <v>94</v>
      </c>
      <c r="B26" s="16">
        <v>0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</row>
    <row r="27" spans="1:11" ht="15" customHeight="1" x14ac:dyDescent="0.3">
      <c r="A27" s="19" t="s">
        <v>95</v>
      </c>
      <c r="B27" s="36">
        <f>BOM_Consumo!C9</f>
        <v>14800</v>
      </c>
      <c r="C27" s="36">
        <f>BOM_Consumo!D9</f>
        <v>14800</v>
      </c>
      <c r="D27" s="36">
        <f>BOM_Consumo!E9</f>
        <v>14800</v>
      </c>
      <c r="E27" s="36">
        <f>BOM_Consumo!F9</f>
        <v>14800</v>
      </c>
      <c r="F27" s="36">
        <f>BOM_Consumo!G9</f>
        <v>14800</v>
      </c>
      <c r="G27" s="36">
        <f>BOM_Consumo!H9</f>
        <v>14800</v>
      </c>
      <c r="H27" s="36">
        <f>BOM_Consumo!I9</f>
        <v>14800</v>
      </c>
      <c r="I27" s="36">
        <f>BOM_Consumo!J9</f>
        <v>14800</v>
      </c>
    </row>
    <row r="28" spans="1:11" ht="15" customHeight="1" x14ac:dyDescent="0.3">
      <c r="A28" s="15" t="s">
        <v>96</v>
      </c>
      <c r="B28" s="34">
        <f t="shared" ref="B28:I28" si="7">B25+B26-B27</f>
        <v>-8669</v>
      </c>
      <c r="C28" s="34">
        <f t="shared" si="7"/>
        <v>-23469</v>
      </c>
      <c r="D28" s="34">
        <f t="shared" si="7"/>
        <v>-38269</v>
      </c>
      <c r="E28" s="34">
        <f t="shared" si="7"/>
        <v>-53069</v>
      </c>
      <c r="F28" s="34">
        <f t="shared" si="7"/>
        <v>-67869</v>
      </c>
      <c r="G28" s="34">
        <f t="shared" si="7"/>
        <v>-82669</v>
      </c>
      <c r="H28" s="34">
        <f t="shared" si="7"/>
        <v>-97469</v>
      </c>
      <c r="I28" s="34">
        <f t="shared" si="7"/>
        <v>-112269</v>
      </c>
    </row>
    <row r="29" spans="1:11" ht="15" customHeight="1" x14ac:dyDescent="0.3">
      <c r="A29" s="11" t="s">
        <v>21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5" customHeight="1" x14ac:dyDescent="0.3">
      <c r="A30" s="14" t="s">
        <v>92</v>
      </c>
      <c r="B30" s="14" t="s">
        <v>3</v>
      </c>
      <c r="C30" s="14" t="s">
        <v>4</v>
      </c>
      <c r="D30" s="14" t="s">
        <v>5</v>
      </c>
      <c r="E30" s="14" t="s">
        <v>6</v>
      </c>
      <c r="F30" s="14" t="s">
        <v>7</v>
      </c>
      <c r="G30" s="14" t="s">
        <v>8</v>
      </c>
      <c r="H30" s="14" t="s">
        <v>9</v>
      </c>
      <c r="I30" s="14" t="s">
        <v>10</v>
      </c>
    </row>
    <row r="31" spans="1:11" ht="15" customHeight="1" x14ac:dyDescent="0.3">
      <c r="A31" s="19" t="s">
        <v>93</v>
      </c>
      <c r="B31" s="36">
        <f>Inputs!B38</f>
        <v>16736</v>
      </c>
      <c r="C31" s="29">
        <f t="shared" ref="C31:I31" si="8">B34</f>
        <v>16181</v>
      </c>
      <c r="D31" s="29">
        <f t="shared" si="8"/>
        <v>15626</v>
      </c>
      <c r="E31" s="29">
        <f t="shared" si="8"/>
        <v>15071</v>
      </c>
      <c r="F31" s="29">
        <f t="shared" si="8"/>
        <v>14516</v>
      </c>
      <c r="G31" s="29">
        <f t="shared" si="8"/>
        <v>13961</v>
      </c>
      <c r="H31" s="29">
        <f t="shared" si="8"/>
        <v>13406</v>
      </c>
      <c r="I31" s="29">
        <f t="shared" si="8"/>
        <v>12851</v>
      </c>
    </row>
    <row r="32" spans="1:11" ht="15" customHeight="1" x14ac:dyDescent="0.3">
      <c r="A32" s="19" t="s">
        <v>94</v>
      </c>
      <c r="B32" s="16">
        <v>0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</row>
    <row r="33" spans="1:11" ht="15" customHeight="1" x14ac:dyDescent="0.3">
      <c r="A33" s="19" t="s">
        <v>95</v>
      </c>
      <c r="B33" s="36">
        <f>BOM_Consumo!C10</f>
        <v>555</v>
      </c>
      <c r="C33" s="36">
        <f>BOM_Consumo!D10</f>
        <v>555</v>
      </c>
      <c r="D33" s="36">
        <f>BOM_Consumo!E10</f>
        <v>555</v>
      </c>
      <c r="E33" s="36">
        <f>BOM_Consumo!F10</f>
        <v>555</v>
      </c>
      <c r="F33" s="36">
        <f>BOM_Consumo!G10</f>
        <v>555</v>
      </c>
      <c r="G33" s="36">
        <f>BOM_Consumo!H10</f>
        <v>555</v>
      </c>
      <c r="H33" s="36">
        <f>BOM_Consumo!I10</f>
        <v>555</v>
      </c>
      <c r="I33" s="36">
        <f>BOM_Consumo!J10</f>
        <v>555</v>
      </c>
    </row>
    <row r="34" spans="1:11" ht="15" customHeight="1" x14ac:dyDescent="0.3">
      <c r="A34" s="15" t="s">
        <v>96</v>
      </c>
      <c r="B34" s="34">
        <f t="shared" ref="B34:I34" si="9">B31+B32-B33</f>
        <v>16181</v>
      </c>
      <c r="C34" s="34">
        <f t="shared" si="9"/>
        <v>15626</v>
      </c>
      <c r="D34" s="34">
        <f t="shared" si="9"/>
        <v>15071</v>
      </c>
      <c r="E34" s="34">
        <f t="shared" si="9"/>
        <v>14516</v>
      </c>
      <c r="F34" s="34">
        <f t="shared" si="9"/>
        <v>13961</v>
      </c>
      <c r="G34" s="34">
        <f t="shared" si="9"/>
        <v>13406</v>
      </c>
      <c r="H34" s="34">
        <f t="shared" si="9"/>
        <v>12851</v>
      </c>
      <c r="I34" s="34">
        <f t="shared" si="9"/>
        <v>12296</v>
      </c>
    </row>
    <row r="35" spans="1:11" ht="15" customHeight="1" x14ac:dyDescent="0.3">
      <c r="A35" s="11" t="s">
        <v>22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spans="1:11" ht="15" customHeight="1" x14ac:dyDescent="0.3">
      <c r="A36" s="14" t="s">
        <v>92</v>
      </c>
      <c r="B36" s="14" t="s">
        <v>3</v>
      </c>
      <c r="C36" s="14" t="s">
        <v>4</v>
      </c>
      <c r="D36" s="14" t="s">
        <v>5</v>
      </c>
      <c r="E36" s="14" t="s">
        <v>6</v>
      </c>
      <c r="F36" s="14" t="s">
        <v>7</v>
      </c>
      <c r="G36" s="14" t="s">
        <v>8</v>
      </c>
      <c r="H36" s="14" t="s">
        <v>9</v>
      </c>
      <c r="I36" s="14" t="s">
        <v>10</v>
      </c>
    </row>
    <row r="37" spans="1:11" ht="15" customHeight="1" x14ac:dyDescent="0.3">
      <c r="A37" s="19" t="s">
        <v>93</v>
      </c>
      <c r="B37" s="36">
        <f>Inputs!B39</f>
        <v>4439</v>
      </c>
      <c r="C37" s="29">
        <f t="shared" ref="C37:I37" si="10">B40</f>
        <v>3329</v>
      </c>
      <c r="D37" s="29">
        <f t="shared" si="10"/>
        <v>2219</v>
      </c>
      <c r="E37" s="29">
        <f t="shared" si="10"/>
        <v>1109</v>
      </c>
      <c r="F37" s="29">
        <f t="shared" si="10"/>
        <v>-1</v>
      </c>
      <c r="G37" s="29">
        <f t="shared" si="10"/>
        <v>-1111</v>
      </c>
      <c r="H37" s="29">
        <f t="shared" si="10"/>
        <v>-2221</v>
      </c>
      <c r="I37" s="29">
        <f t="shared" si="10"/>
        <v>-3331</v>
      </c>
    </row>
    <row r="38" spans="1:11" ht="15" customHeight="1" x14ac:dyDescent="0.3">
      <c r="A38" s="19" t="s">
        <v>94</v>
      </c>
      <c r="B38" s="16">
        <v>0</v>
      </c>
      <c r="C38" s="16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</row>
    <row r="39" spans="1:11" ht="15" customHeight="1" x14ac:dyDescent="0.3">
      <c r="A39" s="19" t="s">
        <v>95</v>
      </c>
      <c r="B39" s="36">
        <f>BOM_Consumo!C11</f>
        <v>1110</v>
      </c>
      <c r="C39" s="36">
        <f>BOM_Consumo!D11</f>
        <v>1110</v>
      </c>
      <c r="D39" s="36">
        <f>BOM_Consumo!E11</f>
        <v>1110</v>
      </c>
      <c r="E39" s="36">
        <f>BOM_Consumo!F11</f>
        <v>1110</v>
      </c>
      <c r="F39" s="36">
        <f>BOM_Consumo!G11</f>
        <v>1110</v>
      </c>
      <c r="G39" s="36">
        <f>BOM_Consumo!H11</f>
        <v>1110</v>
      </c>
      <c r="H39" s="36">
        <f>BOM_Consumo!I11</f>
        <v>1110</v>
      </c>
      <c r="I39" s="36">
        <f>BOM_Consumo!J11</f>
        <v>1110</v>
      </c>
    </row>
    <row r="40" spans="1:11" ht="15" customHeight="1" x14ac:dyDescent="0.3">
      <c r="A40" s="15" t="s">
        <v>96</v>
      </c>
      <c r="B40" s="34">
        <f t="shared" ref="B40:I40" si="11">B37+B38-B39</f>
        <v>3329</v>
      </c>
      <c r="C40" s="34">
        <f t="shared" si="11"/>
        <v>2219</v>
      </c>
      <c r="D40" s="34">
        <f t="shared" si="11"/>
        <v>1109</v>
      </c>
      <c r="E40" s="34">
        <f t="shared" si="11"/>
        <v>-1</v>
      </c>
      <c r="F40" s="34">
        <f t="shared" si="11"/>
        <v>-1111</v>
      </c>
      <c r="G40" s="34">
        <f t="shared" si="11"/>
        <v>-2221</v>
      </c>
      <c r="H40" s="34">
        <f t="shared" si="11"/>
        <v>-3331</v>
      </c>
      <c r="I40" s="34">
        <f t="shared" si="11"/>
        <v>-4441</v>
      </c>
    </row>
    <row r="41" spans="1:11" ht="15" customHeight="1" x14ac:dyDescent="0.3">
      <c r="A41" s="11" t="s">
        <v>23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spans="1:11" ht="15" customHeight="1" x14ac:dyDescent="0.3">
      <c r="A42" s="14" t="s">
        <v>92</v>
      </c>
      <c r="B42" s="14" t="s">
        <v>3</v>
      </c>
      <c r="C42" s="14" t="s">
        <v>4</v>
      </c>
      <c r="D42" s="14" t="s">
        <v>5</v>
      </c>
      <c r="E42" s="14" t="s">
        <v>6</v>
      </c>
      <c r="F42" s="14" t="s">
        <v>7</v>
      </c>
      <c r="G42" s="14" t="s">
        <v>8</v>
      </c>
      <c r="H42" s="14" t="s">
        <v>9</v>
      </c>
      <c r="I42" s="14" t="s">
        <v>10</v>
      </c>
    </row>
    <row r="43" spans="1:11" ht="15" customHeight="1" x14ac:dyDescent="0.3">
      <c r="A43" s="19" t="s">
        <v>93</v>
      </c>
      <c r="B43" s="36">
        <f>Inputs!B44</f>
        <v>0</v>
      </c>
      <c r="C43" s="29">
        <f t="shared" ref="C43:I43" si="12">B46</f>
        <v>-3700</v>
      </c>
      <c r="D43" s="29">
        <f t="shared" si="12"/>
        <v>-7400</v>
      </c>
      <c r="E43" s="29">
        <f t="shared" si="12"/>
        <v>-11100</v>
      </c>
      <c r="F43" s="29">
        <f t="shared" si="12"/>
        <v>-14800</v>
      </c>
      <c r="G43" s="29">
        <f t="shared" si="12"/>
        <v>-18500</v>
      </c>
      <c r="H43" s="29">
        <f t="shared" si="12"/>
        <v>-22200</v>
      </c>
      <c r="I43" s="29">
        <f t="shared" si="12"/>
        <v>-25900</v>
      </c>
    </row>
    <row r="44" spans="1:11" ht="15" customHeight="1" x14ac:dyDescent="0.3">
      <c r="A44" s="19" t="s">
        <v>94</v>
      </c>
      <c r="B44" s="16">
        <v>0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</row>
    <row r="45" spans="1:11" ht="15" customHeight="1" x14ac:dyDescent="0.3">
      <c r="A45" s="19" t="s">
        <v>95</v>
      </c>
      <c r="B45" s="36">
        <f>BOM_Consumo!C12</f>
        <v>3700</v>
      </c>
      <c r="C45" s="36">
        <f>BOM_Consumo!D12</f>
        <v>3700</v>
      </c>
      <c r="D45" s="36">
        <f>BOM_Consumo!E12</f>
        <v>3700</v>
      </c>
      <c r="E45" s="36">
        <f>BOM_Consumo!F12</f>
        <v>3700</v>
      </c>
      <c r="F45" s="36">
        <f>BOM_Consumo!G12</f>
        <v>3700</v>
      </c>
      <c r="G45" s="36">
        <f>BOM_Consumo!H12</f>
        <v>3700</v>
      </c>
      <c r="H45" s="36">
        <f>BOM_Consumo!I12</f>
        <v>3700</v>
      </c>
      <c r="I45" s="36">
        <f>BOM_Consumo!J12</f>
        <v>3700</v>
      </c>
    </row>
    <row r="46" spans="1:11" ht="15" customHeight="1" x14ac:dyDescent="0.3">
      <c r="A46" s="15" t="s">
        <v>96</v>
      </c>
      <c r="B46" s="34">
        <f t="shared" ref="B46:I46" si="13">B43+B44-B45</f>
        <v>-3700</v>
      </c>
      <c r="C46" s="34">
        <f t="shared" si="13"/>
        <v>-7400</v>
      </c>
      <c r="D46" s="34">
        <f t="shared" si="13"/>
        <v>-11100</v>
      </c>
      <c r="E46" s="34">
        <f t="shared" si="13"/>
        <v>-14800</v>
      </c>
      <c r="F46" s="34">
        <f t="shared" si="13"/>
        <v>-18500</v>
      </c>
      <c r="G46" s="34">
        <f t="shared" si="13"/>
        <v>-22200</v>
      </c>
      <c r="H46" s="34">
        <f t="shared" si="13"/>
        <v>-25900</v>
      </c>
      <c r="I46" s="34">
        <f t="shared" si="13"/>
        <v>-29600</v>
      </c>
    </row>
    <row r="47" spans="1:11" ht="15" customHeight="1" x14ac:dyDescent="0.3">
      <c r="A47" s="11" t="s">
        <v>24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spans="1:11" ht="15" customHeight="1" x14ac:dyDescent="0.3">
      <c r="A48" s="14" t="s">
        <v>92</v>
      </c>
      <c r="B48" s="14" t="s">
        <v>3</v>
      </c>
      <c r="C48" s="14" t="s">
        <v>4</v>
      </c>
      <c r="D48" s="14" t="s">
        <v>5</v>
      </c>
      <c r="E48" s="14" t="s">
        <v>6</v>
      </c>
      <c r="F48" s="14" t="s">
        <v>7</v>
      </c>
      <c r="G48" s="14" t="s">
        <v>8</v>
      </c>
      <c r="H48" s="14" t="s">
        <v>9</v>
      </c>
      <c r="I48" s="14" t="s">
        <v>10</v>
      </c>
    </row>
    <row r="49" spans="1:10" ht="15" customHeight="1" x14ac:dyDescent="0.3">
      <c r="A49" s="19" t="s">
        <v>93</v>
      </c>
      <c r="B49" s="36">
        <f>Inputs!B45</f>
        <v>0</v>
      </c>
      <c r="C49" s="29" t="str">
        <f t="shared" ref="C49:I49" si="14">B52</f>
        <v>OK</v>
      </c>
      <c r="D49" s="29" t="str">
        <f t="shared" si="14"/>
        <v>OK</v>
      </c>
      <c r="E49" s="29" t="str">
        <f t="shared" si="14"/>
        <v>OK</v>
      </c>
      <c r="F49" s="29" t="str">
        <f t="shared" si="14"/>
        <v>OK</v>
      </c>
      <c r="G49" s="29" t="str">
        <f t="shared" si="14"/>
        <v>OK</v>
      </c>
      <c r="H49" s="29" t="str">
        <f t="shared" si="14"/>
        <v>OK</v>
      </c>
      <c r="I49" s="29" t="str">
        <f t="shared" si="14"/>
        <v>OK</v>
      </c>
    </row>
    <row r="50" spans="1:10" ht="15" customHeight="1" x14ac:dyDescent="0.3">
      <c r="A50" s="10" t="s">
        <v>97</v>
      </c>
      <c r="B50" s="10"/>
      <c r="C50" s="10"/>
      <c r="D50" s="10"/>
      <c r="E50" s="10"/>
      <c r="F50" s="10"/>
      <c r="G50" s="10"/>
      <c r="H50" s="10"/>
      <c r="I50" s="10"/>
      <c r="J50" s="10"/>
    </row>
    <row r="51" spans="1:10" ht="15" customHeight="1" x14ac:dyDescent="0.3">
      <c r="A51" s="18" t="s">
        <v>12</v>
      </c>
      <c r="B51" s="37" t="s">
        <v>3</v>
      </c>
      <c r="C51" s="37" t="s">
        <v>4</v>
      </c>
      <c r="D51" s="37" t="s">
        <v>5</v>
      </c>
      <c r="E51" s="37" t="s">
        <v>6</v>
      </c>
      <c r="F51" s="37" t="s">
        <v>7</v>
      </c>
      <c r="G51" s="37" t="s">
        <v>8</v>
      </c>
      <c r="H51" s="37" t="s">
        <v>9</v>
      </c>
      <c r="I51" s="37" t="s">
        <v>10</v>
      </c>
      <c r="J51" s="18" t="s">
        <v>98</v>
      </c>
    </row>
    <row r="52" spans="1:10" ht="15" customHeight="1" x14ac:dyDescent="0.3">
      <c r="A52" s="15" t="s">
        <v>15</v>
      </c>
      <c r="B52" s="34" t="str">
        <f>IF(B9&lt;Inputs!D140,"⚠ RIESGO","OK")</f>
        <v>OK</v>
      </c>
      <c r="C52" s="34" t="str">
        <f>IF(C9&lt;Inputs!D140,"⚠ RIESGO","OK")</f>
        <v>OK</v>
      </c>
      <c r="D52" s="34" t="str">
        <f>IF(D9&lt;Inputs!D140,"⚠ RIESGO","OK")</f>
        <v>OK</v>
      </c>
      <c r="E52" s="34" t="str">
        <f>IF(E9&lt;Inputs!D140,"⚠ RIESGO","OK")</f>
        <v>OK</v>
      </c>
      <c r="F52" s="34" t="str">
        <f>IF(F9&lt;Inputs!D140,"⚠ RIESGO","OK")</f>
        <v>OK</v>
      </c>
      <c r="G52" s="34" t="str">
        <f>IF(G9&lt;Inputs!D140,"⚠ RIESGO","OK")</f>
        <v>OK</v>
      </c>
      <c r="H52" s="34" t="str">
        <f>IF(H9&lt;Inputs!D140,"⚠ RIESGO","OK")</f>
        <v>OK</v>
      </c>
      <c r="I52" s="34" t="str">
        <f>IF(I9&lt;Inputs!D140,"⚠ RIESGO","OK")</f>
        <v>OK</v>
      </c>
      <c r="J52" s="38">
        <f>MIN(B9:I9)</f>
        <v>1850</v>
      </c>
    </row>
    <row r="53" spans="1:10" ht="15" customHeight="1" x14ac:dyDescent="0.3">
      <c r="A53" s="19" t="s">
        <v>18</v>
      </c>
      <c r="B53" s="30" t="str">
        <f>IF(B14&lt;Inputs!D141,"⚠ RIESGO","OK")</f>
        <v>⚠ RIESGO</v>
      </c>
      <c r="C53" s="30" t="str">
        <f>IF(C14&lt;Inputs!D141,"⚠ RIESGO","OK")</f>
        <v>⚠ RIESGO</v>
      </c>
      <c r="D53" s="30" t="str">
        <f>IF(D14&lt;Inputs!D141,"⚠ RIESGO","OK")</f>
        <v>⚠ RIESGO</v>
      </c>
      <c r="E53" s="30" t="str">
        <f>IF(E14&lt;Inputs!D141,"⚠ RIESGO","OK")</f>
        <v>⚠ RIESGO</v>
      </c>
      <c r="F53" s="30" t="str">
        <f>IF(F14&lt;Inputs!D141,"⚠ RIESGO","OK")</f>
        <v>⚠ RIESGO</v>
      </c>
      <c r="G53" s="30" t="str">
        <f>IF(G14&lt;Inputs!D141,"⚠ RIESGO","OK")</f>
        <v>⚠ RIESGO</v>
      </c>
      <c r="H53" s="30" t="str">
        <f>IF(H14&lt;Inputs!D141,"⚠ RIESGO","OK")</f>
        <v>⚠ RIESGO</v>
      </c>
      <c r="I53" s="30" t="str">
        <f>IF(I14&lt;Inputs!D141,"⚠ RIESGO","OK")</f>
        <v>⚠ RIESGO</v>
      </c>
      <c r="J53" s="38">
        <f>MIN(B14:I14)</f>
        <v>0</v>
      </c>
    </row>
    <row r="54" spans="1:10" ht="15" customHeight="1" x14ac:dyDescent="0.3">
      <c r="A54" s="19" t="s">
        <v>19</v>
      </c>
      <c r="B54" s="30" t="str">
        <f>IF(B19&lt;Inputs!D142,"⚠ RIESGO","OK")</f>
        <v>⚠ RIESGO</v>
      </c>
      <c r="C54" s="30" t="str">
        <f>IF(C19&lt;Inputs!D142,"⚠ RIESGO","OK")</f>
        <v>⚠ RIESGO</v>
      </c>
      <c r="D54" s="30" t="str">
        <f>IF(D19&lt;Inputs!D142,"⚠ RIESGO","OK")</f>
        <v>⚠ RIESGO</v>
      </c>
      <c r="E54" s="30" t="str">
        <f>IF(E19&lt;Inputs!D142,"⚠ RIESGO","OK")</f>
        <v>⚠ RIESGO</v>
      </c>
      <c r="F54" s="30" t="str">
        <f>IF(F19&lt;Inputs!D142,"⚠ RIESGO","OK")</f>
        <v>⚠ RIESGO</v>
      </c>
      <c r="G54" s="30" t="str">
        <f>IF(G19&lt;Inputs!D142,"⚠ RIESGO","OK")</f>
        <v>⚠ RIESGO</v>
      </c>
      <c r="H54" s="30" t="str">
        <f>IF(H19&lt;Inputs!D142,"⚠ RIESGO","OK")</f>
        <v>⚠ RIESGO</v>
      </c>
      <c r="I54" s="30" t="str">
        <f>IF(I19&lt;Inputs!D142,"⚠ RIESGO","OK")</f>
        <v>⚠ RIESGO</v>
      </c>
      <c r="J54" s="38">
        <f>MIN(B19:I19)</f>
        <v>2995.5</v>
      </c>
    </row>
    <row r="55" spans="1:10" ht="15" customHeight="1" x14ac:dyDescent="0.3">
      <c r="A55" s="19" t="s">
        <v>20</v>
      </c>
      <c r="B55" s="30" t="str">
        <f>IF(B24&lt;Inputs!D143,"⚠ RIESGO","OK")</f>
        <v>OK</v>
      </c>
      <c r="C55" s="30" t="str">
        <f>IF(C24&lt;Inputs!D143,"⚠ RIESGO","OK")</f>
        <v>OK</v>
      </c>
      <c r="D55" s="30" t="str">
        <f>IF(D24&lt;Inputs!D143,"⚠ RIESGO","OK")</f>
        <v>OK</v>
      </c>
      <c r="E55" s="30" t="str">
        <f>IF(E24&lt;Inputs!D143,"⚠ RIESGO","OK")</f>
        <v>OK</v>
      </c>
      <c r="F55" s="30" t="str">
        <f>IF(F24&lt;Inputs!D143,"⚠ RIESGO","OK")</f>
        <v>OK</v>
      </c>
      <c r="G55" s="30" t="str">
        <f>IF(G24&lt;Inputs!D143,"⚠ RIESGO","OK")</f>
        <v>OK</v>
      </c>
      <c r="H55" s="30" t="str">
        <f>IF(H24&lt;Inputs!D143,"⚠ RIESGO","OK")</f>
        <v>OK</v>
      </c>
      <c r="I55" s="30" t="str">
        <f>IF(I24&lt;Inputs!D143,"⚠ RIESGO","OK")</f>
        <v>OK</v>
      </c>
      <c r="J55" s="38">
        <f>MIN(B24:I24)</f>
        <v>0</v>
      </c>
    </row>
    <row r="56" spans="1:10" ht="15" customHeight="1" x14ac:dyDescent="0.3">
      <c r="A56" s="19" t="s">
        <v>21</v>
      </c>
      <c r="B56" s="30" t="str">
        <f>IF(B29&lt;Inputs!D144,"⚠ RIESGO","OK")</f>
        <v>⚠ RIESGO</v>
      </c>
      <c r="C56" s="30" t="str">
        <f>IF(C29&lt;Inputs!D144,"⚠ RIESGO","OK")</f>
        <v>⚠ RIESGO</v>
      </c>
      <c r="D56" s="30" t="str">
        <f>IF(D29&lt;Inputs!D144,"⚠ RIESGO","OK")</f>
        <v>⚠ RIESGO</v>
      </c>
      <c r="E56" s="30" t="str">
        <f>IF(E29&lt;Inputs!D144,"⚠ RIESGO","OK")</f>
        <v>⚠ RIESGO</v>
      </c>
      <c r="F56" s="30" t="str">
        <f>IF(F29&lt;Inputs!D144,"⚠ RIESGO","OK")</f>
        <v>⚠ RIESGO</v>
      </c>
      <c r="G56" s="30" t="str">
        <f>IF(G29&lt;Inputs!D144,"⚠ RIESGO","OK")</f>
        <v>⚠ RIESGO</v>
      </c>
      <c r="H56" s="30" t="str">
        <f>IF(H29&lt;Inputs!D144,"⚠ RIESGO","OK")</f>
        <v>⚠ RIESGO</v>
      </c>
      <c r="I56" s="30" t="str">
        <f>IF(I29&lt;Inputs!D144,"⚠ RIESGO","OK")</f>
        <v>⚠ RIESGO</v>
      </c>
      <c r="J56" s="38">
        <f>MIN(B29:I29)</f>
        <v>0</v>
      </c>
    </row>
    <row r="57" spans="1:10" ht="15" customHeight="1" x14ac:dyDescent="0.3">
      <c r="A57" s="19" t="s">
        <v>22</v>
      </c>
      <c r="B57" s="30" t="str">
        <f>IF(B34&lt;Inputs!D145,"⚠ RIESGO","OK")</f>
        <v>OK</v>
      </c>
      <c r="C57" s="30" t="str">
        <f>IF(C34&lt;Inputs!D145,"⚠ RIESGO","OK")</f>
        <v>OK</v>
      </c>
      <c r="D57" s="30" t="str">
        <f>IF(D34&lt;Inputs!D145,"⚠ RIESGO","OK")</f>
        <v>OK</v>
      </c>
      <c r="E57" s="30" t="str">
        <f>IF(E34&lt;Inputs!D145,"⚠ RIESGO","OK")</f>
        <v>OK</v>
      </c>
      <c r="F57" s="30" t="str">
        <f>IF(F34&lt;Inputs!D145,"⚠ RIESGO","OK")</f>
        <v>OK</v>
      </c>
      <c r="G57" s="30" t="str">
        <f>IF(G34&lt;Inputs!D145,"⚠ RIESGO","OK")</f>
        <v>OK</v>
      </c>
      <c r="H57" s="30" t="str">
        <f>IF(H34&lt;Inputs!D145,"⚠ RIESGO","OK")</f>
        <v>OK</v>
      </c>
      <c r="I57" s="30" t="str">
        <f>IF(I34&lt;Inputs!D145,"⚠ RIESGO","OK")</f>
        <v>OK</v>
      </c>
      <c r="J57" s="38">
        <f>MIN(B34:I34)</f>
        <v>12296</v>
      </c>
    </row>
    <row r="58" spans="1:10" ht="15" customHeight="1" x14ac:dyDescent="0.3">
      <c r="A58" s="19" t="s">
        <v>23</v>
      </c>
      <c r="B58" s="30" t="str">
        <f>IF(B39&lt;Inputs!D146,"⚠ RIESGO","OK")</f>
        <v>⚠ RIESGO</v>
      </c>
      <c r="C58" s="30" t="str">
        <f>IF(C39&lt;Inputs!D146,"⚠ RIESGO","OK")</f>
        <v>⚠ RIESGO</v>
      </c>
      <c r="D58" s="30" t="str">
        <f>IF(D39&lt;Inputs!D146,"⚠ RIESGO","OK")</f>
        <v>⚠ RIESGO</v>
      </c>
      <c r="E58" s="30" t="str">
        <f>IF(E39&lt;Inputs!D146,"⚠ RIESGO","OK")</f>
        <v>⚠ RIESGO</v>
      </c>
      <c r="F58" s="30" t="str">
        <f>IF(F39&lt;Inputs!D146,"⚠ RIESGO","OK")</f>
        <v>⚠ RIESGO</v>
      </c>
      <c r="G58" s="30" t="str">
        <f>IF(G39&lt;Inputs!D146,"⚠ RIESGO","OK")</f>
        <v>⚠ RIESGO</v>
      </c>
      <c r="H58" s="30" t="str">
        <f>IF(H39&lt;Inputs!D146,"⚠ RIESGO","OK")</f>
        <v>⚠ RIESGO</v>
      </c>
      <c r="I58" s="30" t="str">
        <f>IF(I39&lt;Inputs!D146,"⚠ RIESGO","OK")</f>
        <v>⚠ RIESGO</v>
      </c>
      <c r="J58" s="38">
        <f>MIN(B39:I39)</f>
        <v>1110</v>
      </c>
    </row>
    <row r="59" spans="1:10" ht="15" customHeight="1" x14ac:dyDescent="0.3">
      <c r="A59" s="19" t="s">
        <v>24</v>
      </c>
      <c r="B59" s="30" t="str">
        <f>IF(B44&lt;Inputs!D147,"⚠ RIESGO","OK")</f>
        <v>OK</v>
      </c>
      <c r="C59" s="30" t="str">
        <f>IF(C44&lt;Inputs!D147,"⚠ RIESGO","OK")</f>
        <v>OK</v>
      </c>
      <c r="D59" s="30" t="str">
        <f>IF(D44&lt;Inputs!D147,"⚠ RIESGO","OK")</f>
        <v>OK</v>
      </c>
      <c r="E59" s="30" t="str">
        <f>IF(E44&lt;Inputs!D147,"⚠ RIESGO","OK")</f>
        <v>OK</v>
      </c>
      <c r="F59" s="30" t="str">
        <f>IF(F44&lt;Inputs!D147,"⚠ RIESGO","OK")</f>
        <v>OK</v>
      </c>
      <c r="G59" s="30" t="str">
        <f>IF(G44&lt;Inputs!D147,"⚠ RIESGO","OK")</f>
        <v>OK</v>
      </c>
      <c r="H59" s="30" t="str">
        <f>IF(H44&lt;Inputs!D147,"⚠ RIESGO","OK")</f>
        <v>OK</v>
      </c>
      <c r="I59" s="30" t="str">
        <f>IF(I44&lt;Inputs!D147,"⚠ RIESGO","OK")</f>
        <v>OK</v>
      </c>
      <c r="J59" s="38">
        <f>MIN(B44:I44)</f>
        <v>0</v>
      </c>
    </row>
  </sheetData>
  <mergeCells count="12">
    <mergeCell ref="A47:K47"/>
    <mergeCell ref="A50:J50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2:I52">
    <cfRule type="cellIs" dxfId="1" priority="58" operator="lessThan">
      <formula>0</formula>
    </cfRule>
  </conditionalFormatting>
  <conditionalFormatting sqref="B52:I59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11" width="11" customWidth="1"/>
  </cols>
  <sheetData>
    <row r="1" spans="1:12" ht="17.25" customHeight="1" x14ac:dyDescent="0.3">
      <c r="A1" s="13" t="s">
        <v>99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15" customHeight="1" x14ac:dyDescent="0.3">
      <c r="A2" s="9" t="s">
        <v>100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ht="15" customHeight="1" x14ac:dyDescent="0.3">
      <c r="A3" s="5" t="s">
        <v>101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5" spans="1:12" ht="15" customHeight="1" x14ac:dyDescent="0.3">
      <c r="A5" s="11" t="s">
        <v>102</v>
      </c>
      <c r="B5" s="11"/>
      <c r="C5" s="11"/>
      <c r="D5" s="11"/>
      <c r="E5" s="11"/>
      <c r="F5" s="11"/>
      <c r="G5" s="11"/>
      <c r="H5" s="11"/>
      <c r="I5" s="11"/>
      <c r="J5" s="11"/>
    </row>
    <row r="6" spans="1:12" ht="23.25" customHeight="1" x14ac:dyDescent="0.3">
      <c r="A6" s="39" t="s">
        <v>12</v>
      </c>
      <c r="B6" s="39" t="s">
        <v>103</v>
      </c>
      <c r="C6" s="39" t="s">
        <v>38</v>
      </c>
      <c r="D6" s="39" t="s">
        <v>104</v>
      </c>
      <c r="E6" s="39" t="s">
        <v>105</v>
      </c>
      <c r="F6" s="39" t="s">
        <v>106</v>
      </c>
      <c r="G6" s="39" t="s">
        <v>107</v>
      </c>
      <c r="H6" s="39" t="s">
        <v>108</v>
      </c>
      <c r="I6" s="39" t="s">
        <v>109</v>
      </c>
    </row>
    <row r="7" spans="1:12" ht="15" customHeight="1" x14ac:dyDescent="0.3">
      <c r="A7" s="19" t="s">
        <v>19</v>
      </c>
      <c r="B7" s="40">
        <f>BOM_Consumo!K8</f>
        <v>148</v>
      </c>
      <c r="C7" s="40">
        <f>Inputs!B66</f>
        <v>30</v>
      </c>
      <c r="D7" s="41">
        <f t="shared" ref="D7:D12" si="0">ROUNDUP(B7/C7,0)</f>
        <v>5</v>
      </c>
      <c r="E7" s="42">
        <f t="shared" ref="E7:E12" si="1">D7</f>
        <v>5</v>
      </c>
      <c r="F7" s="41">
        <f t="shared" ref="F7:F12" si="2">E7*C7</f>
        <v>150</v>
      </c>
      <c r="G7" s="43">
        <f>Inputs!B81</f>
        <v>0</v>
      </c>
      <c r="H7" s="44">
        <f t="shared" ref="H7:H12" si="3">E7*G7</f>
        <v>0</v>
      </c>
      <c r="I7" s="30" t="str">
        <f t="shared" ref="I7:I12" si="4">IF(F7&gt;=B7,"OK","INSUFICIENTE")</f>
        <v>OK</v>
      </c>
    </row>
    <row r="8" spans="1:12" ht="15" customHeight="1" x14ac:dyDescent="0.3">
      <c r="A8" s="19" t="s">
        <v>20</v>
      </c>
      <c r="B8" s="40">
        <f>BOM_Consumo!K9</f>
        <v>118400</v>
      </c>
      <c r="C8" s="40">
        <f>Inputs!B67</f>
        <v>12</v>
      </c>
      <c r="D8" s="41">
        <f t="shared" si="0"/>
        <v>9867</v>
      </c>
      <c r="E8" s="42">
        <f t="shared" si="1"/>
        <v>9867</v>
      </c>
      <c r="F8" s="41">
        <f t="shared" si="2"/>
        <v>118404</v>
      </c>
      <c r="G8" s="43" t="str">
        <f>Inputs!B82</f>
        <v>Precio, Proveedor A</v>
      </c>
      <c r="H8" s="44" t="e">
        <f t="shared" si="3"/>
        <v>#VALUE!</v>
      </c>
      <c r="I8" s="30" t="str">
        <f t="shared" si="4"/>
        <v>OK</v>
      </c>
    </row>
    <row r="9" spans="1:12" ht="15" customHeight="1" x14ac:dyDescent="0.3">
      <c r="A9" s="19" t="s">
        <v>21</v>
      </c>
      <c r="B9" s="40">
        <f>BOM_Consumo!K10</f>
        <v>4440</v>
      </c>
      <c r="C9" s="40">
        <f>Inputs!B68</f>
        <v>1</v>
      </c>
      <c r="D9" s="41">
        <f t="shared" si="0"/>
        <v>4440</v>
      </c>
      <c r="E9" s="42">
        <f t="shared" si="1"/>
        <v>4440</v>
      </c>
      <c r="F9" s="41">
        <f t="shared" si="2"/>
        <v>4440</v>
      </c>
      <c r="G9" s="43">
        <f>Inputs!B83</f>
        <v>125</v>
      </c>
      <c r="H9" s="44">
        <f t="shared" si="3"/>
        <v>555000</v>
      </c>
      <c r="I9" s="30" t="str">
        <f t="shared" si="4"/>
        <v>OK</v>
      </c>
    </row>
    <row r="10" spans="1:12" ht="15" customHeight="1" x14ac:dyDescent="0.3">
      <c r="A10" s="19" t="s">
        <v>22</v>
      </c>
      <c r="B10" s="40">
        <f>BOM_Consumo!K11</f>
        <v>8880</v>
      </c>
      <c r="C10" s="40">
        <f>Inputs!B69</f>
        <v>100</v>
      </c>
      <c r="D10" s="41">
        <f t="shared" si="0"/>
        <v>89</v>
      </c>
      <c r="E10" s="42">
        <f t="shared" si="1"/>
        <v>89</v>
      </c>
      <c r="F10" s="41">
        <f t="shared" si="2"/>
        <v>8900</v>
      </c>
      <c r="G10" s="43">
        <f>Inputs!B84</f>
        <v>330</v>
      </c>
      <c r="H10" s="44">
        <f t="shared" si="3"/>
        <v>29370</v>
      </c>
      <c r="I10" s="30" t="str">
        <f t="shared" si="4"/>
        <v>OK</v>
      </c>
    </row>
    <row r="11" spans="1:12" ht="15" customHeight="1" x14ac:dyDescent="0.3">
      <c r="A11" s="19" t="s">
        <v>23</v>
      </c>
      <c r="B11" s="40">
        <f>BOM_Consumo!K12</f>
        <v>29600</v>
      </c>
      <c r="C11" s="40">
        <f>Inputs!B70</f>
        <v>30</v>
      </c>
      <c r="D11" s="41">
        <f t="shared" si="0"/>
        <v>987</v>
      </c>
      <c r="E11" s="42">
        <f t="shared" si="1"/>
        <v>987</v>
      </c>
      <c r="F11" s="41">
        <f t="shared" si="2"/>
        <v>29610</v>
      </c>
      <c r="G11" s="43">
        <f>Inputs!B85</f>
        <v>60</v>
      </c>
      <c r="H11" s="44">
        <f t="shared" si="3"/>
        <v>59220</v>
      </c>
      <c r="I11" s="30" t="str">
        <f t="shared" si="4"/>
        <v>OK</v>
      </c>
    </row>
    <row r="12" spans="1:12" ht="15" customHeight="1" x14ac:dyDescent="0.3">
      <c r="A12" s="19" t="s">
        <v>24</v>
      </c>
      <c r="B12" s="40">
        <f>BOM_Consumo!K13</f>
        <v>11100</v>
      </c>
      <c r="C12" s="40">
        <f>Inputs!B71</f>
        <v>60</v>
      </c>
      <c r="D12" s="41">
        <f t="shared" si="0"/>
        <v>185</v>
      </c>
      <c r="E12" s="42">
        <f t="shared" si="1"/>
        <v>185</v>
      </c>
      <c r="F12" s="41">
        <f t="shared" si="2"/>
        <v>11100</v>
      </c>
      <c r="G12" s="43">
        <f>Inputs!B86</f>
        <v>7</v>
      </c>
      <c r="H12" s="44">
        <f t="shared" si="3"/>
        <v>1295</v>
      </c>
      <c r="I12" s="30" t="str">
        <f t="shared" si="4"/>
        <v>OK</v>
      </c>
    </row>
    <row r="13" spans="1:12" ht="15" customHeight="1" x14ac:dyDescent="0.3">
      <c r="A13" s="7" t="s">
        <v>110</v>
      </c>
      <c r="B13" s="7"/>
      <c r="C13" s="7"/>
      <c r="D13" s="7"/>
      <c r="E13" s="7"/>
      <c r="F13" s="7"/>
      <c r="G13" s="7"/>
      <c r="H13" s="45" t="e">
        <f>SUM(H7:H12)</f>
        <v>#VALUE!</v>
      </c>
    </row>
    <row r="16" spans="1:12" ht="15" customHeight="1" x14ac:dyDescent="0.3">
      <c r="A16" s="11" t="s">
        <v>111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spans="1:11" ht="23.25" customHeight="1" x14ac:dyDescent="0.3">
      <c r="A17" s="39" t="s">
        <v>12</v>
      </c>
      <c r="B17" s="39" t="s">
        <v>112</v>
      </c>
      <c r="C17" s="39" t="s">
        <v>113</v>
      </c>
      <c r="D17" s="39" t="s">
        <v>38</v>
      </c>
      <c r="E17" s="39" t="s">
        <v>104</v>
      </c>
      <c r="F17" s="39" t="s">
        <v>105</v>
      </c>
      <c r="G17" s="39" t="s">
        <v>114</v>
      </c>
      <c r="H17" s="39" t="s">
        <v>107</v>
      </c>
      <c r="I17" s="39" t="s">
        <v>115</v>
      </c>
      <c r="J17" s="39" t="s">
        <v>59</v>
      </c>
      <c r="K17" s="39" t="s">
        <v>116</v>
      </c>
    </row>
    <row r="18" spans="1:11" ht="15" customHeight="1" x14ac:dyDescent="0.3">
      <c r="A18" s="4" t="s">
        <v>15</v>
      </c>
      <c r="B18" s="20" t="s">
        <v>3</v>
      </c>
      <c r="C18" s="40">
        <f>BOM_Consumo!C6</f>
        <v>1850</v>
      </c>
      <c r="D18" s="40">
        <f>Inputs!B66</f>
        <v>30</v>
      </c>
      <c r="E18" s="41">
        <f t="shared" ref="E18:E33" si="5">IF(C18&gt;0,ROUNDUP(C18/D18,0),0)</f>
        <v>62</v>
      </c>
      <c r="F18" s="42">
        <v>0</v>
      </c>
      <c r="G18" s="41">
        <f t="shared" ref="G18:G33" si="6">F18*D18</f>
        <v>0</v>
      </c>
      <c r="H18" s="43">
        <f>Inputs!B79</f>
        <v>0</v>
      </c>
      <c r="I18" s="44">
        <f t="shared" ref="I18:I33" si="7">F18*H18</f>
        <v>0</v>
      </c>
      <c r="J18" s="46" t="str">
        <f>Inputs!C94</f>
        <v>Holding Cost/U/Q</v>
      </c>
      <c r="K18" s="30" t="s">
        <v>3</v>
      </c>
    </row>
    <row r="19" spans="1:11" ht="15" customHeight="1" x14ac:dyDescent="0.3">
      <c r="A19" s="4"/>
      <c r="B19" s="20" t="s">
        <v>4</v>
      </c>
      <c r="C19" s="40">
        <f>BOM_Consumo!D6</f>
        <v>1850</v>
      </c>
      <c r="D19" s="40">
        <f>Inputs!B66</f>
        <v>30</v>
      </c>
      <c r="E19" s="41">
        <f t="shared" si="5"/>
        <v>62</v>
      </c>
      <c r="F19" s="42">
        <v>0</v>
      </c>
      <c r="G19" s="41">
        <f t="shared" si="6"/>
        <v>0</v>
      </c>
      <c r="H19" s="43">
        <f>Inputs!B79</f>
        <v>0</v>
      </c>
      <c r="I19" s="44">
        <f t="shared" si="7"/>
        <v>0</v>
      </c>
      <c r="J19" s="46" t="str">
        <f>Inputs!C94</f>
        <v>Holding Cost/U/Q</v>
      </c>
      <c r="K19" s="30" t="s">
        <v>4</v>
      </c>
    </row>
    <row r="20" spans="1:11" ht="15" customHeight="1" x14ac:dyDescent="0.3">
      <c r="A20" s="4"/>
      <c r="B20" s="20" t="s">
        <v>5</v>
      </c>
      <c r="C20" s="40">
        <f>BOM_Consumo!E6</f>
        <v>1850</v>
      </c>
      <c r="D20" s="40">
        <f>Inputs!B66</f>
        <v>30</v>
      </c>
      <c r="E20" s="41">
        <f t="shared" si="5"/>
        <v>62</v>
      </c>
      <c r="F20" s="42">
        <v>0</v>
      </c>
      <c r="G20" s="41">
        <f t="shared" si="6"/>
        <v>0</v>
      </c>
      <c r="H20" s="43">
        <f>Inputs!B79</f>
        <v>0</v>
      </c>
      <c r="I20" s="44">
        <f t="shared" si="7"/>
        <v>0</v>
      </c>
      <c r="J20" s="46" t="str">
        <f>Inputs!C94</f>
        <v>Holding Cost/U/Q</v>
      </c>
      <c r="K20" s="30" t="s">
        <v>5</v>
      </c>
    </row>
    <row r="21" spans="1:11" ht="15" customHeight="1" x14ac:dyDescent="0.3">
      <c r="A21" s="4"/>
      <c r="B21" s="20" t="s">
        <v>6</v>
      </c>
      <c r="C21" s="40">
        <f>BOM_Consumo!F6</f>
        <v>1850</v>
      </c>
      <c r="D21" s="40">
        <f>Inputs!B66</f>
        <v>30</v>
      </c>
      <c r="E21" s="41">
        <f t="shared" si="5"/>
        <v>62</v>
      </c>
      <c r="F21" s="42">
        <v>0</v>
      </c>
      <c r="G21" s="41">
        <f t="shared" si="6"/>
        <v>0</v>
      </c>
      <c r="H21" s="43">
        <f>Inputs!B79</f>
        <v>0</v>
      </c>
      <c r="I21" s="44">
        <f t="shared" si="7"/>
        <v>0</v>
      </c>
      <c r="J21" s="46" t="str">
        <f>Inputs!C94</f>
        <v>Holding Cost/U/Q</v>
      </c>
      <c r="K21" s="30" t="s">
        <v>6</v>
      </c>
    </row>
    <row r="22" spans="1:11" ht="15" customHeight="1" x14ac:dyDescent="0.3">
      <c r="A22" s="4"/>
      <c r="B22" s="20" t="s">
        <v>7</v>
      </c>
      <c r="C22" s="40">
        <f>BOM_Consumo!G6</f>
        <v>1850</v>
      </c>
      <c r="D22" s="40">
        <f>Inputs!B66</f>
        <v>30</v>
      </c>
      <c r="E22" s="41">
        <f t="shared" si="5"/>
        <v>62</v>
      </c>
      <c r="F22" s="42">
        <v>0</v>
      </c>
      <c r="G22" s="41">
        <f t="shared" si="6"/>
        <v>0</v>
      </c>
      <c r="H22" s="43">
        <f>Inputs!B79</f>
        <v>0</v>
      </c>
      <c r="I22" s="44">
        <f t="shared" si="7"/>
        <v>0</v>
      </c>
      <c r="J22" s="46" t="str">
        <f>Inputs!C94</f>
        <v>Holding Cost/U/Q</v>
      </c>
      <c r="K22" s="30" t="s">
        <v>7</v>
      </c>
    </row>
    <row r="23" spans="1:11" ht="15" customHeight="1" x14ac:dyDescent="0.3">
      <c r="A23" s="4"/>
      <c r="B23" s="20" t="s">
        <v>8</v>
      </c>
      <c r="C23" s="40">
        <f>BOM_Consumo!H6</f>
        <v>1850</v>
      </c>
      <c r="D23" s="40">
        <f>Inputs!B66</f>
        <v>30</v>
      </c>
      <c r="E23" s="41">
        <f t="shared" si="5"/>
        <v>62</v>
      </c>
      <c r="F23" s="42">
        <v>0</v>
      </c>
      <c r="G23" s="41">
        <f t="shared" si="6"/>
        <v>0</v>
      </c>
      <c r="H23" s="43">
        <f>Inputs!B79</f>
        <v>0</v>
      </c>
      <c r="I23" s="44">
        <f t="shared" si="7"/>
        <v>0</v>
      </c>
      <c r="J23" s="46" t="str">
        <f>Inputs!C94</f>
        <v>Holding Cost/U/Q</v>
      </c>
      <c r="K23" s="30" t="s">
        <v>8</v>
      </c>
    </row>
    <row r="24" spans="1:11" ht="15" customHeight="1" x14ac:dyDescent="0.3">
      <c r="A24" s="4"/>
      <c r="B24" s="20" t="s">
        <v>9</v>
      </c>
      <c r="C24" s="40">
        <f>BOM_Consumo!I6</f>
        <v>1850</v>
      </c>
      <c r="D24" s="40">
        <f>Inputs!B66</f>
        <v>30</v>
      </c>
      <c r="E24" s="41">
        <f t="shared" si="5"/>
        <v>62</v>
      </c>
      <c r="F24" s="42">
        <v>0</v>
      </c>
      <c r="G24" s="41">
        <f t="shared" si="6"/>
        <v>0</v>
      </c>
      <c r="H24" s="43">
        <f>Inputs!B79</f>
        <v>0</v>
      </c>
      <c r="I24" s="44">
        <f t="shared" si="7"/>
        <v>0</v>
      </c>
      <c r="J24" s="46" t="str">
        <f>Inputs!C94</f>
        <v>Holding Cost/U/Q</v>
      </c>
      <c r="K24" s="30" t="s">
        <v>9</v>
      </c>
    </row>
    <row r="25" spans="1:11" ht="15" customHeight="1" x14ac:dyDescent="0.3">
      <c r="A25" s="4"/>
      <c r="B25" s="20" t="s">
        <v>10</v>
      </c>
      <c r="C25" s="40">
        <f>BOM_Consumo!J6</f>
        <v>1850</v>
      </c>
      <c r="D25" s="40">
        <f>Inputs!B66</f>
        <v>30</v>
      </c>
      <c r="E25" s="41">
        <f t="shared" si="5"/>
        <v>62</v>
      </c>
      <c r="F25" s="42">
        <v>0</v>
      </c>
      <c r="G25" s="41">
        <f t="shared" si="6"/>
        <v>0</v>
      </c>
      <c r="H25" s="43">
        <f>Inputs!B79</f>
        <v>0</v>
      </c>
      <c r="I25" s="44">
        <f t="shared" si="7"/>
        <v>0</v>
      </c>
      <c r="J25" s="46" t="str">
        <f>Inputs!C94</f>
        <v>Holding Cost/U/Q</v>
      </c>
      <c r="K25" s="30" t="s">
        <v>10</v>
      </c>
    </row>
    <row r="26" spans="1:11" ht="15" customHeight="1" x14ac:dyDescent="0.3">
      <c r="A26" s="4" t="s">
        <v>18</v>
      </c>
      <c r="B26" s="20" t="s">
        <v>3</v>
      </c>
      <c r="C26" s="40">
        <f>BOM_Consumo!C7</f>
        <v>370</v>
      </c>
      <c r="D26" s="40">
        <f>Inputs!B67</f>
        <v>12</v>
      </c>
      <c r="E26" s="41">
        <f t="shared" si="5"/>
        <v>31</v>
      </c>
      <c r="F26" s="42">
        <v>0</v>
      </c>
      <c r="G26" s="41">
        <f t="shared" si="6"/>
        <v>0</v>
      </c>
      <c r="H26" s="43">
        <f>Inputs!B80</f>
        <v>0</v>
      </c>
      <c r="I26" s="44">
        <f t="shared" si="7"/>
        <v>0</v>
      </c>
      <c r="J26" s="46">
        <f>Inputs!C110</f>
        <v>0</v>
      </c>
      <c r="K26" s="30" t="s">
        <v>3</v>
      </c>
    </row>
    <row r="27" spans="1:11" ht="15" customHeight="1" x14ac:dyDescent="0.3">
      <c r="A27" s="4"/>
      <c r="B27" s="20" t="s">
        <v>4</v>
      </c>
      <c r="C27" s="40">
        <f>BOM_Consumo!D7</f>
        <v>370</v>
      </c>
      <c r="D27" s="40">
        <f>Inputs!B67</f>
        <v>12</v>
      </c>
      <c r="E27" s="41">
        <f t="shared" si="5"/>
        <v>31</v>
      </c>
      <c r="F27" s="42">
        <v>0</v>
      </c>
      <c r="G27" s="41">
        <f t="shared" si="6"/>
        <v>0</v>
      </c>
      <c r="H27" s="43">
        <f>Inputs!B80</f>
        <v>0</v>
      </c>
      <c r="I27" s="44">
        <f t="shared" si="7"/>
        <v>0</v>
      </c>
      <c r="J27" s="46">
        <f>Inputs!C110</f>
        <v>0</v>
      </c>
      <c r="K27" s="30" t="s">
        <v>4</v>
      </c>
    </row>
    <row r="28" spans="1:11" ht="15" customHeight="1" x14ac:dyDescent="0.3">
      <c r="A28" s="4"/>
      <c r="B28" s="20" t="s">
        <v>5</v>
      </c>
      <c r="C28" s="40">
        <f>BOM_Consumo!E7</f>
        <v>370</v>
      </c>
      <c r="D28" s="40">
        <f>Inputs!B67</f>
        <v>12</v>
      </c>
      <c r="E28" s="41">
        <f t="shared" si="5"/>
        <v>31</v>
      </c>
      <c r="F28" s="42">
        <v>0</v>
      </c>
      <c r="G28" s="41">
        <f t="shared" si="6"/>
        <v>0</v>
      </c>
      <c r="H28" s="43">
        <f>Inputs!B80</f>
        <v>0</v>
      </c>
      <c r="I28" s="44">
        <f t="shared" si="7"/>
        <v>0</v>
      </c>
      <c r="J28" s="46">
        <f>Inputs!C110</f>
        <v>0</v>
      </c>
      <c r="K28" s="30" t="s">
        <v>5</v>
      </c>
    </row>
    <row r="29" spans="1:11" ht="15" customHeight="1" x14ac:dyDescent="0.3">
      <c r="A29" s="4"/>
      <c r="B29" s="20" t="s">
        <v>6</v>
      </c>
      <c r="C29" s="40">
        <f>BOM_Consumo!F7</f>
        <v>370</v>
      </c>
      <c r="D29" s="40">
        <f>Inputs!B67</f>
        <v>12</v>
      </c>
      <c r="E29" s="41">
        <f t="shared" si="5"/>
        <v>31</v>
      </c>
      <c r="F29" s="42">
        <v>0</v>
      </c>
      <c r="G29" s="41">
        <f t="shared" si="6"/>
        <v>0</v>
      </c>
      <c r="H29" s="43">
        <f>Inputs!B80</f>
        <v>0</v>
      </c>
      <c r="I29" s="44">
        <f t="shared" si="7"/>
        <v>0</v>
      </c>
      <c r="J29" s="46">
        <f>Inputs!C110</f>
        <v>0</v>
      </c>
      <c r="K29" s="30" t="s">
        <v>6</v>
      </c>
    </row>
    <row r="30" spans="1:11" ht="15" customHeight="1" x14ac:dyDescent="0.3">
      <c r="A30" s="4"/>
      <c r="B30" s="20" t="s">
        <v>7</v>
      </c>
      <c r="C30" s="40">
        <f>BOM_Consumo!G7</f>
        <v>370</v>
      </c>
      <c r="D30" s="40">
        <f>Inputs!B67</f>
        <v>12</v>
      </c>
      <c r="E30" s="41">
        <f t="shared" si="5"/>
        <v>31</v>
      </c>
      <c r="F30" s="42">
        <v>0</v>
      </c>
      <c r="G30" s="41">
        <f t="shared" si="6"/>
        <v>0</v>
      </c>
      <c r="H30" s="43">
        <f>Inputs!B80</f>
        <v>0</v>
      </c>
      <c r="I30" s="44">
        <f t="shared" si="7"/>
        <v>0</v>
      </c>
      <c r="J30" s="46">
        <f>Inputs!C110</f>
        <v>0</v>
      </c>
      <c r="K30" s="30" t="s">
        <v>7</v>
      </c>
    </row>
    <row r="31" spans="1:11" ht="15" customHeight="1" x14ac:dyDescent="0.3">
      <c r="A31" s="4"/>
      <c r="B31" s="20" t="s">
        <v>8</v>
      </c>
      <c r="C31" s="40">
        <f>BOM_Consumo!H7</f>
        <v>370</v>
      </c>
      <c r="D31" s="40">
        <f>Inputs!B67</f>
        <v>12</v>
      </c>
      <c r="E31" s="41">
        <f t="shared" si="5"/>
        <v>31</v>
      </c>
      <c r="F31" s="42">
        <v>0</v>
      </c>
      <c r="G31" s="41">
        <f t="shared" si="6"/>
        <v>0</v>
      </c>
      <c r="H31" s="43">
        <f>Inputs!B80</f>
        <v>0</v>
      </c>
      <c r="I31" s="44">
        <f t="shared" si="7"/>
        <v>0</v>
      </c>
      <c r="J31" s="46">
        <f>Inputs!C110</f>
        <v>0</v>
      </c>
      <c r="K31" s="30" t="s">
        <v>8</v>
      </c>
    </row>
    <row r="32" spans="1:11" ht="15" customHeight="1" x14ac:dyDescent="0.3">
      <c r="A32" s="4"/>
      <c r="B32" s="20" t="s">
        <v>9</v>
      </c>
      <c r="C32" s="40">
        <f>BOM_Consumo!I7</f>
        <v>370</v>
      </c>
      <c r="D32" s="40">
        <f>Inputs!B67</f>
        <v>12</v>
      </c>
      <c r="E32" s="41">
        <f t="shared" si="5"/>
        <v>31</v>
      </c>
      <c r="F32" s="42">
        <v>0</v>
      </c>
      <c r="G32" s="41">
        <f t="shared" si="6"/>
        <v>0</v>
      </c>
      <c r="H32" s="43">
        <f>Inputs!B80</f>
        <v>0</v>
      </c>
      <c r="I32" s="44">
        <f t="shared" si="7"/>
        <v>0</v>
      </c>
      <c r="J32" s="46">
        <f>Inputs!C110</f>
        <v>0</v>
      </c>
      <c r="K32" s="30" t="s">
        <v>9</v>
      </c>
    </row>
    <row r="33" spans="1:11" ht="15" customHeight="1" x14ac:dyDescent="0.3">
      <c r="A33" s="4"/>
      <c r="B33" s="20" t="s">
        <v>10</v>
      </c>
      <c r="C33" s="40">
        <f>BOM_Consumo!J7</f>
        <v>370</v>
      </c>
      <c r="D33" s="40">
        <f>Inputs!B67</f>
        <v>12</v>
      </c>
      <c r="E33" s="41">
        <f t="shared" si="5"/>
        <v>31</v>
      </c>
      <c r="F33" s="42">
        <v>0</v>
      </c>
      <c r="G33" s="41">
        <f t="shared" si="6"/>
        <v>0</v>
      </c>
      <c r="H33" s="43">
        <f>Inputs!B80</f>
        <v>0</v>
      </c>
      <c r="I33" s="44">
        <f t="shared" si="7"/>
        <v>0</v>
      </c>
      <c r="J33" s="46">
        <f>Inputs!C110</f>
        <v>0</v>
      </c>
      <c r="K33" s="30" t="s">
        <v>10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A526C-5F77-4E93-92B7-98C2613E2081}">
  <dimension ref="A1:B5"/>
  <sheetViews>
    <sheetView workbookViewId="0">
      <selection activeCell="B2" sqref="B2:B5"/>
    </sheetView>
  </sheetViews>
  <sheetFormatPr baseColWidth="10" defaultRowHeight="14.4" x14ac:dyDescent="0.3"/>
  <sheetData>
    <row r="1" spans="1:2" x14ac:dyDescent="0.3">
      <c r="A1" t="s">
        <v>328</v>
      </c>
      <c r="B1" t="s">
        <v>121</v>
      </c>
    </row>
    <row r="2" spans="1:2" x14ac:dyDescent="0.3">
      <c r="A2" t="s">
        <v>329</v>
      </c>
      <c r="B2" s="97">
        <v>0.2</v>
      </c>
    </row>
    <row r="3" spans="1:2" x14ac:dyDescent="0.3">
      <c r="A3" t="s">
        <v>67</v>
      </c>
      <c r="B3" s="97">
        <v>0.4</v>
      </c>
    </row>
    <row r="4" spans="1:2" x14ac:dyDescent="0.3">
      <c r="A4" t="s">
        <v>71</v>
      </c>
      <c r="B4" s="97">
        <v>0.6</v>
      </c>
    </row>
    <row r="5" spans="1:2" x14ac:dyDescent="0.3">
      <c r="A5" t="s">
        <v>330</v>
      </c>
      <c r="B5" s="97">
        <v>0.2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/>
  </sheetViews>
  <sheetFormatPr baseColWidth="10" defaultColWidth="8.6640625" defaultRowHeight="14.4" x14ac:dyDescent="0.3"/>
  <cols>
    <col min="1" max="6" width="15" customWidth="1"/>
  </cols>
  <sheetData>
    <row r="1" spans="1:6" ht="17.25" customHeight="1" x14ac:dyDescent="0.3">
      <c r="A1" s="13" t="s">
        <v>117</v>
      </c>
      <c r="B1" s="13"/>
      <c r="C1" s="13"/>
      <c r="D1" s="13"/>
      <c r="E1" s="13"/>
      <c r="F1" s="13"/>
    </row>
    <row r="2" spans="1:6" ht="15" customHeight="1" x14ac:dyDescent="0.3">
      <c r="A2" s="9" t="s">
        <v>118</v>
      </c>
      <c r="B2" s="9"/>
      <c r="C2" s="9"/>
      <c r="D2" s="9"/>
      <c r="E2" s="9"/>
      <c r="F2" s="9"/>
    </row>
    <row r="4" spans="1:6" ht="15" customHeight="1" x14ac:dyDescent="0.3">
      <c r="A4" s="47" t="s">
        <v>12</v>
      </c>
      <c r="B4" s="47" t="s">
        <v>119</v>
      </c>
      <c r="C4" s="47" t="s">
        <v>120</v>
      </c>
      <c r="D4" s="47" t="s">
        <v>50</v>
      </c>
      <c r="E4" s="47" t="s">
        <v>121</v>
      </c>
      <c r="F4" s="47" t="s">
        <v>108</v>
      </c>
    </row>
    <row r="5" spans="1:6" ht="15" customHeight="1" x14ac:dyDescent="0.3">
      <c r="A5" s="19" t="s">
        <v>19</v>
      </c>
      <c r="B5" s="43">
        <f>Compras_y_Lotes!H7</f>
        <v>0</v>
      </c>
      <c r="C5" s="48">
        <v>1</v>
      </c>
      <c r="D5" s="44">
        <v>0</v>
      </c>
      <c r="E5" s="44">
        <v>0</v>
      </c>
      <c r="F5" s="44">
        <f t="shared" ref="F5:F12" si="0">B5+D5+E5</f>
        <v>0</v>
      </c>
    </row>
    <row r="6" spans="1:6" ht="15" customHeight="1" x14ac:dyDescent="0.3">
      <c r="A6" s="19" t="s">
        <v>20</v>
      </c>
      <c r="B6" s="43" t="e">
        <f>Compras_y_Lotes!H8</f>
        <v>#VALUE!</v>
      </c>
      <c r="C6" s="48">
        <v>1</v>
      </c>
      <c r="D6" s="44">
        <v>0</v>
      </c>
      <c r="E6" s="44">
        <v>0</v>
      </c>
      <c r="F6" s="44" t="e">
        <f t="shared" si="0"/>
        <v>#VALUE!</v>
      </c>
    </row>
    <row r="7" spans="1:6" ht="15" customHeight="1" x14ac:dyDescent="0.3">
      <c r="A7" s="19" t="s">
        <v>21</v>
      </c>
      <c r="B7" s="43">
        <f>Compras_y_Lotes!H9</f>
        <v>555000</v>
      </c>
      <c r="C7" s="48">
        <v>1</v>
      </c>
      <c r="D7" s="44">
        <v>0</v>
      </c>
      <c r="E7" s="44">
        <v>0</v>
      </c>
      <c r="F7" s="44">
        <f t="shared" si="0"/>
        <v>555000</v>
      </c>
    </row>
    <row r="8" spans="1:6" ht="15" customHeight="1" x14ac:dyDescent="0.3">
      <c r="A8" s="19" t="s">
        <v>22</v>
      </c>
      <c r="B8" s="43">
        <f>Compras_y_Lotes!H10</f>
        <v>29370</v>
      </c>
      <c r="C8" s="48">
        <v>1</v>
      </c>
      <c r="D8" s="44">
        <v>0</v>
      </c>
      <c r="E8" s="44">
        <v>0</v>
      </c>
      <c r="F8" s="44">
        <f t="shared" si="0"/>
        <v>29370</v>
      </c>
    </row>
    <row r="9" spans="1:6" ht="15" customHeight="1" x14ac:dyDescent="0.3">
      <c r="A9" s="19" t="s">
        <v>23</v>
      </c>
      <c r="B9" s="43">
        <f>Compras_y_Lotes!H11</f>
        <v>59220</v>
      </c>
      <c r="C9" s="48">
        <v>1</v>
      </c>
      <c r="D9" s="44">
        <v>0</v>
      </c>
      <c r="E9" s="44">
        <v>0</v>
      </c>
      <c r="F9" s="44">
        <f t="shared" si="0"/>
        <v>59220</v>
      </c>
    </row>
    <row r="10" spans="1:6" ht="15" customHeight="1" x14ac:dyDescent="0.3">
      <c r="A10" s="19" t="s">
        <v>24</v>
      </c>
      <c r="B10" s="43">
        <f>Compras_y_Lotes!H12</f>
        <v>1295</v>
      </c>
      <c r="C10" s="48">
        <v>1</v>
      </c>
      <c r="D10" s="44">
        <v>0</v>
      </c>
      <c r="E10" s="44">
        <v>0</v>
      </c>
      <c r="F10" s="44">
        <f t="shared" si="0"/>
        <v>1295</v>
      </c>
    </row>
    <row r="11" spans="1:6" ht="15" customHeight="1" x14ac:dyDescent="0.3">
      <c r="A11" s="19" t="s">
        <v>15</v>
      </c>
      <c r="B11" s="43">
        <f>SUM(Compras_y_Lotes!I18:I25)</f>
        <v>0</v>
      </c>
      <c r="C11" s="49">
        <f>COUNTIF(Compras_y_Lotes!F18:F25,"&gt;0")</f>
        <v>0</v>
      </c>
      <c r="D11" s="44">
        <f>C11*Inputs!B88</f>
        <v>0</v>
      </c>
      <c r="E11" s="50">
        <f>0</f>
        <v>0</v>
      </c>
      <c r="F11" s="44">
        <f t="shared" si="0"/>
        <v>0</v>
      </c>
    </row>
    <row r="12" spans="1:6" ht="15" customHeight="1" x14ac:dyDescent="0.3">
      <c r="A12" s="19" t="s">
        <v>18</v>
      </c>
      <c r="B12" s="43">
        <f>SUM(Compras_y_Lotes!I26:I33)</f>
        <v>0</v>
      </c>
      <c r="C12" s="49">
        <f>COUNTIF(Compras_y_Lotes!F26:F33,"&gt;0")</f>
        <v>0</v>
      </c>
      <c r="D12" s="44">
        <f>C12*Inputs!B89</f>
        <v>0</v>
      </c>
      <c r="E12" s="50">
        <f>0</f>
        <v>0</v>
      </c>
      <c r="F12" s="44">
        <f t="shared" si="0"/>
        <v>0</v>
      </c>
    </row>
    <row r="13" spans="1:6" ht="15" customHeight="1" x14ac:dyDescent="0.3">
      <c r="A13" s="25" t="s">
        <v>122</v>
      </c>
      <c r="B13" s="45" t="e">
        <f>SUM(B5:B12)</f>
        <v>#VALUE!</v>
      </c>
      <c r="C13" s="51">
        <f>SUM(C5:C12)</f>
        <v>6</v>
      </c>
      <c r="D13" s="45">
        <f>SUM(D5:D12)</f>
        <v>0</v>
      </c>
      <c r="E13" s="45">
        <f>SUM(E5:E12)</f>
        <v>0</v>
      </c>
      <c r="F13" s="45" t="e">
        <f>SUM(F5:F12)</f>
        <v>#VALUE!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sqref="A1:L1"/>
    </sheetView>
  </sheetViews>
  <sheetFormatPr baseColWidth="10" defaultColWidth="8.6640625" defaultRowHeight="14.4" x14ac:dyDescent="0.3"/>
  <cols>
    <col min="1" max="1" width="18" customWidth="1"/>
    <col min="2" max="10" width="12" customWidth="1"/>
  </cols>
  <sheetData>
    <row r="1" spans="1:12" ht="17.25" customHeight="1" x14ac:dyDescent="0.3">
      <c r="A1" s="13" t="s">
        <v>123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15" customHeight="1" x14ac:dyDescent="0.3">
      <c r="A2" s="9" t="s">
        <v>124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ht="15" customHeight="1" x14ac:dyDescent="0.3">
      <c r="A3" s="6" t="s">
        <v>125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5" spans="1:12" ht="15" customHeight="1" x14ac:dyDescent="0.3">
      <c r="A5" s="32" t="s">
        <v>92</v>
      </c>
      <c r="B5" s="32" t="s">
        <v>3</v>
      </c>
      <c r="C5" s="32" t="s">
        <v>4</v>
      </c>
      <c r="D5" s="32" t="s">
        <v>5</v>
      </c>
      <c r="E5" s="32" t="s">
        <v>6</v>
      </c>
      <c r="F5" s="32" t="s">
        <v>7</v>
      </c>
      <c r="G5" s="32" t="s">
        <v>8</v>
      </c>
      <c r="H5" s="32" t="s">
        <v>9</v>
      </c>
      <c r="I5" s="32" t="s">
        <v>10</v>
      </c>
      <c r="J5" s="32" t="s">
        <v>11</v>
      </c>
    </row>
    <row r="6" spans="1:12" ht="15" customHeight="1" x14ac:dyDescent="0.3">
      <c r="A6" s="15" t="s">
        <v>126</v>
      </c>
      <c r="B6" s="43" t="e">
        <f>Compras_y_Lotes!H13</f>
        <v>#VALUE!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0</v>
      </c>
      <c r="I6" s="52">
        <v>0</v>
      </c>
      <c r="J6" s="44" t="e">
        <f>SUM(B6:I6)</f>
        <v>#VALUE!</v>
      </c>
    </row>
    <row r="7" spans="1:12" ht="15" customHeight="1" x14ac:dyDescent="0.3">
      <c r="A7" s="19" t="s">
        <v>15</v>
      </c>
      <c r="B7" s="50">
        <v>0</v>
      </c>
      <c r="C7" s="50">
        <v>0</v>
      </c>
      <c r="D7" s="50">
        <v>0</v>
      </c>
      <c r="E7" s="50">
        <v>0</v>
      </c>
      <c r="F7" s="50">
        <v>0</v>
      </c>
      <c r="G7" s="50">
        <v>0</v>
      </c>
      <c r="H7" s="50">
        <v>0</v>
      </c>
      <c r="I7" s="50">
        <v>0</v>
      </c>
      <c r="J7" s="44">
        <f>SUM(B7:I7)</f>
        <v>0</v>
      </c>
    </row>
    <row r="8" spans="1:12" ht="15" customHeight="1" x14ac:dyDescent="0.3">
      <c r="A8" s="19" t="s">
        <v>18</v>
      </c>
      <c r="B8" s="50">
        <v>0</v>
      </c>
      <c r="C8" s="50">
        <v>0</v>
      </c>
      <c r="D8" s="50">
        <v>0</v>
      </c>
      <c r="E8" s="50">
        <v>0</v>
      </c>
      <c r="F8" s="50">
        <v>0</v>
      </c>
      <c r="G8" s="50">
        <v>0</v>
      </c>
      <c r="H8" s="50">
        <v>0</v>
      </c>
      <c r="I8" s="50">
        <v>0</v>
      </c>
      <c r="J8" s="44">
        <f>SUM(B8:I8)</f>
        <v>0</v>
      </c>
    </row>
    <row r="9" spans="1:12" ht="15" customHeight="1" x14ac:dyDescent="0.3">
      <c r="A9" s="15" t="s">
        <v>127</v>
      </c>
      <c r="B9" s="45" t="e">
        <f t="shared" ref="B9:I9" si="0">SUM(B6:B8)</f>
        <v>#VALUE!</v>
      </c>
      <c r="C9" s="45">
        <f t="shared" si="0"/>
        <v>0</v>
      </c>
      <c r="D9" s="45">
        <f t="shared" si="0"/>
        <v>0</v>
      </c>
      <c r="E9" s="45">
        <f t="shared" si="0"/>
        <v>0</v>
      </c>
      <c r="F9" s="45">
        <f t="shared" si="0"/>
        <v>0</v>
      </c>
      <c r="G9" s="45">
        <f t="shared" si="0"/>
        <v>0</v>
      </c>
      <c r="H9" s="45">
        <f t="shared" si="0"/>
        <v>0</v>
      </c>
      <c r="I9" s="45">
        <f t="shared" si="0"/>
        <v>0</v>
      </c>
      <c r="J9" s="45" t="e">
        <f>SUM(B9:I9)</f>
        <v>#VALUE!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5" width="18" customWidth="1"/>
  </cols>
  <sheetData>
    <row r="1" spans="1:6" ht="17.25" customHeight="1" x14ac:dyDescent="0.3">
      <c r="A1" s="13" t="s">
        <v>128</v>
      </c>
      <c r="B1" s="13"/>
      <c r="C1" s="13"/>
      <c r="D1" s="13"/>
      <c r="E1" s="13"/>
      <c r="F1" s="13"/>
    </row>
    <row r="2" spans="1:6" ht="15" customHeight="1" x14ac:dyDescent="0.3">
      <c r="A2" s="9" t="s">
        <v>129</v>
      </c>
      <c r="B2" s="9"/>
      <c r="C2" s="9"/>
      <c r="D2" s="9"/>
      <c r="E2" s="9"/>
      <c r="F2" s="9"/>
    </row>
    <row r="4" spans="1:6" ht="15" customHeight="1" x14ac:dyDescent="0.3">
      <c r="A4" s="25" t="s">
        <v>130</v>
      </c>
      <c r="B4" s="53" t="s">
        <v>131</v>
      </c>
    </row>
    <row r="6" spans="1:6" ht="15" customHeight="1" x14ac:dyDescent="0.3">
      <c r="A6" s="27" t="s">
        <v>132</v>
      </c>
      <c r="B6" s="27" t="s">
        <v>133</v>
      </c>
      <c r="C6" s="27" t="s">
        <v>131</v>
      </c>
      <c r="D6" s="27" t="s">
        <v>134</v>
      </c>
      <c r="E6" s="27" t="s">
        <v>135</v>
      </c>
    </row>
    <row r="7" spans="1:6" ht="15" customHeight="1" x14ac:dyDescent="0.3">
      <c r="A7" s="15" t="s">
        <v>77</v>
      </c>
      <c r="B7" s="19" t="s">
        <v>136</v>
      </c>
      <c r="C7" s="19" t="s">
        <v>137</v>
      </c>
      <c r="D7" s="19" t="s">
        <v>138</v>
      </c>
      <c r="E7" s="19" t="s">
        <v>139</v>
      </c>
    </row>
    <row r="8" spans="1:6" ht="15" customHeight="1" x14ac:dyDescent="0.3">
      <c r="A8" s="15" t="s">
        <v>140</v>
      </c>
      <c r="B8" s="19" t="s">
        <v>141</v>
      </c>
      <c r="C8" s="19" t="s">
        <v>63</v>
      </c>
      <c r="D8" s="19" t="s">
        <v>142</v>
      </c>
      <c r="E8" s="19" t="s">
        <v>143</v>
      </c>
    </row>
    <row r="9" spans="1:6" ht="15" customHeight="1" x14ac:dyDescent="0.3">
      <c r="A9" s="15" t="s">
        <v>144</v>
      </c>
      <c r="B9" s="19" t="s">
        <v>141</v>
      </c>
      <c r="C9" s="19" t="s">
        <v>63</v>
      </c>
      <c r="D9" s="19" t="s">
        <v>142</v>
      </c>
      <c r="E9" s="19" t="s">
        <v>143</v>
      </c>
    </row>
    <row r="10" spans="1:6" ht="15" customHeight="1" x14ac:dyDescent="0.3">
      <c r="A10" s="15" t="s">
        <v>145</v>
      </c>
      <c r="B10" s="19" t="s">
        <v>146</v>
      </c>
      <c r="C10" s="19" t="s">
        <v>147</v>
      </c>
      <c r="D10" s="19" t="s">
        <v>148</v>
      </c>
      <c r="E10" s="19" t="s">
        <v>149</v>
      </c>
    </row>
    <row r="11" spans="1:6" ht="15" customHeight="1" x14ac:dyDescent="0.3">
      <c r="A11" s="54"/>
      <c r="B11" s="19"/>
      <c r="C11" s="19"/>
      <c r="D11" s="19"/>
      <c r="E11" s="19"/>
    </row>
    <row r="12" spans="1:6" ht="15" customHeight="1" x14ac:dyDescent="0.3">
      <c r="A12" s="15" t="s">
        <v>150</v>
      </c>
      <c r="B12" s="19"/>
      <c r="C12" s="19"/>
      <c r="D12" s="19"/>
      <c r="E12" s="19"/>
    </row>
    <row r="13" spans="1:6" ht="15" customHeight="1" x14ac:dyDescent="0.3">
      <c r="A13" s="15" t="s">
        <v>108</v>
      </c>
      <c r="B13" s="19" t="s">
        <v>151</v>
      </c>
      <c r="C13" s="19" t="s">
        <v>152</v>
      </c>
      <c r="D13" s="19" t="s">
        <v>153</v>
      </c>
      <c r="E13" s="19" t="s">
        <v>154</v>
      </c>
    </row>
    <row r="14" spans="1:6" ht="15" customHeight="1" x14ac:dyDescent="0.3">
      <c r="A14" s="15" t="s">
        <v>155</v>
      </c>
      <c r="B14" s="19" t="s">
        <v>156</v>
      </c>
      <c r="C14" s="19" t="s">
        <v>153</v>
      </c>
      <c r="D14" s="19" t="s">
        <v>152</v>
      </c>
      <c r="E14" s="19" t="s">
        <v>157</v>
      </c>
    </row>
    <row r="15" spans="1:6" ht="15" customHeight="1" x14ac:dyDescent="0.3">
      <c r="A15" s="15" t="s">
        <v>158</v>
      </c>
      <c r="B15" s="19" t="s">
        <v>151</v>
      </c>
      <c r="C15" s="19" t="s">
        <v>152</v>
      </c>
      <c r="D15" s="19" t="s">
        <v>153</v>
      </c>
      <c r="E15" s="19" t="s">
        <v>159</v>
      </c>
    </row>
    <row r="16" spans="1:6" ht="15" customHeight="1" x14ac:dyDescent="0.3">
      <c r="A16" s="15" t="s">
        <v>160</v>
      </c>
      <c r="B16" s="19" t="s">
        <v>161</v>
      </c>
      <c r="C16" s="19" t="s">
        <v>152</v>
      </c>
      <c r="D16" s="19" t="s">
        <v>162</v>
      </c>
      <c r="E16" s="19" t="s">
        <v>163</v>
      </c>
    </row>
    <row r="20" spans="1:6" ht="15" customHeight="1" x14ac:dyDescent="0.3">
      <c r="A20" s="11" t="s">
        <v>164</v>
      </c>
      <c r="B20" s="11"/>
      <c r="C20" s="11"/>
      <c r="D20" s="11"/>
      <c r="E20" s="11"/>
      <c r="F20" s="11"/>
    </row>
    <row r="21" spans="1:6" ht="15" customHeight="1" x14ac:dyDescent="0.3">
      <c r="A21" s="18" t="s">
        <v>165</v>
      </c>
      <c r="B21" s="18" t="s">
        <v>133</v>
      </c>
      <c r="C21" s="18" t="s">
        <v>131</v>
      </c>
      <c r="D21" s="18" t="s">
        <v>134</v>
      </c>
      <c r="E21" s="18" t="s">
        <v>166</v>
      </c>
      <c r="F21" s="18" t="s">
        <v>167</v>
      </c>
    </row>
    <row r="22" spans="1:6" ht="15" customHeight="1" x14ac:dyDescent="0.3">
      <c r="A22" s="15" t="s">
        <v>168</v>
      </c>
      <c r="B22" s="44" t="e">
        <f>Costos!F13</f>
        <v>#VALUE!</v>
      </c>
      <c r="C22" s="44" t="e">
        <f>Costos!F13</f>
        <v>#VALUE!</v>
      </c>
      <c r="D22" s="44" t="e">
        <f>Costos!F13*0.9</f>
        <v>#VALUE!</v>
      </c>
      <c r="E22" s="55" t="e">
        <f>MIN(B22:D22)</f>
        <v>#VALUE!</v>
      </c>
      <c r="F22" s="44" t="e">
        <f t="shared" ref="F22:F27" si="0">MAX(B22:D22)-MIN(B22:D22)</f>
        <v>#VALUE!</v>
      </c>
    </row>
    <row r="23" spans="1:6" ht="15" customHeight="1" x14ac:dyDescent="0.3">
      <c r="A23" s="15" t="s">
        <v>169</v>
      </c>
      <c r="B23" s="44">
        <f>Cashflow_Integrado!J33</f>
        <v>0</v>
      </c>
      <c r="C23" s="44">
        <f>Cashflow_Integrado!J33</f>
        <v>0</v>
      </c>
      <c r="D23" s="44">
        <f>Cashflow_Integrado!J33*0.92</f>
        <v>0</v>
      </c>
      <c r="E23" s="55">
        <f>MIN(B23:D23)</f>
        <v>0</v>
      </c>
      <c r="F23" s="44">
        <f t="shared" si="0"/>
        <v>0</v>
      </c>
    </row>
    <row r="24" spans="1:6" ht="15" customHeight="1" x14ac:dyDescent="0.3">
      <c r="A24" s="15" t="s">
        <v>170</v>
      </c>
      <c r="B24" s="44">
        <f>Cashflow_Integrado!B37</f>
        <v>0</v>
      </c>
      <c r="C24" s="44">
        <f>Cashflow_Integrado!B37</f>
        <v>0</v>
      </c>
      <c r="D24" s="44">
        <f>Cashflow_Integrado!B37*1.15</f>
        <v>0</v>
      </c>
      <c r="E24" s="55">
        <f>MIN(B24:D24)</f>
        <v>0</v>
      </c>
      <c r="F24" s="44">
        <f t="shared" si="0"/>
        <v>0</v>
      </c>
    </row>
    <row r="25" spans="1:6" ht="15" customHeight="1" x14ac:dyDescent="0.3">
      <c r="A25" s="15" t="s">
        <v>171</v>
      </c>
      <c r="B25" s="19">
        <v>0</v>
      </c>
      <c r="C25" s="19">
        <v>1</v>
      </c>
      <c r="D25" s="19">
        <v>3</v>
      </c>
      <c r="E25" s="56">
        <f>MIN(B25:D25)</f>
        <v>0</v>
      </c>
      <c r="F25" s="30">
        <f t="shared" si="0"/>
        <v>3</v>
      </c>
    </row>
    <row r="26" spans="1:6" ht="15" customHeight="1" x14ac:dyDescent="0.3">
      <c r="A26" s="15" t="s">
        <v>172</v>
      </c>
      <c r="B26" s="44">
        <f>Riesgo_Proveedor_B!I14</f>
        <v>0</v>
      </c>
      <c r="C26" s="44">
        <f>Riesgo_Proveedor_B!I14</f>
        <v>0</v>
      </c>
      <c r="D26" s="44">
        <f>Riesgo_Proveedor_B!I14*2.5</f>
        <v>0</v>
      </c>
      <c r="E26" s="55">
        <f>MIN(B26:D26)</f>
        <v>0</v>
      </c>
      <c r="F26" s="44">
        <f t="shared" si="0"/>
        <v>0</v>
      </c>
    </row>
    <row r="27" spans="1:6" ht="15" customHeight="1" x14ac:dyDescent="0.3">
      <c r="A27" s="15" t="s">
        <v>173</v>
      </c>
      <c r="B27" s="19">
        <v>1.5</v>
      </c>
      <c r="C27" s="19">
        <v>1</v>
      </c>
      <c r="D27" s="19">
        <v>0.5</v>
      </c>
      <c r="E27" s="56">
        <f>MAX(B27:D27)</f>
        <v>1.5</v>
      </c>
      <c r="F27" s="30">
        <f t="shared" si="0"/>
        <v>1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sqref="A1:J1"/>
    </sheetView>
  </sheetViews>
  <sheetFormatPr baseColWidth="10" defaultColWidth="8.6640625" defaultRowHeight="14.4" x14ac:dyDescent="0.3"/>
  <cols>
    <col min="1" max="10" width="13" customWidth="1"/>
  </cols>
  <sheetData>
    <row r="1" spans="1:10" ht="17.25" customHeight="1" x14ac:dyDescent="0.3">
      <c r="A1" s="13" t="s">
        <v>174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15" customHeight="1" x14ac:dyDescent="0.3">
      <c r="A2" s="9" t="s">
        <v>175</v>
      </c>
      <c r="B2" s="9"/>
      <c r="C2" s="9"/>
      <c r="D2" s="9"/>
      <c r="E2" s="9"/>
      <c r="F2" s="9"/>
      <c r="G2" s="9"/>
      <c r="H2" s="9"/>
      <c r="I2" s="9"/>
      <c r="J2" s="9"/>
    </row>
    <row r="4" spans="1:10" ht="15" customHeight="1" x14ac:dyDescent="0.3">
      <c r="A4" s="11" t="s">
        <v>176</v>
      </c>
      <c r="B4" s="11"/>
      <c r="C4" s="11"/>
      <c r="D4" s="11"/>
      <c r="E4" s="11"/>
      <c r="F4" s="11"/>
      <c r="G4" s="11"/>
      <c r="H4" s="11"/>
      <c r="I4" s="11"/>
      <c r="J4" s="11"/>
    </row>
    <row r="5" spans="1:10" ht="15" customHeight="1" x14ac:dyDescent="0.3">
      <c r="A5" t="s">
        <v>177</v>
      </c>
      <c r="B5" s="57">
        <v>550</v>
      </c>
    </row>
    <row r="7" spans="1:10" ht="15" customHeight="1" x14ac:dyDescent="0.3">
      <c r="A7" s="39" t="s">
        <v>178</v>
      </c>
      <c r="B7" s="39" t="s">
        <v>58</v>
      </c>
      <c r="C7" s="39" t="s">
        <v>60</v>
      </c>
      <c r="D7" s="39" t="s">
        <v>61</v>
      </c>
      <c r="E7" s="39" t="s">
        <v>179</v>
      </c>
      <c r="F7" s="39" t="s">
        <v>119</v>
      </c>
      <c r="G7" s="39" t="s">
        <v>59</v>
      </c>
      <c r="H7" s="39" t="s">
        <v>180</v>
      </c>
      <c r="I7" s="39" t="s">
        <v>181</v>
      </c>
      <c r="J7" s="39" t="s">
        <v>182</v>
      </c>
    </row>
    <row r="8" spans="1:10" ht="15" customHeight="1" x14ac:dyDescent="0.3">
      <c r="A8" s="19" t="s">
        <v>63</v>
      </c>
      <c r="B8" s="52">
        <v>125</v>
      </c>
      <c r="C8" s="58">
        <v>0</v>
      </c>
      <c r="D8" s="19">
        <v>0</v>
      </c>
      <c r="E8" s="44">
        <f>B8</f>
        <v>125</v>
      </c>
      <c r="F8" s="44">
        <f>B5*E8</f>
        <v>68750</v>
      </c>
      <c r="G8" s="19" t="s">
        <v>183</v>
      </c>
      <c r="H8" s="19" t="s">
        <v>184</v>
      </c>
      <c r="I8" s="44">
        <f>F8</f>
        <v>68750</v>
      </c>
      <c r="J8" s="19">
        <v>0</v>
      </c>
    </row>
    <row r="9" spans="1:10" ht="15" customHeight="1" x14ac:dyDescent="0.3">
      <c r="A9" s="19" t="s">
        <v>67</v>
      </c>
      <c r="B9" s="52">
        <v>125</v>
      </c>
      <c r="C9" s="58">
        <v>0.16</v>
      </c>
      <c r="D9" s="19">
        <v>150</v>
      </c>
      <c r="E9" s="44">
        <f>IF(B5&gt;=D9,B9*(1-C9),B9)</f>
        <v>105</v>
      </c>
      <c r="F9" s="44">
        <f>B5*E9</f>
        <v>57750</v>
      </c>
      <c r="G9" s="19" t="s">
        <v>185</v>
      </c>
      <c r="H9" s="19" t="s">
        <v>136</v>
      </c>
      <c r="I9" s="44">
        <f>F9*1.05</f>
        <v>60637.5</v>
      </c>
      <c r="J9" s="19">
        <v>0</v>
      </c>
    </row>
    <row r="10" spans="1:10" ht="15" customHeight="1" x14ac:dyDescent="0.3">
      <c r="A10" s="19" t="s">
        <v>71</v>
      </c>
      <c r="B10" s="52">
        <v>140</v>
      </c>
      <c r="C10" s="58">
        <v>0</v>
      </c>
      <c r="D10" s="19">
        <v>0</v>
      </c>
      <c r="E10" s="44">
        <f>B10</f>
        <v>140</v>
      </c>
      <c r="F10" s="44">
        <f>B5*E10</f>
        <v>77000</v>
      </c>
      <c r="G10" s="19" t="s">
        <v>186</v>
      </c>
      <c r="H10" s="19" t="s">
        <v>184</v>
      </c>
      <c r="I10" s="44">
        <f>F10*0.97</f>
        <v>74690</v>
      </c>
      <c r="J10" s="19">
        <v>0</v>
      </c>
    </row>
    <row r="11" spans="1:10" ht="15" customHeight="1" x14ac:dyDescent="0.3">
      <c r="A11" s="25" t="s">
        <v>187</v>
      </c>
      <c r="B11" s="59" t="str">
        <f>INDEX(A8:A10,MATCH(MIN(I8:I10),I8:I10,0))</f>
        <v>B</v>
      </c>
    </row>
    <row r="14" spans="1:10" ht="15" customHeight="1" x14ac:dyDescent="0.3">
      <c r="A14" s="11" t="s">
        <v>188</v>
      </c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15" customHeight="1" x14ac:dyDescent="0.3">
      <c r="A15" t="s">
        <v>177</v>
      </c>
      <c r="B15" s="57">
        <v>190</v>
      </c>
    </row>
    <row r="17" spans="1:10" ht="15" customHeight="1" x14ac:dyDescent="0.3">
      <c r="A17" s="18" t="s">
        <v>178</v>
      </c>
      <c r="B17" s="18">
        <v>330</v>
      </c>
      <c r="C17" s="18" t="s">
        <v>60</v>
      </c>
      <c r="D17" s="18" t="s">
        <v>61</v>
      </c>
      <c r="E17" s="18" t="s">
        <v>179</v>
      </c>
      <c r="F17" s="18" t="s">
        <v>119</v>
      </c>
      <c r="G17" s="18" t="s">
        <v>59</v>
      </c>
      <c r="H17" s="18" t="s">
        <v>180</v>
      </c>
      <c r="I17" s="18" t="s">
        <v>181</v>
      </c>
      <c r="J17" s="18" t="s">
        <v>182</v>
      </c>
    </row>
    <row r="18" spans="1:10" ht="15" customHeight="1" x14ac:dyDescent="0.3">
      <c r="A18" s="19" t="s">
        <v>63</v>
      </c>
      <c r="B18" s="52">
        <v>264</v>
      </c>
      <c r="C18" s="58">
        <v>0</v>
      </c>
      <c r="D18" s="19">
        <v>0</v>
      </c>
      <c r="E18" s="44">
        <f>B18</f>
        <v>264</v>
      </c>
      <c r="F18" s="44">
        <f>B15*E18</f>
        <v>50160</v>
      </c>
      <c r="G18" s="19" t="s">
        <v>183</v>
      </c>
      <c r="H18" s="19" t="s">
        <v>184</v>
      </c>
      <c r="I18" s="44" t="str">
        <f>F17</f>
        <v>Costo Compra</v>
      </c>
      <c r="J18" s="19">
        <v>0</v>
      </c>
    </row>
    <row r="19" spans="1:10" ht="15" customHeight="1" x14ac:dyDescent="0.3">
      <c r="A19" s="19" t="s">
        <v>67</v>
      </c>
      <c r="B19" s="52">
        <v>370</v>
      </c>
      <c r="C19" s="58">
        <v>0.2</v>
      </c>
      <c r="D19" s="19">
        <v>80</v>
      </c>
      <c r="E19" s="44">
        <f>IF(B15&gt;=D19,B19*(1-C19),B19)</f>
        <v>296</v>
      </c>
      <c r="F19" s="44">
        <f>B15*E19</f>
        <v>56240</v>
      </c>
      <c r="G19" s="19" t="s">
        <v>185</v>
      </c>
      <c r="H19" s="19" t="s">
        <v>136</v>
      </c>
      <c r="I19" s="44">
        <f>F19*1.05</f>
        <v>59052</v>
      </c>
      <c r="J19" s="19">
        <v>0</v>
      </c>
    </row>
    <row r="20" spans="1:10" ht="15" customHeight="1" x14ac:dyDescent="0.3">
      <c r="A20" s="19" t="s">
        <v>71</v>
      </c>
      <c r="B20" s="52">
        <v>370</v>
      </c>
      <c r="C20" s="58">
        <v>0</v>
      </c>
      <c r="D20" s="19">
        <v>0</v>
      </c>
      <c r="E20" s="44">
        <f>B20</f>
        <v>370</v>
      </c>
      <c r="F20" s="44">
        <f>B15*E20</f>
        <v>70300</v>
      </c>
      <c r="G20" s="19" t="s">
        <v>186</v>
      </c>
      <c r="H20" s="19" t="s">
        <v>184</v>
      </c>
      <c r="I20" s="44">
        <f>F20*0.97</f>
        <v>68191</v>
      </c>
      <c r="J20" s="19">
        <v>0</v>
      </c>
    </row>
    <row r="21" spans="1:10" ht="15" customHeight="1" x14ac:dyDescent="0.3">
      <c r="A21" s="25" t="s">
        <v>187</v>
      </c>
      <c r="B21" s="60" t="str">
        <f>INDEX(A18:A20,MATCH(MIN(I18:I20),I18:I20,0))</f>
        <v>B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/>
  </sheetViews>
  <sheetFormatPr baseColWidth="10" defaultColWidth="8.6640625" defaultRowHeight="14.4" x14ac:dyDescent="0.3"/>
  <cols>
    <col min="1" max="1" width="25" customWidth="1"/>
    <col min="2" max="2" width="18" customWidth="1"/>
  </cols>
  <sheetData>
    <row r="1" spans="1:8" ht="24.75" customHeight="1" x14ac:dyDescent="0.35">
      <c r="A1" s="3" t="s">
        <v>189</v>
      </c>
      <c r="B1" s="3"/>
      <c r="C1" s="3"/>
      <c r="D1" s="3"/>
      <c r="E1" s="3"/>
      <c r="F1" s="3"/>
      <c r="G1" s="3"/>
      <c r="H1" s="3"/>
    </row>
    <row r="3" spans="1:8" ht="15" customHeight="1" x14ac:dyDescent="0.3">
      <c r="A3" s="11" t="s">
        <v>190</v>
      </c>
      <c r="B3" s="11"/>
      <c r="C3" s="11"/>
      <c r="D3" s="11"/>
      <c r="E3" s="11"/>
      <c r="F3" s="11"/>
      <c r="G3" s="11"/>
      <c r="H3" s="11"/>
    </row>
    <row r="5" spans="1:8" ht="15" customHeight="1" x14ac:dyDescent="0.3">
      <c r="A5" s="61" t="s">
        <v>191</v>
      </c>
      <c r="B5" s="62" t="e">
        <f>Costos!F13</f>
        <v>#VALUE!</v>
      </c>
    </row>
    <row r="6" spans="1:8" ht="15" customHeight="1" x14ac:dyDescent="0.3">
      <c r="A6" s="61" t="s">
        <v>192</v>
      </c>
      <c r="B6" s="62" t="e">
        <f>Cashflow_Compras!J9</f>
        <v>#VALUE!</v>
      </c>
    </row>
    <row r="7" spans="1:8" ht="15" customHeight="1" x14ac:dyDescent="0.3">
      <c r="A7" s="61" t="s">
        <v>193</v>
      </c>
      <c r="B7" s="17">
        <f>SUM(Costos!C5:C12)</f>
        <v>6</v>
      </c>
      <c r="C7" s="31" t="s">
        <v>194</v>
      </c>
    </row>
    <row r="8" spans="1:8" ht="15" customHeight="1" x14ac:dyDescent="0.3">
      <c r="A8" s="61" t="s">
        <v>195</v>
      </c>
      <c r="B8" s="62" t="e">
        <f>MAX(Cashflow_Compras!B9:I9)</f>
        <v>#VALUE!</v>
      </c>
    </row>
    <row r="9" spans="1:8" ht="15" customHeight="1" x14ac:dyDescent="0.3">
      <c r="A9" s="61"/>
    </row>
    <row r="10" spans="1:8" ht="15" customHeight="1" x14ac:dyDescent="0.3">
      <c r="A10" s="61" t="s">
        <v>196</v>
      </c>
      <c r="B10" s="63" t="s">
        <v>197</v>
      </c>
      <c r="C10" s="31" t="s">
        <v>198</v>
      </c>
    </row>
    <row r="11" spans="1:8" ht="15" customHeight="1" x14ac:dyDescent="0.3">
      <c r="A11" s="61" t="s">
        <v>199</v>
      </c>
      <c r="B11" s="63" t="s">
        <v>197</v>
      </c>
      <c r="C11" s="31" t="s">
        <v>198</v>
      </c>
    </row>
    <row r="14" spans="1:8" ht="15" customHeight="1" x14ac:dyDescent="0.3">
      <c r="A14" s="11" t="s">
        <v>200</v>
      </c>
      <c r="B14" s="11"/>
      <c r="C14" s="11"/>
      <c r="D14" s="11"/>
      <c r="E14" s="11"/>
      <c r="F14" s="11"/>
      <c r="G14" s="11"/>
      <c r="H14" s="11"/>
    </row>
    <row r="16" spans="1:8" ht="15" customHeight="1" x14ac:dyDescent="0.3">
      <c r="A16" s="61" t="s">
        <v>201</v>
      </c>
      <c r="B16" s="64" t="str">
        <f>Inputs!B94</f>
        <v>Ordering Cost</v>
      </c>
    </row>
    <row r="17" spans="1:6" ht="15" customHeight="1" x14ac:dyDescent="0.3">
      <c r="A17" s="61" t="s">
        <v>202</v>
      </c>
      <c r="B17" s="64" t="str">
        <f>Inputs!B110</f>
        <v>C</v>
      </c>
    </row>
    <row r="18" spans="1:6" ht="15" customHeight="1" x14ac:dyDescent="0.3">
      <c r="A18" s="61" t="s">
        <v>203</v>
      </c>
      <c r="B18" s="64" t="str">
        <f>Escenarios!B4</f>
        <v>Base</v>
      </c>
    </row>
    <row r="25" spans="1:6" ht="15" customHeight="1" x14ac:dyDescent="0.3">
      <c r="A25" s="2" t="s">
        <v>204</v>
      </c>
      <c r="B25" s="2"/>
      <c r="C25" s="2"/>
      <c r="D25" s="2"/>
      <c r="E25" s="2"/>
      <c r="F25" s="2"/>
    </row>
    <row r="27" spans="1:6" ht="15" customHeight="1" x14ac:dyDescent="0.3">
      <c r="A27" s="61" t="s">
        <v>205</v>
      </c>
      <c r="B27" s="65">
        <f>COUNTIF(Inventario_Dinamico!J52:J59,"&lt;0")</f>
        <v>0</v>
      </c>
      <c r="C27" s="31" t="s">
        <v>198</v>
      </c>
    </row>
    <row r="28" spans="1:6" ht="15" customHeight="1" x14ac:dyDescent="0.3">
      <c r="A28" s="61" t="s">
        <v>206</v>
      </c>
      <c r="B28" s="65" t="str">
        <f>IF(OR(Inputs!B94="B",Inputs!B110="B"),"SÍ - REVISAR","NO")</f>
        <v>NO</v>
      </c>
    </row>
    <row r="29" spans="1:6" ht="15" customHeight="1" x14ac:dyDescent="0.3">
      <c r="A29" s="61" t="s">
        <v>207</v>
      </c>
      <c r="B29" s="65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zoomScaleNormal="100" workbookViewId="0">
      <selection sqref="A1:J1"/>
    </sheetView>
  </sheetViews>
  <sheetFormatPr baseColWidth="10" defaultColWidth="8.6640625" defaultRowHeight="14.4" x14ac:dyDescent="0.3"/>
  <cols>
    <col min="1" max="1" width="15" customWidth="1"/>
    <col min="2" max="7" width="13" customWidth="1"/>
    <col min="8" max="8" width="18" customWidth="1"/>
    <col min="9" max="9" width="13" customWidth="1"/>
  </cols>
  <sheetData>
    <row r="1" spans="1:10" ht="17.25" customHeight="1" x14ac:dyDescent="0.3">
      <c r="A1" s="1" t="s">
        <v>208</v>
      </c>
      <c r="B1" s="1"/>
      <c r="C1" s="1"/>
      <c r="D1" s="1"/>
      <c r="E1" s="1"/>
      <c r="F1" s="1"/>
      <c r="G1" s="1"/>
      <c r="H1" s="1"/>
      <c r="I1" s="1"/>
      <c r="J1" s="1"/>
    </row>
    <row r="2" spans="1:10" ht="15" customHeight="1" x14ac:dyDescent="0.3">
      <c r="A2" s="82" t="s">
        <v>209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11" t="s">
        <v>210</v>
      </c>
      <c r="B4" s="11"/>
      <c r="C4" s="11"/>
      <c r="D4" s="11"/>
    </row>
    <row r="6" spans="1:10" ht="15" customHeight="1" x14ac:dyDescent="0.3">
      <c r="A6" s="18" t="s">
        <v>132</v>
      </c>
      <c r="B6" s="18" t="s">
        <v>211</v>
      </c>
      <c r="C6" s="18" t="s">
        <v>14</v>
      </c>
    </row>
    <row r="7" spans="1:10" ht="15" customHeight="1" x14ac:dyDescent="0.3">
      <c r="A7" s="19" t="s">
        <v>212</v>
      </c>
      <c r="B7" s="66">
        <v>0.2</v>
      </c>
      <c r="C7" s="19" t="s">
        <v>213</v>
      </c>
    </row>
    <row r="8" spans="1:10" ht="15" customHeight="1" x14ac:dyDescent="0.3">
      <c r="A8" s="19" t="s">
        <v>214</v>
      </c>
      <c r="B8" s="42">
        <v>150</v>
      </c>
      <c r="C8" s="19" t="s">
        <v>215</v>
      </c>
    </row>
    <row r="9" spans="1:10" ht="15" customHeight="1" x14ac:dyDescent="0.3">
      <c r="A9" s="19" t="s">
        <v>216</v>
      </c>
      <c r="B9" s="42">
        <v>1</v>
      </c>
      <c r="C9" s="19" t="s">
        <v>217</v>
      </c>
    </row>
    <row r="12" spans="1:10" ht="15" customHeight="1" x14ac:dyDescent="0.3">
      <c r="A12" s="11" t="s">
        <v>218</v>
      </c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23.25" customHeight="1" x14ac:dyDescent="0.3">
      <c r="A13" s="39" t="s">
        <v>12</v>
      </c>
      <c r="B13" s="39" t="s">
        <v>219</v>
      </c>
      <c r="C13" s="39" t="s">
        <v>220</v>
      </c>
      <c r="D13" s="39" t="s">
        <v>221</v>
      </c>
      <c r="E13" s="39" t="s">
        <v>222</v>
      </c>
      <c r="F13" s="39" t="s">
        <v>223</v>
      </c>
      <c r="G13" s="39" t="s">
        <v>224</v>
      </c>
      <c r="H13" s="39" t="s">
        <v>225</v>
      </c>
      <c r="I13" s="39" t="s">
        <v>172</v>
      </c>
    </row>
    <row r="14" spans="1:10" ht="15" customHeight="1" x14ac:dyDescent="0.3">
      <c r="A14" s="19" t="s">
        <v>15</v>
      </c>
      <c r="B14" s="67" t="str">
        <f>Inputs!B94</f>
        <v>Ordering Cost</v>
      </c>
      <c r="C14" s="40">
        <f>SUM(Compras_y_Lotes!F18:F25)</f>
        <v>0</v>
      </c>
      <c r="D14" s="68">
        <f>IF(B14="B",$B$7,0)</f>
        <v>0</v>
      </c>
      <c r="E14" s="69">
        <f>C14*D14</f>
        <v>0</v>
      </c>
      <c r="F14" s="41">
        <f>E14*Inputs!B66</f>
        <v>0</v>
      </c>
      <c r="G14" s="70">
        <f>F14/Inputs!B49</f>
        <v>0</v>
      </c>
      <c r="H14" s="44">
        <f>G14*$B$8</f>
        <v>0</v>
      </c>
      <c r="I14" s="71">
        <f>H14</f>
        <v>0</v>
      </c>
    </row>
    <row r="15" spans="1:10" ht="15" customHeight="1" x14ac:dyDescent="0.3">
      <c r="A15" s="19" t="s">
        <v>18</v>
      </c>
      <c r="B15" s="67" t="str">
        <f>Inputs!B110</f>
        <v>C</v>
      </c>
      <c r="C15" s="40">
        <f>SUM(Compras_y_Lotes!F26:F33)</f>
        <v>0</v>
      </c>
      <c r="D15" s="68">
        <f>IF(B15="B",$B$7,0)</f>
        <v>0</v>
      </c>
      <c r="E15" s="69">
        <f>C15*D15</f>
        <v>0</v>
      </c>
      <c r="F15" s="41">
        <f>E15*Inputs!B67</f>
        <v>0</v>
      </c>
      <c r="G15" s="70">
        <f>F15/Inputs!B50</f>
        <v>0</v>
      </c>
      <c r="H15" s="44">
        <f>G15*$B$8</f>
        <v>0</v>
      </c>
      <c r="I15" s="71">
        <f>H15</f>
        <v>0</v>
      </c>
    </row>
    <row r="18" spans="1:8" ht="15" customHeight="1" x14ac:dyDescent="0.3">
      <c r="A18" s="11" t="s">
        <v>226</v>
      </c>
      <c r="B18" s="11"/>
      <c r="C18" s="11"/>
      <c r="D18" s="11"/>
      <c r="E18" s="11"/>
      <c r="F18" s="11"/>
      <c r="G18" s="11"/>
      <c r="H18" s="11"/>
    </row>
    <row r="19" spans="1:8" ht="15" customHeight="1" x14ac:dyDescent="0.3">
      <c r="A19" s="18" t="s">
        <v>12</v>
      </c>
      <c r="B19" s="18" t="s">
        <v>178</v>
      </c>
      <c r="C19" s="18" t="s">
        <v>119</v>
      </c>
      <c r="D19" s="18" t="s">
        <v>60</v>
      </c>
      <c r="E19" s="18" t="s">
        <v>227</v>
      </c>
      <c r="F19" s="18" t="s">
        <v>172</v>
      </c>
      <c r="G19" s="18" t="s">
        <v>228</v>
      </c>
      <c r="H19" s="18" t="s">
        <v>229</v>
      </c>
    </row>
    <row r="20" spans="1:8" ht="15" customHeight="1" x14ac:dyDescent="0.3">
      <c r="A20" s="19" t="s">
        <v>15</v>
      </c>
      <c r="B20" s="20" t="s">
        <v>63</v>
      </c>
      <c r="C20" s="44">
        <f>SUM(Compras_y_Lotes!I18:I25)</f>
        <v>0</v>
      </c>
      <c r="D20" s="58">
        <v>0</v>
      </c>
      <c r="E20" s="52">
        <v>0</v>
      </c>
      <c r="F20" s="52">
        <v>0</v>
      </c>
      <c r="G20" s="44">
        <f>C20+F20</f>
        <v>0</v>
      </c>
      <c r="H20" s="83"/>
    </row>
    <row r="21" spans="1:8" ht="15" customHeight="1" x14ac:dyDescent="0.3">
      <c r="A21" s="19"/>
      <c r="B21" s="20" t="s">
        <v>67</v>
      </c>
      <c r="C21" s="44">
        <f>IF(SUM(Compras_y_Lotes!F18:F25)&gt;=150,C20*(1-0.16),C20)</f>
        <v>0</v>
      </c>
      <c r="D21" s="58">
        <v>0.16</v>
      </c>
      <c r="E21" s="72">
        <f>C20-C21</f>
        <v>0</v>
      </c>
      <c r="F21" s="73">
        <f>I14</f>
        <v>0</v>
      </c>
      <c r="G21" s="44">
        <f>C21+F21</f>
        <v>0</v>
      </c>
      <c r="H21" s="83"/>
    </row>
    <row r="22" spans="1:8" ht="15" customHeight="1" x14ac:dyDescent="0.3">
      <c r="A22" s="19" t="s">
        <v>18</v>
      </c>
      <c r="B22" s="20" t="s">
        <v>63</v>
      </c>
      <c r="C22" s="44">
        <f>SUM(Compras_y_Lotes!I26:I33)</f>
        <v>0</v>
      </c>
      <c r="D22" s="58">
        <v>0</v>
      </c>
      <c r="E22" s="52">
        <v>0</v>
      </c>
      <c r="F22" s="52">
        <v>0</v>
      </c>
      <c r="G22" s="44">
        <f>C22+F22</f>
        <v>0</v>
      </c>
      <c r="H22" s="83"/>
    </row>
    <row r="23" spans="1:8" ht="15" customHeight="1" x14ac:dyDescent="0.3">
      <c r="A23" s="19"/>
      <c r="B23" s="20" t="s">
        <v>67</v>
      </c>
      <c r="C23" s="44">
        <f>IF(SUM(Compras_y_Lotes!F26:F33)&gt;=80,C22*(1-0.2),C22)</f>
        <v>0</v>
      </c>
      <c r="D23" s="58">
        <v>0.2</v>
      </c>
      <c r="E23" s="72">
        <f>C22-C23</f>
        <v>0</v>
      </c>
      <c r="F23" s="73">
        <f>I15</f>
        <v>0</v>
      </c>
      <c r="G23" s="44">
        <f>C23+F23</f>
        <v>0</v>
      </c>
      <c r="H23" s="83"/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sqref="A1:K1"/>
    </sheetView>
  </sheetViews>
  <sheetFormatPr baseColWidth="10" defaultColWidth="8.6640625" defaultRowHeight="14.4" x14ac:dyDescent="0.3"/>
  <cols>
    <col min="1" max="1" width="22" customWidth="1"/>
    <col min="2" max="10" width="13" customWidth="1"/>
  </cols>
  <sheetData>
    <row r="1" spans="1:11" ht="17.25" customHeight="1" x14ac:dyDescent="0.3">
      <c r="A1" s="13" t="s">
        <v>230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15" customHeight="1" x14ac:dyDescent="0.3">
      <c r="A2" s="12" t="s">
        <v>231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4" spans="1:11" ht="15" customHeight="1" x14ac:dyDescent="0.3">
      <c r="A4" s="11" t="s">
        <v>232</v>
      </c>
      <c r="B4" s="11"/>
      <c r="C4" s="11"/>
      <c r="D4" s="11"/>
      <c r="E4" s="11"/>
      <c r="F4" s="11"/>
      <c r="G4" s="11"/>
      <c r="H4" s="11"/>
      <c r="I4" s="11"/>
      <c r="J4" s="11"/>
    </row>
    <row r="5" spans="1:11" ht="15" customHeight="1" x14ac:dyDescent="0.3">
      <c r="A5" s="32" t="s">
        <v>92</v>
      </c>
      <c r="B5" s="32" t="s">
        <v>3</v>
      </c>
      <c r="C5" s="32" t="s">
        <v>4</v>
      </c>
      <c r="D5" s="32" t="s">
        <v>5</v>
      </c>
      <c r="E5" s="32" t="s">
        <v>6</v>
      </c>
      <c r="F5" s="32" t="s">
        <v>7</v>
      </c>
      <c r="G5" s="32" t="s">
        <v>8</v>
      </c>
      <c r="H5" s="32" t="s">
        <v>9</v>
      </c>
      <c r="I5" s="32" t="s">
        <v>10</v>
      </c>
      <c r="J5" s="32" t="s">
        <v>11</v>
      </c>
    </row>
    <row r="6" spans="1:11" ht="15" customHeight="1" x14ac:dyDescent="0.3">
      <c r="A6" s="15" t="s">
        <v>126</v>
      </c>
      <c r="B6" s="43" t="e">
        <f>Compras_y_Lotes!H13</f>
        <v>#VALUE!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0</v>
      </c>
      <c r="I6" s="52">
        <v>0</v>
      </c>
      <c r="J6" s="44" t="e">
        <f>B6</f>
        <v>#VALUE!</v>
      </c>
    </row>
    <row r="7" spans="1:11" ht="15" customHeight="1" x14ac:dyDescent="0.3">
      <c r="A7" s="19" t="s">
        <v>233</v>
      </c>
      <c r="B7" s="43">
        <f>Compras_y_Lotes!I18</f>
        <v>0</v>
      </c>
      <c r="C7" s="43">
        <f>Compras_y_Lotes!I19</f>
        <v>0</v>
      </c>
      <c r="D7" s="43">
        <f>Compras_y_Lotes!I20</f>
        <v>0</v>
      </c>
      <c r="E7" s="43">
        <f>Compras_y_Lotes!I21</f>
        <v>0</v>
      </c>
      <c r="F7" s="43">
        <f>Compras_y_Lotes!I22</f>
        <v>0</v>
      </c>
      <c r="G7" s="43">
        <f>Compras_y_Lotes!I23</f>
        <v>0</v>
      </c>
      <c r="H7" s="43">
        <f>Compras_y_Lotes!I24</f>
        <v>0</v>
      </c>
      <c r="I7" s="43">
        <f>Compras_y_Lotes!I25</f>
        <v>0</v>
      </c>
      <c r="J7" s="44">
        <f>SUM(B7:I7)</f>
        <v>0</v>
      </c>
    </row>
    <row r="8" spans="1:11" ht="15" customHeight="1" x14ac:dyDescent="0.3">
      <c r="A8" s="19" t="s">
        <v>234</v>
      </c>
      <c r="B8" s="43">
        <f>Compras_y_Lotes!I26</f>
        <v>0</v>
      </c>
      <c r="C8" s="43">
        <f>Compras_y_Lotes!I27</f>
        <v>0</v>
      </c>
      <c r="D8" s="43">
        <f>Compras_y_Lotes!I28</f>
        <v>0</v>
      </c>
      <c r="E8" s="43">
        <f>Compras_y_Lotes!I29</f>
        <v>0</v>
      </c>
      <c r="F8" s="43">
        <f>Compras_y_Lotes!I30</f>
        <v>0</v>
      </c>
      <c r="G8" s="43">
        <f>Compras_y_Lotes!I31</f>
        <v>0</v>
      </c>
      <c r="H8" s="43">
        <f>Compras_y_Lotes!I32</f>
        <v>0</v>
      </c>
      <c r="I8" s="43">
        <f>Compras_y_Lotes!I33</f>
        <v>0</v>
      </c>
      <c r="J8" s="44">
        <f>SUM(B8:I8)</f>
        <v>0</v>
      </c>
    </row>
    <row r="9" spans="1:11" ht="15" customHeight="1" x14ac:dyDescent="0.3">
      <c r="A9" s="15" t="s">
        <v>235</v>
      </c>
      <c r="B9" s="74" t="e">
        <f t="shared" ref="B9:J9" si="0">SUM(B6:B8)</f>
        <v>#VALUE!</v>
      </c>
      <c r="C9" s="74">
        <f t="shared" si="0"/>
        <v>0</v>
      </c>
      <c r="D9" s="74">
        <f t="shared" si="0"/>
        <v>0</v>
      </c>
      <c r="E9" s="74">
        <f t="shared" si="0"/>
        <v>0</v>
      </c>
      <c r="F9" s="74">
        <f t="shared" si="0"/>
        <v>0</v>
      </c>
      <c r="G9" s="74">
        <f t="shared" si="0"/>
        <v>0</v>
      </c>
      <c r="H9" s="74">
        <f t="shared" si="0"/>
        <v>0</v>
      </c>
      <c r="I9" s="74">
        <f t="shared" si="0"/>
        <v>0</v>
      </c>
      <c r="J9" s="74" t="e">
        <f t="shared" si="0"/>
        <v>#VALUE!</v>
      </c>
    </row>
    <row r="12" spans="1:11" ht="15" customHeight="1" x14ac:dyDescent="0.3">
      <c r="A12" s="11" t="s">
        <v>236</v>
      </c>
      <c r="B12" s="11"/>
      <c r="C12" s="11"/>
      <c r="D12" s="11"/>
      <c r="E12" s="11"/>
      <c r="F12" s="11"/>
      <c r="G12" s="11"/>
      <c r="H12" s="11"/>
      <c r="I12" s="11"/>
      <c r="J12" s="11"/>
    </row>
    <row r="13" spans="1:11" ht="15" customHeight="1" x14ac:dyDescent="0.3">
      <c r="A13" s="18" t="s">
        <v>92</v>
      </c>
      <c r="B13" s="18" t="s">
        <v>3</v>
      </c>
      <c r="C13" s="18" t="s">
        <v>4</v>
      </c>
      <c r="D13" s="18" t="s">
        <v>5</v>
      </c>
      <c r="E13" s="18" t="s">
        <v>6</v>
      </c>
      <c r="F13" s="18" t="s">
        <v>7</v>
      </c>
      <c r="G13" s="18" t="s">
        <v>8</v>
      </c>
      <c r="H13" s="18" t="s">
        <v>9</v>
      </c>
      <c r="I13" s="18" t="s">
        <v>10</v>
      </c>
      <c r="J13" s="18" t="s">
        <v>11</v>
      </c>
    </row>
    <row r="14" spans="1:11" ht="15" customHeight="1" x14ac:dyDescent="0.3">
      <c r="A14" s="19" t="s">
        <v>15</v>
      </c>
      <c r="B14" s="44">
        <f>IF(Compras_y_Lotes!F18&gt;0,Inputs!B88,0)</f>
        <v>0</v>
      </c>
      <c r="C14" s="44">
        <f>IF(Compras_y_Lotes!F19&gt;0,Inputs!B88,0)</f>
        <v>0</v>
      </c>
      <c r="D14" s="44">
        <f>IF(Compras_y_Lotes!F20&gt;0,Inputs!B88,0)</f>
        <v>0</v>
      </c>
      <c r="E14" s="44">
        <f>IF(Compras_y_Lotes!F21&gt;0,Inputs!B88,0)</f>
        <v>0</v>
      </c>
      <c r="F14" s="44">
        <f>IF(Compras_y_Lotes!F22&gt;0,Inputs!B88,0)</f>
        <v>0</v>
      </c>
      <c r="G14" s="44">
        <f>IF(Compras_y_Lotes!F23&gt;0,Inputs!B88,0)</f>
        <v>0</v>
      </c>
      <c r="H14" s="44">
        <f>IF(Compras_y_Lotes!F24&gt;0,Inputs!B88,0)</f>
        <v>0</v>
      </c>
      <c r="I14" s="44">
        <f>IF(Compras_y_Lotes!F25&gt;0,Inputs!B88,0)</f>
        <v>0</v>
      </c>
      <c r="J14" s="44">
        <f>SUM(B14:I14)</f>
        <v>0</v>
      </c>
    </row>
    <row r="15" spans="1:11" ht="15" customHeight="1" x14ac:dyDescent="0.3">
      <c r="A15" s="19" t="s">
        <v>18</v>
      </c>
      <c r="B15" s="44">
        <f>IF(Compras_y_Lotes!F26&gt;0,Inputs!B89,0)</f>
        <v>0</v>
      </c>
      <c r="C15" s="44">
        <f>IF(Compras_y_Lotes!F27&gt;0,Inputs!B89,0)</f>
        <v>0</v>
      </c>
      <c r="D15" s="44">
        <f>IF(Compras_y_Lotes!F28&gt;0,Inputs!B89,0)</f>
        <v>0</v>
      </c>
      <c r="E15" s="44">
        <f>IF(Compras_y_Lotes!F29&gt;0,Inputs!B89,0)</f>
        <v>0</v>
      </c>
      <c r="F15" s="44">
        <f>IF(Compras_y_Lotes!F30&gt;0,Inputs!B89,0)</f>
        <v>0</v>
      </c>
      <c r="G15" s="44">
        <f>IF(Compras_y_Lotes!F31&gt;0,Inputs!B89,0)</f>
        <v>0</v>
      </c>
      <c r="H15" s="44">
        <f>IF(Compras_y_Lotes!F32&gt;0,Inputs!B89,0)</f>
        <v>0</v>
      </c>
      <c r="I15" s="44">
        <f>IF(Compras_y_Lotes!F33&gt;0,Inputs!B89,0)</f>
        <v>0</v>
      </c>
      <c r="J15" s="44">
        <f>SUM(B15:I15)</f>
        <v>0</v>
      </c>
    </row>
    <row r="16" spans="1:11" ht="15" customHeight="1" x14ac:dyDescent="0.3">
      <c r="A16" s="15" t="s">
        <v>237</v>
      </c>
      <c r="B16" s="74">
        <f t="shared" ref="B16:J16" si="1">SUM(B14:B15)</f>
        <v>0</v>
      </c>
      <c r="C16" s="74">
        <f t="shared" si="1"/>
        <v>0</v>
      </c>
      <c r="D16" s="74">
        <f t="shared" si="1"/>
        <v>0</v>
      </c>
      <c r="E16" s="74">
        <f t="shared" si="1"/>
        <v>0</v>
      </c>
      <c r="F16" s="74">
        <f t="shared" si="1"/>
        <v>0</v>
      </c>
      <c r="G16" s="74">
        <f t="shared" si="1"/>
        <v>0</v>
      </c>
      <c r="H16" s="74">
        <f t="shared" si="1"/>
        <v>0</v>
      </c>
      <c r="I16" s="74">
        <f t="shared" si="1"/>
        <v>0</v>
      </c>
      <c r="J16" s="74">
        <f t="shared" si="1"/>
        <v>0</v>
      </c>
    </row>
    <row r="19" spans="1:10" ht="15" customHeight="1" x14ac:dyDescent="0.3">
      <c r="A19" s="11" t="s">
        <v>238</v>
      </c>
      <c r="B19" s="11"/>
      <c r="C19" s="11"/>
      <c r="D19" s="11"/>
      <c r="E19" s="11"/>
      <c r="F19" s="11"/>
      <c r="G19" s="11"/>
      <c r="H19" s="11"/>
      <c r="I19" s="11"/>
      <c r="J19" s="11"/>
    </row>
    <row r="20" spans="1:10" ht="15" customHeight="1" x14ac:dyDescent="0.3">
      <c r="A20" s="18" t="s">
        <v>92</v>
      </c>
      <c r="B20" s="18" t="s">
        <v>3</v>
      </c>
      <c r="C20" s="18" t="s">
        <v>4</v>
      </c>
      <c r="D20" s="18" t="s">
        <v>5</v>
      </c>
      <c r="E20" s="18" t="s">
        <v>6</v>
      </c>
      <c r="F20" s="18" t="s">
        <v>7</v>
      </c>
      <c r="G20" s="18" t="s">
        <v>8</v>
      </c>
      <c r="H20" s="18" t="s">
        <v>9</v>
      </c>
      <c r="I20" s="18" t="s">
        <v>10</v>
      </c>
      <c r="J20" s="18" t="s">
        <v>11</v>
      </c>
    </row>
    <row r="21" spans="1:10" ht="15" customHeight="1" x14ac:dyDescent="0.3">
      <c r="A21" s="19" t="s">
        <v>15</v>
      </c>
      <c r="B21" s="44">
        <f>(Inventario_Dinamico!B7+Inventario_Dinamico!B10)/2*Inputs!C88</f>
        <v>-332.40000000000003</v>
      </c>
      <c r="C21" s="44">
        <f>(Inventario_Dinamico!C7+Inventario_Dinamico!C10)/2*Inputs!C88</f>
        <v>-1072.4000000000001</v>
      </c>
      <c r="D21" s="44">
        <f>(Inventario_Dinamico!D7+Inventario_Dinamico!D10)/2*Inputs!C88</f>
        <v>-1812.4</v>
      </c>
      <c r="E21" s="44">
        <f>(Inventario_Dinamico!E7+Inventario_Dinamico!E10)/2*Inputs!C88</f>
        <v>-2552.4</v>
      </c>
      <c r="F21" s="44">
        <f>(Inventario_Dinamico!F7+Inventario_Dinamico!F10)/2*Inputs!C88</f>
        <v>-3292.4</v>
      </c>
      <c r="G21" s="44">
        <f>(Inventario_Dinamico!G7+Inventario_Dinamico!G10)/2*Inputs!C88</f>
        <v>-4032.4</v>
      </c>
      <c r="H21" s="44">
        <f>(Inventario_Dinamico!H7+Inventario_Dinamico!H10)/2*Inputs!C88</f>
        <v>-4772.4000000000005</v>
      </c>
      <c r="I21" s="44">
        <f>(Inventario_Dinamico!I7+Inventario_Dinamico!I10)/2*Inputs!C88</f>
        <v>-5512.4000000000005</v>
      </c>
      <c r="J21" s="44">
        <f>SUM(B21:I21)</f>
        <v>-23379.200000000001</v>
      </c>
    </row>
    <row r="22" spans="1:10" ht="15" customHeight="1" x14ac:dyDescent="0.3">
      <c r="A22" s="19" t="s">
        <v>18</v>
      </c>
      <c r="B22" s="44">
        <f>(Inventario_Dinamico!B13+Inventario_Dinamico!B16)/2*Inputs!C89</f>
        <v>1097.7</v>
      </c>
      <c r="C22" s="44">
        <f>(Inventario_Dinamico!C13+Inventario_Dinamico!C16)/2*Inputs!C89</f>
        <v>986.69999999999993</v>
      </c>
      <c r="D22" s="44">
        <f>(Inventario_Dinamico!D13+Inventario_Dinamico!D16)/2*Inputs!C89</f>
        <v>875.69999999999993</v>
      </c>
      <c r="E22" s="44">
        <f>(Inventario_Dinamico!E13+Inventario_Dinamico!E16)/2*Inputs!C89</f>
        <v>764.69999999999993</v>
      </c>
      <c r="F22" s="44">
        <f>(Inventario_Dinamico!F13+Inventario_Dinamico!F16)/2*Inputs!C89</f>
        <v>653.69999999999993</v>
      </c>
      <c r="G22" s="44">
        <f>(Inventario_Dinamico!G13+Inventario_Dinamico!G16)/2*Inputs!C89</f>
        <v>542.69999999999993</v>
      </c>
      <c r="H22" s="44">
        <f>(Inventario_Dinamico!H13+Inventario_Dinamico!H16)/2*Inputs!C89</f>
        <v>431.7</v>
      </c>
      <c r="I22" s="44">
        <f>(Inventario_Dinamico!I13+Inventario_Dinamico!I16)/2*Inputs!C89</f>
        <v>320.7</v>
      </c>
      <c r="J22" s="44">
        <f>SUM(B22:I22)</f>
        <v>5673.5999999999995</v>
      </c>
    </row>
    <row r="23" spans="1:10" ht="15" customHeight="1" x14ac:dyDescent="0.3">
      <c r="A23" s="15" t="s">
        <v>239</v>
      </c>
      <c r="B23" s="74">
        <f t="shared" ref="B23:J23" si="2">SUM(B21:B22)</f>
        <v>765.3</v>
      </c>
      <c r="C23" s="74">
        <f t="shared" si="2"/>
        <v>-85.700000000000159</v>
      </c>
      <c r="D23" s="74">
        <f t="shared" si="2"/>
        <v>-936.70000000000016</v>
      </c>
      <c r="E23" s="74">
        <f t="shared" si="2"/>
        <v>-1787.7000000000003</v>
      </c>
      <c r="F23" s="74">
        <f t="shared" si="2"/>
        <v>-2638.7000000000003</v>
      </c>
      <c r="G23" s="74">
        <f t="shared" si="2"/>
        <v>-3489.7000000000003</v>
      </c>
      <c r="H23" s="74">
        <f t="shared" si="2"/>
        <v>-4340.7000000000007</v>
      </c>
      <c r="I23" s="74">
        <f t="shared" si="2"/>
        <v>-5191.7000000000007</v>
      </c>
      <c r="J23" s="74">
        <f t="shared" si="2"/>
        <v>-17705.600000000002</v>
      </c>
    </row>
    <row r="26" spans="1:10" ht="15" customHeight="1" x14ac:dyDescent="0.3">
      <c r="A26" s="84" t="s">
        <v>240</v>
      </c>
      <c r="B26" s="75" t="e">
        <f t="shared" ref="B26:J26" si="3">B9+B16+B23</f>
        <v>#VALUE!</v>
      </c>
      <c r="C26" s="75">
        <f t="shared" si="3"/>
        <v>-85.700000000000159</v>
      </c>
      <c r="D26" s="75">
        <f t="shared" si="3"/>
        <v>-936.70000000000016</v>
      </c>
      <c r="E26" s="75">
        <f t="shared" si="3"/>
        <v>-1787.7000000000003</v>
      </c>
      <c r="F26" s="75">
        <f t="shared" si="3"/>
        <v>-2638.7000000000003</v>
      </c>
      <c r="G26" s="75">
        <f t="shared" si="3"/>
        <v>-3489.7000000000003</v>
      </c>
      <c r="H26" s="75">
        <f t="shared" si="3"/>
        <v>-4340.7000000000007</v>
      </c>
      <c r="I26" s="75">
        <f t="shared" si="3"/>
        <v>-5191.7000000000007</v>
      </c>
      <c r="J26" s="75" t="e">
        <f t="shared" si="3"/>
        <v>#VALUE!</v>
      </c>
    </row>
    <row r="27" spans="1:10" ht="15" customHeight="1" x14ac:dyDescent="0.3">
      <c r="A27" s="84"/>
    </row>
    <row r="28" spans="1:10" ht="15" customHeight="1" x14ac:dyDescent="0.3">
      <c r="A28" s="11" t="s">
        <v>241</v>
      </c>
      <c r="B28" s="11"/>
      <c r="C28" s="11"/>
      <c r="D28" s="11"/>
    </row>
    <row r="30" spans="1:10" ht="15" customHeight="1" x14ac:dyDescent="0.3">
      <c r="A30" s="61" t="s">
        <v>242</v>
      </c>
      <c r="B30" s="76" t="e">
        <f>MAX(B26:I26)</f>
        <v>#VALUE!</v>
      </c>
      <c r="C30" s="31" t="s">
        <v>243</v>
      </c>
    </row>
    <row r="31" spans="1:10" ht="15" customHeight="1" x14ac:dyDescent="0.3">
      <c r="A31" s="61" t="s">
        <v>244</v>
      </c>
      <c r="B31" s="76" t="e">
        <f>MIN(B26:I26)</f>
        <v>#VALUE!</v>
      </c>
      <c r="C31" s="31" t="s">
        <v>245</v>
      </c>
    </row>
    <row r="32" spans="1:10" ht="15" customHeight="1" x14ac:dyDescent="0.3">
      <c r="A32" s="61" t="s">
        <v>246</v>
      </c>
      <c r="B32" s="76" t="e">
        <f>AVERAGE(B26:I26)</f>
        <v>#VALUE!</v>
      </c>
      <c r="C32" s="31" t="s">
        <v>247</v>
      </c>
    </row>
    <row r="33" spans="1:3" ht="15" customHeight="1" x14ac:dyDescent="0.3">
      <c r="A33" s="61" t="s">
        <v>248</v>
      </c>
      <c r="B33" s="76" t="e">
        <f>STDEV(B26:I26)</f>
        <v>#VALUE!</v>
      </c>
      <c r="C33" s="31" t="s">
        <v>249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sqref="A1:E1"/>
    </sheetView>
  </sheetViews>
  <sheetFormatPr baseColWidth="10" defaultColWidth="8.6640625" defaultRowHeight="14.4" x14ac:dyDescent="0.3"/>
  <cols>
    <col min="1" max="1" width="15" customWidth="1"/>
    <col min="2" max="3" width="10" customWidth="1"/>
    <col min="4" max="4" width="12" customWidth="1"/>
    <col min="5" max="5" width="15" customWidth="1"/>
  </cols>
  <sheetData>
    <row r="1" spans="1:5" ht="17.25" customHeight="1" x14ac:dyDescent="0.3">
      <c r="A1" s="85" t="s">
        <v>250</v>
      </c>
      <c r="B1" s="85"/>
      <c r="C1" s="85"/>
      <c r="D1" s="85"/>
      <c r="E1" s="85"/>
    </row>
    <row r="2" spans="1:5" ht="15" customHeight="1" x14ac:dyDescent="0.3">
      <c r="A2" s="8" t="s">
        <v>251</v>
      </c>
      <c r="B2" s="8"/>
      <c r="C2" s="8"/>
      <c r="D2" s="8"/>
      <c r="E2" s="8"/>
    </row>
    <row r="4" spans="1:5" ht="15" customHeight="1" x14ac:dyDescent="0.3">
      <c r="A4" s="11" t="s">
        <v>252</v>
      </c>
      <c r="B4" s="11"/>
      <c r="C4" s="11"/>
      <c r="D4" s="11"/>
      <c r="E4" s="11"/>
    </row>
    <row r="5" spans="1:5" ht="15" customHeight="1" x14ac:dyDescent="0.3">
      <c r="A5" s="18" t="s">
        <v>12</v>
      </c>
      <c r="B5" s="18" t="s">
        <v>253</v>
      </c>
      <c r="C5" s="18" t="s">
        <v>254</v>
      </c>
      <c r="D5" s="18" t="s">
        <v>255</v>
      </c>
      <c r="E5" s="18" t="s">
        <v>256</v>
      </c>
    </row>
    <row r="6" spans="1:5" ht="15" customHeight="1" x14ac:dyDescent="0.3">
      <c r="A6" s="19" t="s">
        <v>19</v>
      </c>
      <c r="B6" s="77">
        <v>0</v>
      </c>
      <c r="C6" s="40">
        <f>Compras_y_Lotes!E7</f>
        <v>5</v>
      </c>
      <c r="D6" s="20" t="s">
        <v>257</v>
      </c>
      <c r="E6" s="30" t="str">
        <f t="shared" ref="E6:E11" si="0">IF(C6&gt;0,"Comprar","NO COMPRAR")</f>
        <v>Comprar</v>
      </c>
    </row>
    <row r="7" spans="1:5" ht="15" customHeight="1" x14ac:dyDescent="0.3">
      <c r="A7" s="19" t="s">
        <v>20</v>
      </c>
      <c r="B7" s="77">
        <v>0</v>
      </c>
      <c r="C7" s="40">
        <f>Compras_y_Lotes!E8</f>
        <v>9867</v>
      </c>
      <c r="D7" s="20" t="s">
        <v>257</v>
      </c>
      <c r="E7" s="30" t="str">
        <f t="shared" si="0"/>
        <v>Comprar</v>
      </c>
    </row>
    <row r="8" spans="1:5" ht="15" customHeight="1" x14ac:dyDescent="0.3">
      <c r="A8" s="19" t="s">
        <v>21</v>
      </c>
      <c r="B8" s="77">
        <v>0</v>
      </c>
      <c r="C8" s="40">
        <f>Compras_y_Lotes!E9</f>
        <v>4440</v>
      </c>
      <c r="D8" s="20" t="s">
        <v>257</v>
      </c>
      <c r="E8" s="30" t="str">
        <f t="shared" si="0"/>
        <v>Comprar</v>
      </c>
    </row>
    <row r="9" spans="1:5" ht="15" customHeight="1" x14ac:dyDescent="0.3">
      <c r="A9" s="19" t="s">
        <v>22</v>
      </c>
      <c r="B9" s="77">
        <v>0</v>
      </c>
      <c r="C9" s="40">
        <f>Compras_y_Lotes!E10</f>
        <v>89</v>
      </c>
      <c r="D9" s="20" t="s">
        <v>257</v>
      </c>
      <c r="E9" s="30" t="str">
        <f t="shared" si="0"/>
        <v>Comprar</v>
      </c>
    </row>
    <row r="10" spans="1:5" ht="15" customHeight="1" x14ac:dyDescent="0.3">
      <c r="A10" s="19" t="s">
        <v>23</v>
      </c>
      <c r="B10" s="77">
        <v>0</v>
      </c>
      <c r="C10" s="40">
        <f>Compras_y_Lotes!E11</f>
        <v>987</v>
      </c>
      <c r="D10" s="20" t="s">
        <v>257</v>
      </c>
      <c r="E10" s="30" t="str">
        <f t="shared" si="0"/>
        <v>Comprar</v>
      </c>
    </row>
    <row r="11" spans="1:5" ht="15" customHeight="1" x14ac:dyDescent="0.3">
      <c r="A11" s="19" t="s">
        <v>24</v>
      </c>
      <c r="B11" s="77">
        <v>0</v>
      </c>
      <c r="C11" s="40">
        <f>Compras_y_Lotes!E12</f>
        <v>185</v>
      </c>
      <c r="D11" s="20" t="s">
        <v>257</v>
      </c>
      <c r="E11" s="30" t="str">
        <f t="shared" si="0"/>
        <v>Comprar</v>
      </c>
    </row>
    <row r="13" spans="1:5" ht="15" customHeight="1" x14ac:dyDescent="0.3">
      <c r="A13" s="11" t="s">
        <v>258</v>
      </c>
      <c r="B13" s="11"/>
      <c r="C13" s="11"/>
      <c r="D13" s="11"/>
      <c r="E13" s="11"/>
    </row>
    <row r="14" spans="1:5" ht="15" customHeight="1" x14ac:dyDescent="0.3">
      <c r="A14" s="18" t="s">
        <v>12</v>
      </c>
      <c r="B14" s="18" t="s">
        <v>253</v>
      </c>
      <c r="C14" s="18" t="s">
        <v>254</v>
      </c>
      <c r="D14" s="18" t="s">
        <v>255</v>
      </c>
      <c r="E14" s="18" t="s">
        <v>256</v>
      </c>
    </row>
    <row r="15" spans="1:5" ht="15" customHeight="1" x14ac:dyDescent="0.3">
      <c r="A15" s="19" t="s">
        <v>15</v>
      </c>
      <c r="B15" s="77">
        <v>1</v>
      </c>
      <c r="C15" s="40">
        <f>Compras_y_Lotes!F18</f>
        <v>0</v>
      </c>
      <c r="D15" s="67" t="str">
        <f>Inputs!B94</f>
        <v>Ordering Cost</v>
      </c>
      <c r="E15" s="30" t="str">
        <f t="shared" ref="E15:E22" si="1">IF(C15&gt;0,"Comprar","-")</f>
        <v>-</v>
      </c>
    </row>
    <row r="16" spans="1:5" ht="15" customHeight="1" x14ac:dyDescent="0.3">
      <c r="A16" s="19" t="s">
        <v>15</v>
      </c>
      <c r="B16" s="77">
        <v>2</v>
      </c>
      <c r="C16" s="40">
        <f>Compras_y_Lotes!F19</f>
        <v>0</v>
      </c>
      <c r="D16" s="67" t="str">
        <f>Inputs!B94</f>
        <v>Ordering Cost</v>
      </c>
      <c r="E16" s="30" t="str">
        <f t="shared" si="1"/>
        <v>-</v>
      </c>
    </row>
    <row r="17" spans="1:5" ht="15" customHeight="1" x14ac:dyDescent="0.3">
      <c r="A17" s="19" t="s">
        <v>15</v>
      </c>
      <c r="B17" s="77">
        <v>3</v>
      </c>
      <c r="C17" s="40">
        <f>Compras_y_Lotes!F20</f>
        <v>0</v>
      </c>
      <c r="D17" s="67" t="str">
        <f>Inputs!B94</f>
        <v>Ordering Cost</v>
      </c>
      <c r="E17" s="30" t="str">
        <f t="shared" si="1"/>
        <v>-</v>
      </c>
    </row>
    <row r="18" spans="1:5" ht="15" customHeight="1" x14ac:dyDescent="0.3">
      <c r="A18" s="19" t="s">
        <v>15</v>
      </c>
      <c r="B18" s="77">
        <v>4</v>
      </c>
      <c r="C18" s="40">
        <f>Compras_y_Lotes!F21</f>
        <v>0</v>
      </c>
      <c r="D18" s="67" t="str">
        <f>Inputs!B94</f>
        <v>Ordering Cost</v>
      </c>
      <c r="E18" s="30" t="str">
        <f t="shared" si="1"/>
        <v>-</v>
      </c>
    </row>
    <row r="19" spans="1:5" ht="15" customHeight="1" x14ac:dyDescent="0.3">
      <c r="A19" s="19" t="s">
        <v>15</v>
      </c>
      <c r="B19" s="77">
        <v>5</v>
      </c>
      <c r="C19" s="40">
        <f>Compras_y_Lotes!F22</f>
        <v>0</v>
      </c>
      <c r="D19" s="67" t="str">
        <f>Inputs!B94</f>
        <v>Ordering Cost</v>
      </c>
      <c r="E19" s="30" t="str">
        <f t="shared" si="1"/>
        <v>-</v>
      </c>
    </row>
    <row r="20" spans="1:5" ht="15" customHeight="1" x14ac:dyDescent="0.3">
      <c r="A20" s="19" t="s">
        <v>15</v>
      </c>
      <c r="B20" s="77">
        <v>6</v>
      </c>
      <c r="C20" s="40">
        <f>Compras_y_Lotes!F23</f>
        <v>0</v>
      </c>
      <c r="D20" s="67" t="str">
        <f>Inputs!B94</f>
        <v>Ordering Cost</v>
      </c>
      <c r="E20" s="30" t="str">
        <f t="shared" si="1"/>
        <v>-</v>
      </c>
    </row>
    <row r="21" spans="1:5" ht="15" customHeight="1" x14ac:dyDescent="0.3">
      <c r="A21" s="19" t="s">
        <v>15</v>
      </c>
      <c r="B21" s="77">
        <v>7</v>
      </c>
      <c r="C21" s="40">
        <f>Compras_y_Lotes!F24</f>
        <v>0</v>
      </c>
      <c r="D21" s="67" t="str">
        <f>Inputs!B94</f>
        <v>Ordering Cost</v>
      </c>
      <c r="E21" s="30" t="str">
        <f t="shared" si="1"/>
        <v>-</v>
      </c>
    </row>
    <row r="22" spans="1:5" ht="15" customHeight="1" x14ac:dyDescent="0.3">
      <c r="A22" s="19" t="s">
        <v>15</v>
      </c>
      <c r="B22" s="77">
        <v>8</v>
      </c>
      <c r="C22" s="40">
        <f>Compras_y_Lotes!F25</f>
        <v>0</v>
      </c>
      <c r="D22" s="67" t="str">
        <f>Inputs!B94</f>
        <v>Ordering Cost</v>
      </c>
      <c r="E22" s="30" t="str">
        <f t="shared" si="1"/>
        <v>-</v>
      </c>
    </row>
    <row r="24" spans="1:5" ht="15" customHeight="1" x14ac:dyDescent="0.3">
      <c r="A24" s="11" t="s">
        <v>259</v>
      </c>
      <c r="B24" s="11"/>
      <c r="C24" s="11"/>
      <c r="D24" s="11"/>
      <c r="E24" s="11"/>
    </row>
    <row r="25" spans="1:5" ht="15" customHeight="1" x14ac:dyDescent="0.3">
      <c r="A25" s="18" t="s">
        <v>12</v>
      </c>
      <c r="B25" s="18" t="s">
        <v>253</v>
      </c>
      <c r="C25" s="18" t="s">
        <v>254</v>
      </c>
      <c r="D25" s="18" t="s">
        <v>255</v>
      </c>
      <c r="E25" s="18" t="s">
        <v>256</v>
      </c>
    </row>
    <row r="26" spans="1:5" ht="15" customHeight="1" x14ac:dyDescent="0.3">
      <c r="A26" s="19" t="s">
        <v>18</v>
      </c>
      <c r="B26" s="77">
        <v>1</v>
      </c>
      <c r="C26" s="40">
        <f>Compras_y_Lotes!F26</f>
        <v>0</v>
      </c>
      <c r="D26" s="67" t="str">
        <f>Inputs!B110</f>
        <v>C</v>
      </c>
      <c r="E26" s="30" t="str">
        <f t="shared" ref="E26:E33" si="2">IF(C26&gt;0,"Comprar","-")</f>
        <v>-</v>
      </c>
    </row>
    <row r="27" spans="1:5" ht="15" customHeight="1" x14ac:dyDescent="0.3">
      <c r="A27" s="19" t="s">
        <v>18</v>
      </c>
      <c r="B27" s="77">
        <v>2</v>
      </c>
      <c r="C27" s="40">
        <f>Compras_y_Lotes!F27</f>
        <v>0</v>
      </c>
      <c r="D27" s="67" t="str">
        <f>Inputs!B110</f>
        <v>C</v>
      </c>
      <c r="E27" s="30" t="str">
        <f t="shared" si="2"/>
        <v>-</v>
      </c>
    </row>
    <row r="28" spans="1:5" ht="15" customHeight="1" x14ac:dyDescent="0.3">
      <c r="A28" s="19" t="s">
        <v>18</v>
      </c>
      <c r="B28" s="77">
        <v>3</v>
      </c>
      <c r="C28" s="40">
        <f>Compras_y_Lotes!F28</f>
        <v>0</v>
      </c>
      <c r="D28" s="67" t="str">
        <f>Inputs!B110</f>
        <v>C</v>
      </c>
      <c r="E28" s="30" t="str">
        <f t="shared" si="2"/>
        <v>-</v>
      </c>
    </row>
    <row r="29" spans="1:5" ht="15" customHeight="1" x14ac:dyDescent="0.3">
      <c r="A29" s="19" t="s">
        <v>18</v>
      </c>
      <c r="B29" s="77">
        <v>4</v>
      </c>
      <c r="C29" s="40">
        <f>Compras_y_Lotes!F29</f>
        <v>0</v>
      </c>
      <c r="D29" s="67" t="str">
        <f>Inputs!B110</f>
        <v>C</v>
      </c>
      <c r="E29" s="30" t="str">
        <f t="shared" si="2"/>
        <v>-</v>
      </c>
    </row>
    <row r="30" spans="1:5" ht="15" customHeight="1" x14ac:dyDescent="0.3">
      <c r="A30" s="19" t="s">
        <v>18</v>
      </c>
      <c r="B30" s="77">
        <v>5</v>
      </c>
      <c r="C30" s="40">
        <f>Compras_y_Lotes!F30</f>
        <v>0</v>
      </c>
      <c r="D30" s="67" t="str">
        <f>Inputs!B110</f>
        <v>C</v>
      </c>
      <c r="E30" s="30" t="str">
        <f t="shared" si="2"/>
        <v>-</v>
      </c>
    </row>
    <row r="31" spans="1:5" ht="15" customHeight="1" x14ac:dyDescent="0.3">
      <c r="A31" s="19" t="s">
        <v>18</v>
      </c>
      <c r="B31" s="77">
        <v>6</v>
      </c>
      <c r="C31" s="40">
        <f>Compras_y_Lotes!F31</f>
        <v>0</v>
      </c>
      <c r="D31" s="67" t="str">
        <f>Inputs!B110</f>
        <v>C</v>
      </c>
      <c r="E31" s="30" t="str">
        <f t="shared" si="2"/>
        <v>-</v>
      </c>
    </row>
    <row r="32" spans="1:5" ht="15" customHeight="1" x14ac:dyDescent="0.3">
      <c r="A32" s="19" t="s">
        <v>18</v>
      </c>
      <c r="B32" s="77">
        <v>7</v>
      </c>
      <c r="C32" s="40">
        <f>Compras_y_Lotes!F32</f>
        <v>0</v>
      </c>
      <c r="D32" s="67" t="str">
        <f>Inputs!B110</f>
        <v>C</v>
      </c>
      <c r="E32" s="30" t="str">
        <f t="shared" si="2"/>
        <v>-</v>
      </c>
    </row>
    <row r="33" spans="1:5" ht="15" customHeight="1" x14ac:dyDescent="0.3">
      <c r="A33" s="19" t="s">
        <v>18</v>
      </c>
      <c r="B33" s="77">
        <v>8</v>
      </c>
      <c r="C33" s="40">
        <f>Compras_y_Lotes!F33</f>
        <v>0</v>
      </c>
      <c r="D33" s="67" t="str">
        <f>Inputs!B110</f>
        <v>C</v>
      </c>
      <c r="E33" s="30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sqref="A1:E1"/>
    </sheetView>
  </sheetViews>
  <sheetFormatPr baseColWidth="10" defaultColWidth="8.6640625" defaultRowHeight="14.4" x14ac:dyDescent="0.3"/>
  <cols>
    <col min="1" max="1" width="15" customWidth="1"/>
  </cols>
  <sheetData>
    <row r="1" spans="1:5" ht="17.25" customHeight="1" x14ac:dyDescent="0.3">
      <c r="A1" s="13" t="s">
        <v>260</v>
      </c>
      <c r="B1" s="13"/>
      <c r="C1" s="13"/>
      <c r="D1" s="13"/>
      <c r="E1" s="13"/>
    </row>
    <row r="2" spans="1:5" ht="15" customHeight="1" x14ac:dyDescent="0.3">
      <c r="A2" s="9" t="s">
        <v>261</v>
      </c>
      <c r="B2" s="9"/>
      <c r="C2" s="9"/>
      <c r="D2" s="9"/>
      <c r="E2" s="9"/>
    </row>
    <row r="4" spans="1:5" ht="15" customHeight="1" x14ac:dyDescent="0.3">
      <c r="A4" s="11" t="s">
        <v>262</v>
      </c>
      <c r="B4" s="11"/>
      <c r="C4" s="11"/>
      <c r="D4" s="11"/>
      <c r="E4" s="11"/>
    </row>
    <row r="5" spans="1:5" ht="15" customHeight="1" x14ac:dyDescent="0.3">
      <c r="A5" s="18" t="s">
        <v>12</v>
      </c>
      <c r="B5" s="18" t="s">
        <v>263</v>
      </c>
      <c r="C5" s="18" t="s">
        <v>264</v>
      </c>
      <c r="D5" s="18" t="s">
        <v>11</v>
      </c>
      <c r="E5" s="18" t="s">
        <v>265</v>
      </c>
    </row>
    <row r="6" spans="1:5" ht="15" customHeight="1" x14ac:dyDescent="0.3">
      <c r="A6" s="19" t="s">
        <v>15</v>
      </c>
      <c r="B6" s="42">
        <v>3496</v>
      </c>
      <c r="C6" s="42">
        <v>1016</v>
      </c>
      <c r="D6" s="17">
        <v>4512</v>
      </c>
      <c r="E6" s="68">
        <f t="shared" ref="E6:E13" si="0">B6/D6</f>
        <v>0.77482269503546097</v>
      </c>
    </row>
    <row r="7" spans="1:5" ht="15" customHeight="1" x14ac:dyDescent="0.3">
      <c r="A7" s="19" t="s">
        <v>18</v>
      </c>
      <c r="B7" s="42">
        <v>765</v>
      </c>
      <c r="C7" s="42">
        <v>293</v>
      </c>
      <c r="D7" s="17">
        <v>1058</v>
      </c>
      <c r="E7" s="68">
        <f t="shared" si="0"/>
        <v>0.72306238185255201</v>
      </c>
    </row>
    <row r="8" spans="1:5" ht="15" customHeight="1" x14ac:dyDescent="0.3">
      <c r="A8" s="19" t="s">
        <v>19</v>
      </c>
      <c r="B8" s="42">
        <v>94</v>
      </c>
      <c r="C8" s="42">
        <v>36</v>
      </c>
      <c r="D8" s="17">
        <v>130</v>
      </c>
      <c r="E8" s="68">
        <f t="shared" si="0"/>
        <v>0.72307692307692306</v>
      </c>
    </row>
    <row r="9" spans="1:5" ht="15" customHeight="1" x14ac:dyDescent="0.3">
      <c r="A9" s="19" t="s">
        <v>20</v>
      </c>
      <c r="B9" s="42">
        <v>3844</v>
      </c>
      <c r="C9" s="42">
        <v>1424</v>
      </c>
      <c r="D9" s="17">
        <v>5268</v>
      </c>
      <c r="E9" s="68">
        <f t="shared" si="0"/>
        <v>0.72968868640850415</v>
      </c>
    </row>
    <row r="10" spans="1:5" ht="15" customHeight="1" x14ac:dyDescent="0.3">
      <c r="A10" s="19" t="s">
        <v>21</v>
      </c>
      <c r="B10" s="42">
        <v>3125</v>
      </c>
      <c r="C10" s="42">
        <v>1208</v>
      </c>
      <c r="D10" s="17">
        <v>4333</v>
      </c>
      <c r="E10" s="68">
        <f t="shared" si="0"/>
        <v>0.72120932379413805</v>
      </c>
    </row>
    <row r="11" spans="1:5" ht="15" customHeight="1" x14ac:dyDescent="0.3">
      <c r="A11" s="19" t="s">
        <v>22</v>
      </c>
      <c r="B11" s="42">
        <v>6131</v>
      </c>
      <c r="C11" s="42">
        <v>2356</v>
      </c>
      <c r="D11" s="17">
        <v>8487</v>
      </c>
      <c r="E11" s="68">
        <f t="shared" si="0"/>
        <v>0.72239896312006602</v>
      </c>
    </row>
    <row r="12" spans="1:5" ht="15" customHeight="1" x14ac:dyDescent="0.3">
      <c r="A12" s="19" t="s">
        <v>23</v>
      </c>
      <c r="B12" s="42">
        <v>16736</v>
      </c>
      <c r="C12" s="42">
        <v>6456</v>
      </c>
      <c r="D12" s="17">
        <v>23192</v>
      </c>
      <c r="E12" s="68">
        <f t="shared" si="0"/>
        <v>0.72162814763711625</v>
      </c>
    </row>
    <row r="13" spans="1:5" ht="15" customHeight="1" x14ac:dyDescent="0.3">
      <c r="A13" s="19" t="s">
        <v>24</v>
      </c>
      <c r="B13" s="42">
        <v>4439</v>
      </c>
      <c r="C13" s="42">
        <v>1596</v>
      </c>
      <c r="D13" s="17">
        <v>6035</v>
      </c>
      <c r="E13" s="68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5" customWidth="1"/>
  </cols>
  <sheetData>
    <row r="1" spans="1:6" ht="17.25" customHeight="1" x14ac:dyDescent="0.3">
      <c r="A1" s="13" t="s">
        <v>266</v>
      </c>
      <c r="B1" s="13"/>
      <c r="C1" s="13"/>
      <c r="D1" s="13"/>
      <c r="E1" s="13"/>
      <c r="F1" s="13"/>
    </row>
    <row r="2" spans="1:6" ht="15" customHeight="1" x14ac:dyDescent="0.3">
      <c r="A2" s="9" t="s">
        <v>267</v>
      </c>
      <c r="B2" s="9"/>
      <c r="C2" s="9"/>
      <c r="D2" s="9"/>
      <c r="E2" s="9"/>
      <c r="F2" s="9"/>
    </row>
    <row r="4" spans="1:6" ht="15" customHeight="1" x14ac:dyDescent="0.3">
      <c r="A4" s="11" t="s">
        <v>268</v>
      </c>
      <c r="B4" s="11"/>
      <c r="C4" s="11"/>
      <c r="D4" s="11"/>
      <c r="E4" s="11"/>
      <c r="F4" s="11"/>
    </row>
    <row r="5" spans="1:6" ht="15" customHeight="1" x14ac:dyDescent="0.3">
      <c r="A5" s="18" t="s">
        <v>269</v>
      </c>
      <c r="B5" s="18" t="s">
        <v>270</v>
      </c>
      <c r="C5" s="18" t="s">
        <v>271</v>
      </c>
      <c r="D5" s="18" t="s">
        <v>272</v>
      </c>
      <c r="E5" s="18" t="s">
        <v>273</v>
      </c>
    </row>
    <row r="6" spans="1:6" ht="15" customHeight="1" x14ac:dyDescent="0.3">
      <c r="A6" s="19" t="s">
        <v>274</v>
      </c>
      <c r="B6" s="19" t="s">
        <v>15</v>
      </c>
      <c r="C6" s="19" t="s">
        <v>275</v>
      </c>
      <c r="D6" s="19" t="s">
        <v>276</v>
      </c>
      <c r="E6" s="19" t="s">
        <v>277</v>
      </c>
    </row>
    <row r="7" spans="1:6" ht="15" customHeight="1" x14ac:dyDescent="0.3">
      <c r="A7" s="19" t="s">
        <v>278</v>
      </c>
      <c r="B7" s="19" t="s">
        <v>18</v>
      </c>
      <c r="C7" s="19" t="s">
        <v>275</v>
      </c>
      <c r="D7" s="19" t="s">
        <v>279</v>
      </c>
      <c r="E7" s="19" t="s">
        <v>277</v>
      </c>
    </row>
    <row r="8" spans="1:6" ht="15" customHeight="1" x14ac:dyDescent="0.3">
      <c r="A8" s="19" t="s">
        <v>280</v>
      </c>
      <c r="B8" s="19" t="s">
        <v>40</v>
      </c>
      <c r="C8" s="19" t="s">
        <v>21</v>
      </c>
      <c r="D8" s="19" t="s">
        <v>281</v>
      </c>
      <c r="E8" s="19" t="s">
        <v>277</v>
      </c>
    </row>
    <row r="9" spans="1:6" ht="15" customHeight="1" x14ac:dyDescent="0.3">
      <c r="A9" s="19" t="s">
        <v>282</v>
      </c>
      <c r="B9" s="19" t="s">
        <v>40</v>
      </c>
      <c r="C9" s="19" t="s">
        <v>24</v>
      </c>
      <c r="D9" s="19" t="s">
        <v>283</v>
      </c>
      <c r="E9" s="19" t="s">
        <v>277</v>
      </c>
    </row>
    <row r="10" spans="1:6" ht="15" customHeight="1" x14ac:dyDescent="0.3">
      <c r="A10" s="19" t="s">
        <v>284</v>
      </c>
      <c r="B10" s="19" t="s">
        <v>285</v>
      </c>
      <c r="C10" s="19" t="s">
        <v>286</v>
      </c>
      <c r="D10" s="19" t="s">
        <v>287</v>
      </c>
      <c r="E10" s="19" t="s">
        <v>277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"/>
  <sheetViews>
    <sheetView zoomScaleNormal="100" workbookViewId="0">
      <selection sqref="A1:H1"/>
    </sheetView>
  </sheetViews>
  <sheetFormatPr baseColWidth="10" defaultColWidth="8.6640625" defaultRowHeight="14.4" x14ac:dyDescent="0.3"/>
  <cols>
    <col min="1" max="1" width="15" customWidth="1"/>
  </cols>
  <sheetData>
    <row r="1" spans="1:8" ht="17.25" customHeight="1" x14ac:dyDescent="0.3">
      <c r="A1" s="86" t="s">
        <v>288</v>
      </c>
      <c r="B1" s="86"/>
      <c r="C1" s="86"/>
      <c r="D1" s="86"/>
      <c r="E1" s="86"/>
      <c r="F1" s="86"/>
      <c r="G1" s="86"/>
      <c r="H1" s="86"/>
    </row>
    <row r="2" spans="1:8" ht="15" customHeight="1" x14ac:dyDescent="0.3">
      <c r="A2" s="9" t="s">
        <v>289</v>
      </c>
      <c r="B2" s="9"/>
      <c r="C2" s="9"/>
      <c r="D2" s="9"/>
      <c r="E2" s="9"/>
      <c r="F2" s="9"/>
      <c r="G2" s="9"/>
      <c r="H2" s="9"/>
    </row>
    <row r="4" spans="1:8" ht="15" customHeight="1" x14ac:dyDescent="0.3">
      <c r="A4" s="11" t="s">
        <v>290</v>
      </c>
      <c r="B4" s="11"/>
      <c r="C4" s="11"/>
      <c r="D4" s="11"/>
      <c r="E4" s="11"/>
      <c r="F4" s="11"/>
      <c r="G4" s="11"/>
      <c r="H4" s="11"/>
    </row>
    <row r="5" spans="1:8" ht="15" customHeight="1" x14ac:dyDescent="0.3">
      <c r="A5" s="18" t="s">
        <v>12</v>
      </c>
      <c r="B5" s="18" t="s">
        <v>291</v>
      </c>
      <c r="C5" s="18" t="s">
        <v>292</v>
      </c>
      <c r="D5" s="18" t="s">
        <v>293</v>
      </c>
      <c r="E5" s="18" t="s">
        <v>109</v>
      </c>
    </row>
    <row r="6" spans="1:8" ht="15" customHeight="1" x14ac:dyDescent="0.3">
      <c r="A6" s="19" t="s">
        <v>15</v>
      </c>
      <c r="B6" s="42">
        <v>0</v>
      </c>
      <c r="C6" s="78">
        <f>Inventario_Dinamico!B10</f>
        <v>-1756</v>
      </c>
      <c r="D6" s="79">
        <f t="shared" ref="D6:D13" si="0">IFERROR(B6-C6,0)</f>
        <v>1756</v>
      </c>
      <c r="E6" s="19" t="str">
        <f t="shared" ref="E6:E13" si="1">IF(ABS(D6)&gt;100,"REVISAR","OK")</f>
        <v>REVISAR</v>
      </c>
    </row>
    <row r="7" spans="1:8" ht="15" customHeight="1" x14ac:dyDescent="0.3">
      <c r="A7" s="19" t="s">
        <v>18</v>
      </c>
      <c r="B7" s="42">
        <v>0</v>
      </c>
      <c r="C7" s="78">
        <f>Inventario_Dinamico!B15</f>
        <v>370</v>
      </c>
      <c r="D7" s="79">
        <f t="shared" si="0"/>
        <v>-370</v>
      </c>
      <c r="E7" s="19" t="str">
        <f t="shared" si="1"/>
        <v>REVISAR</v>
      </c>
    </row>
    <row r="8" spans="1:8" ht="15" customHeight="1" x14ac:dyDescent="0.3">
      <c r="A8" s="19" t="s">
        <v>19</v>
      </c>
      <c r="B8" s="42">
        <v>0</v>
      </c>
      <c r="C8" s="78">
        <f>Inventario_Dinamico!B20</f>
        <v>0</v>
      </c>
      <c r="D8" s="79">
        <f t="shared" si="0"/>
        <v>0</v>
      </c>
      <c r="E8" s="19" t="str">
        <f t="shared" si="1"/>
        <v>OK</v>
      </c>
    </row>
    <row r="9" spans="1:8" ht="15" customHeight="1" x14ac:dyDescent="0.3">
      <c r="A9" s="19" t="s">
        <v>20</v>
      </c>
      <c r="B9" s="42">
        <v>0</v>
      </c>
      <c r="C9" s="78">
        <f>Inventario_Dinamico!B25</f>
        <v>6131</v>
      </c>
      <c r="D9" s="79">
        <f t="shared" si="0"/>
        <v>-6131</v>
      </c>
      <c r="E9" s="19" t="str">
        <f t="shared" si="1"/>
        <v>REVISAR</v>
      </c>
    </row>
    <row r="10" spans="1:8" ht="15" customHeight="1" x14ac:dyDescent="0.3">
      <c r="A10" s="19" t="s">
        <v>21</v>
      </c>
      <c r="B10" s="42">
        <v>0</v>
      </c>
      <c r="C10" s="78" t="str">
        <f>Inventario_Dinamico!B30</f>
        <v>Q1</v>
      </c>
      <c r="D10" s="79">
        <f t="shared" si="0"/>
        <v>0</v>
      </c>
      <c r="E10" s="19" t="str">
        <f t="shared" si="1"/>
        <v>OK</v>
      </c>
    </row>
    <row r="11" spans="1:8" ht="15" customHeight="1" x14ac:dyDescent="0.3">
      <c r="A11" s="19" t="s">
        <v>22</v>
      </c>
      <c r="B11" s="42">
        <v>0</v>
      </c>
      <c r="C11" s="78">
        <f>Inventario_Dinamico!B35</f>
        <v>0</v>
      </c>
      <c r="D11" s="79">
        <f t="shared" si="0"/>
        <v>0</v>
      </c>
      <c r="E11" s="19" t="str">
        <f t="shared" si="1"/>
        <v>OK</v>
      </c>
    </row>
    <row r="12" spans="1:8" ht="15" customHeight="1" x14ac:dyDescent="0.3">
      <c r="A12" s="19" t="s">
        <v>23</v>
      </c>
      <c r="B12" s="42">
        <v>0</v>
      </c>
      <c r="C12" s="78">
        <f>Inventario_Dinamico!B40</f>
        <v>3329</v>
      </c>
      <c r="D12" s="79">
        <f t="shared" si="0"/>
        <v>-3329</v>
      </c>
      <c r="E12" s="19" t="str">
        <f t="shared" si="1"/>
        <v>REVISAR</v>
      </c>
    </row>
    <row r="13" spans="1:8" ht="15" customHeight="1" x14ac:dyDescent="0.3">
      <c r="A13" s="19" t="s">
        <v>24</v>
      </c>
      <c r="B13" s="42">
        <v>0</v>
      </c>
      <c r="C13" s="78">
        <f>Inventario_Dinamico!B45</f>
        <v>3700</v>
      </c>
      <c r="D13" s="79">
        <f t="shared" si="0"/>
        <v>-3700</v>
      </c>
      <c r="E13" s="19" t="str">
        <f t="shared" si="1"/>
        <v>REVISAR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87" t="s">
        <v>294</v>
      </c>
      <c r="B1" s="87"/>
      <c r="C1" s="87"/>
      <c r="D1" s="87"/>
      <c r="E1" s="87"/>
      <c r="F1" s="87"/>
      <c r="G1" s="87"/>
    </row>
    <row r="2" spans="1:7" ht="15" customHeight="1" x14ac:dyDescent="0.3">
      <c r="A2" s="9" t="s">
        <v>295</v>
      </c>
      <c r="B2" s="9"/>
      <c r="C2" s="9"/>
      <c r="D2" s="9"/>
      <c r="E2" s="9"/>
      <c r="F2" s="9"/>
      <c r="G2" s="9"/>
    </row>
    <row r="4" spans="1:7" ht="15" customHeight="1" x14ac:dyDescent="0.3">
      <c r="A4" s="11" t="s">
        <v>296</v>
      </c>
      <c r="B4" s="11"/>
      <c r="C4" s="11"/>
      <c r="D4" s="11"/>
      <c r="E4" s="11"/>
      <c r="F4" s="11"/>
      <c r="G4" s="11"/>
    </row>
    <row r="5" spans="1:7" ht="15" customHeight="1" x14ac:dyDescent="0.3">
      <c r="A5" s="18" t="s">
        <v>12</v>
      </c>
      <c r="B5" s="18" t="s">
        <v>297</v>
      </c>
      <c r="C5" s="18" t="s">
        <v>298</v>
      </c>
      <c r="D5" s="18" t="s">
        <v>299</v>
      </c>
      <c r="E5" s="18" t="s">
        <v>300</v>
      </c>
      <c r="F5" s="18" t="s">
        <v>114</v>
      </c>
      <c r="G5" s="18" t="s">
        <v>301</v>
      </c>
    </row>
    <row r="6" spans="1:7" ht="15" customHeight="1" x14ac:dyDescent="0.3">
      <c r="A6" s="19" t="s">
        <v>15</v>
      </c>
      <c r="B6" s="80">
        <v>2.5</v>
      </c>
      <c r="C6" s="80">
        <v>3</v>
      </c>
      <c r="D6" s="80">
        <v>2</v>
      </c>
      <c r="E6" s="81" t="str">
        <f>Inputs!B94</f>
        <v>Ordering Cost</v>
      </c>
      <c r="F6" s="78">
        <f>SUM(Compras_y_Lotes!G18:G25)</f>
        <v>0</v>
      </c>
      <c r="G6" s="79">
        <f>IFERROR(F6*CHOOSE(MATCH(E6,{"A","B","C"},0),B6,C6,D6),0)</f>
        <v>0</v>
      </c>
    </row>
    <row r="7" spans="1:7" ht="15" customHeight="1" x14ac:dyDescent="0.3">
      <c r="A7" s="19" t="s">
        <v>18</v>
      </c>
      <c r="B7" s="80">
        <v>5</v>
      </c>
      <c r="C7" s="80">
        <v>6</v>
      </c>
      <c r="D7" s="80">
        <v>4.5</v>
      </c>
      <c r="E7" s="81" t="str">
        <f>Inputs!B110</f>
        <v>C</v>
      </c>
      <c r="F7" s="78">
        <f>SUM(Compras_y_Lotes!G26:G33)</f>
        <v>0</v>
      </c>
      <c r="G7" s="79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Inputs</vt:lpstr>
      <vt:lpstr>BOM_Consumo</vt:lpstr>
      <vt:lpstr>Inventario_Dinamico</vt:lpstr>
      <vt:lpstr>Compras_y_Lotes</vt:lpstr>
      <vt:lpstr>Assemblies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2026-01-14T02:45:32Z</dcterms:modified>
  <dc:language>en-US</dc:language>
</cp:coreProperties>
</file>