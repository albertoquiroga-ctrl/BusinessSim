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duction/"/>
    </mc:Choice>
  </mc:AlternateContent>
  <xr:revisionPtr revIDLastSave="91" documentId="13_ncr:1_{35EBFAC3-214D-4CBD-8603-664E06803F64}" xr6:coauthVersionLast="47" xr6:coauthVersionMax="47" xr10:uidLastSave="{F7D07A12-87DF-4D97-BBB9-DE3B502F7FE0}"/>
  <bookViews>
    <workbookView xWindow="-108" yWindow="-108" windowWidth="23256" windowHeight="12456" xr2:uid="{1B2BCA49-7FFA-4075-BD35-664642E0321C}"/>
  </bookViews>
  <sheets>
    <sheet name="1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L11" i="1" s="1"/>
  <c r="L6" i="1"/>
  <c r="G7" i="1"/>
  <c r="G8" i="1"/>
  <c r="G9" i="1"/>
  <c r="G10" i="1"/>
  <c r="G6" i="1"/>
  <c r="L8" i="1"/>
  <c r="L9" i="1"/>
  <c r="L10" i="1"/>
  <c r="G12" i="1"/>
  <c r="L12" i="1" s="1"/>
  <c r="G13" i="1"/>
  <c r="L13" i="1" s="1"/>
  <c r="G14" i="1"/>
  <c r="G15" i="1"/>
  <c r="L7" i="1"/>
  <c r="L14" i="1"/>
  <c r="L15" i="1"/>
  <c r="K3" i="1"/>
  <c r="K2" i="1"/>
  <c r="J6" i="1" s="1"/>
  <c r="K6" i="1" s="1"/>
  <c r="M3" i="1"/>
  <c r="M2" i="1"/>
  <c r="E6" i="1"/>
  <c r="E7" i="1"/>
  <c r="E8" i="1"/>
  <c r="E9" i="1"/>
  <c r="E10" i="1"/>
  <c r="E11" i="1"/>
  <c r="E12" i="1"/>
  <c r="E13" i="1"/>
  <c r="E14" i="1"/>
  <c r="E15" i="1"/>
  <c r="K17" i="1"/>
  <c r="D11" i="1"/>
  <c r="M6" i="1" l="1"/>
  <c r="N6" i="1" s="1"/>
  <c r="J7" i="1"/>
  <c r="K7" i="1" s="1"/>
  <c r="I3" i="1" l="1"/>
  <c r="J11" i="1"/>
  <c r="J12" i="1" s="1"/>
  <c r="D15" i="1"/>
  <c r="D14" i="1"/>
  <c r="D13" i="1"/>
  <c r="D12" i="1"/>
  <c r="J13" i="1" l="1"/>
  <c r="K11" i="1"/>
  <c r="N18" i="1" l="1"/>
  <c r="O12" i="1"/>
  <c r="L17" i="1"/>
  <c r="M17" i="1" s="1"/>
  <c r="O13" i="1"/>
  <c r="J15" i="1"/>
  <c r="K15" i="1" s="1"/>
  <c r="K21" i="1" s="1"/>
  <c r="J14" i="1"/>
  <c r="M15" i="1" l="1"/>
  <c r="N15" i="1" s="1"/>
  <c r="K14" i="1"/>
  <c r="J8" i="1"/>
  <c r="M7" i="1"/>
  <c r="N7" i="1" s="1"/>
  <c r="K13" i="1"/>
  <c r="K19" i="1" s="1"/>
  <c r="K12" i="1"/>
  <c r="M12" i="1" l="1"/>
  <c r="N12" i="1" s="1"/>
  <c r="K18" i="1"/>
  <c r="M14" i="1"/>
  <c r="N14" i="1" s="1"/>
  <c r="K20" i="1"/>
  <c r="O8" i="1"/>
  <c r="O7" i="1"/>
  <c r="O14" i="1"/>
  <c r="O15" i="1"/>
  <c r="J10" i="1"/>
  <c r="J9" i="1"/>
  <c r="K9" i="1" s="1"/>
  <c r="M9" i="1" s="1"/>
  <c r="N9" i="1" s="1"/>
  <c r="K8" i="1"/>
  <c r="M11" i="1"/>
  <c r="N11" i="1" s="1"/>
  <c r="M13" i="1"/>
  <c r="N13" i="1" s="1"/>
  <c r="K10" i="1" l="1"/>
  <c r="M10" i="1" s="1"/>
  <c r="N10" i="1" s="1"/>
  <c r="O9" i="1"/>
  <c r="O10" i="1"/>
  <c r="N3" i="1"/>
  <c r="O3" i="1" s="1"/>
  <c r="M8" i="1"/>
  <c r="N8" i="1" s="1"/>
  <c r="N2" i="1" l="1"/>
  <c r="O2" i="1" s="1"/>
</calcChain>
</file>

<file path=xl/sharedStrings.xml><?xml version="1.0" encoding="utf-8"?>
<sst xmlns="http://schemas.openxmlformats.org/spreadsheetml/2006/main" count="68" uniqueCount="37">
  <si>
    <t>Tabla</t>
  </si>
  <si>
    <t>Planta</t>
  </si>
  <si>
    <t>Seccion</t>
  </si>
  <si>
    <t>Cuello de botella</t>
  </si>
  <si>
    <t>Eficiencia</t>
  </si>
  <si>
    <t>Pieza que sale</t>
  </si>
  <si>
    <t>EC</t>
  </si>
  <si>
    <t>Cantidad de WIP</t>
  </si>
  <si>
    <t>Cantidad a producir</t>
  </si>
  <si>
    <t>Cantidad a producir por quincena</t>
  </si>
  <si>
    <t xml:space="preserve">Centro </t>
  </si>
  <si>
    <t>West</t>
  </si>
  <si>
    <t>Si</t>
  </si>
  <si>
    <t>Assembly B</t>
  </si>
  <si>
    <t>Assembly A</t>
  </si>
  <si>
    <t>Assembly C</t>
  </si>
  <si>
    <t>Assembly D</t>
  </si>
  <si>
    <t>N/A</t>
  </si>
  <si>
    <t>Capacidad con overtime</t>
  </si>
  <si>
    <t>Cuantas quincenas de overtime</t>
  </si>
  <si>
    <t>Exceden capacidad</t>
  </si>
  <si>
    <t>cuello de botella Center</t>
  </si>
  <si>
    <t>cuello de botella West</t>
  </si>
  <si>
    <t>Produccion para Sandra Center</t>
  </si>
  <si>
    <t>Produccion para Sandra West</t>
  </si>
  <si>
    <t>(recuerda que el overtime va al inicio)</t>
  </si>
  <si>
    <t>Produccion perdida</t>
  </si>
  <si>
    <t>Pendiente de no hardcodear</t>
  </si>
  <si>
    <t>Pendiente de terminar de formular</t>
  </si>
  <si>
    <t>F2</t>
  </si>
  <si>
    <t>F1</t>
  </si>
  <si>
    <t>Fornite de perdida</t>
  </si>
  <si>
    <t>2nd Shift</t>
  </si>
  <si>
    <t>Cuello sin Over West</t>
  </si>
  <si>
    <t>Capacidad sin Eficiencia</t>
  </si>
  <si>
    <t>Capacidad sin Eficiencia2</t>
  </si>
  <si>
    <t>Capacidad quincenal con eficiencia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</si>
</sst>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3" fontId="0" fillId="3" borderId="1" xfId="0" applyNumberFormat="1" applyFill="1" applyBorder="1"/>
    <xf numFmtId="3" fontId="0" fillId="4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8">
    <dxf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292CC-AD9A-41D5-87A7-F58E61EC0CFD}" name="Tabla1" displayName="Tabla1" ref="A5:P15" totalsRowShown="0" headerRowDxfId="17" dataDxfId="16">
  <autoFilter ref="A5:P15" xr:uid="{5FA292CC-AD9A-41D5-87A7-F58E61EC0CFD}"/>
  <tableColumns count="16">
    <tableColumn id="1" xr3:uid="{BD47FAAA-DA9D-4E43-A384-63083F616102}" name="Planta" dataDxfId="15"/>
    <tableColumn id="2" xr3:uid="{7A93114A-C70B-4FA8-BB91-5700A619CCB4}" name="Seccion" dataDxfId="14"/>
    <tableColumn id="3" xr3:uid="{9771BA1F-401D-487F-BF73-0885EB9C4EBE}" name="Cuello de botella" dataDxfId="13"/>
    <tableColumn id="4" xr3:uid="{1C095934-FE13-402A-BD41-C432223AC61D}" name="Capacidad sin Eficiencia" dataDxfId="12"/>
    <tableColumn id="5" xr3:uid="{E5F78E57-FDA9-4A56-B197-C9A95184213D}" name="Capacidad sin Eficiencia2" dataDxfId="11">
      <calculatedColumnFormula>ROUNDDOWN(D6,0)</calculatedColumnFormula>
    </tableColumn>
    <tableColumn id="6" xr3:uid="{38D0D202-603D-4137-BC86-01BD98F61AE5}" name="Eficiencia" dataDxfId="10"/>
    <tableColumn id="7" xr3:uid="{C052A820-31E3-4C2D-82C6-F7F9652C81C0}" name="Capacidad con overtime" dataDxfId="0">
      <calculatedColumnFormula>ROUNDDOWN(E6*F6,0)</calculatedColumnFormula>
    </tableColumn>
    <tableColumn id="8" xr3:uid="{8702D96D-FF50-4951-9EB6-61F6892B569D}" name="Pieza que sale" dataDxfId="9"/>
    <tableColumn id="9" xr3:uid="{4D5080BE-069D-4A7A-AD06-8542C8290A7F}" name="Cantidad de WIP" dataDxfId="8"/>
    <tableColumn id="10" xr3:uid="{DBE3823A-81E0-4DE0-B46F-87F49CC103A6}" name="Cantidad a producir" dataDxfId="7"/>
    <tableColumn id="11" xr3:uid="{D19D93E9-7F0F-467D-8757-1C6F6CF87AB4}" name="Cantidad a producir por quincena" dataDxfId="3">
      <calculatedColumnFormula>ROUNDUP(J6/8,0)</calculatedColumnFormula>
    </tableColumn>
    <tableColumn id="12" xr3:uid="{91281D4B-3DD2-4874-B155-249941D2432A}" name="Capacidad quincenal con eficiencia" dataDxfId="1">
      <calculatedColumnFormula>ROUNDUP(G6/8,0)</calculatedColumnFormula>
    </tableColumn>
    <tableColumn id="13" xr3:uid="{0C65FD13-5AED-473B-9ACF-5FECA36B3FBA}" name="Exceden capacidad" dataDxfId="2">
      <calculatedColumnFormula>K6/L6</calculatedColumnFormula>
    </tableColumn>
    <tableColumn id="14" xr3:uid="{60E47546-C10F-4E90-AD76-9F9D502DAE7E}" name="Cuantas quincenas de overtime" dataDxfId="6">
      <calculatedColumnFormula>ROUNDUP((M6-1)/0.025,0)</calculatedColumnFormula>
    </tableColumn>
    <tableColumn id="15" xr3:uid="{1EA7EFA1-58C6-4767-B054-D79CC8D155E7}" name="Produccion perdida" dataDxfId="5"/>
    <tableColumn id="16" xr3:uid="{6D7038A6-8BD8-4D56-8CF7-9FA4B696D503}" name="Fornite de perdida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4AF8B-B624-4660-B831-80CF8B7E1B8C}">
  <dimension ref="A1:P21"/>
  <sheetViews>
    <sheetView tabSelected="1" zoomScaleNormal="100" workbookViewId="0">
      <selection activeCell="D6" sqref="D6"/>
    </sheetView>
  </sheetViews>
  <sheetFormatPr baseColWidth="10" defaultColWidth="11.5546875" defaultRowHeight="14.4" x14ac:dyDescent="0.3"/>
  <cols>
    <col min="1" max="1" width="10.77734375" bestFit="1" customWidth="1"/>
    <col min="2" max="2" width="12.109375" bestFit="1" customWidth="1"/>
    <col min="3" max="3" width="19.44140625" bestFit="1" customWidth="1"/>
    <col min="4" max="4" width="25.6640625" bestFit="1" customWidth="1"/>
    <col min="5" max="5" width="33.77734375" bestFit="1" customWidth="1"/>
    <col min="6" max="6" width="13.6640625" bestFit="1" customWidth="1"/>
    <col min="7" max="7" width="25.88671875" bestFit="1" customWidth="1"/>
    <col min="8" max="8" width="17.21875" bestFit="1" customWidth="1"/>
    <col min="9" max="9" width="19.21875" bestFit="1" customWidth="1"/>
    <col min="10" max="10" width="22" bestFit="1" customWidth="1"/>
    <col min="11" max="11" width="33.33203125" bestFit="1" customWidth="1"/>
    <col min="12" max="12" width="34" bestFit="1" customWidth="1"/>
    <col min="13" max="13" width="21.77734375" bestFit="1" customWidth="1"/>
    <col min="14" max="14" width="31.6640625" bestFit="1" customWidth="1"/>
    <col min="15" max="15" width="28.5546875" bestFit="1" customWidth="1"/>
    <col min="16" max="16" width="30.77734375" bestFit="1" customWidth="1"/>
  </cols>
  <sheetData>
    <row r="1" spans="1:16" x14ac:dyDescent="0.3">
      <c r="D1" t="s">
        <v>11</v>
      </c>
      <c r="E1" t="s">
        <v>32</v>
      </c>
      <c r="F1" t="s">
        <v>12</v>
      </c>
      <c r="N1" t="s">
        <v>26</v>
      </c>
      <c r="O1" s="4" t="s">
        <v>27</v>
      </c>
    </row>
    <row r="2" spans="1:16" x14ac:dyDescent="0.3">
      <c r="A2" t="s">
        <v>0</v>
      </c>
      <c r="J2" t="s">
        <v>21</v>
      </c>
      <c r="K2">
        <f>VLOOKUP("Si",C6:E10,2,FALSE)</f>
        <v>14560</v>
      </c>
      <c r="L2" s="1" t="s">
        <v>23</v>
      </c>
      <c r="M2" s="2">
        <f>VLOOKUP("Si",C6:G10,5,FALSE)</f>
        <v>18869</v>
      </c>
      <c r="N2">
        <f>SUM(O6:O10)</f>
        <v>353</v>
      </c>
      <c r="O2" s="3">
        <f>M2-N2</f>
        <v>18516</v>
      </c>
    </row>
    <row r="3" spans="1:16" x14ac:dyDescent="0.3">
      <c r="H3" t="s">
        <v>33</v>
      </c>
      <c r="I3">
        <f>D11*0.97</f>
        <v>10088</v>
      </c>
      <c r="J3" t="s">
        <v>22</v>
      </c>
      <c r="K3">
        <f>VLOOKUP("Si",C11:E15,2,FALSE)</f>
        <v>10400</v>
      </c>
      <c r="L3" s="1" t="s">
        <v>24</v>
      </c>
      <c r="M3" s="2">
        <f>VLOOKUP("Si",C11:G15,5,FALSE)</f>
        <v>11232</v>
      </c>
      <c r="N3">
        <f>SUM(O11:O15)</f>
        <v>1418</v>
      </c>
      <c r="O3" s="3">
        <f>M3-N3</f>
        <v>9814</v>
      </c>
      <c r="P3" s="4" t="s">
        <v>28</v>
      </c>
    </row>
    <row r="4" spans="1:16" x14ac:dyDescent="0.3">
      <c r="M4" s="5"/>
      <c r="O4" s="4"/>
      <c r="P4" s="7" t="s">
        <v>25</v>
      </c>
    </row>
    <row r="5" spans="1:16" s="5" customFormat="1" x14ac:dyDescent="0.3">
      <c r="A5" s="5" t="s">
        <v>1</v>
      </c>
      <c r="B5" s="5" t="s">
        <v>2</v>
      </c>
      <c r="C5" s="6" t="s">
        <v>3</v>
      </c>
      <c r="D5" s="5" t="s">
        <v>34</v>
      </c>
      <c r="E5" s="5" t="s">
        <v>35</v>
      </c>
      <c r="F5" s="5" t="s">
        <v>4</v>
      </c>
      <c r="G5" s="5" t="s">
        <v>18</v>
      </c>
      <c r="H5" s="5" t="s">
        <v>5</v>
      </c>
      <c r="I5" s="6" t="s">
        <v>7</v>
      </c>
      <c r="J5" s="5" t="s">
        <v>8</v>
      </c>
      <c r="K5" s="5" t="s">
        <v>9</v>
      </c>
      <c r="L5" s="5" t="s">
        <v>36</v>
      </c>
      <c r="M5" s="5" t="s">
        <v>20</v>
      </c>
      <c r="N5" s="5" t="s">
        <v>19</v>
      </c>
      <c r="O5" s="5" t="s">
        <v>26</v>
      </c>
      <c r="P5" s="5" t="s">
        <v>31</v>
      </c>
    </row>
    <row r="6" spans="1:16" s="5" customFormat="1" x14ac:dyDescent="0.3">
      <c r="A6" s="5" t="s">
        <v>10</v>
      </c>
      <c r="B6" s="5">
        <v>5</v>
      </c>
      <c r="C6" s="8" t="s">
        <v>12</v>
      </c>
      <c r="D6" s="5">
        <v>14560</v>
      </c>
      <c r="E6" s="5">
        <f t="shared" ref="E6:E15" si="0">ROUNDDOWN(D6,0)</f>
        <v>14560</v>
      </c>
      <c r="F6" s="5">
        <v>1.08</v>
      </c>
      <c r="G6" s="5">
        <f>ROUNDDOWN(E6*F6*1.2,0)</f>
        <v>18869</v>
      </c>
      <c r="H6" s="5" t="s">
        <v>6</v>
      </c>
      <c r="I6" s="8" t="s">
        <v>17</v>
      </c>
      <c r="J6" s="5">
        <f>K2</f>
        <v>14560</v>
      </c>
      <c r="K6" s="9">
        <f>ROUNDUP(J6/8,0)</f>
        <v>1820</v>
      </c>
      <c r="L6" s="13">
        <f t="shared" ref="L6:L15" si="1">ROUNDUP(G6/8,0)</f>
        <v>2359</v>
      </c>
      <c r="M6" s="10">
        <f>K6/L6</f>
        <v>0.771513353115727</v>
      </c>
      <c r="N6" s="5">
        <f>ROUNDUP((M6-1)/0.025,0)</f>
        <v>-10</v>
      </c>
      <c r="O6" s="5">
        <v>0</v>
      </c>
      <c r="P6" s="5" t="s">
        <v>30</v>
      </c>
    </row>
    <row r="7" spans="1:16" s="5" customFormat="1" x14ac:dyDescent="0.3">
      <c r="A7" s="5" t="s">
        <v>10</v>
      </c>
      <c r="B7" s="5">
        <v>4</v>
      </c>
      <c r="C7" s="8"/>
      <c r="D7" s="5">
        <v>15600</v>
      </c>
      <c r="E7" s="5">
        <f t="shared" si="0"/>
        <v>15600</v>
      </c>
      <c r="F7" s="5">
        <v>1.08</v>
      </c>
      <c r="G7" s="5">
        <f t="shared" ref="G7:G10" si="2">ROUNDDOWN(E7*F7*1.2,0)</f>
        <v>20217</v>
      </c>
      <c r="H7" s="5" t="s">
        <v>16</v>
      </c>
      <c r="I7" s="8">
        <v>3144</v>
      </c>
      <c r="J7" s="5">
        <f>J6-I7</f>
        <v>11416</v>
      </c>
      <c r="K7" s="9">
        <f>ROUNDUP(J7/8,0)</f>
        <v>1427</v>
      </c>
      <c r="L7" s="13">
        <f t="shared" si="1"/>
        <v>2528</v>
      </c>
      <c r="M7" s="10">
        <f t="shared" ref="M7:M10" si="3">K7/L7</f>
        <v>0.56447784810126578</v>
      </c>
      <c r="N7" s="5">
        <f t="shared" ref="N7:N15" si="4">ROUNDUP((M7-1)/0.025,0)</f>
        <v>-18</v>
      </c>
      <c r="O7" s="5">
        <f>IF(K6-I7&gt;0,K6-I7,0)</f>
        <v>0</v>
      </c>
      <c r="P7" s="5" t="s">
        <v>30</v>
      </c>
    </row>
    <row r="8" spans="1:16" s="5" customFormat="1" x14ac:dyDescent="0.3">
      <c r="A8" s="5" t="s">
        <v>10</v>
      </c>
      <c r="B8" s="5">
        <v>3</v>
      </c>
      <c r="C8" s="8"/>
      <c r="D8" s="5">
        <v>14400</v>
      </c>
      <c r="E8" s="5">
        <f t="shared" si="0"/>
        <v>14400</v>
      </c>
      <c r="F8" s="5">
        <v>1.08</v>
      </c>
      <c r="G8" s="5">
        <f t="shared" si="2"/>
        <v>18662</v>
      </c>
      <c r="H8" s="5" t="s">
        <v>15</v>
      </c>
      <c r="I8" s="8">
        <v>1573</v>
      </c>
      <c r="J8" s="5">
        <f>J6-I8</f>
        <v>12987</v>
      </c>
      <c r="K8" s="9">
        <f t="shared" ref="K8:K14" si="5">ROUNDUP(J8/8,0)</f>
        <v>1624</v>
      </c>
      <c r="L8" s="13">
        <f t="shared" si="1"/>
        <v>2333</v>
      </c>
      <c r="M8" s="10">
        <f t="shared" si="3"/>
        <v>0.69609944277753966</v>
      </c>
      <c r="N8" s="5">
        <f t="shared" si="4"/>
        <v>-13</v>
      </c>
      <c r="O8" s="5">
        <f>IF(K6-I8&gt;0,K6-I8,0)</f>
        <v>247</v>
      </c>
      <c r="P8" s="5" t="s">
        <v>30</v>
      </c>
    </row>
    <row r="9" spans="1:16" s="5" customFormat="1" x14ac:dyDescent="0.3">
      <c r="A9" s="5" t="s">
        <v>10</v>
      </c>
      <c r="B9" s="5">
        <v>2</v>
      </c>
      <c r="C9" s="8"/>
      <c r="D9" s="5">
        <v>17920</v>
      </c>
      <c r="E9" s="5">
        <f t="shared" si="0"/>
        <v>17920</v>
      </c>
      <c r="F9" s="5">
        <v>1.08</v>
      </c>
      <c r="G9" s="5">
        <f t="shared" si="2"/>
        <v>23224</v>
      </c>
      <c r="H9" s="5" t="s">
        <v>13</v>
      </c>
      <c r="I9" s="8">
        <v>1573</v>
      </c>
      <c r="J9" s="5">
        <f>J8-I9</f>
        <v>11414</v>
      </c>
      <c r="K9" s="9">
        <f t="shared" si="5"/>
        <v>1427</v>
      </c>
      <c r="L9" s="13">
        <f t="shared" si="1"/>
        <v>2903</v>
      </c>
      <c r="M9" s="10">
        <f t="shared" si="3"/>
        <v>0.49156045470203236</v>
      </c>
      <c r="N9" s="5">
        <f t="shared" si="4"/>
        <v>-21</v>
      </c>
      <c r="O9" s="5">
        <f>IF(K8-I9&gt;0,K8-I9,0)</f>
        <v>51</v>
      </c>
      <c r="P9" s="5" t="s">
        <v>29</v>
      </c>
    </row>
    <row r="10" spans="1:16" s="5" customFormat="1" x14ac:dyDescent="0.3">
      <c r="A10" s="5" t="s">
        <v>10</v>
      </c>
      <c r="B10" s="5">
        <v>1</v>
      </c>
      <c r="C10" s="8"/>
      <c r="D10" s="5">
        <v>19200</v>
      </c>
      <c r="E10" s="5">
        <f t="shared" si="0"/>
        <v>19200</v>
      </c>
      <c r="F10" s="5">
        <v>1.08</v>
      </c>
      <c r="G10" s="5">
        <f t="shared" si="2"/>
        <v>24883</v>
      </c>
      <c r="H10" s="5" t="s">
        <v>14</v>
      </c>
      <c r="I10" s="8">
        <v>1569</v>
      </c>
      <c r="J10" s="5">
        <f>J8-I10</f>
        <v>11418</v>
      </c>
      <c r="K10" s="9">
        <f>ROUNDUP(J10/8,0)</f>
        <v>1428</v>
      </c>
      <c r="L10" s="13">
        <f t="shared" si="1"/>
        <v>3111</v>
      </c>
      <c r="M10" s="10">
        <f t="shared" si="3"/>
        <v>0.45901639344262296</v>
      </c>
      <c r="N10" s="5">
        <f t="shared" si="4"/>
        <v>-22</v>
      </c>
      <c r="O10" s="5">
        <f>IF(K8-Tabla1[[#This Row],[Cantidad de WIP]]&gt;0,K8-Tabla1[[#This Row],[Cantidad de WIP]],0)</f>
        <v>55</v>
      </c>
      <c r="P10" s="5" t="s">
        <v>29</v>
      </c>
    </row>
    <row r="11" spans="1:16" s="5" customFormat="1" x14ac:dyDescent="0.3">
      <c r="A11" s="5" t="s">
        <v>11</v>
      </c>
      <c r="B11" s="5">
        <v>5</v>
      </c>
      <c r="C11" s="8" t="s">
        <v>12</v>
      </c>
      <c r="D11" s="5">
        <f>IF($F$1="Si",5200*2,5200)</f>
        <v>10400</v>
      </c>
      <c r="E11" s="5">
        <f t="shared" si="0"/>
        <v>10400</v>
      </c>
      <c r="F11" s="5">
        <v>1.08</v>
      </c>
      <c r="G11" s="5">
        <f t="shared" ref="G11:G13" si="6">ROUNDDOWN(E11*F11,0)</f>
        <v>11232</v>
      </c>
      <c r="H11" s="5" t="s">
        <v>6</v>
      </c>
      <c r="I11" s="8" t="s">
        <v>17</v>
      </c>
      <c r="J11" s="5">
        <f>I3</f>
        <v>10088</v>
      </c>
      <c r="K11" s="9">
        <f>ROUNDUP(J11/8,0)</f>
        <v>1261</v>
      </c>
      <c r="L11" s="13">
        <f t="shared" si="1"/>
        <v>1404</v>
      </c>
      <c r="M11" s="10">
        <f>K11/L11</f>
        <v>0.89814814814814814</v>
      </c>
      <c r="N11" s="5">
        <f>ROUNDUP((M11-1)/0.025,0)</f>
        <v>-5</v>
      </c>
      <c r="O11" s="5">
        <v>0</v>
      </c>
      <c r="P11" s="5" t="s">
        <v>30</v>
      </c>
    </row>
    <row r="12" spans="1:16" s="5" customFormat="1" x14ac:dyDescent="0.3">
      <c r="A12" s="5" t="s">
        <v>11</v>
      </c>
      <c r="B12" s="5">
        <v>4</v>
      </c>
      <c r="C12" s="8"/>
      <c r="D12" s="5">
        <f>IF($F$1="Si",6000*2,6000)</f>
        <v>12000</v>
      </c>
      <c r="E12" s="5">
        <f t="shared" si="0"/>
        <v>12000</v>
      </c>
      <c r="F12" s="5">
        <v>1.08</v>
      </c>
      <c r="G12" s="5">
        <f t="shared" si="6"/>
        <v>12960</v>
      </c>
      <c r="H12" s="5" t="s">
        <v>16</v>
      </c>
      <c r="I12" s="8">
        <v>1461</v>
      </c>
      <c r="J12" s="5">
        <f>J11-I12</f>
        <v>8627</v>
      </c>
      <c r="K12" s="9">
        <f t="shared" si="5"/>
        <v>1079</v>
      </c>
      <c r="L12" s="13">
        <f t="shared" si="1"/>
        <v>1620</v>
      </c>
      <c r="M12" s="10">
        <f t="shared" ref="M12:M15" si="7">K12/L12</f>
        <v>0.66604938271604941</v>
      </c>
      <c r="N12" s="5">
        <f t="shared" si="4"/>
        <v>-14</v>
      </c>
      <c r="O12" s="5">
        <f>IF(K11-I12&gt;0,K11-I12,0)</f>
        <v>0</v>
      </c>
      <c r="P12" s="5" t="s">
        <v>30</v>
      </c>
    </row>
    <row r="13" spans="1:16" s="5" customFormat="1" x14ac:dyDescent="0.3">
      <c r="A13" s="5" t="s">
        <v>11</v>
      </c>
      <c r="B13" s="5">
        <v>3</v>
      </c>
      <c r="C13" s="8"/>
      <c r="D13" s="5">
        <f>IF($F$1="Si",6400*2,6400)</f>
        <v>12800</v>
      </c>
      <c r="E13" s="5">
        <f t="shared" si="0"/>
        <v>12800</v>
      </c>
      <c r="F13" s="5">
        <v>1.08</v>
      </c>
      <c r="G13" s="5">
        <f t="shared" si="6"/>
        <v>13824</v>
      </c>
      <c r="H13" s="5" t="s">
        <v>15</v>
      </c>
      <c r="I13" s="8">
        <v>727</v>
      </c>
      <c r="J13" s="5">
        <f>J11-I13</f>
        <v>9361</v>
      </c>
      <c r="K13" s="9">
        <f t="shared" si="5"/>
        <v>1171</v>
      </c>
      <c r="L13" s="13">
        <f t="shared" si="1"/>
        <v>1728</v>
      </c>
      <c r="M13" s="10">
        <f t="shared" si="7"/>
        <v>0.67766203703703709</v>
      </c>
      <c r="N13" s="5">
        <f t="shared" si="4"/>
        <v>-13</v>
      </c>
      <c r="O13" s="5">
        <f>IF(K11-I13&gt;0,K11-I13,0)</f>
        <v>534</v>
      </c>
      <c r="P13" s="5" t="s">
        <v>30</v>
      </c>
    </row>
    <row r="14" spans="1:16" s="5" customFormat="1" x14ac:dyDescent="0.3">
      <c r="A14" s="5" t="s">
        <v>11</v>
      </c>
      <c r="B14" s="5">
        <v>2</v>
      </c>
      <c r="C14" s="8"/>
      <c r="D14" s="5">
        <f>IF($F$1="Si",5600*2,5600)</f>
        <v>11200</v>
      </c>
      <c r="E14" s="5">
        <f t="shared" si="0"/>
        <v>11200</v>
      </c>
      <c r="F14" s="5">
        <v>1.08</v>
      </c>
      <c r="G14" s="5">
        <f>ROUNDDOWN(E14*F14,0)</f>
        <v>12096</v>
      </c>
      <c r="H14" s="5" t="s">
        <v>13</v>
      </c>
      <c r="I14" s="8">
        <v>731</v>
      </c>
      <c r="J14" s="5">
        <f>J13-I14</f>
        <v>8630</v>
      </c>
      <c r="K14" s="9">
        <f t="shared" si="5"/>
        <v>1079</v>
      </c>
      <c r="L14" s="13">
        <f t="shared" si="1"/>
        <v>1512</v>
      </c>
      <c r="M14" s="10">
        <f t="shared" si="7"/>
        <v>0.71362433862433861</v>
      </c>
      <c r="N14" s="5">
        <f t="shared" si="4"/>
        <v>-12</v>
      </c>
      <c r="O14" s="5">
        <f>IF(K13-I14&gt;0,K13-I14,0)</f>
        <v>440</v>
      </c>
      <c r="P14" s="5" t="s">
        <v>29</v>
      </c>
    </row>
    <row r="15" spans="1:16" s="5" customFormat="1" x14ac:dyDescent="0.3">
      <c r="A15" s="5" t="s">
        <v>11</v>
      </c>
      <c r="B15" s="5">
        <v>1</v>
      </c>
      <c r="C15" s="8"/>
      <c r="D15" s="5">
        <f>IF($F$1="Si",6400*2,6400)</f>
        <v>12800</v>
      </c>
      <c r="E15" s="5">
        <f t="shared" si="0"/>
        <v>12800</v>
      </c>
      <c r="F15" s="5">
        <v>1.08</v>
      </c>
      <c r="G15" s="5">
        <f t="shared" ref="G15" si="8">ROUNDDOWN(E15*F15,0)</f>
        <v>13824</v>
      </c>
      <c r="H15" s="5" t="s">
        <v>14</v>
      </c>
      <c r="I15" s="8">
        <v>727</v>
      </c>
      <c r="J15" s="5">
        <f>J13-I15</f>
        <v>8634</v>
      </c>
      <c r="K15" s="9">
        <f>ROUNDUP(J15/8,0)</f>
        <v>1080</v>
      </c>
      <c r="L15" s="13">
        <f t="shared" si="1"/>
        <v>1728</v>
      </c>
      <c r="M15" s="10">
        <f t="shared" si="7"/>
        <v>0.625</v>
      </c>
      <c r="N15" s="5">
        <f t="shared" si="4"/>
        <v>-15</v>
      </c>
      <c r="O15" s="5">
        <f>IF(K13-Tabla1[[#This Row],[Cantidad de WIP]]&gt;0,K13-Tabla1[[#This Row],[Cantidad de WIP]],0)</f>
        <v>444</v>
      </c>
      <c r="P15" s="5" t="s">
        <v>29</v>
      </c>
    </row>
    <row r="17" spans="10:14" x14ac:dyDescent="0.3">
      <c r="J17" s="11" t="s">
        <v>6</v>
      </c>
      <c r="K17">
        <f>K11/2</f>
        <v>630.5</v>
      </c>
      <c r="L17">
        <f>K17*2</f>
        <v>1261</v>
      </c>
      <c r="M17">
        <f>L17*8</f>
        <v>10088</v>
      </c>
    </row>
    <row r="18" spans="10:14" x14ac:dyDescent="0.3">
      <c r="J18" s="12" t="s">
        <v>16</v>
      </c>
      <c r="K18">
        <f t="shared" ref="K18:K20" si="9">K12/2</f>
        <v>539.5</v>
      </c>
      <c r="N18">
        <f>M2/8</f>
        <v>2358.625</v>
      </c>
    </row>
    <row r="19" spans="10:14" x14ac:dyDescent="0.3">
      <c r="J19" s="11" t="s">
        <v>15</v>
      </c>
      <c r="K19">
        <f t="shared" si="9"/>
        <v>585.5</v>
      </c>
    </row>
    <row r="20" spans="10:14" x14ac:dyDescent="0.3">
      <c r="J20" s="12" t="s">
        <v>13</v>
      </c>
      <c r="K20">
        <f t="shared" si="9"/>
        <v>539.5</v>
      </c>
    </row>
    <row r="21" spans="10:14" x14ac:dyDescent="0.3">
      <c r="J21" s="11" t="s">
        <v>14</v>
      </c>
      <c r="K21">
        <f>K15/2</f>
        <v>540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Daniel Quiroga Villalobos</dc:creator>
  <cp:lastModifiedBy>Alberto Daniel Quiroga Villalobos</cp:lastModifiedBy>
  <dcterms:created xsi:type="dcterms:W3CDTF">2026-01-22T04:25:47Z</dcterms:created>
  <dcterms:modified xsi:type="dcterms:W3CDTF">2026-01-23T02:22:33Z</dcterms:modified>
</cp:coreProperties>
</file>