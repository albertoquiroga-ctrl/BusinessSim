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c407a335d7300f/Documentos/GitHub/BusinessSim/Production/"/>
    </mc:Choice>
  </mc:AlternateContent>
  <xr:revisionPtr revIDLastSave="0" documentId="8_{1570D025-B3C2-42BF-BBC5-2891C5005817}" xr6:coauthVersionLast="47" xr6:coauthVersionMax="47" xr10:uidLastSave="{00000000-0000-0000-0000-000000000000}"/>
  <bookViews>
    <workbookView xWindow="-108" yWindow="-108" windowWidth="23256" windowHeight="12456" xr2:uid="{1B2BCA49-7FFA-4075-BD35-664642E0321C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O6" i="1"/>
  <c r="O2" i="1"/>
  <c r="O13" i="1"/>
  <c r="O12" i="1"/>
  <c r="O11" i="1"/>
  <c r="O10" i="1"/>
  <c r="O8" i="1"/>
  <c r="N2" i="1"/>
  <c r="L5" i="1"/>
  <c r="E5" i="1"/>
  <c r="G5" i="1" s="1"/>
  <c r="M2" i="1" s="1"/>
  <c r="L14" i="1"/>
  <c r="E14" i="1"/>
  <c r="G14" i="1" s="1"/>
  <c r="L13" i="1"/>
  <c r="E13" i="1"/>
  <c r="G13" i="1" s="1"/>
  <c r="L12" i="1"/>
  <c r="E12" i="1"/>
  <c r="G12" i="1" s="1"/>
  <c r="L11" i="1"/>
  <c r="E11" i="1"/>
  <c r="G11" i="1" s="1"/>
  <c r="L10" i="1"/>
  <c r="E10" i="1"/>
  <c r="G10" i="1" s="1"/>
  <c r="M3" i="1" s="1"/>
  <c r="L6" i="1"/>
  <c r="L7" i="1"/>
  <c r="L8" i="1"/>
  <c r="L9" i="1"/>
  <c r="E6" i="1"/>
  <c r="G6" i="1" s="1"/>
  <c r="E7" i="1"/>
  <c r="G7" i="1" s="1"/>
  <c r="E8" i="1"/>
  <c r="G8" i="1" s="1"/>
  <c r="H2" i="1" s="1"/>
  <c r="E9" i="1"/>
  <c r="G9" i="1" s="1"/>
  <c r="K3" i="1" l="1"/>
  <c r="K2" i="1"/>
  <c r="J5" i="1" s="1"/>
  <c r="J7" i="1" s="1"/>
  <c r="J10" i="1"/>
  <c r="J12" i="1" s="1"/>
  <c r="J14" i="1" s="1"/>
  <c r="J11" i="1"/>
  <c r="K5" i="1"/>
  <c r="J6" i="1"/>
  <c r="K6" i="1" s="1"/>
  <c r="M6" i="1" s="1"/>
  <c r="N6" i="1" s="1"/>
  <c r="K7" i="1"/>
  <c r="O7" i="1" l="1"/>
  <c r="M5" i="1"/>
  <c r="N5" i="1" s="1"/>
  <c r="J13" i="1"/>
  <c r="M7" i="1"/>
  <c r="N7" i="1" s="1"/>
  <c r="J8" i="1"/>
  <c r="K8" i="1" s="1"/>
  <c r="M8" i="1" s="1"/>
  <c r="N8" i="1" s="1"/>
  <c r="J9" i="1"/>
  <c r="K9" i="1" s="1"/>
  <c r="M9" i="1" s="1"/>
  <c r="N9" i="1" s="1"/>
  <c r="K13" i="1" l="1"/>
  <c r="M13" i="1" s="1"/>
  <c r="N13" i="1" s="1"/>
  <c r="K14" i="1"/>
  <c r="M14" i="1" s="1"/>
  <c r="N14" i="1" s="1"/>
  <c r="K12" i="1"/>
  <c r="M12" i="1" s="1"/>
  <c r="N12" i="1" s="1"/>
  <c r="K11" i="1"/>
  <c r="M11" i="1" s="1"/>
  <c r="N11" i="1" s="1"/>
  <c r="K10" i="1"/>
  <c r="M10" i="1" s="1"/>
  <c r="N10" i="1" s="1"/>
</calcChain>
</file>

<file path=xl/sharedStrings.xml><?xml version="1.0" encoding="utf-8"?>
<sst xmlns="http://schemas.openxmlformats.org/spreadsheetml/2006/main" count="48" uniqueCount="32">
  <si>
    <t>Tabla</t>
  </si>
  <si>
    <t>Planta</t>
  </si>
  <si>
    <t>Seccion</t>
  </si>
  <si>
    <t>Cuello de botella</t>
  </si>
  <si>
    <t>Eficiencia</t>
  </si>
  <si>
    <t>Pieza que sale</t>
  </si>
  <si>
    <t>EC</t>
  </si>
  <si>
    <t>Cantidad de WIP</t>
  </si>
  <si>
    <t>Cantidad a producir</t>
  </si>
  <si>
    <t>Cantidad a producir por quincena</t>
  </si>
  <si>
    <t xml:space="preserve">Centro </t>
  </si>
  <si>
    <t>West</t>
  </si>
  <si>
    <t>Si</t>
  </si>
  <si>
    <t>Assembly B</t>
  </si>
  <si>
    <t>Assembly A</t>
  </si>
  <si>
    <t>Assembly C</t>
  </si>
  <si>
    <t>Assembly D</t>
  </si>
  <si>
    <t>N/A</t>
  </si>
  <si>
    <t>Capacidad sin Overtime</t>
  </si>
  <si>
    <t>Capacidad quincenal sin overtime</t>
  </si>
  <si>
    <t>Capacidad con overtime</t>
  </si>
  <si>
    <t>Cuantas quincenas de overtime</t>
  </si>
  <si>
    <t>Exceden capacidad</t>
  </si>
  <si>
    <t>cuello de botella Center</t>
  </si>
  <si>
    <t>cuello de botella West</t>
  </si>
  <si>
    <t>Capacidad con Over sin Eficiencia</t>
  </si>
  <si>
    <t>Produccion para Sandra Center</t>
  </si>
  <si>
    <t>Produccion para Sandra West</t>
  </si>
  <si>
    <t>(recuerda que el overtime va al inicio)</t>
  </si>
  <si>
    <t>Produccion perdida</t>
  </si>
  <si>
    <t>Pendiente de no hardcodear</t>
  </si>
  <si>
    <t>Pendiente de terminar de formular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</si>
</sst>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0" fillId="2" borderId="0" xfId="0" applyFill="1"/>
    <xf numFmtId="0" fontId="2" fillId="0" borderId="0" xfId="0" applyFont="1"/>
    <xf numFmtId="0" fontId="0" fillId="0" borderId="1" xfId="0" applyBorder="1"/>
    <xf numFmtId="3" fontId="0" fillId="3" borderId="1" xfId="0" applyNumberFormat="1" applyFill="1" applyBorder="1"/>
    <xf numFmtId="3" fontId="0" fillId="4" borderId="0" xfId="0" applyNumberForma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4AF8B-B624-4660-B831-80CF8B7E1B8C}">
  <dimension ref="A1:P14"/>
  <sheetViews>
    <sheetView tabSelected="1" topLeftCell="H1" workbookViewId="0">
      <selection activeCell="O3" sqref="O3"/>
    </sheetView>
  </sheetViews>
  <sheetFormatPr baseColWidth="10" defaultRowHeight="14.4" x14ac:dyDescent="0.3"/>
  <cols>
    <col min="1" max="1" width="6.77734375" bestFit="1" customWidth="1"/>
    <col min="2" max="2" width="7.44140625" bestFit="1" customWidth="1"/>
    <col min="3" max="3" width="14.21875" bestFit="1" customWidth="1"/>
    <col min="4" max="4" width="20.109375" bestFit="1" customWidth="1"/>
    <col min="5" max="5" width="28.33203125" bestFit="1" customWidth="1"/>
    <col min="6" max="6" width="8.88671875" bestFit="1" customWidth="1"/>
    <col min="7" max="7" width="20.44140625" bestFit="1" customWidth="1"/>
    <col min="8" max="8" width="12.33203125" bestFit="1" customWidth="1"/>
    <col min="9" max="9" width="14.109375" bestFit="1" customWidth="1"/>
    <col min="10" max="10" width="19.88671875" bestFit="1" customWidth="1"/>
    <col min="11" max="11" width="27.77734375" bestFit="1" customWidth="1"/>
    <col min="12" max="12" width="28.21875" bestFit="1" customWidth="1"/>
    <col min="13" max="13" width="16.6640625" bestFit="1" customWidth="1"/>
    <col min="14" max="14" width="26.33203125" bestFit="1" customWidth="1"/>
    <col min="15" max="15" width="16.77734375" bestFit="1" customWidth="1"/>
  </cols>
  <sheetData>
    <row r="1" spans="1:16" x14ac:dyDescent="0.3">
      <c r="N1" t="s">
        <v>29</v>
      </c>
      <c r="O1" s="7" t="s">
        <v>30</v>
      </c>
    </row>
    <row r="2" spans="1:16" x14ac:dyDescent="0.3">
      <c r="A2" t="s">
        <v>0</v>
      </c>
      <c r="H2">
        <f>+G8+I8</f>
        <v>24682</v>
      </c>
      <c r="J2" t="s">
        <v>23</v>
      </c>
      <c r="K2">
        <f>VLOOKUP("Si",C5:E9,3,FALSE)</f>
        <v>21600</v>
      </c>
      <c r="L2" s="4" t="s">
        <v>26</v>
      </c>
      <c r="M2" s="5">
        <f>VLOOKUP("Si",C5:G9,5,FALSE)</f>
        <v>20952</v>
      </c>
      <c r="N2">
        <f>O6</f>
        <v>1604</v>
      </c>
      <c r="O2" s="6">
        <f>M2-N2</f>
        <v>19348</v>
      </c>
    </row>
    <row r="3" spans="1:16" x14ac:dyDescent="0.3">
      <c r="J3" t="s">
        <v>24</v>
      </c>
      <c r="K3">
        <f>VLOOKUP("Si",C10:E14,3,FALSE)</f>
        <v>6240</v>
      </c>
      <c r="L3" s="4" t="s">
        <v>27</v>
      </c>
      <c r="M3" s="5">
        <f>VLOOKUP("Si",C10:G14,5,FALSE)</f>
        <v>6052</v>
      </c>
      <c r="O3" s="7" t="s">
        <v>31</v>
      </c>
    </row>
    <row r="4" spans="1:16" x14ac:dyDescent="0.3">
      <c r="A4" t="s">
        <v>1</v>
      </c>
      <c r="B4" t="s">
        <v>2</v>
      </c>
      <c r="C4" s="2" t="s">
        <v>3</v>
      </c>
      <c r="D4" t="s">
        <v>18</v>
      </c>
      <c r="E4" t="s">
        <v>25</v>
      </c>
      <c r="F4" t="s">
        <v>4</v>
      </c>
      <c r="G4" t="s">
        <v>20</v>
      </c>
      <c r="H4" t="s">
        <v>5</v>
      </c>
      <c r="I4" s="2" t="s">
        <v>7</v>
      </c>
      <c r="J4" t="s">
        <v>8</v>
      </c>
      <c r="K4" t="s">
        <v>9</v>
      </c>
      <c r="L4" t="s">
        <v>19</v>
      </c>
      <c r="M4" t="s">
        <v>22</v>
      </c>
      <c r="N4" t="s">
        <v>21</v>
      </c>
      <c r="O4" t="s">
        <v>29</v>
      </c>
      <c r="P4" s="7" t="s">
        <v>28</v>
      </c>
    </row>
    <row r="5" spans="1:16" x14ac:dyDescent="0.3">
      <c r="A5" t="s">
        <v>10</v>
      </c>
      <c r="B5">
        <v>5</v>
      </c>
      <c r="C5" s="2" t="s">
        <v>12</v>
      </c>
      <c r="D5">
        <v>18000</v>
      </c>
      <c r="E5">
        <f>ROUNDDOWN(D5*1.2,0)</f>
        <v>21600</v>
      </c>
      <c r="F5">
        <v>0.97</v>
      </c>
      <c r="G5">
        <f>ROUNDDOWN(E5*F5,0)</f>
        <v>20952</v>
      </c>
      <c r="H5" t="s">
        <v>6</v>
      </c>
      <c r="I5" s="2" t="s">
        <v>17</v>
      </c>
      <c r="J5">
        <f>K2</f>
        <v>21600</v>
      </c>
      <c r="K5" s="3">
        <f>ROUNDUP(J5/8,0)</f>
        <v>2700</v>
      </c>
      <c r="L5">
        <f>D5/8</f>
        <v>2250</v>
      </c>
      <c r="M5" s="1">
        <f>K5/L5</f>
        <v>1.2</v>
      </c>
      <c r="N5">
        <f>ROUNDUP((M5-1)/0.025,0)</f>
        <v>8</v>
      </c>
      <c r="O5">
        <f>IF(K5-I6&gt;0,K5-I6,0)</f>
        <v>0</v>
      </c>
    </row>
    <row r="6" spans="1:16" x14ac:dyDescent="0.3">
      <c r="A6" t="s">
        <v>10</v>
      </c>
      <c r="B6">
        <v>4</v>
      </c>
      <c r="C6" s="2"/>
      <c r="D6">
        <v>18000</v>
      </c>
      <c r="E6">
        <f t="shared" ref="E6:E14" si="0">ROUNDDOWN(D6*1.2,0)</f>
        <v>21600</v>
      </c>
      <c r="F6">
        <v>0.97</v>
      </c>
      <c r="G6">
        <f t="shared" ref="G6:G9" si="1">ROUNDDOWN(E6*F6,0)</f>
        <v>20952</v>
      </c>
      <c r="H6" t="s">
        <v>16</v>
      </c>
      <c r="I6" s="2">
        <v>4208</v>
      </c>
      <c r="J6">
        <f>J5-I6</f>
        <v>17392</v>
      </c>
      <c r="K6" s="3">
        <f t="shared" ref="K6:K14" si="2">ROUNDUP(J6/8,0)</f>
        <v>2174</v>
      </c>
      <c r="L6">
        <f t="shared" ref="L6:L9" si="3">D6/8</f>
        <v>2250</v>
      </c>
      <c r="M6" s="1">
        <f t="shared" ref="M6:M9" si="4">K6/L6</f>
        <v>0.9662222222222222</v>
      </c>
      <c r="N6">
        <f t="shared" ref="N6:N14" si="5">ROUNDUP((M6-1)/0.025,0)</f>
        <v>-2</v>
      </c>
      <c r="O6">
        <f>+K5-I7</f>
        <v>1604</v>
      </c>
    </row>
    <row r="7" spans="1:16" x14ac:dyDescent="0.3">
      <c r="A7" t="s">
        <v>10</v>
      </c>
      <c r="B7">
        <v>3</v>
      </c>
      <c r="C7" s="2"/>
      <c r="D7">
        <v>18000</v>
      </c>
      <c r="E7">
        <f t="shared" si="0"/>
        <v>21600</v>
      </c>
      <c r="F7">
        <v>0.97</v>
      </c>
      <c r="G7">
        <f t="shared" si="1"/>
        <v>20952</v>
      </c>
      <c r="H7" t="s">
        <v>15</v>
      </c>
      <c r="I7" s="2">
        <v>1096</v>
      </c>
      <c r="J7">
        <f>J5-I7</f>
        <v>20504</v>
      </c>
      <c r="K7" s="3">
        <f t="shared" si="2"/>
        <v>2563</v>
      </c>
      <c r="L7">
        <f t="shared" si="3"/>
        <v>2250</v>
      </c>
      <c r="M7" s="1">
        <f t="shared" si="4"/>
        <v>1.1391111111111112</v>
      </c>
      <c r="N7">
        <f t="shared" si="5"/>
        <v>6</v>
      </c>
      <c r="O7">
        <f>+K7-I8</f>
        <v>-1261</v>
      </c>
    </row>
    <row r="8" spans="1:16" x14ac:dyDescent="0.3">
      <c r="A8" t="s">
        <v>10</v>
      </c>
      <c r="B8">
        <v>2</v>
      </c>
      <c r="C8" s="2"/>
      <c r="D8">
        <v>17920</v>
      </c>
      <c r="E8">
        <f t="shared" si="0"/>
        <v>21504</v>
      </c>
      <c r="F8">
        <v>0.97</v>
      </c>
      <c r="G8">
        <f>ROUNDDOWN(E8*F8,0)</f>
        <v>20858</v>
      </c>
      <c r="H8" t="s">
        <v>13</v>
      </c>
      <c r="I8" s="2">
        <v>3824</v>
      </c>
      <c r="J8">
        <f>J7-I8</f>
        <v>16680</v>
      </c>
      <c r="K8" s="3">
        <f t="shared" si="2"/>
        <v>2085</v>
      </c>
      <c r="L8">
        <f t="shared" si="3"/>
        <v>2240</v>
      </c>
      <c r="M8" s="1">
        <f t="shared" si="4"/>
        <v>0.9308035714285714</v>
      </c>
      <c r="N8">
        <f t="shared" si="5"/>
        <v>-3</v>
      </c>
      <c r="O8">
        <f>+K7-I9</f>
        <v>-1069</v>
      </c>
    </row>
    <row r="9" spans="1:16" x14ac:dyDescent="0.3">
      <c r="A9" t="s">
        <v>10</v>
      </c>
      <c r="B9">
        <v>1</v>
      </c>
      <c r="C9" s="2"/>
      <c r="D9">
        <v>19200</v>
      </c>
      <c r="E9">
        <f t="shared" si="0"/>
        <v>23040</v>
      </c>
      <c r="F9">
        <v>0.97</v>
      </c>
      <c r="G9">
        <f t="shared" si="1"/>
        <v>22348</v>
      </c>
      <c r="H9" t="s">
        <v>14</v>
      </c>
      <c r="I9" s="2">
        <v>3632</v>
      </c>
      <c r="J9">
        <f>J7-I9</f>
        <v>16872</v>
      </c>
      <c r="K9" s="3">
        <f t="shared" si="2"/>
        <v>2109</v>
      </c>
      <c r="L9">
        <f t="shared" si="3"/>
        <v>2400</v>
      </c>
      <c r="M9" s="1">
        <f t="shared" si="4"/>
        <v>0.87875000000000003</v>
      </c>
      <c r="N9">
        <f t="shared" si="5"/>
        <v>-5</v>
      </c>
    </row>
    <row r="10" spans="1:16" x14ac:dyDescent="0.3">
      <c r="A10" t="s">
        <v>11</v>
      </c>
      <c r="B10">
        <v>5</v>
      </c>
      <c r="C10" s="2" t="s">
        <v>12</v>
      </c>
      <c r="D10">
        <v>5200</v>
      </c>
      <c r="E10">
        <f>ROUNDDOWN(D10*1.2,0)</f>
        <v>6240</v>
      </c>
      <c r="F10">
        <v>0.97</v>
      </c>
      <c r="G10">
        <f t="shared" ref="G10:G12" si="6">ROUNDDOWN(E10*F10,0)</f>
        <v>6052</v>
      </c>
      <c r="H10" t="s">
        <v>6</v>
      </c>
      <c r="I10" s="2" t="s">
        <v>17</v>
      </c>
      <c r="J10">
        <f>K3</f>
        <v>6240</v>
      </c>
      <c r="K10" s="3">
        <f>ROUNDUP(J10/8,0)</f>
        <v>780</v>
      </c>
      <c r="L10">
        <f>D10/8</f>
        <v>650</v>
      </c>
      <c r="M10" s="1">
        <f>K10/L10</f>
        <v>1.2</v>
      </c>
      <c r="N10">
        <f>ROUNDUP((M10-1)/0.025,0)</f>
        <v>8</v>
      </c>
      <c r="O10">
        <f>K10-I11</f>
        <v>-1662</v>
      </c>
    </row>
    <row r="11" spans="1:16" x14ac:dyDescent="0.3">
      <c r="A11" t="s">
        <v>11</v>
      </c>
      <c r="B11">
        <v>4</v>
      </c>
      <c r="C11" s="2"/>
      <c r="D11">
        <v>6000</v>
      </c>
      <c r="E11">
        <f t="shared" si="0"/>
        <v>7200</v>
      </c>
      <c r="F11">
        <v>0.97</v>
      </c>
      <c r="G11">
        <f t="shared" si="6"/>
        <v>6984</v>
      </c>
      <c r="H11" t="s">
        <v>16</v>
      </c>
      <c r="I11" s="2">
        <v>2442</v>
      </c>
      <c r="J11">
        <f>J10-I11</f>
        <v>3798</v>
      </c>
      <c r="K11" s="3">
        <f t="shared" si="2"/>
        <v>475</v>
      </c>
      <c r="L11">
        <f t="shared" ref="L11:L14" si="7">D11/8</f>
        <v>750</v>
      </c>
      <c r="M11" s="1">
        <f t="shared" ref="M11:M14" si="8">K11/L11</f>
        <v>0.6333333333333333</v>
      </c>
      <c r="N11">
        <f t="shared" si="5"/>
        <v>-15</v>
      </c>
      <c r="O11">
        <f>+K10-I12</f>
        <v>-2372</v>
      </c>
    </row>
    <row r="12" spans="1:16" x14ac:dyDescent="0.3">
      <c r="A12" t="s">
        <v>11</v>
      </c>
      <c r="B12">
        <v>3</v>
      </c>
      <c r="C12" s="2"/>
      <c r="D12">
        <v>6400</v>
      </c>
      <c r="E12">
        <f t="shared" si="0"/>
        <v>7680</v>
      </c>
      <c r="F12">
        <v>0.97</v>
      </c>
      <c r="G12">
        <f t="shared" si="6"/>
        <v>7449</v>
      </c>
      <c r="H12" t="s">
        <v>15</v>
      </c>
      <c r="I12" s="2">
        <v>3152</v>
      </c>
      <c r="J12">
        <f>J10-I12</f>
        <v>3088</v>
      </c>
      <c r="K12" s="3">
        <f t="shared" si="2"/>
        <v>386</v>
      </c>
      <c r="L12">
        <f t="shared" si="7"/>
        <v>800</v>
      </c>
      <c r="M12" s="1">
        <f t="shared" si="8"/>
        <v>0.48249999999999998</v>
      </c>
      <c r="N12">
        <f t="shared" si="5"/>
        <v>-21</v>
      </c>
      <c r="O12">
        <f>+K12-I13</f>
        <v>-1656</v>
      </c>
    </row>
    <row r="13" spans="1:16" x14ac:dyDescent="0.3">
      <c r="A13" t="s">
        <v>11</v>
      </c>
      <c r="B13">
        <v>2</v>
      </c>
      <c r="C13" s="2"/>
      <c r="D13">
        <v>5600</v>
      </c>
      <c r="E13">
        <f t="shared" si="0"/>
        <v>6720</v>
      </c>
      <c r="F13">
        <v>0.97</v>
      </c>
      <c r="G13">
        <f>ROUNDDOWN(E13*F13,0)</f>
        <v>6518</v>
      </c>
      <c r="H13" t="s">
        <v>13</v>
      </c>
      <c r="I13" s="2">
        <v>2042</v>
      </c>
      <c r="J13">
        <f>J12-I13</f>
        <v>1046</v>
      </c>
      <c r="K13" s="3">
        <f t="shared" si="2"/>
        <v>131</v>
      </c>
      <c r="L13">
        <f t="shared" si="7"/>
        <v>700</v>
      </c>
      <c r="M13" s="1">
        <f t="shared" si="8"/>
        <v>0.18714285714285714</v>
      </c>
      <c r="N13">
        <f t="shared" si="5"/>
        <v>-33</v>
      </c>
      <c r="O13">
        <f>+K12-I14</f>
        <v>-3308</v>
      </c>
    </row>
    <row r="14" spans="1:16" x14ac:dyDescent="0.3">
      <c r="A14" t="s">
        <v>11</v>
      </c>
      <c r="B14">
        <v>1</v>
      </c>
      <c r="C14" s="2"/>
      <c r="D14">
        <v>6400</v>
      </c>
      <c r="E14">
        <f t="shared" si="0"/>
        <v>7680</v>
      </c>
      <c r="F14">
        <v>0.97</v>
      </c>
      <c r="G14">
        <f t="shared" ref="G14" si="9">ROUNDDOWN(E14*F14,0)</f>
        <v>7449</v>
      </c>
      <c r="H14" t="s">
        <v>14</v>
      </c>
      <c r="I14" s="2">
        <v>3694</v>
      </c>
      <c r="J14">
        <f>J12-I14</f>
        <v>-606</v>
      </c>
      <c r="K14" s="3">
        <f t="shared" si="2"/>
        <v>-76</v>
      </c>
      <c r="L14">
        <f t="shared" si="7"/>
        <v>800</v>
      </c>
      <c r="M14" s="1">
        <f t="shared" si="8"/>
        <v>-9.5000000000000001E-2</v>
      </c>
      <c r="N14">
        <f t="shared" si="5"/>
        <v>-44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Daniel Quiroga Villalobos</dc:creator>
  <cp:lastModifiedBy>Alberto Daniel Quiroga Villalobos</cp:lastModifiedBy>
  <dcterms:created xsi:type="dcterms:W3CDTF">2026-01-22T04:25:47Z</dcterms:created>
  <dcterms:modified xsi:type="dcterms:W3CDTF">2026-01-22T05:09:26Z</dcterms:modified>
</cp:coreProperties>
</file>