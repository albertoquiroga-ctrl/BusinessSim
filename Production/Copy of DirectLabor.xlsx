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cuments\IPADE\EXSIM\"/>
    </mc:Choice>
  </mc:AlternateContent>
  <xr:revisionPtr revIDLastSave="0" documentId="13_ncr:1_{3D605F9B-E9C6-4FEA-AF5C-D117DD79A7FE}" xr6:coauthVersionLast="47" xr6:coauthVersionMax="47" xr10:uidLastSave="{00000000-0000-0000-0000-000000000000}"/>
  <bookViews>
    <workbookView xWindow="-108" yWindow="-108" windowWidth="23256" windowHeight="12456" xr2:uid="{4AAA2716-2C2A-47B8-83AF-DC29B093BA8A}"/>
  </bookViews>
  <sheets>
    <sheet name="6-Labor &amp; Capacity" sheetId="1" r:id="rId1"/>
    <sheet name="6 - INVESTMENTS" sheetId="3" r:id="rId2"/>
    <sheet name="6- Flow CEN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1" l="1"/>
  <c r="U33" i="1"/>
  <c r="V33" i="1"/>
  <c r="W33" i="1"/>
  <c r="X33" i="1"/>
  <c r="S33" i="1"/>
  <c r="X32" i="1"/>
  <c r="W32" i="1"/>
  <c r="V32" i="1"/>
  <c r="U32" i="1"/>
  <c r="T32" i="1"/>
  <c r="S32" i="1"/>
  <c r="V31" i="1"/>
  <c r="U31" i="1"/>
  <c r="T31" i="1"/>
  <c r="S31" i="1"/>
  <c r="V19" i="1"/>
  <c r="V21" i="1" s="1"/>
  <c r="G4" i="3"/>
  <c r="G5" i="3"/>
  <c r="G6" i="3"/>
  <c r="G7" i="3"/>
  <c r="G8" i="3"/>
  <c r="G9" i="3"/>
  <c r="G10" i="3"/>
  <c r="G3" i="3"/>
  <c r="D10" i="3"/>
  <c r="C11" i="2"/>
  <c r="C8" i="2"/>
  <c r="C7" i="2"/>
  <c r="C6" i="2"/>
  <c r="V5" i="1"/>
  <c r="V7" i="1" s="1"/>
  <c r="V4" i="1"/>
  <c r="V18" i="1"/>
  <c r="N8" i="1"/>
  <c r="N9" i="1"/>
  <c r="N23" i="1"/>
  <c r="S5" i="1"/>
  <c r="S19" i="1"/>
  <c r="O25" i="1"/>
  <c r="P25" i="1" s="1"/>
  <c r="N25" i="1"/>
  <c r="O24" i="1"/>
  <c r="P24" i="1" s="1"/>
  <c r="N24" i="1"/>
  <c r="O23" i="1"/>
  <c r="P23" i="1" s="1"/>
  <c r="O22" i="1"/>
  <c r="P22" i="1" s="1"/>
  <c r="N22" i="1"/>
  <c r="N21" i="1"/>
  <c r="O20" i="1"/>
  <c r="P20" i="1" s="1"/>
  <c r="N20" i="1"/>
  <c r="O19" i="1"/>
  <c r="P19" i="1" s="1"/>
  <c r="N19" i="1"/>
  <c r="O18" i="1"/>
  <c r="N18" i="1"/>
  <c r="P6" i="1"/>
  <c r="P9" i="1"/>
  <c r="P10" i="1"/>
  <c r="P11" i="1"/>
  <c r="P4" i="1"/>
  <c r="O5" i="1"/>
  <c r="P5" i="1" s="1"/>
  <c r="O6" i="1"/>
  <c r="O8" i="1"/>
  <c r="P8" i="1" s="1"/>
  <c r="O9" i="1"/>
  <c r="O10" i="1"/>
  <c r="O11" i="1"/>
  <c r="O4" i="1"/>
  <c r="N5" i="1"/>
  <c r="N6" i="1"/>
  <c r="N10" i="1"/>
  <c r="N11" i="1"/>
  <c r="N4" i="1"/>
  <c r="F23" i="1"/>
  <c r="E23" i="1"/>
  <c r="D23" i="1"/>
  <c r="C23" i="1"/>
  <c r="B23" i="1"/>
  <c r="F20" i="1"/>
  <c r="E20" i="1"/>
  <c r="D20" i="1"/>
  <c r="C20" i="1"/>
  <c r="C24" i="1" s="1"/>
  <c r="B20" i="1"/>
  <c r="B24" i="1" s="1"/>
  <c r="C7" i="1"/>
  <c r="D7" i="1"/>
  <c r="E7" i="1"/>
  <c r="F7" i="1"/>
  <c r="C10" i="1"/>
  <c r="D10" i="1"/>
  <c r="E10" i="1"/>
  <c r="F10" i="1"/>
  <c r="B10" i="1"/>
  <c r="B7" i="1"/>
  <c r="B11" i="1" s="1"/>
  <c r="S36" i="1" l="1"/>
  <c r="N14" i="1"/>
  <c r="N28" i="1"/>
  <c r="S6" i="1"/>
  <c r="S8" i="1" s="1"/>
  <c r="O12" i="1"/>
  <c r="P12" i="1" s="1"/>
  <c r="S20" i="1"/>
  <c r="S22" i="1" s="1"/>
  <c r="O26" i="1"/>
  <c r="P26" i="1" s="1"/>
  <c r="P18" i="1"/>
  <c r="B12" i="1"/>
  <c r="B13" i="1" s="1"/>
  <c r="E24" i="1"/>
  <c r="E25" i="1" s="1"/>
  <c r="E26" i="1" s="1"/>
  <c r="D24" i="1"/>
  <c r="D25" i="1" s="1"/>
  <c r="D26" i="1" s="1"/>
  <c r="F24" i="1"/>
  <c r="F25" i="1" s="1"/>
  <c r="F26" i="1" s="1"/>
  <c r="F11" i="1"/>
  <c r="F12" i="1" s="1"/>
  <c r="E11" i="1"/>
  <c r="E12" i="1" s="1"/>
  <c r="D11" i="1"/>
  <c r="D12" i="1" s="1"/>
  <c r="C11" i="1"/>
  <c r="C12" i="1" s="1"/>
  <c r="B25" i="1"/>
  <c r="B26" i="1" s="1"/>
  <c r="C25" i="1"/>
  <c r="C26" i="1" s="1"/>
  <c r="E13" i="1" l="1"/>
  <c r="F13" i="1"/>
  <c r="C13" i="1"/>
  <c r="D13" i="1"/>
</calcChain>
</file>

<file path=xl/sharedStrings.xml><?xml version="1.0" encoding="utf-8"?>
<sst xmlns="http://schemas.openxmlformats.org/spreadsheetml/2006/main" count="118" uniqueCount="61">
  <si>
    <t>CENTER</t>
  </si>
  <si>
    <t>Section 1</t>
  </si>
  <si>
    <t>Section 2</t>
  </si>
  <si>
    <t>Section 3</t>
  </si>
  <si>
    <t>Section 4</t>
  </si>
  <si>
    <t>Section 5</t>
  </si>
  <si>
    <t>Workers</t>
  </si>
  <si>
    <t>Wage</t>
  </si>
  <si>
    <t>Fortnights</t>
  </si>
  <si>
    <t>Overtime Salary</t>
  </si>
  <si>
    <t>#Overtime (forenights)</t>
  </si>
  <si>
    <t>Indirect labor (50%)</t>
  </si>
  <si>
    <t>Direct labor</t>
  </si>
  <si>
    <t>Normal DL</t>
  </si>
  <si>
    <t>Overtime DL</t>
  </si>
  <si>
    <t>TOTAL LABOR</t>
  </si>
  <si>
    <t>WEST</t>
  </si>
  <si>
    <t>M2</t>
  </si>
  <si>
    <t>M1</t>
  </si>
  <si>
    <t>M3-alpha</t>
  </si>
  <si>
    <t>M3-beta</t>
  </si>
  <si>
    <t>M4-S3</t>
  </si>
  <si>
    <t>M4-S4</t>
  </si>
  <si>
    <t>M4-S5</t>
  </si>
  <si>
    <t>Crews-S5</t>
  </si>
  <si>
    <t>Machine</t>
  </si>
  <si>
    <t>Ind. Space</t>
  </si>
  <si>
    <t>Quantity</t>
  </si>
  <si>
    <t>Total space</t>
  </si>
  <si>
    <t>Installed capacity</t>
  </si>
  <si>
    <t>Overtime cap.</t>
  </si>
  <si>
    <t>Bottleneck</t>
  </si>
  <si>
    <t>Ind. Capacity (fornight)</t>
  </si>
  <si>
    <t xml:space="preserve">WEST </t>
  </si>
  <si>
    <t>Space available</t>
  </si>
  <si>
    <t>Modules</t>
  </si>
  <si>
    <t>Spaces</t>
  </si>
  <si>
    <t>Available spaces</t>
  </si>
  <si>
    <t>SPACE</t>
  </si>
  <si>
    <t>If new module</t>
  </si>
  <si>
    <t>Current</t>
  </si>
  <si>
    <t>Requirement</t>
  </si>
  <si>
    <t xml:space="preserve">Need </t>
  </si>
  <si>
    <t>SECCION 1</t>
  </si>
  <si>
    <t># employees</t>
  </si>
  <si>
    <t>Capacity</t>
  </si>
  <si>
    <t>Power consumption</t>
  </si>
  <si>
    <t>DEMAND</t>
  </si>
  <si>
    <t>FINISHED GOODS PP</t>
  </si>
  <si>
    <t>Overtime</t>
  </si>
  <si>
    <t>Overtime capacity</t>
  </si>
  <si>
    <t>Ind. Cost</t>
  </si>
  <si>
    <t>Current machines</t>
  </si>
  <si>
    <t>New machines</t>
  </si>
  <si>
    <t>Investment</t>
  </si>
  <si>
    <t>M3</t>
  </si>
  <si>
    <t>M4</t>
  </si>
  <si>
    <t># maq</t>
  </si>
  <si>
    <t>Nominal pwr</t>
  </si>
  <si>
    <t>Consumo periodo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</si>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</sst>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2" tint="-0.499984740745262"/>
      <name val="Cambria"/>
      <family val="1"/>
    </font>
    <font>
      <b/>
      <i/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0" fillId="5" borderId="0" xfId="0" applyFill="1"/>
    <xf numFmtId="44" fontId="0" fillId="0" borderId="0" xfId="1" applyFont="1"/>
    <xf numFmtId="1" fontId="0" fillId="0" borderId="0" xfId="0" applyNumberFormat="1"/>
    <xf numFmtId="1" fontId="0" fillId="0" borderId="0" xfId="1" applyNumberFormat="1" applyFont="1"/>
    <xf numFmtId="0" fontId="3" fillId="6" borderId="0" xfId="0" applyFont="1" applyFill="1"/>
    <xf numFmtId="0" fontId="0" fillId="7" borderId="0" xfId="0" applyFill="1"/>
    <xf numFmtId="0" fontId="3" fillId="8" borderId="0" xfId="0" applyFont="1" applyFill="1"/>
    <xf numFmtId="44" fontId="0" fillId="5" borderId="0" xfId="1" applyFont="1" applyFill="1"/>
    <xf numFmtId="44" fontId="3" fillId="6" borderId="0" xfId="1" applyFont="1" applyFill="1"/>
    <xf numFmtId="44" fontId="0" fillId="7" borderId="0" xfId="1" applyFont="1" applyFill="1"/>
    <xf numFmtId="44" fontId="3" fillId="8" borderId="0" xfId="1" applyFont="1" applyFill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16" borderId="8" xfId="0" applyFont="1" applyFill="1" applyBorder="1" applyAlignment="1">
      <alignment horizontal="center"/>
    </xf>
    <xf numFmtId="0" fontId="3" fillId="16" borderId="15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18" borderId="7" xfId="0" applyFont="1" applyFill="1" applyBorder="1" applyAlignment="1">
      <alignment horizontal="center"/>
    </xf>
    <xf numFmtId="0" fontId="3" fillId="18" borderId="10" xfId="0" applyFont="1" applyFill="1" applyBorder="1" applyAlignment="1">
      <alignment horizontal="center"/>
    </xf>
    <xf numFmtId="0" fontId="3" fillId="19" borderId="7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" fillId="19" borderId="12" xfId="0" applyFont="1" applyFill="1" applyBorder="1" applyAlignment="1">
      <alignment horizontal="center"/>
    </xf>
    <xf numFmtId="0" fontId="3" fillId="19" borderId="13" xfId="0" applyFont="1" applyFill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3" fillId="16" borderId="14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0" fontId="3" fillId="19" borderId="9" xfId="0" applyFont="1" applyFill="1" applyBorder="1" applyAlignment="1">
      <alignment horizontal="center"/>
    </xf>
    <xf numFmtId="0" fontId="3" fillId="19" borderId="11" xfId="0" applyFont="1" applyFill="1" applyBorder="1" applyAlignment="1">
      <alignment horizontal="center"/>
    </xf>
    <xf numFmtId="0" fontId="6" fillId="0" borderId="20" xfId="0" applyFont="1" applyBorder="1"/>
    <xf numFmtId="0" fontId="7" fillId="2" borderId="14" xfId="0" applyFont="1" applyFill="1" applyBorder="1"/>
    <xf numFmtId="0" fontId="8" fillId="16" borderId="8" xfId="0" applyFont="1" applyFill="1" applyBorder="1"/>
    <xf numFmtId="0" fontId="7" fillId="16" borderId="8" xfId="0" applyFont="1" applyFill="1" applyBorder="1" applyAlignment="1">
      <alignment horizontal="center"/>
    </xf>
    <xf numFmtId="0" fontId="7" fillId="9" borderId="9" xfId="0" applyFont="1" applyFill="1" applyBorder="1"/>
    <xf numFmtId="0" fontId="8" fillId="17" borderId="7" xfId="0" applyFont="1" applyFill="1" applyBorder="1"/>
    <xf numFmtId="0" fontId="7" fillId="17" borderId="7" xfId="0" applyFont="1" applyFill="1" applyBorder="1" applyAlignment="1">
      <alignment horizontal="center"/>
    </xf>
    <xf numFmtId="0" fontId="7" fillId="10" borderId="9" xfId="0" applyFont="1" applyFill="1" applyBorder="1"/>
    <xf numFmtId="0" fontId="8" fillId="5" borderId="7" xfId="0" applyFont="1" applyFill="1" applyBorder="1"/>
    <xf numFmtId="0" fontId="7" fillId="5" borderId="7" xfId="0" applyFont="1" applyFill="1" applyBorder="1" applyAlignment="1">
      <alignment horizontal="center"/>
    </xf>
    <xf numFmtId="0" fontId="7" fillId="12" borderId="9" xfId="0" applyFont="1" applyFill="1" applyBorder="1"/>
    <xf numFmtId="0" fontId="7" fillId="11" borderId="9" xfId="0" applyFont="1" applyFill="1" applyBorder="1"/>
    <xf numFmtId="0" fontId="7" fillId="13" borderId="9" xfId="0" applyFont="1" applyFill="1" applyBorder="1"/>
    <xf numFmtId="0" fontId="8" fillId="18" borderId="7" xfId="0" applyFont="1" applyFill="1" applyBorder="1"/>
    <xf numFmtId="0" fontId="7" fillId="18" borderId="7" xfId="0" applyFont="1" applyFill="1" applyBorder="1" applyAlignment="1">
      <alignment horizontal="center"/>
    </xf>
    <xf numFmtId="0" fontId="7" fillId="14" borderId="9" xfId="0" applyFont="1" applyFill="1" applyBorder="1"/>
    <xf numFmtId="0" fontId="8" fillId="19" borderId="7" xfId="0" applyFont="1" applyFill="1" applyBorder="1"/>
    <xf numFmtId="0" fontId="7" fillId="19" borderId="7" xfId="0" applyFont="1" applyFill="1" applyBorder="1" applyAlignment="1">
      <alignment horizontal="center"/>
    </xf>
    <xf numFmtId="0" fontId="7" fillId="4" borderId="11" xfId="0" applyFont="1" applyFill="1" applyBorder="1"/>
    <xf numFmtId="0" fontId="8" fillId="19" borderId="12" xfId="0" applyFont="1" applyFill="1" applyBorder="1"/>
    <xf numFmtId="0" fontId="7" fillId="19" borderId="12" xfId="0" applyFont="1" applyFill="1" applyBorder="1" applyAlignment="1">
      <alignment horizontal="center"/>
    </xf>
    <xf numFmtId="0" fontId="9" fillId="0" borderId="21" xfId="0" applyFont="1" applyBorder="1"/>
    <xf numFmtId="0" fontId="10" fillId="16" borderId="22" xfId="0" applyFont="1" applyFill="1" applyBorder="1" applyAlignment="1">
      <alignment horizontal="center"/>
    </xf>
    <xf numFmtId="0" fontId="10" fillId="17" borderId="23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18" borderId="23" xfId="0" applyFont="1" applyFill="1" applyBorder="1" applyAlignment="1">
      <alignment horizontal="center"/>
    </xf>
    <xf numFmtId="0" fontId="10" fillId="19" borderId="23" xfId="0" applyFont="1" applyFill="1" applyBorder="1" applyAlignment="1">
      <alignment horizontal="center"/>
    </xf>
    <xf numFmtId="0" fontId="10" fillId="19" borderId="2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0" fillId="0" borderId="4" xfId="0" applyNumberForma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0" xfId="0" applyFont="1"/>
    <xf numFmtId="0" fontId="11" fillId="15" borderId="0" xfId="0" applyFont="1" applyFill="1" applyAlignment="1">
      <alignment horizontal="center"/>
    </xf>
    <xf numFmtId="44" fontId="0" fillId="0" borderId="0" xfId="0" applyNumberFormat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8DD6-AE09-4FA7-B84A-45FA2D477409}">
  <dimension ref="A1:Y36"/>
  <sheetViews>
    <sheetView tabSelected="1" topLeftCell="K10" zoomScale="83" workbookViewId="0">
      <selection activeCell="W36" sqref="W36"/>
    </sheetView>
  </sheetViews>
  <sheetFormatPr defaultRowHeight="14.4" x14ac:dyDescent="0.3"/>
  <cols>
    <col min="1" max="1" width="19" bestFit="1" customWidth="1"/>
    <col min="2" max="3" width="10.44140625" bestFit="1" customWidth="1"/>
    <col min="4" max="4" width="11.44140625" bestFit="1" customWidth="1"/>
    <col min="5" max="5" width="10.44140625" bestFit="1" customWidth="1"/>
    <col min="6" max="6" width="11.44140625" bestFit="1" customWidth="1"/>
    <col min="11" max="11" width="9.33203125" bestFit="1" customWidth="1"/>
    <col min="12" max="12" width="19.109375" bestFit="1" customWidth="1"/>
    <col min="13" max="13" width="7.6640625" bestFit="1" customWidth="1"/>
    <col min="14" max="14" width="10.109375" bestFit="1" customWidth="1"/>
    <col min="15" max="15" width="15" bestFit="1" customWidth="1"/>
    <col min="16" max="16" width="13.6640625" bestFit="1" customWidth="1"/>
    <col min="18" max="18" width="16.5546875" bestFit="1" customWidth="1"/>
  </cols>
  <sheetData>
    <row r="1" spans="1:22" ht="15" thickBot="1" x14ac:dyDescent="0.35"/>
    <row r="2" spans="1:22" ht="15" thickBot="1" x14ac:dyDescent="0.35">
      <c r="A2" s="72" t="s">
        <v>0</v>
      </c>
      <c r="B2" s="72"/>
      <c r="C2" s="72"/>
      <c r="D2" s="72"/>
      <c r="E2" s="72"/>
      <c r="F2" s="72"/>
      <c r="I2" s="75" t="s">
        <v>0</v>
      </c>
      <c r="J2" s="76"/>
      <c r="K2" s="76"/>
      <c r="L2" s="76"/>
      <c r="M2" s="76"/>
      <c r="N2" s="76"/>
      <c r="O2" s="76"/>
      <c r="P2" s="77"/>
    </row>
    <row r="3" spans="1:22" ht="15" thickBot="1" x14ac:dyDescent="0.3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I3" s="73" t="s">
        <v>25</v>
      </c>
      <c r="J3" s="74"/>
      <c r="K3" s="41" t="s">
        <v>26</v>
      </c>
      <c r="L3" s="41" t="s">
        <v>32</v>
      </c>
      <c r="M3" s="62" t="s">
        <v>27</v>
      </c>
      <c r="N3" s="32" t="s">
        <v>28</v>
      </c>
      <c r="O3" s="33" t="s">
        <v>29</v>
      </c>
      <c r="P3" s="34" t="s">
        <v>30</v>
      </c>
      <c r="R3" s="69" t="s">
        <v>34</v>
      </c>
      <c r="S3" s="70"/>
      <c r="U3" s="79" t="s">
        <v>6</v>
      </c>
      <c r="V3" s="80"/>
    </row>
    <row r="4" spans="1:22" x14ac:dyDescent="0.3">
      <c r="A4" t="s">
        <v>6</v>
      </c>
      <c r="B4" s="5">
        <v>7</v>
      </c>
      <c r="C4" s="5">
        <v>22</v>
      </c>
      <c r="D4" s="5">
        <v>94</v>
      </c>
      <c r="E4" s="5">
        <v>10</v>
      </c>
      <c r="F4" s="5">
        <v>86</v>
      </c>
      <c r="I4" s="42"/>
      <c r="J4" s="43" t="s">
        <v>18</v>
      </c>
      <c r="K4" s="44">
        <v>1</v>
      </c>
      <c r="L4" s="44">
        <v>200</v>
      </c>
      <c r="M4" s="63">
        <v>7</v>
      </c>
      <c r="N4" s="35">
        <f>+M4*K4</f>
        <v>7</v>
      </c>
      <c r="O4" s="20">
        <f>+L4*M4</f>
        <v>1400</v>
      </c>
      <c r="P4" s="21">
        <f>+O4*1.2</f>
        <v>1680</v>
      </c>
      <c r="R4" s="18" t="s">
        <v>35</v>
      </c>
      <c r="S4" s="14">
        <v>4</v>
      </c>
      <c r="U4" s="18" t="s">
        <v>40</v>
      </c>
      <c r="V4" s="78">
        <f>+SUM(B4:F4)</f>
        <v>219</v>
      </c>
    </row>
    <row r="5" spans="1:22" x14ac:dyDescent="0.3">
      <c r="A5" t="s">
        <v>7</v>
      </c>
      <c r="B5" s="4">
        <v>27.3</v>
      </c>
      <c r="C5" s="4">
        <v>27.3</v>
      </c>
      <c r="D5" s="4">
        <v>27.3</v>
      </c>
      <c r="E5" s="4">
        <v>27.3</v>
      </c>
      <c r="F5" s="4">
        <v>27.3</v>
      </c>
      <c r="I5" s="45"/>
      <c r="J5" s="46" t="s">
        <v>17</v>
      </c>
      <c r="K5" s="47">
        <v>1</v>
      </c>
      <c r="L5" s="47">
        <v>70</v>
      </c>
      <c r="M5" s="64">
        <v>22</v>
      </c>
      <c r="N5" s="36">
        <f t="shared" ref="N5:N11" si="0">+M5*K5</f>
        <v>22</v>
      </c>
      <c r="O5" s="22">
        <f t="shared" ref="O5:O11" si="1">+L5*M5</f>
        <v>1540</v>
      </c>
      <c r="P5" s="23">
        <f t="shared" ref="P5:P12" si="2">+O5*1.2</f>
        <v>1848</v>
      </c>
      <c r="R5" s="18" t="s">
        <v>36</v>
      </c>
      <c r="S5" s="14">
        <f>+S4*18</f>
        <v>72</v>
      </c>
      <c r="U5" s="18" t="s">
        <v>41</v>
      </c>
      <c r="V5" s="14">
        <f>+M4+M5+(M6*30)+(6*M7)+M8+M9+M10+(M11*3)</f>
        <v>219</v>
      </c>
    </row>
    <row r="6" spans="1:22" x14ac:dyDescent="0.3">
      <c r="A6" t="s">
        <v>8</v>
      </c>
      <c r="B6" s="5">
        <v>8</v>
      </c>
      <c r="C6" s="5">
        <v>8</v>
      </c>
      <c r="D6" s="5">
        <v>8</v>
      </c>
      <c r="E6" s="5">
        <v>8</v>
      </c>
      <c r="F6" s="5">
        <v>8</v>
      </c>
      <c r="I6" s="48"/>
      <c r="J6" s="49" t="s">
        <v>19</v>
      </c>
      <c r="K6" s="50">
        <v>5</v>
      </c>
      <c r="L6" s="50">
        <v>450</v>
      </c>
      <c r="M6" s="65">
        <v>3</v>
      </c>
      <c r="N6" s="37">
        <f t="shared" si="0"/>
        <v>15</v>
      </c>
      <c r="O6" s="24">
        <f t="shared" si="1"/>
        <v>1350</v>
      </c>
      <c r="P6" s="25">
        <f t="shared" si="2"/>
        <v>1620</v>
      </c>
      <c r="R6" s="18" t="s">
        <v>37</v>
      </c>
      <c r="S6" s="14">
        <f>+S5-SUM(N4:N11)</f>
        <v>3</v>
      </c>
      <c r="U6" s="18"/>
      <c r="V6" s="14"/>
    </row>
    <row r="7" spans="1:22" ht="15" thickBot="1" x14ac:dyDescent="0.35">
      <c r="A7" s="3" t="s">
        <v>13</v>
      </c>
      <c r="B7" s="10">
        <f>+PRODUCT(B4:B6)</f>
        <v>1528.8</v>
      </c>
      <c r="C7" s="10">
        <f t="shared" ref="C7:F7" si="3">+PRODUCT(C4:C6)</f>
        <v>4804.8</v>
      </c>
      <c r="D7" s="10">
        <f t="shared" si="3"/>
        <v>20529.600000000002</v>
      </c>
      <c r="E7" s="10">
        <f t="shared" si="3"/>
        <v>2184</v>
      </c>
      <c r="F7" s="10">
        <f t="shared" si="3"/>
        <v>18782.400000000001</v>
      </c>
      <c r="I7" s="51"/>
      <c r="J7" s="49" t="s">
        <v>20</v>
      </c>
      <c r="K7" s="50">
        <v>6</v>
      </c>
      <c r="L7" s="50">
        <v>600</v>
      </c>
      <c r="M7" s="65">
        <v>0</v>
      </c>
      <c r="N7" s="37">
        <v>0</v>
      </c>
      <c r="O7" s="24"/>
      <c r="P7" s="25"/>
      <c r="R7" s="18"/>
      <c r="S7" s="14"/>
      <c r="U7" s="19" t="s">
        <v>42</v>
      </c>
      <c r="V7" s="15">
        <f>+V5-V4</f>
        <v>0</v>
      </c>
    </row>
    <row r="8" spans="1:22" ht="15" thickBot="1" x14ac:dyDescent="0.35">
      <c r="A8" t="s">
        <v>9</v>
      </c>
      <c r="B8" s="6">
        <v>12</v>
      </c>
      <c r="C8" s="6">
        <v>12</v>
      </c>
      <c r="D8" s="6">
        <v>12</v>
      </c>
      <c r="E8" s="6">
        <v>12</v>
      </c>
      <c r="F8" s="6">
        <v>12</v>
      </c>
      <c r="I8" s="52"/>
      <c r="J8" s="49" t="s">
        <v>21</v>
      </c>
      <c r="K8" s="50">
        <v>1</v>
      </c>
      <c r="L8" s="50">
        <v>400</v>
      </c>
      <c r="M8" s="65">
        <v>4</v>
      </c>
      <c r="N8" s="37">
        <f>+M8*K8</f>
        <v>4</v>
      </c>
      <c r="O8" s="24">
        <f t="shared" si="1"/>
        <v>1600</v>
      </c>
      <c r="P8" s="25">
        <f t="shared" si="2"/>
        <v>1920</v>
      </c>
      <c r="R8" s="19" t="s">
        <v>39</v>
      </c>
      <c r="S8" s="15">
        <f>+S6+18</f>
        <v>21</v>
      </c>
    </row>
    <row r="9" spans="1:22" x14ac:dyDescent="0.3">
      <c r="A9" t="s">
        <v>10</v>
      </c>
      <c r="B9" s="5">
        <v>5</v>
      </c>
      <c r="C9" s="5">
        <v>6</v>
      </c>
      <c r="D9" s="5">
        <v>4</v>
      </c>
      <c r="E9" s="5">
        <v>1</v>
      </c>
      <c r="F9" s="5">
        <v>8</v>
      </c>
      <c r="I9" s="53"/>
      <c r="J9" s="54" t="s">
        <v>22</v>
      </c>
      <c r="K9" s="55">
        <v>1</v>
      </c>
      <c r="L9" s="55">
        <v>150</v>
      </c>
      <c r="M9" s="66">
        <v>10</v>
      </c>
      <c r="N9" s="38">
        <f t="shared" si="0"/>
        <v>10</v>
      </c>
      <c r="O9" s="26">
        <f t="shared" si="1"/>
        <v>1500</v>
      </c>
      <c r="P9" s="27">
        <f t="shared" si="2"/>
        <v>1800</v>
      </c>
    </row>
    <row r="10" spans="1:22" x14ac:dyDescent="0.3">
      <c r="A10" s="3" t="s">
        <v>14</v>
      </c>
      <c r="B10" s="10">
        <f>+B4*B8*B9</f>
        <v>420</v>
      </c>
      <c r="C10" s="10">
        <f t="shared" ref="C10:F10" si="4">+C4*C8*C9</f>
        <v>1584</v>
      </c>
      <c r="D10" s="10">
        <f t="shared" si="4"/>
        <v>4512</v>
      </c>
      <c r="E10" s="10">
        <f t="shared" si="4"/>
        <v>120</v>
      </c>
      <c r="F10" s="10">
        <f t="shared" si="4"/>
        <v>8256</v>
      </c>
      <c r="I10" s="56"/>
      <c r="J10" s="57" t="s">
        <v>23</v>
      </c>
      <c r="K10" s="58">
        <v>1</v>
      </c>
      <c r="L10" s="58">
        <v>130</v>
      </c>
      <c r="M10" s="67">
        <v>11</v>
      </c>
      <c r="N10" s="39">
        <f t="shared" si="0"/>
        <v>11</v>
      </c>
      <c r="O10" s="28">
        <f t="shared" si="1"/>
        <v>1430</v>
      </c>
      <c r="P10" s="29">
        <f t="shared" si="2"/>
        <v>1716</v>
      </c>
    </row>
    <row r="11" spans="1:22" ht="15" thickBot="1" x14ac:dyDescent="0.35">
      <c r="A11" t="s">
        <v>12</v>
      </c>
      <c r="B11" s="4">
        <f>+B7+B10</f>
        <v>1948.8</v>
      </c>
      <c r="C11" s="4">
        <f t="shared" ref="C11:F11" si="5">+C7+C10</f>
        <v>6388.8</v>
      </c>
      <c r="D11" s="4">
        <f t="shared" si="5"/>
        <v>25041.600000000002</v>
      </c>
      <c r="E11" s="4">
        <f t="shared" si="5"/>
        <v>2304</v>
      </c>
      <c r="F11" s="4">
        <f t="shared" si="5"/>
        <v>27038.400000000001</v>
      </c>
      <c r="I11" s="59"/>
      <c r="J11" s="60" t="s">
        <v>24</v>
      </c>
      <c r="K11" s="61">
        <v>0</v>
      </c>
      <c r="L11" s="61">
        <v>50</v>
      </c>
      <c r="M11" s="68">
        <v>25</v>
      </c>
      <c r="N11" s="40">
        <f t="shared" si="0"/>
        <v>0</v>
      </c>
      <c r="O11" s="30">
        <f t="shared" si="1"/>
        <v>1250</v>
      </c>
      <c r="P11" s="31">
        <f t="shared" si="2"/>
        <v>1500</v>
      </c>
    </row>
    <row r="12" spans="1:22" x14ac:dyDescent="0.3">
      <c r="A12" t="s">
        <v>11</v>
      </c>
      <c r="B12" s="4">
        <f>+B11*0.5</f>
        <v>974.4</v>
      </c>
      <c r="C12" s="4">
        <f t="shared" ref="C12:F12" si="6">+C11*0.5</f>
        <v>3194.4</v>
      </c>
      <c r="D12" s="4">
        <f t="shared" si="6"/>
        <v>12520.800000000001</v>
      </c>
      <c r="E12" s="4">
        <f t="shared" si="6"/>
        <v>1152</v>
      </c>
      <c r="F12" s="4">
        <f t="shared" si="6"/>
        <v>13519.2</v>
      </c>
      <c r="N12" s="81" t="s">
        <v>31</v>
      </c>
      <c r="O12" s="82">
        <f>+MIN(O4:O11)</f>
        <v>1250</v>
      </c>
      <c r="P12" s="82">
        <f t="shared" si="2"/>
        <v>1500</v>
      </c>
    </row>
    <row r="13" spans="1:22" ht="15" thickBot="1" x14ac:dyDescent="0.35">
      <c r="A13" s="7" t="s">
        <v>15</v>
      </c>
      <c r="B13" s="11">
        <f>+SUM(B11:B12)</f>
        <v>2923.2</v>
      </c>
      <c r="C13" s="11">
        <f t="shared" ref="C13:F13" si="7">+SUM(C11:C12)</f>
        <v>9583.2000000000007</v>
      </c>
      <c r="D13" s="11">
        <f t="shared" si="7"/>
        <v>37562.400000000001</v>
      </c>
      <c r="E13" s="11">
        <f t="shared" si="7"/>
        <v>3456</v>
      </c>
      <c r="F13" s="11">
        <f t="shared" si="7"/>
        <v>40557.600000000006</v>
      </c>
    </row>
    <row r="14" spans="1:22" ht="15" thickBot="1" x14ac:dyDescent="0.35">
      <c r="M14" s="16" t="s">
        <v>38</v>
      </c>
      <c r="N14" s="17" t="str">
        <f>+IF(SUM(N4:N11)&lt;S5,"OK","BUY")</f>
        <v>OK</v>
      </c>
    </row>
    <row r="15" spans="1:22" ht="15" thickBot="1" x14ac:dyDescent="0.35">
      <c r="A15" s="71" t="s">
        <v>16</v>
      </c>
      <c r="B15" s="71"/>
      <c r="C15" s="71"/>
      <c r="D15" s="71"/>
      <c r="E15" s="71"/>
      <c r="F15" s="71"/>
    </row>
    <row r="16" spans="1:22" ht="15" thickBot="1" x14ac:dyDescent="0.35">
      <c r="A16" s="2"/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I16" s="75" t="s">
        <v>33</v>
      </c>
      <c r="J16" s="76"/>
      <c r="K16" s="76"/>
      <c r="L16" s="76"/>
      <c r="M16" s="76"/>
      <c r="N16" s="76"/>
      <c r="O16" s="76"/>
      <c r="P16" s="77"/>
    </row>
    <row r="17" spans="1:25" ht="15" thickBot="1" x14ac:dyDescent="0.35">
      <c r="A17" t="s">
        <v>6</v>
      </c>
      <c r="B17">
        <v>3</v>
      </c>
      <c r="C17">
        <v>9</v>
      </c>
      <c r="D17">
        <v>32</v>
      </c>
      <c r="E17">
        <v>3</v>
      </c>
      <c r="F17">
        <v>24</v>
      </c>
      <c r="I17" s="73" t="s">
        <v>25</v>
      </c>
      <c r="J17" s="74"/>
      <c r="K17" s="41" t="s">
        <v>26</v>
      </c>
      <c r="L17" s="41" t="s">
        <v>32</v>
      </c>
      <c r="M17" s="62" t="s">
        <v>27</v>
      </c>
      <c r="N17" s="32" t="s">
        <v>28</v>
      </c>
      <c r="O17" s="33" t="s">
        <v>29</v>
      </c>
      <c r="P17" s="34" t="s">
        <v>30</v>
      </c>
      <c r="R17" s="69" t="s">
        <v>34</v>
      </c>
      <c r="S17" s="70"/>
      <c r="U17" s="79" t="s">
        <v>6</v>
      </c>
      <c r="V17" s="80"/>
    </row>
    <row r="18" spans="1:25" x14ac:dyDescent="0.3">
      <c r="A18" t="s">
        <v>7</v>
      </c>
      <c r="B18" s="4">
        <v>27.3</v>
      </c>
      <c r="C18" s="4">
        <v>27.3</v>
      </c>
      <c r="D18" s="4">
        <v>27.3</v>
      </c>
      <c r="E18" s="4">
        <v>27.3</v>
      </c>
      <c r="F18" s="4">
        <v>27.3</v>
      </c>
      <c r="I18" s="42"/>
      <c r="J18" s="43" t="s">
        <v>18</v>
      </c>
      <c r="K18" s="44">
        <v>1</v>
      </c>
      <c r="L18" s="44">
        <v>200</v>
      </c>
      <c r="M18" s="63">
        <v>3</v>
      </c>
      <c r="N18" s="35">
        <f>+M18*K18</f>
        <v>3</v>
      </c>
      <c r="O18" s="20">
        <f>+L18*M18</f>
        <v>600</v>
      </c>
      <c r="P18" s="21">
        <f>+O18*1.2</f>
        <v>720</v>
      </c>
      <c r="R18" s="18" t="s">
        <v>35</v>
      </c>
      <c r="S18" s="14">
        <v>2</v>
      </c>
      <c r="U18" s="18" t="s">
        <v>40</v>
      </c>
      <c r="V18" s="14">
        <f>+SUM(B17:F17)</f>
        <v>71</v>
      </c>
    </row>
    <row r="19" spans="1:25" x14ac:dyDescent="0.3">
      <c r="A19" t="s">
        <v>8</v>
      </c>
      <c r="B19">
        <v>8</v>
      </c>
      <c r="C19">
        <v>8</v>
      </c>
      <c r="D19">
        <v>8</v>
      </c>
      <c r="E19">
        <v>8</v>
      </c>
      <c r="F19">
        <v>8</v>
      </c>
      <c r="I19" s="45"/>
      <c r="J19" s="46" t="s">
        <v>17</v>
      </c>
      <c r="K19" s="47">
        <v>1</v>
      </c>
      <c r="L19" s="47">
        <v>70</v>
      </c>
      <c r="M19" s="64">
        <v>9</v>
      </c>
      <c r="N19" s="36">
        <f t="shared" ref="N19:N25" si="8">+M19*K19</f>
        <v>9</v>
      </c>
      <c r="O19" s="22">
        <f t="shared" ref="O19:O20" si="9">+L19*M19</f>
        <v>630</v>
      </c>
      <c r="P19" s="23">
        <f t="shared" ref="P19:P26" si="10">+O19*1.2</f>
        <v>756</v>
      </c>
      <c r="R19" s="18" t="s">
        <v>36</v>
      </c>
      <c r="S19" s="14">
        <f>+S18*18</f>
        <v>36</v>
      </c>
      <c r="U19" s="18" t="s">
        <v>41</v>
      </c>
      <c r="V19" s="14">
        <f>+M18+M19+(M20*30)+(6*M21)+M22+M23+M24+(M25*3)</f>
        <v>119</v>
      </c>
    </row>
    <row r="20" spans="1:25" x14ac:dyDescent="0.3">
      <c r="A20" s="8" t="s">
        <v>13</v>
      </c>
      <c r="B20" s="12">
        <f>+PRODUCT(B17:B19)</f>
        <v>655.20000000000005</v>
      </c>
      <c r="C20" s="12">
        <f t="shared" ref="C20" si="11">+PRODUCT(C17:C19)</f>
        <v>1965.6000000000001</v>
      </c>
      <c r="D20" s="12">
        <f t="shared" ref="D20" si="12">+PRODUCT(D17:D19)</f>
        <v>6988.8</v>
      </c>
      <c r="E20" s="12">
        <f t="shared" ref="E20" si="13">+PRODUCT(E17:E19)</f>
        <v>655.20000000000005</v>
      </c>
      <c r="F20" s="12">
        <f t="shared" ref="F20" si="14">+PRODUCT(F17:F19)</f>
        <v>5241.6000000000004</v>
      </c>
      <c r="I20" s="48"/>
      <c r="J20" s="49" t="s">
        <v>19</v>
      </c>
      <c r="K20" s="50">
        <v>5</v>
      </c>
      <c r="L20" s="50">
        <v>450</v>
      </c>
      <c r="M20" s="65">
        <v>2</v>
      </c>
      <c r="N20" s="37">
        <f t="shared" si="8"/>
        <v>10</v>
      </c>
      <c r="O20" s="24">
        <f t="shared" si="9"/>
        <v>900</v>
      </c>
      <c r="P20" s="25">
        <f t="shared" si="10"/>
        <v>1080</v>
      </c>
      <c r="R20" s="18" t="s">
        <v>37</v>
      </c>
      <c r="S20" s="14">
        <f>+S19-SUM(N18:N25)</f>
        <v>3</v>
      </c>
      <c r="U20" s="18"/>
      <c r="V20" s="14"/>
    </row>
    <row r="21" spans="1:25" ht="15" thickBot="1" x14ac:dyDescent="0.35">
      <c r="A21" t="s">
        <v>9</v>
      </c>
      <c r="B21">
        <v>12</v>
      </c>
      <c r="C21">
        <v>12</v>
      </c>
      <c r="D21">
        <v>12</v>
      </c>
      <c r="E21">
        <v>12</v>
      </c>
      <c r="F21">
        <v>12</v>
      </c>
      <c r="I21" s="51"/>
      <c r="J21" s="49" t="s">
        <v>20</v>
      </c>
      <c r="K21" s="50">
        <v>6</v>
      </c>
      <c r="L21" s="50">
        <v>600</v>
      </c>
      <c r="M21" s="65">
        <v>0</v>
      </c>
      <c r="N21" s="37">
        <f t="shared" si="8"/>
        <v>0</v>
      </c>
      <c r="O21" s="24"/>
      <c r="P21" s="25"/>
      <c r="R21" s="18"/>
      <c r="S21" s="14"/>
      <c r="U21" s="19" t="s">
        <v>42</v>
      </c>
      <c r="V21" s="15">
        <f>+V19-V18</f>
        <v>48</v>
      </c>
    </row>
    <row r="22" spans="1:25" ht="15" thickBot="1" x14ac:dyDescent="0.35">
      <c r="A22" t="s">
        <v>10</v>
      </c>
      <c r="F22">
        <v>2</v>
      </c>
      <c r="I22" s="52"/>
      <c r="J22" s="49" t="s">
        <v>21</v>
      </c>
      <c r="K22" s="50">
        <v>1</v>
      </c>
      <c r="L22" s="50">
        <v>400</v>
      </c>
      <c r="M22" s="65">
        <v>2</v>
      </c>
      <c r="N22" s="37">
        <f t="shared" si="8"/>
        <v>2</v>
      </c>
      <c r="O22" s="24">
        <f t="shared" ref="O22:O25" si="15">+L22*M22</f>
        <v>800</v>
      </c>
      <c r="P22" s="25">
        <f t="shared" si="10"/>
        <v>960</v>
      </c>
      <c r="R22" s="19" t="s">
        <v>39</v>
      </c>
      <c r="S22" s="15">
        <f>+S20+18</f>
        <v>21</v>
      </c>
    </row>
    <row r="23" spans="1:25" x14ac:dyDescent="0.3">
      <c r="A23" s="8" t="s">
        <v>14</v>
      </c>
      <c r="B23" s="12">
        <f>+B17*B21*B22</f>
        <v>0</v>
      </c>
      <c r="C23" s="12">
        <f t="shared" ref="C23" si="16">+C17*C21*C22</f>
        <v>0</v>
      </c>
      <c r="D23" s="12">
        <f t="shared" ref="D23" si="17">+D17*D21*D22</f>
        <v>0</v>
      </c>
      <c r="E23" s="12">
        <f t="shared" ref="E23" si="18">+E17*E21*E22</f>
        <v>0</v>
      </c>
      <c r="F23" s="12">
        <f t="shared" ref="F23" si="19">+F17*F21*F22</f>
        <v>576</v>
      </c>
      <c r="I23" s="53"/>
      <c r="J23" s="54" t="s">
        <v>22</v>
      </c>
      <c r="K23" s="55">
        <v>1</v>
      </c>
      <c r="L23" s="55">
        <v>150</v>
      </c>
      <c r="M23" s="66">
        <v>4</v>
      </c>
      <c r="N23" s="38">
        <f t="shared" si="8"/>
        <v>4</v>
      </c>
      <c r="O23" s="26">
        <f t="shared" si="15"/>
        <v>600</v>
      </c>
      <c r="P23" s="27">
        <f t="shared" si="10"/>
        <v>720</v>
      </c>
    </row>
    <row r="24" spans="1:25" x14ac:dyDescent="0.3">
      <c r="A24" t="s">
        <v>12</v>
      </c>
      <c r="B24" s="4">
        <f>+B20+B23</f>
        <v>655.20000000000005</v>
      </c>
      <c r="C24" s="4">
        <f t="shared" ref="C24" si="20">+C20+C23</f>
        <v>1965.6000000000001</v>
      </c>
      <c r="D24" s="4">
        <f t="shared" ref="D24" si="21">+D20+D23</f>
        <v>6988.8</v>
      </c>
      <c r="E24" s="4">
        <f t="shared" ref="E24" si="22">+E20+E23</f>
        <v>655.20000000000005</v>
      </c>
      <c r="F24" s="4">
        <f t="shared" ref="F24" si="23">+F20+F23</f>
        <v>5817.6</v>
      </c>
      <c r="I24" s="56"/>
      <c r="J24" s="57" t="s">
        <v>23</v>
      </c>
      <c r="K24" s="58">
        <v>1</v>
      </c>
      <c r="L24" s="58">
        <v>130</v>
      </c>
      <c r="M24" s="67">
        <v>5</v>
      </c>
      <c r="N24" s="39">
        <f t="shared" si="8"/>
        <v>5</v>
      </c>
      <c r="O24" s="28">
        <f t="shared" si="15"/>
        <v>650</v>
      </c>
      <c r="P24" s="29">
        <f t="shared" si="10"/>
        <v>780</v>
      </c>
    </row>
    <row r="25" spans="1:25" ht="15" thickBot="1" x14ac:dyDescent="0.35">
      <c r="A25" t="s">
        <v>11</v>
      </c>
      <c r="B25" s="4">
        <f>+B24*0.5</f>
        <v>327.60000000000002</v>
      </c>
      <c r="C25" s="4">
        <f t="shared" ref="C25" si="24">+C24*0.5</f>
        <v>982.80000000000007</v>
      </c>
      <c r="D25" s="4">
        <f t="shared" ref="D25" si="25">+D24*0.5</f>
        <v>3494.4</v>
      </c>
      <c r="E25" s="4">
        <f t="shared" ref="E25" si="26">+E24*0.5</f>
        <v>327.60000000000002</v>
      </c>
      <c r="F25" s="4">
        <f t="shared" ref="F25" si="27">+F24*0.5</f>
        <v>2908.8</v>
      </c>
      <c r="I25" s="59"/>
      <c r="J25" s="60" t="s">
        <v>24</v>
      </c>
      <c r="K25" s="61">
        <v>0</v>
      </c>
      <c r="L25" s="61">
        <v>50</v>
      </c>
      <c r="M25" s="68">
        <v>12</v>
      </c>
      <c r="N25" s="40">
        <f t="shared" si="8"/>
        <v>0</v>
      </c>
      <c r="O25" s="30">
        <f t="shared" si="15"/>
        <v>600</v>
      </c>
      <c r="P25" s="31">
        <f t="shared" si="10"/>
        <v>720</v>
      </c>
    </row>
    <row r="26" spans="1:25" x14ac:dyDescent="0.3">
      <c r="A26" s="9" t="s">
        <v>15</v>
      </c>
      <c r="B26" s="13">
        <f>+SUM(B24:B25)</f>
        <v>982.80000000000007</v>
      </c>
      <c r="C26" s="13">
        <f t="shared" ref="C26" si="28">+SUM(C24:C25)</f>
        <v>2948.4</v>
      </c>
      <c r="D26" s="13">
        <f t="shared" ref="D26" si="29">+SUM(D24:D25)</f>
        <v>10483.200000000001</v>
      </c>
      <c r="E26" s="13">
        <f t="shared" ref="E26" si="30">+SUM(E24:E25)</f>
        <v>982.80000000000007</v>
      </c>
      <c r="F26" s="13">
        <f t="shared" ref="F26" si="31">+SUM(F24:F25)</f>
        <v>8726.4000000000015</v>
      </c>
      <c r="N26" s="81" t="s">
        <v>31</v>
      </c>
      <c r="O26" s="82">
        <f>+MIN(O18:O25)</f>
        <v>600</v>
      </c>
      <c r="P26" s="82">
        <f t="shared" si="10"/>
        <v>720</v>
      </c>
    </row>
    <row r="27" spans="1:25" ht="15" thickBot="1" x14ac:dyDescent="0.35">
      <c r="U27" t="s">
        <v>6</v>
      </c>
      <c r="V27">
        <v>48</v>
      </c>
      <c r="X27" s="86" t="s">
        <v>60</v>
      </c>
      <c r="Y27">
        <v>658</v>
      </c>
    </row>
    <row r="28" spans="1:25" ht="15" thickBot="1" x14ac:dyDescent="0.35">
      <c r="M28" s="16" t="s">
        <v>38</v>
      </c>
      <c r="N28" s="17" t="str">
        <f>+IF(SUM(N18:N25)&lt;S19,"OK","BUY")</f>
        <v>OK</v>
      </c>
    </row>
    <row r="30" spans="1:25" x14ac:dyDescent="0.3">
      <c r="S30" s="84" t="s">
        <v>18</v>
      </c>
      <c r="T30" s="84" t="s">
        <v>17</v>
      </c>
      <c r="U30" s="84" t="s">
        <v>55</v>
      </c>
      <c r="V30" s="85" t="s">
        <v>56</v>
      </c>
      <c r="W30" s="85"/>
      <c r="X30" s="85"/>
    </row>
    <row r="31" spans="1:25" x14ac:dyDescent="0.3">
      <c r="R31" t="s">
        <v>57</v>
      </c>
      <c r="S31" s="84">
        <f>+M4+M18</f>
        <v>10</v>
      </c>
      <c r="T31" s="84">
        <f>+M5+M19</f>
        <v>31</v>
      </c>
      <c r="U31" s="84">
        <f>+M6+M20</f>
        <v>5</v>
      </c>
      <c r="V31" s="84">
        <f>+M8+M22</f>
        <v>6</v>
      </c>
      <c r="W31" s="84">
        <v>14</v>
      </c>
      <c r="X31" s="84">
        <v>16</v>
      </c>
    </row>
    <row r="32" spans="1:25" x14ac:dyDescent="0.3">
      <c r="R32" t="s">
        <v>58</v>
      </c>
      <c r="S32" s="84">
        <f>10*S31</f>
        <v>100</v>
      </c>
      <c r="T32" s="84">
        <f>9*T31</f>
        <v>279</v>
      </c>
      <c r="U32" s="84">
        <f>15*U31</f>
        <v>75</v>
      </c>
      <c r="V32" s="84">
        <f>6*V31</f>
        <v>36</v>
      </c>
      <c r="W32" s="84">
        <f>6*W31</f>
        <v>84</v>
      </c>
      <c r="X32" s="84">
        <f>6*X31</f>
        <v>96</v>
      </c>
    </row>
    <row r="33" spans="18:24" x14ac:dyDescent="0.3">
      <c r="R33" t="s">
        <v>59</v>
      </c>
      <c r="S33" s="84">
        <f>+$Y$27*S32</f>
        <v>65800</v>
      </c>
      <c r="T33" s="84">
        <f t="shared" ref="T33:X33" si="32">+$Y$27*T32</f>
        <v>183582</v>
      </c>
      <c r="U33" s="84">
        <f t="shared" si="32"/>
        <v>49350</v>
      </c>
      <c r="V33" s="84">
        <f t="shared" si="32"/>
        <v>23688</v>
      </c>
      <c r="W33" s="84">
        <f t="shared" si="32"/>
        <v>55272</v>
      </c>
      <c r="X33" s="84">
        <f t="shared" si="32"/>
        <v>63168</v>
      </c>
    </row>
    <row r="36" spans="18:24" x14ac:dyDescent="0.3">
      <c r="S36">
        <f>+(SUM(S33:X33)*0.06)</f>
        <v>26451.599999999999</v>
      </c>
    </row>
  </sheetData>
  <mergeCells count="11">
    <mergeCell ref="U17:V17"/>
    <mergeCell ref="U3:V3"/>
    <mergeCell ref="V30:X30"/>
    <mergeCell ref="R17:S17"/>
    <mergeCell ref="R3:S3"/>
    <mergeCell ref="A15:F15"/>
    <mergeCell ref="A2:F2"/>
    <mergeCell ref="I3:J3"/>
    <mergeCell ref="I17:J17"/>
    <mergeCell ref="I16:P16"/>
    <mergeCell ref="I2:P2"/>
  </mergeCells>
  <phoneticPr fontId="4" type="noConversion"/>
  <conditionalFormatting sqref="N14">
    <cfRule type="cellIs" dxfId="1" priority="1" operator="equal">
      <formula>"BUY"</formula>
    </cfRule>
  </conditionalFormatting>
  <conditionalFormatting sqref="N28">
    <cfRule type="cellIs" dxfId="0" priority="2" operator="equal">
      <formula>"BUY"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B93B-5F82-4CDE-A1A6-26482C62DF4D}">
  <dimension ref="B2:G12"/>
  <sheetViews>
    <sheetView workbookViewId="0">
      <selection activeCell="E15" sqref="E15"/>
    </sheetView>
  </sheetViews>
  <sheetFormatPr defaultRowHeight="14.4" x14ac:dyDescent="0.3"/>
  <cols>
    <col min="4" max="4" width="12.21875" bestFit="1" customWidth="1"/>
    <col min="5" max="5" width="15.44140625" bestFit="1" customWidth="1"/>
    <col min="7" max="7" width="11.21875" bestFit="1" customWidth="1"/>
  </cols>
  <sheetData>
    <row r="2" spans="2:7" ht="15" thickBot="1" x14ac:dyDescent="0.35">
      <c r="B2" s="73" t="s">
        <v>25</v>
      </c>
      <c r="C2" s="74"/>
      <c r="D2" t="s">
        <v>51</v>
      </c>
      <c r="E2" t="s">
        <v>52</v>
      </c>
      <c r="F2" t="s">
        <v>53</v>
      </c>
      <c r="G2" t="s">
        <v>54</v>
      </c>
    </row>
    <row r="3" spans="2:7" x14ac:dyDescent="0.3">
      <c r="B3" s="42"/>
      <c r="C3" s="43" t="s">
        <v>18</v>
      </c>
      <c r="D3" s="4">
        <v>10600</v>
      </c>
      <c r="E3">
        <v>7</v>
      </c>
      <c r="G3" s="4">
        <f>+F3*D3</f>
        <v>0</v>
      </c>
    </row>
    <row r="4" spans="2:7" x14ac:dyDescent="0.3">
      <c r="B4" s="45"/>
      <c r="C4" s="46" t="s">
        <v>17</v>
      </c>
      <c r="D4" s="4">
        <v>7000</v>
      </c>
      <c r="E4">
        <v>22</v>
      </c>
      <c r="G4" s="4">
        <f t="shared" ref="G4:G10" si="0">+F4*D4</f>
        <v>0</v>
      </c>
    </row>
    <row r="5" spans="2:7" x14ac:dyDescent="0.3">
      <c r="B5" s="48"/>
      <c r="C5" s="49" t="s">
        <v>19</v>
      </c>
      <c r="D5" s="4">
        <v>88500</v>
      </c>
      <c r="E5">
        <v>3</v>
      </c>
      <c r="F5" s="81">
        <v>1</v>
      </c>
      <c r="G5" s="4">
        <f t="shared" si="0"/>
        <v>88500</v>
      </c>
    </row>
    <row r="6" spans="2:7" x14ac:dyDescent="0.3">
      <c r="B6" s="51"/>
      <c r="C6" s="49" t="s">
        <v>20</v>
      </c>
      <c r="D6" s="4">
        <v>155400</v>
      </c>
      <c r="E6">
        <v>0</v>
      </c>
      <c r="F6" s="81"/>
      <c r="G6" s="4">
        <f t="shared" si="0"/>
        <v>0</v>
      </c>
    </row>
    <row r="7" spans="2:7" x14ac:dyDescent="0.3">
      <c r="B7" s="52"/>
      <c r="C7" s="49" t="s">
        <v>21</v>
      </c>
      <c r="D7" s="4">
        <v>2500</v>
      </c>
      <c r="E7">
        <v>4</v>
      </c>
      <c r="F7" s="81"/>
      <c r="G7" s="4">
        <f t="shared" si="0"/>
        <v>0</v>
      </c>
    </row>
    <row r="8" spans="2:7" x14ac:dyDescent="0.3">
      <c r="B8" s="53"/>
      <c r="C8" s="54" t="s">
        <v>22</v>
      </c>
      <c r="D8" s="4">
        <v>2500</v>
      </c>
      <c r="E8">
        <v>10</v>
      </c>
      <c r="F8" s="81">
        <v>1</v>
      </c>
      <c r="G8" s="4">
        <f t="shared" si="0"/>
        <v>2500</v>
      </c>
    </row>
    <row r="9" spans="2:7" x14ac:dyDescent="0.3">
      <c r="B9" s="56"/>
      <c r="C9" s="57" t="s">
        <v>23</v>
      </c>
      <c r="D9" s="4">
        <v>2500</v>
      </c>
      <c r="E9">
        <v>11</v>
      </c>
      <c r="F9" s="81">
        <v>2</v>
      </c>
      <c r="G9" s="4">
        <f t="shared" si="0"/>
        <v>5000</v>
      </c>
    </row>
    <row r="10" spans="2:7" ht="15" thickBot="1" x14ac:dyDescent="0.35">
      <c r="B10" s="59"/>
      <c r="C10" s="60" t="s">
        <v>24</v>
      </c>
      <c r="D10" s="4">
        <f>240*3</f>
        <v>720</v>
      </c>
      <c r="E10">
        <v>25</v>
      </c>
      <c r="F10" s="81">
        <v>5</v>
      </c>
      <c r="G10" s="4">
        <f t="shared" si="0"/>
        <v>3600</v>
      </c>
    </row>
    <row r="12" spans="2:7" x14ac:dyDescent="0.3">
      <c r="G12" s="83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3815-A2B9-418B-9F36-A61E38343EF9}">
  <dimension ref="B1:C11"/>
  <sheetViews>
    <sheetView workbookViewId="0">
      <selection activeCell="G14" sqref="G14"/>
    </sheetView>
  </sheetViews>
  <sheetFormatPr defaultRowHeight="14.4" x14ac:dyDescent="0.3"/>
  <sheetData>
    <row r="1" spans="2:3" x14ac:dyDescent="0.3">
      <c r="B1" t="s">
        <v>48</v>
      </c>
    </row>
    <row r="2" spans="2:3" x14ac:dyDescent="0.3">
      <c r="C2" t="s">
        <v>47</v>
      </c>
    </row>
    <row r="4" spans="2:3" x14ac:dyDescent="0.3">
      <c r="B4" t="s">
        <v>43</v>
      </c>
    </row>
    <row r="5" spans="2:3" x14ac:dyDescent="0.3">
      <c r="B5" t="s">
        <v>18</v>
      </c>
      <c r="C5">
        <v>7</v>
      </c>
    </row>
    <row r="6" spans="2:3" x14ac:dyDescent="0.3">
      <c r="B6" t="s">
        <v>44</v>
      </c>
      <c r="C6">
        <f>+C5</f>
        <v>7</v>
      </c>
    </row>
    <row r="7" spans="2:3" x14ac:dyDescent="0.3">
      <c r="B7" t="s">
        <v>45</v>
      </c>
      <c r="C7">
        <f>+'6-Labor &amp; Capacity'!O4</f>
        <v>1400</v>
      </c>
    </row>
    <row r="8" spans="2:3" x14ac:dyDescent="0.3">
      <c r="B8" t="s">
        <v>36</v>
      </c>
      <c r="C8">
        <f>+'6-Labor &amp; Capacity'!N4</f>
        <v>7</v>
      </c>
    </row>
    <row r="9" spans="2:3" x14ac:dyDescent="0.3">
      <c r="B9" t="s">
        <v>46</v>
      </c>
    </row>
    <row r="10" spans="2:3" x14ac:dyDescent="0.3">
      <c r="B10" t="s">
        <v>49</v>
      </c>
      <c r="C10">
        <v>3</v>
      </c>
    </row>
    <row r="11" spans="2:3" x14ac:dyDescent="0.3">
      <c r="B11" t="s">
        <v>50</v>
      </c>
      <c r="C11">
        <f>+(C7*C10*1.2)+(C7*(8-C10))</f>
        <v>12040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6-Labor &amp; Capacity</vt:lpstr>
      <vt:lpstr>6 - INVESTMENTS</vt:lpstr>
      <vt:lpstr>6- Flow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Marín Benavides</dc:creator>
  <cp:lastModifiedBy>José Miguel Marín Benavides</cp:lastModifiedBy>
  <dcterms:created xsi:type="dcterms:W3CDTF">2026-01-14T00:48:02Z</dcterms:created>
  <dcterms:modified xsi:type="dcterms:W3CDTF">2026-01-16T23:45:19Z</dcterms:modified>
</cp:coreProperties>
</file>