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INPUTS_MASTER" sheetId="2" state="visible" r:id="rId4"/>
    <sheet name="02_DEMAND" sheetId="3" state="visible" r:id="rId5"/>
    <sheet name="03_MPS_S5" sheetId="4" state="visible" r:id="rId6"/>
    <sheet name="04_FLOW_S1_S5" sheetId="5" state="visible" r:id="rId7"/>
    <sheet name="05_CAPACITY" sheetId="6" state="visible" r:id="rId8"/>
    <sheet name="06_MRP_MATERIALS" sheetId="7" state="visible" r:id="rId9"/>
    <sheet name="07_SPACES" sheetId="8" state="visible" r:id="rId10"/>
    <sheet name="08_COSTING" sheetId="9" state="visible" r:id="rId11"/>
    <sheet name="09_CHECKS" sheetId="10" state="visible" r:id="rId12"/>
    <sheet name="10_DECISIONS_UPLOAD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<sst xmlns="http://schemas.openxmlformats.org/spreadsheetml/2006/main" count="926" uniqueCount="254">
  <si>
    <t xml:space="preserve">MODELO DE DECISIONES - PRODUCTION MANAGER (EXSIM / MEZQUITE)</t>
  </si>
  <si>
    <t xml:space="preserve">INSTRUCCIONES DE USO:</t>
  </si>
  <si>
    <t xml:space="preserve">PASO 1: Actualizar inventarios iniciales</t>
  </si>
  <si>
    <t xml:space="preserve">   - Ve a 01_INPUTS_MASTER y pega los inventarios de FG, materiales y assemblies del reporte del simulador</t>
  </si>
  <si>
    <t xml:space="preserve">PASO 2: Ingresar demanda forecast</t>
  </si>
  <si>
    <t xml:space="preserve">   - Ve a 02_DEMAND y captura la demanda esperada por región y subperiodo (pares: 2,4,6,8)</t>
  </si>
  <si>
    <t xml:space="preserve">PASO 3: Definir MPS (Master Production Schedule)</t>
  </si>
  <si>
    <t xml:space="preserve">   - Ve a 03_MPS_S5 y ajusta el target de FG final si deseas colchón de inventario</t>
  </si>
  <si>
    <t xml:space="preserve">PASO 4: Verificar flujo de producción</t>
  </si>
  <si>
    <t xml:space="preserve">   - Ve a 04_FLOW_S1_S5 para ver el plan por sección considerando lead times</t>
  </si>
  <si>
    <t xml:space="preserve">PASO 5: Verificar capacidad</t>
  </si>
  <si>
    <t xml:space="preserve">   - Ve a 05_CAPACITY para identificar cuellos de botella (máquinas/labor/materiales)</t>
  </si>
  <si>
    <t xml:space="preserve">PASO 6: Planificar compras (MRP)</t>
  </si>
  <si>
    <t xml:space="preserve">   - Ve a 06_MRP_MATERIALS para calcular los pedidos de Parts A/B y Pieces</t>
  </si>
  <si>
    <t xml:space="preserve">PASO 7: Verificar espacios y costeo</t>
  </si>
  <si>
    <t xml:space="preserve">   - 07_SPACES: Verifica que tienes suficientes módulos</t>
  </si>
  <si>
    <t xml:space="preserve">   - 08_COSTING: Revisa el costo unitario estimado</t>
  </si>
  <si>
    <t xml:space="preserve">   - 09_CHECKS: Panel de alertas - debe mostrar 'Plan Factible: Sí'</t>
  </si>
  <si>
    <t xml:space="preserve">PASO 8: Exportar decisiones</t>
  </si>
  <si>
    <t xml:space="preserve">   - Ve a 10_DECISIONS_UPLOAD para obtener los valores a cargar en el simulador</t>
  </si>
  <si>
    <t xml:space="preserve">--------------------------------------------------------------------------------</t>
  </si>
  <si>
    <t xml:space="preserve">DEFINICIONES DE INPUTS (celdas amarillas):</t>
  </si>
  <si>
    <t xml:space="preserve">- INPUTS_MASTER: Todos los parámetros del modelo (máquinas, costos, batch sizes, etc.)</t>
  </si>
  <si>
    <t xml:space="preserve">- Los valores en AZUL son inputs editables</t>
  </si>
  <si>
    <t xml:space="preserve">- Los valores en NEGRO son fórmulas calculadas</t>
  </si>
  <si>
    <t xml:space="preserve">- Los valores en VERDE son referencias a otras hojas</t>
  </si>
  <si>
    <t xml:space="preserve">IMPORTANTE:</t>
  </si>
  <si>
    <t xml:space="preserve">- La demanda se 'vende' solo en subperiodos PARES (2, 4, 6, 8)</t>
  </si>
  <si>
    <t xml:space="preserve">- Lead time por sección = 1 subperiodo</t>
  </si>
  <si>
    <t xml:space="preserve">- Overtime = +20% capacidad</t>
  </si>
  <si>
    <t xml:space="preserve">- Indirect labor = 50% de (salarios + overtime)</t>
  </si>
  <si>
    <t xml:space="preserve">TODO: Campos marcados con 'TODO' deben actualizarse del reporte del simulador</t>
  </si>
  <si>
    <t xml:space="preserve">PARÁMETROS MAESTROS DEL MODELO</t>
  </si>
  <si>
    <t xml:space="preserve">SUBPERIODOS</t>
  </si>
  <si>
    <t xml:space="preserve">Subperiodo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</si>
  <si>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</si>
  <si>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</si>
  <si>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</si>
  <si>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</si>
  <si>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</si>
  <si>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</si>
  <si>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</si>
  <si>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</si>
  <si>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Es subperiodo de venta?</t>
  </si>
  <si>
    <t xml:space="preserve">PLANTAS / REGIONES</t>
  </si>
  <si>
    <t xml:space="preserve">Región</t>
  </si>
  <si>
    <t xml:space="preserve">Tiene Planta?</t>
  </si>
  <si>
    <t xml:space="preserve">Módulos Planta</t>
  </si>
  <si>
    <t xml:space="preserve">Módulos Almacén</t>
  </si>
  <si>
    <t xml:space="preserve">Salario Quincena</t>
  </si>
  <si>
    <t xml:space="preserve">Center</t>
  </si>
  <si>
    <t xml:space="preserve">West</t>
  </si>
  <si>
    <t xml:space="preserve">North</t>
  </si>
  <si>
    <t xml:space="preserve">East</t>
  </si>
  <si>
    <t xml:space="preserve">South</t>
  </si>
  <si>
    <t xml:space="preserve">MÁQUINAS</t>
  </si>
  <si>
    <t xml:space="preserve">Tipo</t>
  </si>
  <si>
    <t xml:space="preserve">Capacidad/Quinc</t>
  </si>
  <si>
    <t xml:space="preserve">Espacios</t>
  </si>
  <si>
    <t xml:space="preserve">kW</t>
  </si>
  <si>
    <t xml:space="preserve">Costo</t>
  </si>
  <si>
    <t xml:space="preserve">Vida Útil</t>
  </si>
  <si>
    <t xml:space="preserve">Workers/Máq</t>
  </si>
  <si>
    <t xml:space="preserve">Center Qty</t>
  </si>
  <si>
    <t xml:space="preserve">West Qty</t>
  </si>
  <si>
    <t xml:space="preserve">Sección</t>
  </si>
  <si>
    <t xml:space="preserve">M1</t>
  </si>
  <si>
    <t xml:space="preserve">S1</t>
  </si>
  <si>
    <t xml:space="preserve">M2</t>
  </si>
  <si>
    <t xml:space="preserve">S2</t>
  </si>
  <si>
    <t xml:space="preserve">M3-alpha</t>
  </si>
  <si>
    <t xml:space="preserve">S3</t>
  </si>
  <si>
    <t xml:space="preserve">M3-beta</t>
  </si>
  <si>
    <t xml:space="preserve">M4-S3</t>
  </si>
  <si>
    <t xml:space="preserve">M4-S4</t>
  </si>
  <si>
    <t xml:space="preserve">S4</t>
  </si>
  <si>
    <t xml:space="preserve">M4-S5</t>
  </si>
  <si>
    <t xml:space="preserve">S5</t>
  </si>
  <si>
    <t xml:space="preserve">Crews-S5</t>
  </si>
  <si>
    <t xml:space="preserve">LABOR</t>
  </si>
  <si>
    <t xml:space="preserve">Salario mínimo/quincena</t>
  </si>
  <si>
    <t xml:space="preserve">Overtime cost/worker/quinc</t>
  </si>
  <si>
    <t xml:space="preserve">Hiring cost/worker</t>
  </si>
  <si>
    <t xml:space="preserve">Layoff cost/worker</t>
  </si>
  <si>
    <t xml:space="preserve">Indirect labor %</t>
  </si>
  <si>
    <t xml:space="preserve">ENERGÍA</t>
  </si>
  <si>
    <t xml:space="preserve">Costo fijo $/kW instalado/periodo</t>
  </si>
  <si>
    <t xml:space="preserve">Costo variable $/kWh</t>
  </si>
  <si>
    <t xml:space="preserve">Horas/subperiodo</t>
  </si>
  <si>
    <t xml:space="preserve">MATERIALES - PIECES (Batch, inicio periodo)</t>
  </si>
  <si>
    <t xml:space="preserve">Piece</t>
  </si>
  <si>
    <t xml:space="preserve">Batch Size</t>
  </si>
  <si>
    <t xml:space="preserve">Costo/Batch</t>
  </si>
  <si>
    <t xml:space="preserve">Consumo/Electroclean</t>
  </si>
  <si>
    <t xml:space="preserve">Inv Inicial Center</t>
  </si>
  <si>
    <t xml:space="preserve">Inv Inicial West</t>
  </si>
  <si>
    <t xml:space="preserve">Piece 1</t>
  </si>
  <si>
    <t xml:space="preserve">Piece 2</t>
  </si>
  <si>
    <t xml:space="preserve">Piece 3</t>
  </si>
  <si>
    <t xml:space="preserve">Piece 4</t>
  </si>
  <si>
    <t xml:space="preserve">Piece 5</t>
  </si>
  <si>
    <t xml:space="preserve">Piece 6</t>
  </si>
  <si>
    <t xml:space="preserve">MATERIALES - PARTS A/B (Batch, cualquier subperiodo)</t>
  </si>
  <si>
    <t xml:space="preserve">Part</t>
  </si>
  <si>
    <t xml:space="preserve">Precio Supp A</t>
  </si>
  <si>
    <t xml:space="preserve">Precio Supp B</t>
  </si>
  <si>
    <t xml:space="preserve">Precio Supp C</t>
  </si>
  <si>
    <t xml:space="preserve">Ordering Cost</t>
  </si>
  <si>
    <t xml:space="preserve">Holding Cost/unit</t>
  </si>
  <si>
    <t xml:space="preserve">Consumo/EC</t>
  </si>
  <si>
    <t xml:space="preserve">Part A</t>
  </si>
  <si>
    <t xml:space="preserve">Part B</t>
  </si>
  <si>
    <t xml:space="preserve">ASSEMBLIES - Holding Costs</t>
  </si>
  <si>
    <t xml:space="preserve">Assembly</t>
  </si>
  <si>
    <t xml:space="preserve">Holding Cost/unit/quinc</t>
  </si>
  <si>
    <t xml:space="preserve">Assembly A</t>
  </si>
  <si>
    <t xml:space="preserve">Assembly B</t>
  </si>
  <si>
    <t xml:space="preserve">Assembly C</t>
  </si>
  <si>
    <t xml:space="preserve">Assembly D</t>
  </si>
  <si>
    <t xml:space="preserve">ESPACIOS</t>
  </si>
  <si>
    <t xml:space="preserve">Espacios por módulo</t>
  </si>
  <si>
    <t xml:space="preserve">Costo módulo planta</t>
  </si>
  <si>
    <t xml:space="preserve">Costo leasing emergencia/módulo</t>
  </si>
  <si>
    <t xml:space="preserve">Costo admin/módulo/periodo</t>
  </si>
  <si>
    <t xml:space="preserve">FINISHED GOODS - INVENTARIOS INICIALES</t>
  </si>
  <si>
    <t xml:space="preserve">FG Inicial</t>
  </si>
  <si>
    <t xml:space="preserve">Capacidad Almacén</t>
  </si>
  <si>
    <t xml:space="preserve">DEMANDA Y VENTAS POR REGIÓN Y SUBPERIODO</t>
  </si>
  <si>
    <t xml:space="preserve">Concepto</t>
  </si>
  <si>
    <t xml:space="preserve">S6</t>
  </si>
  <si>
    <t xml:space="preserve">S7</t>
  </si>
  <si>
    <t xml:space="preserve">S8</t>
  </si>
  <si>
    <t xml:space="preserve">TOTAL</t>
  </si>
  <si>
    <t xml:space="preserve">Demanda Forecast</t>
  </si>
  <si>
    <t xml:space="preserve">Es Subperiodo Venta?</t>
  </si>
  <si>
    <t xml:space="preserve">Demanda Real</t>
  </si>
  <si>
    <t xml:space="preserve">Recepciones (prod+envíos)</t>
  </si>
  <si>
    <t xml:space="preserve">FG Disponible</t>
  </si>
  <si>
    <t xml:space="preserve">Ventas Posibles</t>
  </si>
  <si>
    <t xml:space="preserve">Ventas Perdidas</t>
  </si>
  <si>
    <t xml:space="preserve">FG Final</t>
  </si>
  <si>
    <t xml:space="preserve">MASTER PRODUCTION SCHEDULE - SECCIÓN 5 (Electroclean)</t>
  </si>
  <si>
    <t xml:space="preserve">Target FG Final (colchón)</t>
  </si>
  <si>
    <t xml:space="preserve">Demanda (de 02_DEMAND)</t>
  </si>
  <si>
    <t xml:space="preserve">Target FG Final</t>
  </si>
  <si>
    <t xml:space="preserve">Req_S5 = Demanda + Target - FG Inicial</t>
  </si>
  <si>
    <t xml:space="preserve">Plan Producción S5</t>
  </si>
  <si>
    <t xml:space="preserve">FLUJO DE PRODUCCIÓN POR SECCIÓN (WIP) - BACK-SCHEDULING</t>
  </si>
  <si>
    <t xml:space="preserve">Lead time = 1 subperiodo por sección. Plan_S4 alimenta S5, Plan_S3 alimenta S4, etc.</t>
  </si>
  <si>
    <t xml:space="preserve">Planta</t>
  </si>
  <si>
    <t xml:space="preserve">Plan Producción</t>
  </si>
  <si>
    <t xml:space="preserve">Inv Inicial</t>
  </si>
  <si>
    <t xml:space="preserve">Producido</t>
  </si>
  <si>
    <t xml:space="preserve">Consumido</t>
  </si>
  <si>
    <t xml:space="preserve">Inv Final</t>
  </si>
  <si>
    <t xml:space="preserve">ANÁLISIS DE CAPACIDAD POR PLANTA, SECCIÓN Y SUBPERIODO</t>
  </si>
  <si>
    <t xml:space="preserve"># Máquinas</t>
  </si>
  <si>
    <t xml:space="preserve">Capacidad/Máquina</t>
  </si>
  <si>
    <t xml:space="preserve">Capacidad Máquinas</t>
  </si>
  <si>
    <t xml:space="preserve"># Workers</t>
  </si>
  <si>
    <t xml:space="preserve">Workers/Máquina req</t>
  </si>
  <si>
    <t xml:space="preserve">Capacidad Labor</t>
  </si>
  <si>
    <t xml:space="preserve">Capacidad Base (MIN)</t>
  </si>
  <si>
    <t xml:space="preserve">Overtime (0/1)</t>
  </si>
  <si>
    <t xml:space="preserve">Capacidad c/Overtime</t>
  </si>
  <si>
    <t xml:space="preserve">Producción Real</t>
  </si>
  <si>
    <t xml:space="preserve">Bottleneck</t>
  </si>
  <si>
    <t xml:space="preserve">MRP - PLANIFICACIÓN DE MATERIALES (Parts A/B y Pieces 1-6)</t>
  </si>
  <si>
    <t xml:space="preserve">Material</t>
  </si>
  <si>
    <t xml:space="preserve">S0</t>
  </si>
  <si>
    <t xml:space="preserve">Producción Plan</t>
  </si>
  <si>
    <t xml:space="preserve">Req Bruto</t>
  </si>
  <si>
    <t xml:space="preserve">Req Neto</t>
  </si>
  <si>
    <t xml:space="preserve">Lotes a Pedir</t>
  </si>
  <si>
    <t xml:space="preserve">Pedido (lotes*batch)</t>
  </si>
  <si>
    <t xml:space="preserve">Holding Cost</t>
  </si>
  <si>
    <t xml:space="preserve">ANÁLISIS DE ESPACIOS Y MÓDULOS</t>
  </si>
  <si>
    <t xml:space="preserve">Valor</t>
  </si>
  <si>
    <t xml:space="preserve">M1 qty</t>
  </si>
  <si>
    <t xml:space="preserve">M1 espacios/maq</t>
  </si>
  <si>
    <t xml:space="preserve">M2 qty</t>
  </si>
  <si>
    <t xml:space="preserve">M2 espacios/maq</t>
  </si>
  <si>
    <t xml:space="preserve">M3a qty</t>
  </si>
  <si>
    <t xml:space="preserve">M3a espacios/maq</t>
  </si>
  <si>
    <t xml:space="preserve">M3b qty</t>
  </si>
  <si>
    <t xml:space="preserve">M3b espacios/maq</t>
  </si>
  <si>
    <t xml:space="preserve">M4 qty total</t>
  </si>
  <si>
    <t xml:space="preserve">M4 espacios/maq</t>
  </si>
  <si>
    <t xml:space="preserve">Espacios Usados</t>
  </si>
  <si>
    <t xml:space="preserve">Módulos Actuales</t>
  </si>
  <si>
    <t xml:space="preserve">Espacios Disponibles</t>
  </si>
  <si>
    <t xml:space="preserve">Faltante</t>
  </si>
  <si>
    <t xml:space="preserve">Módulos Requeridos</t>
  </si>
  <si>
    <t xml:space="preserve">ALERTA</t>
  </si>
  <si>
    <t xml:space="preserve">ANÁLISIS DE COSTOS DE PRODUCCIÓN</t>
  </si>
  <si>
    <t xml:space="preserve">TOTAL PERIODO</t>
  </si>
  <si>
    <t xml:space="preserve">Salario/worker/quinc</t>
  </si>
  <si>
    <t xml:space="preserve">Total Salarios</t>
  </si>
  <si>
    <t xml:space="preserve"># Workers Overtime</t>
  </si>
  <si>
    <t xml:space="preserve">Overtime cost/worker</t>
  </si>
  <si>
    <t xml:space="preserve">Total Overtime</t>
  </si>
  <si>
    <t xml:space="preserve">Total Labor</t>
  </si>
  <si>
    <t xml:space="preserve">Indirect Labor (50%)</t>
  </si>
  <si>
    <t xml:space="preserve">kW instalados</t>
  </si>
  <si>
    <t xml:space="preserve">Costo fijo ($/kW/periodo)</t>
  </si>
  <si>
    <t xml:space="preserve">Total Costo Fijo</t>
  </si>
  <si>
    <t xml:space="preserve">kWh consumidos</t>
  </si>
  <si>
    <t xml:space="preserve">Costo variable ($/kWh)</t>
  </si>
  <si>
    <t xml:space="preserve">Total Costo Variable</t>
  </si>
  <si>
    <t xml:space="preserve">Total Energía</t>
  </si>
  <si>
    <t xml:space="preserve">MATERIALES</t>
  </si>
  <si>
    <t xml:space="preserve">Costo Part A</t>
  </si>
  <si>
    <t xml:space="preserve">Costo Part B</t>
  </si>
  <si>
    <t xml:space="preserve">Costo Pieces</t>
  </si>
  <si>
    <t xml:space="preserve">Total Materiales</t>
  </si>
  <si>
    <t xml:space="preserve">ORDERING + HOLDING</t>
  </si>
  <si>
    <t xml:space="preserve">Total Ordering+Holding</t>
  </si>
  <si>
    <t xml:space="preserve">RESUMEN</t>
  </si>
  <si>
    <t xml:space="preserve">Total Labor + Indirect</t>
  </si>
  <si>
    <t xml:space="preserve">COSTO TOTAL PRODUCCIÓN</t>
  </si>
  <si>
    <t xml:space="preserve">Unidades Producidas S5</t>
  </si>
  <si>
    <t xml:space="preserve">COSTO UNITARIO</t>
  </si>
  <si>
    <t xml:space="preserve">PANEL DE ALERTAS Y VALIDACIÓN</t>
  </si>
  <si>
    <t xml:space="preserve">Verificación</t>
  </si>
  <si>
    <t xml:space="preserve">Estado</t>
  </si>
  <si>
    <t xml:space="preserve">Detalle</t>
  </si>
  <si>
    <t xml:space="preserve">Plan &gt; Capacidad en alguna sección/subperiodo</t>
  </si>
  <si>
    <t xml:space="preserve">⚠️ REVISAR</t>
  </si>
  <si>
    <t xml:space="preserve">Verificar 05_CAPACITY</t>
  </si>
  <si>
    <t xml:space="preserve">Inventario negativo de materiales</t>
  </si>
  <si>
    <t xml:space="preserve">Verificar 06_MRP_MATERIALS</t>
  </si>
  <si>
    <t xml:space="preserve">Inventario negativo de assemblies</t>
  </si>
  <si>
    <t xml:space="preserve">Verificar 04_FLOW_S1_S5</t>
  </si>
  <si>
    <t xml:space="preserve">Espacios insuficientes</t>
  </si>
  <si>
    <t xml:space="preserve">Verificar 07_SPACES</t>
  </si>
  <si>
    <t xml:space="preserve">Ventas perdidas en 2/4/6/8</t>
  </si>
  <si>
    <t xml:space="preserve">Verificar 02_DEMAND</t>
  </si>
  <si>
    <t xml:space="preserve">PLAN FACTIBLE:</t>
  </si>
  <si>
    <t xml:space="preserve">REVISAR ALERTAS</t>
  </si>
  <si>
    <t xml:space="preserve">DECISIONES PARA CARGAR AL SIMULADOR</t>
  </si>
  <si>
    <t xml:space="preserve">COMPRA DE MÁQUINAS</t>
  </si>
  <si>
    <t xml:space="preserve">Tipo Máquina</t>
  </si>
  <si>
    <t xml:space="preserve">Periodo Compra</t>
  </si>
  <si>
    <t xml:space="preserve">Cantidad</t>
  </si>
  <si>
    <t xml:space="preserve">WORKERS POR PLANTA/SECCIÓN</t>
  </si>
  <si>
    <t xml:space="preserve">S1 (M1)</t>
  </si>
  <si>
    <t xml:space="preserve">S2 (M2)</t>
  </si>
  <si>
    <t xml:space="preserve">S3 (M3a)</t>
  </si>
  <si>
    <t xml:space="preserve">S3 (M4)</t>
  </si>
  <si>
    <t xml:space="preserve">S4 (M4)</t>
  </si>
  <si>
    <t xml:space="preserve">S5 (M4)</t>
  </si>
  <si>
    <t xml:space="preserve">S5 (Crews)</t>
  </si>
  <si>
    <t xml:space="preserve">OVERTIME POR PLANTA/SECCIÓN/SUBPERIODO</t>
  </si>
  <si>
    <t xml:space="preserve">PRODUCCIÓN POR PLANTA/SECCIÓN/SUBPERIODO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</si>
</sst>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Cambria"/>
      <family val="0"/>
      <charset val="1"/>
    </font>
    <font>
      <b val="true"/>
      <sz val="11"/>
      <color rgb="FF4472C4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2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9.5" hidden="false" customHeight="true" outlineLevel="0" collapsed="false">
      <c r="A1" s="2" t="s">
        <v>0</v>
      </c>
    </row>
    <row r="3" customFormat="false" ht="15" hidden="false" customHeight="true" outlineLevel="0" collapsed="false">
      <c r="A3" s="1" t="s">
        <v>1</v>
      </c>
    </row>
    <row r="5" customFormat="false" ht="15" hidden="false" customHeight="true" outlineLevel="0" collapsed="false">
      <c r="A5" s="3" t="s">
        <v>2</v>
      </c>
    </row>
    <row r="6" customFormat="false" ht="15" hidden="false" customHeight="true" outlineLevel="0" collapsed="false">
      <c r="A6" s="1" t="s">
        <v>3</v>
      </c>
    </row>
    <row r="8" customFormat="false" ht="15" hidden="false" customHeight="true" outlineLevel="0" collapsed="false">
      <c r="A8" s="3" t="s">
        <v>4</v>
      </c>
    </row>
    <row r="9" customFormat="false" ht="15" hidden="false" customHeight="true" outlineLevel="0" collapsed="false">
      <c r="A9" s="1" t="s">
        <v>5</v>
      </c>
    </row>
    <row r="11" customFormat="false" ht="15" hidden="false" customHeight="true" outlineLevel="0" collapsed="false">
      <c r="A11" s="3" t="s">
        <v>6</v>
      </c>
    </row>
    <row r="12" customFormat="false" ht="15" hidden="false" customHeight="true" outlineLevel="0" collapsed="false">
      <c r="A12" s="1" t="s">
        <v>7</v>
      </c>
    </row>
    <row r="14" customFormat="false" ht="15" hidden="false" customHeight="true" outlineLevel="0" collapsed="false">
      <c r="A14" s="3" t="s">
        <v>8</v>
      </c>
    </row>
    <row r="15" customFormat="false" ht="15" hidden="false" customHeight="true" outlineLevel="0" collapsed="false">
      <c r="A15" s="1" t="s">
        <v>9</v>
      </c>
    </row>
    <row r="17" customFormat="false" ht="15" hidden="false" customHeight="true" outlineLevel="0" collapsed="false">
      <c r="A17" s="3" t="s">
        <v>10</v>
      </c>
    </row>
    <row r="18" customFormat="false" ht="15" hidden="false" customHeight="true" outlineLevel="0" collapsed="false">
      <c r="A18" s="1" t="s">
        <v>11</v>
      </c>
    </row>
    <row r="20" customFormat="false" ht="15" hidden="false" customHeight="true" outlineLevel="0" collapsed="false">
      <c r="A20" s="3" t="s">
        <v>12</v>
      </c>
    </row>
    <row r="21" customFormat="false" ht="15" hidden="false" customHeight="true" outlineLevel="0" collapsed="false">
      <c r="A21" s="1" t="s">
        <v>13</v>
      </c>
    </row>
    <row r="23" customFormat="false" ht="15" hidden="false" customHeight="true" outlineLevel="0" collapsed="false">
      <c r="A23" s="3" t="s">
        <v>14</v>
      </c>
    </row>
    <row r="24" customFormat="false" ht="15" hidden="false" customHeight="true" outlineLevel="0" collapsed="false">
      <c r="A24" s="1" t="s">
        <v>15</v>
      </c>
    </row>
    <row r="25" customFormat="false" ht="15" hidden="false" customHeight="true" outlineLevel="0" collapsed="false">
      <c r="A25" s="1" t="s">
        <v>16</v>
      </c>
    </row>
    <row r="26" customFormat="false" ht="15" hidden="false" customHeight="true" outlineLevel="0" collapsed="false">
      <c r="A26" s="1" t="s">
        <v>17</v>
      </c>
    </row>
    <row r="28" customFormat="false" ht="15" hidden="false" customHeight="true" outlineLevel="0" collapsed="false">
      <c r="A28" s="3" t="s">
        <v>18</v>
      </c>
    </row>
    <row r="29" customFormat="false" ht="15" hidden="false" customHeight="true" outlineLevel="0" collapsed="false">
      <c r="A29" s="1" t="s">
        <v>19</v>
      </c>
    </row>
    <row r="31" customFormat="false" ht="15" hidden="false" customHeight="true" outlineLevel="0" collapsed="false">
      <c r="A31" s="1" t="s">
        <v>20</v>
      </c>
    </row>
    <row r="32" customFormat="false" ht="15" hidden="false" customHeight="true" outlineLevel="0" collapsed="false">
      <c r="A32" s="1" t="s">
        <v>21</v>
      </c>
    </row>
    <row r="34" customFormat="false" ht="15" hidden="false" customHeight="true" outlineLevel="0" collapsed="false">
      <c r="A34" s="1" t="s">
        <v>22</v>
      </c>
    </row>
    <row r="35" customFormat="false" ht="15" hidden="false" customHeight="true" outlineLevel="0" collapsed="false">
      <c r="A35" s="1" t="s">
        <v>23</v>
      </c>
    </row>
    <row r="36" customFormat="false" ht="15" hidden="false" customHeight="true" outlineLevel="0" collapsed="false">
      <c r="A36" s="1" t="s">
        <v>24</v>
      </c>
    </row>
    <row r="37" customFormat="false" ht="15" hidden="false" customHeight="true" outlineLevel="0" collapsed="false">
      <c r="A37" s="1" t="s">
        <v>25</v>
      </c>
    </row>
    <row r="39" customFormat="false" ht="15" hidden="false" customHeight="true" outlineLevel="0" collapsed="false">
      <c r="A39" s="1" t="s">
        <v>26</v>
      </c>
    </row>
    <row r="40" customFormat="false" ht="15" hidden="false" customHeight="true" outlineLevel="0" collapsed="false">
      <c r="A40" s="1" t="s">
        <v>27</v>
      </c>
    </row>
    <row r="41" customFormat="false" ht="15" hidden="false" customHeight="true" outlineLevel="0" collapsed="false">
      <c r="A41" s="1" t="s">
        <v>28</v>
      </c>
    </row>
    <row r="42" customFormat="false" ht="15" hidden="false" customHeight="true" outlineLevel="0" collapsed="false">
      <c r="A42" s="1" t="s">
        <v>29</v>
      </c>
    </row>
    <row r="43" customFormat="false" ht="15" hidden="false" customHeight="true" outlineLevel="0" collapsed="false">
      <c r="A43" s="1" t="s">
        <v>30</v>
      </c>
    </row>
    <row r="45" customFormat="false" ht="15" hidden="false" customHeight="true" outlineLevel="0" collapsed="false">
      <c r="A45" s="1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1" width="18"/>
  </cols>
  <sheetData>
    <row r="1" customFormat="false" ht="17.25" hidden="false" customHeight="true" outlineLevel="0" collapsed="false">
      <c r="A1" s="4" t="s">
        <v>32</v>
      </c>
      <c r="B1" s="4"/>
      <c r="C1" s="4"/>
      <c r="D1" s="4"/>
      <c r="E1" s="4"/>
      <c r="F1" s="4"/>
      <c r="G1" s="4"/>
      <c r="H1" s="4"/>
    </row>
    <row r="3" customFormat="false" ht="15" hidden="false" customHeight="true" outlineLevel="0" collapsed="false">
      <c r="A3" s="5" t="s">
        <v>33</v>
      </c>
      <c r="B3" s="5"/>
      <c r="C3" s="5"/>
      <c r="D3" s="5"/>
      <c r="E3" s="5"/>
      <c r="F3" s="5"/>
      <c r="G3" s="5"/>
      <c r="H3" s="5"/>
      <c r="I3" s="5"/>
    </row>
    <row r="4" customFormat="false" ht="15" hidden="false" customHeight="true" outlineLevel="0" collapsed="false">
      <c r="A4" s="5" t="s">
        <v>34</v>
      </c>
      <c r="B4" s="5" t="s">
        <v>35</v>
      </c>
      <c r="C4" s="5" t="s">
        <v>36</v>
      </c>
      <c r="D4" s="5" t="s">
        <v>37</v>
      </c>
      <c r="E4" s="5" t="s">
        <v>38</v>
      </c>
      <c r="F4" s="5" t="s">
        <v>39</v>
      </c>
      <c r="G4" s="5" t="s">
        <v>40</v>
      </c>
      <c r="H4" s="5" t="s">
        <v>41</v>
      </c>
      <c r="I4" s="5" t="s">
        <v>42</v>
      </c>
    </row>
    <row r="5" customFormat="false" ht="15" hidden="false" customHeight="true" outlineLevel="0" collapsed="false">
      <c r="A5" s="1" t="s">
        <v>43</v>
      </c>
      <c r="B5" s="6" t="n">
        <v>0</v>
      </c>
      <c r="C5" s="6" t="n">
        <v>1</v>
      </c>
      <c r="D5" s="6" t="n">
        <v>0</v>
      </c>
      <c r="E5" s="6" t="n">
        <v>1</v>
      </c>
      <c r="F5" s="6" t="n">
        <v>0</v>
      </c>
      <c r="G5" s="6" t="n">
        <v>1</v>
      </c>
      <c r="H5" s="6" t="n">
        <v>0</v>
      </c>
      <c r="I5" s="6" t="n">
        <v>1</v>
      </c>
    </row>
    <row r="7" customFormat="false" ht="15" hidden="false" customHeight="true" outlineLevel="0" collapsed="false">
      <c r="A7" s="5" t="s">
        <v>44</v>
      </c>
      <c r="B7" s="5"/>
      <c r="C7" s="5"/>
      <c r="D7" s="5"/>
      <c r="E7" s="5"/>
    </row>
    <row r="8" customFormat="false" ht="15" hidden="false" customHeight="true" outlineLevel="0" collapsed="false">
      <c r="A8" s="5" t="s">
        <v>45</v>
      </c>
      <c r="B8" s="5" t="s">
        <v>46</v>
      </c>
      <c r="C8" s="5" t="s">
        <v>47</v>
      </c>
      <c r="D8" s="5" t="s">
        <v>48</v>
      </c>
      <c r="E8" s="5" t="s">
        <v>49</v>
      </c>
    </row>
    <row r="9" customFormat="false" ht="15" hidden="false" customHeight="true" outlineLevel="0" collapsed="false">
      <c r="A9" s="1" t="s">
        <v>50</v>
      </c>
      <c r="B9" s="7" t="n">
        <v>1</v>
      </c>
      <c r="C9" s="7" t="n">
        <v>4</v>
      </c>
      <c r="D9" s="7" t="n">
        <v>48</v>
      </c>
      <c r="E9" s="7" t="n">
        <v>27.3</v>
      </c>
    </row>
    <row r="10" customFormat="false" ht="15" hidden="false" customHeight="true" outlineLevel="0" collapsed="false">
      <c r="A10" s="1" t="s">
        <v>51</v>
      </c>
      <c r="B10" s="7" t="n">
        <v>1</v>
      </c>
      <c r="C10" s="7" t="n">
        <v>2</v>
      </c>
      <c r="D10" s="7" t="n">
        <v>25</v>
      </c>
      <c r="E10" s="7" t="n">
        <v>27.3</v>
      </c>
    </row>
    <row r="11" customFormat="false" ht="15" hidden="false" customHeight="true" outlineLevel="0" collapsed="false">
      <c r="A11" s="1" t="s">
        <v>52</v>
      </c>
      <c r="B11" s="7" t="n">
        <v>0</v>
      </c>
      <c r="C11" s="7" t="n">
        <v>0</v>
      </c>
      <c r="D11" s="7" t="n">
        <v>20</v>
      </c>
      <c r="E11" s="7" t="n">
        <v>0</v>
      </c>
    </row>
    <row r="12" customFormat="false" ht="15" hidden="false" customHeight="true" outlineLevel="0" collapsed="false">
      <c r="A12" s="1" t="s">
        <v>53</v>
      </c>
      <c r="B12" s="7" t="n">
        <v>0</v>
      </c>
      <c r="C12" s="7" t="n">
        <v>0</v>
      </c>
      <c r="D12" s="7" t="n">
        <v>0</v>
      </c>
      <c r="E12" s="7" t="n">
        <v>0</v>
      </c>
    </row>
    <row r="13" customFormat="false" ht="15" hidden="false" customHeight="true" outlineLevel="0" collapsed="false">
      <c r="A13" s="1" t="s">
        <v>54</v>
      </c>
      <c r="B13" s="7" t="n">
        <v>0</v>
      </c>
      <c r="C13" s="7" t="n">
        <v>0</v>
      </c>
      <c r="D13" s="7" t="n">
        <v>0</v>
      </c>
      <c r="E13" s="7" t="n">
        <v>0</v>
      </c>
    </row>
    <row r="15" customFormat="false" ht="15" hidden="false" customHeight="true" outlineLevel="0" collapsed="false">
      <c r="A15" s="5" t="s">
        <v>55</v>
      </c>
      <c r="B15" s="5"/>
      <c r="C15" s="5"/>
      <c r="D15" s="5"/>
      <c r="E15" s="5"/>
      <c r="F15" s="5"/>
      <c r="G15" s="5"/>
      <c r="H15" s="5"/>
      <c r="I15" s="5"/>
      <c r="J15" s="5"/>
    </row>
    <row r="16" customFormat="false" ht="15" hidden="false" customHeight="true" outlineLevel="0" collapsed="false">
      <c r="A16" s="5" t="s">
        <v>56</v>
      </c>
      <c r="B16" s="5" t="s">
        <v>57</v>
      </c>
      <c r="C16" s="5" t="s">
        <v>58</v>
      </c>
      <c r="D16" s="5" t="s">
        <v>59</v>
      </c>
      <c r="E16" s="5" t="s">
        <v>60</v>
      </c>
      <c r="F16" s="5" t="s">
        <v>61</v>
      </c>
      <c r="G16" s="5" t="s">
        <v>62</v>
      </c>
      <c r="H16" s="5" t="s">
        <v>63</v>
      </c>
      <c r="I16" s="5" t="s">
        <v>64</v>
      </c>
      <c r="J16" s="5" t="s">
        <v>65</v>
      </c>
    </row>
    <row r="17" customFormat="false" ht="15" hidden="false" customHeight="true" outlineLevel="0" collapsed="false">
      <c r="A17" s="6" t="s">
        <v>66</v>
      </c>
      <c r="B17" s="6" t="n">
        <v>200</v>
      </c>
      <c r="C17" s="6" t="n">
        <v>1</v>
      </c>
      <c r="D17" s="6" t="n">
        <v>10</v>
      </c>
      <c r="E17" s="6" t="n">
        <v>10600</v>
      </c>
      <c r="F17" s="6" t="n">
        <v>10</v>
      </c>
      <c r="G17" s="6" t="n">
        <v>1</v>
      </c>
      <c r="H17" s="7" t="n">
        <v>7</v>
      </c>
      <c r="I17" s="7" t="n">
        <v>3</v>
      </c>
      <c r="J17" s="6" t="s">
        <v>67</v>
      </c>
    </row>
    <row r="18" customFormat="false" ht="15" hidden="false" customHeight="true" outlineLevel="0" collapsed="false">
      <c r="A18" s="6" t="s">
        <v>68</v>
      </c>
      <c r="B18" s="6" t="n">
        <v>70</v>
      </c>
      <c r="C18" s="6" t="n">
        <v>1</v>
      </c>
      <c r="D18" s="6" t="n">
        <v>9</v>
      </c>
      <c r="E18" s="6" t="n">
        <v>7000</v>
      </c>
      <c r="F18" s="6" t="n">
        <v>10</v>
      </c>
      <c r="G18" s="6" t="n">
        <v>1</v>
      </c>
      <c r="H18" s="7" t="n">
        <v>22</v>
      </c>
      <c r="I18" s="7" t="n">
        <v>9</v>
      </c>
      <c r="J18" s="6" t="s">
        <v>69</v>
      </c>
    </row>
    <row r="19" customFormat="false" ht="15" hidden="false" customHeight="true" outlineLevel="0" collapsed="false">
      <c r="A19" s="6" t="s">
        <v>70</v>
      </c>
      <c r="B19" s="6" t="n">
        <v>450</v>
      </c>
      <c r="C19" s="6" t="n">
        <v>5</v>
      </c>
      <c r="D19" s="6" t="n">
        <v>15</v>
      </c>
      <c r="E19" s="6" t="n">
        <v>88500</v>
      </c>
      <c r="F19" s="6" t="n">
        <v>20</v>
      </c>
      <c r="G19" s="6" t="n">
        <v>30</v>
      </c>
      <c r="H19" s="7" t="n">
        <v>3</v>
      </c>
      <c r="I19" s="7" t="n">
        <v>1</v>
      </c>
      <c r="J19" s="6" t="s">
        <v>71</v>
      </c>
    </row>
    <row r="20" customFormat="false" ht="15" hidden="false" customHeight="true" outlineLevel="0" collapsed="false">
      <c r="A20" s="6" t="s">
        <v>72</v>
      </c>
      <c r="B20" s="6" t="n">
        <v>600</v>
      </c>
      <c r="C20" s="6" t="n">
        <v>6</v>
      </c>
      <c r="D20" s="6" t="n">
        <v>16</v>
      </c>
      <c r="E20" s="6" t="n">
        <v>155400</v>
      </c>
      <c r="F20" s="6" t="n">
        <v>20</v>
      </c>
      <c r="G20" s="6" t="n">
        <v>6</v>
      </c>
      <c r="H20" s="7" t="n">
        <v>0</v>
      </c>
      <c r="I20" s="7" t="n">
        <v>0</v>
      </c>
      <c r="J20" s="6" t="s">
        <v>71</v>
      </c>
    </row>
    <row r="21" customFormat="false" ht="15" hidden="false" customHeight="true" outlineLevel="0" collapsed="false">
      <c r="A21" s="6" t="s">
        <v>73</v>
      </c>
      <c r="B21" s="6" t="n">
        <v>400</v>
      </c>
      <c r="C21" s="6" t="n">
        <v>1</v>
      </c>
      <c r="D21" s="6" t="n">
        <v>6</v>
      </c>
      <c r="E21" s="6" t="n">
        <v>2500</v>
      </c>
      <c r="F21" s="6" t="n">
        <v>8</v>
      </c>
      <c r="G21" s="6" t="n">
        <v>1</v>
      </c>
      <c r="H21" s="7" t="n">
        <v>4</v>
      </c>
      <c r="I21" s="7" t="n">
        <v>2</v>
      </c>
      <c r="J21" s="6" t="s">
        <v>71</v>
      </c>
    </row>
    <row r="22" customFormat="false" ht="15" hidden="false" customHeight="true" outlineLevel="0" collapsed="false">
      <c r="A22" s="6" t="s">
        <v>74</v>
      </c>
      <c r="B22" s="6" t="n">
        <v>150</v>
      </c>
      <c r="C22" s="6" t="n">
        <v>1</v>
      </c>
      <c r="D22" s="6" t="n">
        <v>6</v>
      </c>
      <c r="E22" s="6" t="n">
        <v>2500</v>
      </c>
      <c r="F22" s="6" t="n">
        <v>8</v>
      </c>
      <c r="G22" s="6" t="n">
        <v>1</v>
      </c>
      <c r="H22" s="7" t="n">
        <v>10</v>
      </c>
      <c r="I22" s="7" t="n">
        <v>3</v>
      </c>
      <c r="J22" s="6" t="s">
        <v>75</v>
      </c>
    </row>
    <row r="23" customFormat="false" ht="15" hidden="false" customHeight="true" outlineLevel="0" collapsed="false">
      <c r="A23" s="6" t="s">
        <v>76</v>
      </c>
      <c r="B23" s="6" t="n">
        <v>130</v>
      </c>
      <c r="C23" s="6" t="n">
        <v>1</v>
      </c>
      <c r="D23" s="6" t="n">
        <v>6</v>
      </c>
      <c r="E23" s="6" t="n">
        <v>2500</v>
      </c>
      <c r="F23" s="6" t="n">
        <v>8</v>
      </c>
      <c r="G23" s="6" t="n">
        <v>1</v>
      </c>
      <c r="H23" s="7" t="n">
        <v>11</v>
      </c>
      <c r="I23" s="7" t="n">
        <v>3</v>
      </c>
      <c r="J23" s="6" t="s">
        <v>77</v>
      </c>
    </row>
    <row r="24" customFormat="false" ht="15" hidden="false" customHeight="true" outlineLevel="0" collapsed="false">
      <c r="A24" s="6" t="s">
        <v>78</v>
      </c>
      <c r="B24" s="6" t="n">
        <v>50</v>
      </c>
      <c r="C24" s="6" t="n">
        <v>0</v>
      </c>
      <c r="D24" s="6" t="n">
        <v>0</v>
      </c>
      <c r="E24" s="6" t="n">
        <v>0</v>
      </c>
      <c r="F24" s="6" t="n">
        <v>0</v>
      </c>
      <c r="G24" s="6" t="n">
        <v>3</v>
      </c>
      <c r="H24" s="7" t="n">
        <v>25</v>
      </c>
      <c r="I24" s="7" t="n">
        <v>7</v>
      </c>
      <c r="J24" s="6" t="s">
        <v>77</v>
      </c>
    </row>
    <row r="26" customFormat="false" ht="15" hidden="false" customHeight="true" outlineLevel="0" collapsed="false">
      <c r="A26" s="5" t="s">
        <v>79</v>
      </c>
      <c r="B26" s="5"/>
      <c r="C26" s="5"/>
      <c r="D26" s="5"/>
    </row>
    <row r="27" customFormat="false" ht="15" hidden="false" customHeight="true" outlineLevel="0" collapsed="false">
      <c r="A27" s="1" t="s">
        <v>80</v>
      </c>
      <c r="B27" s="7" t="n">
        <v>26</v>
      </c>
    </row>
    <row r="28" customFormat="false" ht="15" hidden="false" customHeight="true" outlineLevel="0" collapsed="false">
      <c r="A28" s="1" t="s">
        <v>81</v>
      </c>
      <c r="B28" s="7" t="n">
        <v>12</v>
      </c>
    </row>
    <row r="29" customFormat="false" ht="15" hidden="false" customHeight="true" outlineLevel="0" collapsed="false">
      <c r="A29" s="1" t="s">
        <v>82</v>
      </c>
      <c r="B29" s="7" t="n">
        <v>240</v>
      </c>
    </row>
    <row r="30" customFormat="false" ht="15" hidden="false" customHeight="true" outlineLevel="0" collapsed="false">
      <c r="A30" s="1" t="s">
        <v>83</v>
      </c>
      <c r="B30" s="7" t="n">
        <v>220</v>
      </c>
    </row>
    <row r="31" customFormat="false" ht="15" hidden="false" customHeight="true" outlineLevel="0" collapsed="false">
      <c r="A31" s="1" t="s">
        <v>84</v>
      </c>
      <c r="B31" s="7" t="n">
        <v>0.5</v>
      </c>
    </row>
    <row r="33" customFormat="false" ht="15" hidden="false" customHeight="true" outlineLevel="0" collapsed="false">
      <c r="A33" s="5" t="s">
        <v>85</v>
      </c>
      <c r="B33" s="5"/>
      <c r="C33" s="5"/>
      <c r="D33" s="5"/>
    </row>
    <row r="34" customFormat="false" ht="15" hidden="false" customHeight="true" outlineLevel="0" collapsed="false">
      <c r="A34" s="1" t="s">
        <v>86</v>
      </c>
      <c r="B34" s="7" t="n">
        <v>10</v>
      </c>
    </row>
    <row r="35" customFormat="false" ht="15" hidden="false" customHeight="true" outlineLevel="0" collapsed="false">
      <c r="A35" s="1" t="s">
        <v>87</v>
      </c>
      <c r="B35" s="7" t="n">
        <v>0.06</v>
      </c>
    </row>
    <row r="36" customFormat="false" ht="15" hidden="false" customHeight="true" outlineLevel="0" collapsed="false">
      <c r="A36" s="1" t="s">
        <v>88</v>
      </c>
      <c r="B36" s="7" t="n">
        <v>80</v>
      </c>
    </row>
    <row r="38" customFormat="false" ht="15" hidden="false" customHeight="true" outlineLevel="0" collapsed="false">
      <c r="A38" s="5" t="s">
        <v>89</v>
      </c>
      <c r="B38" s="5"/>
      <c r="C38" s="5"/>
      <c r="D38" s="5"/>
      <c r="E38" s="5"/>
      <c r="F38" s="5"/>
    </row>
    <row r="39" customFormat="false" ht="27.75" hidden="false" customHeight="true" outlineLevel="0" collapsed="false">
      <c r="A39" s="5" t="s">
        <v>90</v>
      </c>
      <c r="B39" s="5" t="s">
        <v>91</v>
      </c>
      <c r="C39" s="5" t="s">
        <v>92</v>
      </c>
      <c r="D39" s="5" t="s">
        <v>93</v>
      </c>
      <c r="E39" s="5" t="s">
        <v>94</v>
      </c>
      <c r="F39" s="5" t="s">
        <v>95</v>
      </c>
    </row>
    <row r="40" customFormat="false" ht="15" hidden="false" customHeight="true" outlineLevel="0" collapsed="false">
      <c r="A40" s="6" t="s">
        <v>96</v>
      </c>
      <c r="B40" s="6" t="n">
        <v>1</v>
      </c>
      <c r="C40" s="6" t="n">
        <v>60</v>
      </c>
      <c r="D40" s="6" t="n">
        <v>0.01</v>
      </c>
      <c r="E40" s="7" t="n">
        <v>94</v>
      </c>
      <c r="F40" s="7" t="n">
        <v>36</v>
      </c>
    </row>
    <row r="41" customFormat="false" ht="15" hidden="false" customHeight="true" outlineLevel="0" collapsed="false">
      <c r="A41" s="6" t="s">
        <v>97</v>
      </c>
      <c r="B41" s="6" t="n">
        <v>100</v>
      </c>
      <c r="C41" s="6" t="n">
        <v>7</v>
      </c>
      <c r="D41" s="6" t="n">
        <v>8</v>
      </c>
      <c r="E41" s="7" t="n">
        <v>3844</v>
      </c>
      <c r="F41" s="7" t="n">
        <v>1424</v>
      </c>
    </row>
    <row r="42" customFormat="false" ht="15" hidden="false" customHeight="true" outlineLevel="0" collapsed="false">
      <c r="A42" s="6" t="s">
        <v>98</v>
      </c>
      <c r="B42" s="6" t="n">
        <v>30</v>
      </c>
      <c r="C42" s="6" t="n">
        <v>36</v>
      </c>
      <c r="D42" s="6" t="n">
        <v>0.3</v>
      </c>
      <c r="E42" s="7" t="n">
        <v>3125</v>
      </c>
      <c r="F42" s="7" t="n">
        <v>1208</v>
      </c>
    </row>
    <row r="43" customFormat="false" ht="15" hidden="false" customHeight="true" outlineLevel="0" collapsed="false">
      <c r="A43" s="6" t="s">
        <v>99</v>
      </c>
      <c r="B43" s="6" t="n">
        <v>60</v>
      </c>
      <c r="C43" s="6" t="n">
        <v>24</v>
      </c>
      <c r="D43" s="6" t="n">
        <v>0.6</v>
      </c>
      <c r="E43" s="7" t="n">
        <v>6131</v>
      </c>
      <c r="F43" s="7" t="n">
        <v>2356</v>
      </c>
    </row>
    <row r="44" customFormat="false" ht="15" hidden="false" customHeight="true" outlineLevel="0" collapsed="false">
      <c r="A44" s="6" t="s">
        <v>100</v>
      </c>
      <c r="B44" s="6" t="n">
        <v>100</v>
      </c>
      <c r="C44" s="6" t="n">
        <v>30</v>
      </c>
      <c r="D44" s="6" t="n">
        <v>2</v>
      </c>
      <c r="E44" s="7" t="n">
        <v>16736</v>
      </c>
      <c r="F44" s="7" t="n">
        <v>6456</v>
      </c>
    </row>
    <row r="45" customFormat="false" ht="15" hidden="false" customHeight="true" outlineLevel="0" collapsed="false">
      <c r="A45" s="6" t="s">
        <v>101</v>
      </c>
      <c r="B45" s="6" t="n">
        <v>150</v>
      </c>
      <c r="C45" s="6" t="n">
        <v>28</v>
      </c>
      <c r="D45" s="6" t="n">
        <v>0.75</v>
      </c>
      <c r="E45" s="7" t="n">
        <v>4439</v>
      </c>
      <c r="F45" s="7" t="n">
        <v>1596</v>
      </c>
    </row>
    <row r="47" customFormat="false" ht="15" hidden="false" customHeight="true" outlineLevel="0" collapsed="false">
      <c r="A47" s="5" t="s">
        <v>102</v>
      </c>
      <c r="B47" s="5"/>
      <c r="C47" s="5"/>
      <c r="D47" s="5"/>
      <c r="E47" s="5"/>
      <c r="F47" s="5"/>
      <c r="G47" s="5"/>
      <c r="H47" s="5"/>
    </row>
    <row r="48" customFormat="false" ht="15" hidden="false" customHeight="true" outlineLevel="0" collapsed="false">
      <c r="A48" s="5" t="s">
        <v>103</v>
      </c>
      <c r="B48" s="5" t="s">
        <v>91</v>
      </c>
      <c r="C48" s="5" t="s">
        <v>104</v>
      </c>
      <c r="D48" s="5" t="s">
        <v>105</v>
      </c>
      <c r="E48" s="5" t="s">
        <v>106</v>
      </c>
      <c r="F48" s="5" t="s">
        <v>107</v>
      </c>
      <c r="G48" s="5" t="s">
        <v>108</v>
      </c>
      <c r="H48" s="5" t="s">
        <v>109</v>
      </c>
    </row>
    <row r="49" customFormat="false" ht="15" hidden="false" customHeight="true" outlineLevel="0" collapsed="false">
      <c r="A49" s="6" t="s">
        <v>110</v>
      </c>
      <c r="B49" s="6" t="n">
        <v>30</v>
      </c>
      <c r="C49" s="6" t="n">
        <v>125</v>
      </c>
      <c r="D49" s="6" t="n">
        <v>100</v>
      </c>
      <c r="E49" s="6" t="n">
        <v>140</v>
      </c>
      <c r="F49" s="6" t="n">
        <v>2300</v>
      </c>
      <c r="G49" s="6" t="n">
        <v>0.3</v>
      </c>
      <c r="H49" s="6" t="n">
        <v>1</v>
      </c>
    </row>
    <row r="50" customFormat="false" ht="15" hidden="false" customHeight="true" outlineLevel="0" collapsed="false">
      <c r="A50" s="6" t="s">
        <v>111</v>
      </c>
      <c r="B50" s="6" t="n">
        <v>12</v>
      </c>
      <c r="C50" s="6" t="n">
        <v>330</v>
      </c>
      <c r="D50" s="6" t="n">
        <v>264</v>
      </c>
      <c r="E50" s="6" t="n">
        <v>370</v>
      </c>
      <c r="F50" s="6" t="n">
        <v>6000</v>
      </c>
      <c r="G50" s="6" t="n">
        <v>4.5</v>
      </c>
      <c r="H50" s="6" t="n">
        <v>0.2</v>
      </c>
    </row>
    <row r="52" customFormat="false" ht="15" hidden="false" customHeight="true" outlineLevel="0" collapsed="false">
      <c r="A52" s="5" t="s">
        <v>112</v>
      </c>
      <c r="B52" s="5"/>
      <c r="C52" s="5"/>
      <c r="D52" s="5"/>
    </row>
    <row r="53" customFormat="false" ht="27.75" hidden="false" customHeight="true" outlineLevel="0" collapsed="false">
      <c r="A53" s="5" t="s">
        <v>113</v>
      </c>
      <c r="B53" s="5" t="s">
        <v>114</v>
      </c>
      <c r="C53" s="5" t="s">
        <v>94</v>
      </c>
      <c r="D53" s="5" t="s">
        <v>95</v>
      </c>
    </row>
    <row r="54" customFormat="false" ht="15" hidden="false" customHeight="true" outlineLevel="0" collapsed="false">
      <c r="A54" s="6" t="s">
        <v>115</v>
      </c>
      <c r="B54" s="6" t="n">
        <v>0.2</v>
      </c>
      <c r="C54" s="7" t="n">
        <v>7432</v>
      </c>
      <c r="D54" s="7" t="n">
        <v>3622</v>
      </c>
    </row>
    <row r="55" customFormat="false" ht="15" hidden="false" customHeight="true" outlineLevel="0" collapsed="false">
      <c r="A55" s="6" t="s">
        <v>116</v>
      </c>
      <c r="B55" s="6" t="n">
        <v>0.4</v>
      </c>
      <c r="C55" s="7" t="n">
        <v>6528</v>
      </c>
      <c r="D55" s="7" t="n">
        <v>0</v>
      </c>
    </row>
    <row r="56" customFormat="false" ht="15" hidden="false" customHeight="true" outlineLevel="0" collapsed="false">
      <c r="A56" s="6" t="s">
        <v>117</v>
      </c>
      <c r="B56" s="6" t="n">
        <v>0.6</v>
      </c>
      <c r="C56" s="7" t="n">
        <v>6682</v>
      </c>
      <c r="D56" s="7" t="n">
        <v>0</v>
      </c>
    </row>
    <row r="57" customFormat="false" ht="15" hidden="false" customHeight="true" outlineLevel="0" collapsed="false">
      <c r="A57" s="6" t="s">
        <v>118</v>
      </c>
      <c r="B57" s="6" t="n">
        <v>0.2</v>
      </c>
      <c r="C57" s="7" t="n">
        <v>0</v>
      </c>
      <c r="D57" s="7" t="n">
        <v>0</v>
      </c>
    </row>
    <row r="59" customFormat="false" ht="15" hidden="false" customHeight="true" outlineLevel="0" collapsed="false">
      <c r="A59" s="5" t="s">
        <v>119</v>
      </c>
      <c r="B59" s="5"/>
      <c r="C59" s="5"/>
    </row>
    <row r="60" customFormat="false" ht="15" hidden="false" customHeight="true" outlineLevel="0" collapsed="false">
      <c r="A60" s="1" t="s">
        <v>120</v>
      </c>
      <c r="B60" s="7" t="n">
        <v>18</v>
      </c>
    </row>
    <row r="61" customFormat="false" ht="15" hidden="false" customHeight="true" outlineLevel="0" collapsed="false">
      <c r="A61" s="1" t="s">
        <v>121</v>
      </c>
      <c r="B61" s="7" t="n">
        <v>50000</v>
      </c>
    </row>
    <row r="62" customFormat="false" ht="15" hidden="false" customHeight="true" outlineLevel="0" collapsed="false">
      <c r="A62" s="1" t="s">
        <v>122</v>
      </c>
      <c r="B62" s="7" t="n">
        <v>75000</v>
      </c>
    </row>
    <row r="63" customFormat="false" ht="15" hidden="false" customHeight="true" outlineLevel="0" collapsed="false">
      <c r="A63" s="1" t="s">
        <v>123</v>
      </c>
      <c r="B63" s="7" t="n">
        <v>10000</v>
      </c>
    </row>
    <row r="65" customFormat="false" ht="15" hidden="false" customHeight="true" outlineLevel="0" collapsed="false">
      <c r="A65" s="5" t="s">
        <v>124</v>
      </c>
      <c r="B65" s="5"/>
      <c r="C65" s="5"/>
    </row>
    <row r="66" customFormat="false" ht="27.75" hidden="false" customHeight="true" outlineLevel="0" collapsed="false">
      <c r="A66" s="5" t="s">
        <v>45</v>
      </c>
      <c r="B66" s="5" t="s">
        <v>125</v>
      </c>
      <c r="C66" s="5" t="s">
        <v>126</v>
      </c>
    </row>
    <row r="67" customFormat="false" ht="15" hidden="false" customHeight="true" outlineLevel="0" collapsed="false">
      <c r="A67" s="6" t="s">
        <v>50</v>
      </c>
      <c r="B67" s="7" t="n">
        <v>1737</v>
      </c>
      <c r="C67" s="7" t="n">
        <v>4800</v>
      </c>
    </row>
    <row r="68" customFormat="false" ht="15" hidden="false" customHeight="true" outlineLevel="0" collapsed="false">
      <c r="A68" s="6" t="s">
        <v>51</v>
      </c>
      <c r="B68" s="7" t="n">
        <v>1299</v>
      </c>
      <c r="C68" s="7" t="n">
        <v>2500</v>
      </c>
    </row>
    <row r="69" customFormat="false" ht="15" hidden="false" customHeight="true" outlineLevel="0" collapsed="false">
      <c r="A69" s="6" t="s">
        <v>52</v>
      </c>
      <c r="B69" s="7" t="n">
        <v>0</v>
      </c>
      <c r="C69" s="7" t="n">
        <v>2000</v>
      </c>
    </row>
    <row r="70" customFormat="false" ht="15" hidden="false" customHeight="true" outlineLevel="0" collapsed="false">
      <c r="A70" s="6" t="s">
        <v>53</v>
      </c>
      <c r="B70" s="7" t="n">
        <v>0</v>
      </c>
      <c r="C70" s="7" t="n">
        <v>0</v>
      </c>
    </row>
    <row r="71" customFormat="false" ht="15" hidden="false" customHeight="true" outlineLevel="0" collapsed="false">
      <c r="A71" s="6" t="s">
        <v>54</v>
      </c>
      <c r="B71" s="7" t="n">
        <v>0</v>
      </c>
      <c r="C71" s="7" t="n">
        <v>0</v>
      </c>
    </row>
  </sheetData>
  <mergeCells count="11">
    <mergeCell ref="A1:H1"/>
    <mergeCell ref="A3:I3"/>
    <mergeCell ref="A7:E7"/>
    <mergeCell ref="A15:J15"/>
    <mergeCell ref="A26:D26"/>
    <mergeCell ref="A33:D33"/>
    <mergeCell ref="A38:F38"/>
    <mergeCell ref="A47:H47"/>
    <mergeCell ref="A52:D52"/>
    <mergeCell ref="A59:C59"/>
    <mergeCell ref="A65:C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5"/>
    <col collapsed="false" customWidth="true" hidden="false" outlineLevel="0" max="11" min="3" style="1" width="12"/>
  </cols>
  <sheetData>
    <row r="1" customFormat="false" ht="17.25" hidden="false" customHeight="true" outlineLevel="0" collapsed="false">
      <c r="A1" s="4" t="s">
        <v>127</v>
      </c>
      <c r="B1" s="4"/>
      <c r="C1" s="4"/>
      <c r="D1" s="4"/>
      <c r="E1" s="4"/>
      <c r="F1" s="4"/>
      <c r="G1" s="4"/>
      <c r="H1" s="4"/>
      <c r="I1" s="4"/>
      <c r="J1" s="4"/>
    </row>
    <row r="3" customFormat="false" ht="15" hidden="false" customHeight="true" outlineLevel="0" collapsed="false">
      <c r="A3" s="5" t="s">
        <v>45</v>
      </c>
      <c r="B3" s="5" t="s">
        <v>128</v>
      </c>
      <c r="C3" s="5" t="s">
        <v>67</v>
      </c>
      <c r="D3" s="5" t="s">
        <v>69</v>
      </c>
      <c r="E3" s="5" t="s">
        <v>71</v>
      </c>
      <c r="F3" s="5" t="s">
        <v>75</v>
      </c>
      <c r="G3" s="5" t="s">
        <v>77</v>
      </c>
      <c r="H3" s="5" t="s">
        <v>129</v>
      </c>
      <c r="I3" s="5" t="s">
        <v>130</v>
      </c>
      <c r="J3" s="5" t="s">
        <v>131</v>
      </c>
      <c r="K3" s="5" t="s">
        <v>132</v>
      </c>
    </row>
    <row r="4" customFormat="false" ht="15" hidden="false" customHeight="true" outlineLevel="0" collapsed="false">
      <c r="A4" s="8" t="s">
        <v>50</v>
      </c>
      <c r="B4" s="8"/>
      <c r="C4" s="8"/>
      <c r="D4" s="8"/>
      <c r="E4" s="8"/>
      <c r="F4" s="8"/>
      <c r="G4" s="8"/>
      <c r="H4" s="8"/>
      <c r="I4" s="8"/>
      <c r="J4" s="8"/>
      <c r="K4" s="8"/>
    </row>
    <row r="5" customFormat="false" ht="15" hidden="false" customHeight="true" outlineLevel="0" collapsed="false">
      <c r="B5" s="1" t="s">
        <v>133</v>
      </c>
      <c r="C5" s="6" t="n">
        <v>0</v>
      </c>
      <c r="D5" s="7" t="n">
        <v>1000</v>
      </c>
      <c r="E5" s="6" t="n">
        <v>0</v>
      </c>
      <c r="F5" s="7" t="n">
        <v>1000</v>
      </c>
      <c r="G5" s="6" t="n">
        <v>0</v>
      </c>
      <c r="H5" s="7" t="n">
        <v>1000</v>
      </c>
      <c r="I5" s="6" t="n">
        <v>0</v>
      </c>
      <c r="J5" s="7" t="n">
        <v>1000</v>
      </c>
      <c r="K5" s="6" t="n">
        <f aca="false">SUM(C5:J5)</f>
        <v>4000</v>
      </c>
    </row>
    <row r="6" customFormat="false" ht="15" hidden="false" customHeight="true" outlineLevel="0" collapsed="false">
      <c r="B6" s="1" t="s">
        <v>134</v>
      </c>
      <c r="C6" s="6" t="n">
        <v>0</v>
      </c>
      <c r="D6" s="6" t="n">
        <v>1</v>
      </c>
      <c r="E6" s="6" t="n">
        <v>0</v>
      </c>
      <c r="F6" s="6" t="n">
        <v>1</v>
      </c>
      <c r="G6" s="6" t="n">
        <v>0</v>
      </c>
      <c r="H6" s="6" t="n">
        <v>1</v>
      </c>
      <c r="I6" s="6" t="n">
        <v>0</v>
      </c>
      <c r="J6" s="6" t="n">
        <v>1</v>
      </c>
    </row>
    <row r="7" customFormat="false" ht="15" hidden="false" customHeight="true" outlineLevel="0" collapsed="false">
      <c r="B7" s="1" t="s">
        <v>135</v>
      </c>
      <c r="C7" s="6" t="n">
        <f aca="false">IF(C6=1,C5,0)</f>
        <v>0</v>
      </c>
      <c r="D7" s="6" t="n">
        <f aca="false">IF(D6=1,D5,0)</f>
        <v>1000</v>
      </c>
      <c r="E7" s="6" t="n">
        <f aca="false">IF(E6=1,E5,0)</f>
        <v>0</v>
      </c>
      <c r="F7" s="6" t="n">
        <f aca="false">IF(F6=1,F5,0)</f>
        <v>1000</v>
      </c>
      <c r="G7" s="6" t="n">
        <f aca="false">IF(G6=1,G5,0)</f>
        <v>0</v>
      </c>
      <c r="H7" s="6" t="n">
        <f aca="false">IF(H6=1,H5,0)</f>
        <v>1000</v>
      </c>
      <c r="I7" s="6" t="n">
        <f aca="false">IF(I6=1,I5,0)</f>
        <v>0</v>
      </c>
      <c r="J7" s="6" t="n">
        <f aca="false">IF(J6=1,J5,0)</f>
        <v>1000</v>
      </c>
      <c r="K7" s="6" t="n">
        <f aca="false">SUM(C7:J7)</f>
        <v>4000</v>
      </c>
    </row>
    <row r="8" customFormat="false" ht="15" hidden="false" customHeight="true" outlineLevel="0" collapsed="false">
      <c r="B8" s="1" t="s">
        <v>125</v>
      </c>
      <c r="C8" s="7" t="n">
        <v>0</v>
      </c>
      <c r="D8" s="9" t="n">
        <f aca="false">C12</f>
        <v>0</v>
      </c>
      <c r="E8" s="9" t="n">
        <f aca="false">D12</f>
        <v>1000</v>
      </c>
      <c r="F8" s="9" t="n">
        <f aca="false">E12</f>
        <v>0</v>
      </c>
      <c r="G8" s="9" t="n">
        <f aca="false">F12</f>
        <v>1000</v>
      </c>
      <c r="H8" s="9" t="n">
        <f aca="false">G12</f>
        <v>0</v>
      </c>
      <c r="I8" s="9" t="n">
        <f aca="false">H12</f>
        <v>1000</v>
      </c>
      <c r="J8" s="9" t="n">
        <f aca="false">I12</f>
        <v>0</v>
      </c>
    </row>
    <row r="9" customFormat="false" ht="15" hidden="false" customHeight="true" outlineLevel="0" collapsed="false">
      <c r="B9" s="1" t="s">
        <v>136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6" t="n">
        <f aca="false">SUM(C9:J9)</f>
        <v>0</v>
      </c>
    </row>
    <row r="10" customFormat="false" ht="15" hidden="false" customHeight="true" outlineLevel="0" collapsed="false">
      <c r="B10" s="1" t="s">
        <v>137</v>
      </c>
      <c r="C10" s="6" t="n">
        <f aca="false">C8+C9</f>
        <v>0</v>
      </c>
      <c r="D10" s="6" t="n">
        <f aca="false">D8+D9</f>
        <v>0</v>
      </c>
      <c r="E10" s="6" t="n">
        <f aca="false">E8+E9</f>
        <v>1000</v>
      </c>
      <c r="F10" s="6" t="n">
        <f aca="false">F8+F9</f>
        <v>0</v>
      </c>
      <c r="G10" s="6" t="n">
        <f aca="false">G8+G9</f>
        <v>1000</v>
      </c>
      <c r="H10" s="6" t="n">
        <f aca="false">H8+H9</f>
        <v>0</v>
      </c>
      <c r="I10" s="6" t="n">
        <f aca="false">I8+I9</f>
        <v>1000</v>
      </c>
      <c r="J10" s="6" t="n">
        <f aca="false">J8+J9</f>
        <v>0</v>
      </c>
    </row>
    <row r="11" customFormat="false" ht="15" hidden="false" customHeight="true" outlineLevel="0" collapsed="false">
      <c r="B11" s="1" t="s">
        <v>138</v>
      </c>
      <c r="C11" s="6" t="n">
        <f aca="false">MIN(C7,C10)</f>
        <v>0</v>
      </c>
      <c r="D11" s="6" t="n">
        <f aca="false">MIN(D7,D10)</f>
        <v>0</v>
      </c>
      <c r="E11" s="6" t="n">
        <f aca="false">MIN(E7,E10)</f>
        <v>0</v>
      </c>
      <c r="F11" s="6" t="n">
        <f aca="false">MIN(F7,F10)</f>
        <v>0</v>
      </c>
      <c r="G11" s="6" t="n">
        <f aca="false">MIN(G7,G10)</f>
        <v>0</v>
      </c>
      <c r="H11" s="6" t="n">
        <f aca="false">MIN(H7,H10)</f>
        <v>0</v>
      </c>
      <c r="I11" s="6" t="n">
        <f aca="false">MIN(I7,I10)</f>
        <v>0</v>
      </c>
      <c r="J11" s="6" t="n">
        <f aca="false">MIN(J7,J10)</f>
        <v>0</v>
      </c>
      <c r="K11" s="6" t="n">
        <f aca="false">SUM(C11:J11)</f>
        <v>0</v>
      </c>
    </row>
    <row r="12" customFormat="false" ht="15" hidden="false" customHeight="true" outlineLevel="0" collapsed="false">
      <c r="B12" s="1" t="s">
        <v>139</v>
      </c>
      <c r="C12" s="6" t="n">
        <f aca="false">MAX(0,C7-C11)</f>
        <v>0</v>
      </c>
      <c r="D12" s="6" t="n">
        <f aca="false">MAX(0,D7-D11)</f>
        <v>1000</v>
      </c>
      <c r="E12" s="6" t="n">
        <f aca="false">MAX(0,E7-E11)</f>
        <v>0</v>
      </c>
      <c r="F12" s="6" t="n">
        <f aca="false">MAX(0,F7-F11)</f>
        <v>1000</v>
      </c>
      <c r="G12" s="6" t="n">
        <f aca="false">MAX(0,G7-G11)</f>
        <v>0</v>
      </c>
      <c r="H12" s="6" t="n">
        <f aca="false">MAX(0,H7-H11)</f>
        <v>1000</v>
      </c>
      <c r="I12" s="6" t="n">
        <f aca="false">MAX(0,I7-I11)</f>
        <v>0</v>
      </c>
      <c r="J12" s="6" t="n">
        <f aca="false">MAX(0,J7-J11)</f>
        <v>1000</v>
      </c>
      <c r="K12" s="6" t="n">
        <f aca="false">SUM(C12:J12)</f>
        <v>4000</v>
      </c>
    </row>
    <row r="13" customFormat="false" ht="15" hidden="false" customHeight="true" outlineLevel="0" collapsed="false">
      <c r="B13" s="1" t="s">
        <v>140</v>
      </c>
      <c r="C13" s="6" t="n">
        <f aca="false">C10-C11</f>
        <v>0</v>
      </c>
      <c r="D13" s="6" t="n">
        <f aca="false">D10-D11</f>
        <v>0</v>
      </c>
      <c r="E13" s="6" t="n">
        <f aca="false">E10-E11</f>
        <v>1000</v>
      </c>
      <c r="F13" s="6" t="n">
        <f aca="false">F10-F11</f>
        <v>0</v>
      </c>
      <c r="G13" s="6" t="n">
        <f aca="false">G10-G11</f>
        <v>1000</v>
      </c>
      <c r="H13" s="6" t="n">
        <f aca="false">H10-H11</f>
        <v>0</v>
      </c>
      <c r="I13" s="6" t="n">
        <f aca="false">I10-I11</f>
        <v>1000</v>
      </c>
      <c r="J13" s="6" t="n">
        <f aca="false">J10-J11</f>
        <v>0</v>
      </c>
    </row>
    <row r="15" customFormat="false" ht="15" hidden="false" customHeight="true" outlineLevel="0" collapsed="false">
      <c r="A15" s="8" t="s">
        <v>51</v>
      </c>
      <c r="B15" s="8"/>
      <c r="C15" s="8"/>
      <c r="D15" s="8"/>
      <c r="E15" s="8"/>
      <c r="F15" s="8"/>
      <c r="G15" s="8"/>
      <c r="H15" s="8"/>
      <c r="I15" s="8"/>
      <c r="J15" s="8"/>
      <c r="K15" s="8"/>
    </row>
    <row r="16" customFormat="false" ht="15" hidden="false" customHeight="true" outlineLevel="0" collapsed="false">
      <c r="B16" s="1" t="s">
        <v>133</v>
      </c>
      <c r="C16" s="6" t="n">
        <v>0</v>
      </c>
      <c r="D16" s="7" t="n">
        <v>1000</v>
      </c>
      <c r="E16" s="6" t="n">
        <v>0</v>
      </c>
      <c r="F16" s="7" t="n">
        <v>1000</v>
      </c>
      <c r="G16" s="6" t="n">
        <v>0</v>
      </c>
      <c r="H16" s="7" t="n">
        <v>1000</v>
      </c>
      <c r="I16" s="6" t="n">
        <v>0</v>
      </c>
      <c r="J16" s="7" t="n">
        <v>1000</v>
      </c>
      <c r="K16" s="6" t="n">
        <f aca="false">SUM(C16:J16)</f>
        <v>4000</v>
      </c>
    </row>
    <row r="17" customFormat="false" ht="15" hidden="false" customHeight="true" outlineLevel="0" collapsed="false">
      <c r="B17" s="1" t="s">
        <v>134</v>
      </c>
      <c r="C17" s="6" t="n">
        <v>0</v>
      </c>
      <c r="D17" s="6" t="n">
        <v>1</v>
      </c>
      <c r="E17" s="6" t="n">
        <v>0</v>
      </c>
      <c r="F17" s="6" t="n">
        <v>1</v>
      </c>
      <c r="G17" s="6" t="n">
        <v>0</v>
      </c>
      <c r="H17" s="6" t="n">
        <v>1</v>
      </c>
      <c r="I17" s="6" t="n">
        <v>0</v>
      </c>
      <c r="J17" s="6" t="n">
        <v>1</v>
      </c>
    </row>
    <row r="18" customFormat="false" ht="15" hidden="false" customHeight="true" outlineLevel="0" collapsed="false">
      <c r="B18" s="1" t="s">
        <v>135</v>
      </c>
      <c r="C18" s="6" t="n">
        <f aca="false">IF(C17=1,C16,0)</f>
        <v>0</v>
      </c>
      <c r="D18" s="6" t="n">
        <f aca="false">IF(D17=1,D16,0)</f>
        <v>1000</v>
      </c>
      <c r="E18" s="6" t="n">
        <f aca="false">IF(E17=1,E16,0)</f>
        <v>0</v>
      </c>
      <c r="F18" s="6" t="n">
        <f aca="false">IF(F17=1,F16,0)</f>
        <v>1000</v>
      </c>
      <c r="G18" s="6" t="n">
        <f aca="false">IF(G17=1,G16,0)</f>
        <v>0</v>
      </c>
      <c r="H18" s="6" t="n">
        <f aca="false">IF(H17=1,H16,0)</f>
        <v>1000</v>
      </c>
      <c r="I18" s="6" t="n">
        <f aca="false">IF(I17=1,I16,0)</f>
        <v>0</v>
      </c>
      <c r="J18" s="6" t="n">
        <f aca="false">IF(J17=1,J16,0)</f>
        <v>1000</v>
      </c>
      <c r="K18" s="6" t="n">
        <f aca="false">SUM(C18:J18)</f>
        <v>4000</v>
      </c>
    </row>
    <row r="19" customFormat="false" ht="15" hidden="false" customHeight="true" outlineLevel="0" collapsed="false">
      <c r="B19" s="1" t="s">
        <v>125</v>
      </c>
      <c r="C19" s="7" t="n">
        <v>0</v>
      </c>
      <c r="D19" s="9" t="n">
        <f aca="false">C23</f>
        <v>0</v>
      </c>
      <c r="E19" s="9" t="n">
        <f aca="false">D23</f>
        <v>1000</v>
      </c>
      <c r="F19" s="9" t="n">
        <f aca="false">E23</f>
        <v>0</v>
      </c>
      <c r="G19" s="9" t="n">
        <f aca="false">F23</f>
        <v>1000</v>
      </c>
      <c r="H19" s="9" t="n">
        <f aca="false">G23</f>
        <v>0</v>
      </c>
      <c r="I19" s="9" t="n">
        <f aca="false">H23</f>
        <v>1000</v>
      </c>
      <c r="J19" s="9" t="n">
        <f aca="false">I23</f>
        <v>0</v>
      </c>
    </row>
    <row r="20" customFormat="false" ht="15" hidden="false" customHeight="true" outlineLevel="0" collapsed="false">
      <c r="B20" s="1" t="s">
        <v>136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6" t="n">
        <f aca="false">SUM(C20:J20)</f>
        <v>0</v>
      </c>
    </row>
    <row r="21" customFormat="false" ht="15" hidden="false" customHeight="true" outlineLevel="0" collapsed="false">
      <c r="B21" s="1" t="s">
        <v>137</v>
      </c>
      <c r="C21" s="6" t="n">
        <f aca="false">C19+C20</f>
        <v>0</v>
      </c>
      <c r="D21" s="6" t="n">
        <f aca="false">D19+D20</f>
        <v>0</v>
      </c>
      <c r="E21" s="6" t="n">
        <f aca="false">E19+E20</f>
        <v>1000</v>
      </c>
      <c r="F21" s="6" t="n">
        <f aca="false">F19+F20</f>
        <v>0</v>
      </c>
      <c r="G21" s="6" t="n">
        <f aca="false">G19+G20</f>
        <v>1000</v>
      </c>
      <c r="H21" s="6" t="n">
        <f aca="false">H19+H20</f>
        <v>0</v>
      </c>
      <c r="I21" s="6" t="n">
        <f aca="false">I19+I20</f>
        <v>1000</v>
      </c>
      <c r="J21" s="6" t="n">
        <f aca="false">J19+J20</f>
        <v>0</v>
      </c>
    </row>
    <row r="22" customFormat="false" ht="15" hidden="false" customHeight="true" outlineLevel="0" collapsed="false">
      <c r="B22" s="1" t="s">
        <v>138</v>
      </c>
      <c r="C22" s="6" t="n">
        <f aca="false">MIN(C18,C21)</f>
        <v>0</v>
      </c>
      <c r="D22" s="6" t="n">
        <f aca="false">MIN(D18,D21)</f>
        <v>0</v>
      </c>
      <c r="E22" s="6" t="n">
        <f aca="false">MIN(E18,E21)</f>
        <v>0</v>
      </c>
      <c r="F22" s="6" t="n">
        <f aca="false">MIN(F18,F21)</f>
        <v>0</v>
      </c>
      <c r="G22" s="6" t="n">
        <f aca="false">MIN(G18,G21)</f>
        <v>0</v>
      </c>
      <c r="H22" s="6" t="n">
        <f aca="false">MIN(H18,H21)</f>
        <v>0</v>
      </c>
      <c r="I22" s="6" t="n">
        <f aca="false">MIN(I18,I21)</f>
        <v>0</v>
      </c>
      <c r="J22" s="6" t="n">
        <f aca="false">MIN(J18,J21)</f>
        <v>0</v>
      </c>
      <c r="K22" s="6" t="n">
        <f aca="false">SUM(C22:J22)</f>
        <v>0</v>
      </c>
    </row>
    <row r="23" customFormat="false" ht="15" hidden="false" customHeight="true" outlineLevel="0" collapsed="false">
      <c r="B23" s="1" t="s">
        <v>139</v>
      </c>
      <c r="C23" s="6" t="n">
        <f aca="false">MAX(0,C18-C22)</f>
        <v>0</v>
      </c>
      <c r="D23" s="6" t="n">
        <f aca="false">MAX(0,D18-D22)</f>
        <v>1000</v>
      </c>
      <c r="E23" s="6" t="n">
        <f aca="false">MAX(0,E18-E22)</f>
        <v>0</v>
      </c>
      <c r="F23" s="6" t="n">
        <f aca="false">MAX(0,F18-F22)</f>
        <v>1000</v>
      </c>
      <c r="G23" s="6" t="n">
        <f aca="false">MAX(0,G18-G22)</f>
        <v>0</v>
      </c>
      <c r="H23" s="6" t="n">
        <f aca="false">MAX(0,H18-H22)</f>
        <v>1000</v>
      </c>
      <c r="I23" s="6" t="n">
        <f aca="false">MAX(0,I18-I22)</f>
        <v>0</v>
      </c>
      <c r="J23" s="6" t="n">
        <f aca="false">MAX(0,J18-J22)</f>
        <v>1000</v>
      </c>
      <c r="K23" s="6" t="n">
        <f aca="false">SUM(C23:J23)</f>
        <v>4000</v>
      </c>
    </row>
    <row r="24" customFormat="false" ht="15" hidden="false" customHeight="true" outlineLevel="0" collapsed="false">
      <c r="B24" s="1" t="s">
        <v>140</v>
      </c>
      <c r="C24" s="6" t="n">
        <f aca="false">C21-C22</f>
        <v>0</v>
      </c>
      <c r="D24" s="6" t="n">
        <f aca="false">D21-D22</f>
        <v>0</v>
      </c>
      <c r="E24" s="6" t="n">
        <f aca="false">E21-E22</f>
        <v>1000</v>
      </c>
      <c r="F24" s="6" t="n">
        <f aca="false">F21-F22</f>
        <v>0</v>
      </c>
      <c r="G24" s="6" t="n">
        <f aca="false">G21-G22</f>
        <v>1000</v>
      </c>
      <c r="H24" s="6" t="n">
        <f aca="false">H21-H22</f>
        <v>0</v>
      </c>
      <c r="I24" s="6" t="n">
        <f aca="false">I21-I22</f>
        <v>1000</v>
      </c>
      <c r="J24" s="6" t="n">
        <f aca="false">J21-J22</f>
        <v>0</v>
      </c>
    </row>
    <row r="26" customFormat="false" ht="15" hidden="false" customHeight="true" outlineLevel="0" collapsed="false">
      <c r="A26" s="8" t="s">
        <v>52</v>
      </c>
      <c r="B26" s="8"/>
      <c r="C26" s="8"/>
      <c r="D26" s="8"/>
      <c r="E26" s="8"/>
      <c r="F26" s="8"/>
      <c r="G26" s="8"/>
      <c r="H26" s="8"/>
      <c r="I26" s="8"/>
      <c r="J26" s="8"/>
      <c r="K26" s="8"/>
    </row>
    <row r="27" customFormat="false" ht="15" hidden="false" customHeight="true" outlineLevel="0" collapsed="false">
      <c r="B27" s="1" t="s">
        <v>133</v>
      </c>
      <c r="C27" s="6" t="n">
        <v>0</v>
      </c>
      <c r="D27" s="7" t="n">
        <v>1000</v>
      </c>
      <c r="E27" s="6" t="n">
        <v>0</v>
      </c>
      <c r="F27" s="7" t="n">
        <v>1000</v>
      </c>
      <c r="G27" s="6" t="n">
        <v>0</v>
      </c>
      <c r="H27" s="7" t="n">
        <v>1000</v>
      </c>
      <c r="I27" s="6" t="n">
        <v>0</v>
      </c>
      <c r="J27" s="7" t="n">
        <v>1000</v>
      </c>
      <c r="K27" s="6" t="n">
        <f aca="false">SUM(C27:J27)</f>
        <v>4000</v>
      </c>
    </row>
    <row r="28" customFormat="false" ht="15" hidden="false" customHeight="true" outlineLevel="0" collapsed="false">
      <c r="B28" s="1" t="s">
        <v>134</v>
      </c>
      <c r="C28" s="6" t="n">
        <v>0</v>
      </c>
      <c r="D28" s="6" t="n">
        <v>1</v>
      </c>
      <c r="E28" s="6" t="n">
        <v>0</v>
      </c>
      <c r="F28" s="6" t="n">
        <v>1</v>
      </c>
      <c r="G28" s="6" t="n">
        <v>0</v>
      </c>
      <c r="H28" s="6" t="n">
        <v>1</v>
      </c>
      <c r="I28" s="6" t="n">
        <v>0</v>
      </c>
      <c r="J28" s="6" t="n">
        <v>1</v>
      </c>
    </row>
    <row r="29" customFormat="false" ht="15" hidden="false" customHeight="true" outlineLevel="0" collapsed="false">
      <c r="B29" s="1" t="s">
        <v>135</v>
      </c>
      <c r="C29" s="6" t="n">
        <f aca="false">IF(C28=1,C27,0)</f>
        <v>0</v>
      </c>
      <c r="D29" s="6" t="n">
        <f aca="false">IF(D28=1,D27,0)</f>
        <v>1000</v>
      </c>
      <c r="E29" s="6" t="n">
        <f aca="false">IF(E28=1,E27,0)</f>
        <v>0</v>
      </c>
      <c r="F29" s="6" t="n">
        <f aca="false">IF(F28=1,F27,0)</f>
        <v>1000</v>
      </c>
      <c r="G29" s="6" t="n">
        <f aca="false">IF(G28=1,G27,0)</f>
        <v>0</v>
      </c>
      <c r="H29" s="6" t="n">
        <f aca="false">IF(H28=1,H27,0)</f>
        <v>1000</v>
      </c>
      <c r="I29" s="6" t="n">
        <f aca="false">IF(I28=1,I27,0)</f>
        <v>0</v>
      </c>
      <c r="J29" s="6" t="n">
        <f aca="false">IF(J28=1,J27,0)</f>
        <v>1000</v>
      </c>
      <c r="K29" s="6" t="n">
        <f aca="false">SUM(C29:J29)</f>
        <v>4000</v>
      </c>
    </row>
    <row r="30" customFormat="false" ht="15" hidden="false" customHeight="true" outlineLevel="0" collapsed="false">
      <c r="B30" s="1" t="s">
        <v>125</v>
      </c>
      <c r="C30" s="7" t="n">
        <v>0</v>
      </c>
      <c r="D30" s="9" t="n">
        <f aca="false">C34</f>
        <v>0</v>
      </c>
      <c r="E30" s="9" t="n">
        <f aca="false">D34</f>
        <v>1000</v>
      </c>
      <c r="F30" s="9" t="n">
        <f aca="false">E34</f>
        <v>0</v>
      </c>
      <c r="G30" s="9" t="n">
        <f aca="false">F34</f>
        <v>1000</v>
      </c>
      <c r="H30" s="9" t="n">
        <f aca="false">G34</f>
        <v>0</v>
      </c>
      <c r="I30" s="9" t="n">
        <f aca="false">H34</f>
        <v>1000</v>
      </c>
      <c r="J30" s="9" t="n">
        <f aca="false">I34</f>
        <v>0</v>
      </c>
    </row>
    <row r="31" customFormat="false" ht="15" hidden="false" customHeight="true" outlineLevel="0" collapsed="false">
      <c r="B31" s="1" t="s">
        <v>136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6" t="n">
        <f aca="false">SUM(C31:J31)</f>
        <v>0</v>
      </c>
    </row>
    <row r="32" customFormat="false" ht="15" hidden="false" customHeight="true" outlineLevel="0" collapsed="false">
      <c r="B32" s="1" t="s">
        <v>137</v>
      </c>
      <c r="C32" s="6" t="n">
        <f aca="false">C30+C31</f>
        <v>0</v>
      </c>
      <c r="D32" s="6" t="n">
        <f aca="false">D30+D31</f>
        <v>0</v>
      </c>
      <c r="E32" s="6" t="n">
        <f aca="false">E30+E31</f>
        <v>1000</v>
      </c>
      <c r="F32" s="6" t="n">
        <f aca="false">F30+F31</f>
        <v>0</v>
      </c>
      <c r="G32" s="6" t="n">
        <f aca="false">G30+G31</f>
        <v>1000</v>
      </c>
      <c r="H32" s="6" t="n">
        <f aca="false">H30+H31</f>
        <v>0</v>
      </c>
      <c r="I32" s="6" t="n">
        <f aca="false">I30+I31</f>
        <v>1000</v>
      </c>
      <c r="J32" s="6" t="n">
        <f aca="false">J30+J31</f>
        <v>0</v>
      </c>
    </row>
    <row r="33" customFormat="false" ht="15" hidden="false" customHeight="true" outlineLevel="0" collapsed="false">
      <c r="B33" s="1" t="s">
        <v>138</v>
      </c>
      <c r="C33" s="6" t="n">
        <f aca="false">MIN(C29,C32)</f>
        <v>0</v>
      </c>
      <c r="D33" s="6" t="n">
        <f aca="false">MIN(D29,D32)</f>
        <v>0</v>
      </c>
      <c r="E33" s="6" t="n">
        <f aca="false">MIN(E29,E32)</f>
        <v>0</v>
      </c>
      <c r="F33" s="6" t="n">
        <f aca="false">MIN(F29,F32)</f>
        <v>0</v>
      </c>
      <c r="G33" s="6" t="n">
        <f aca="false">MIN(G29,G32)</f>
        <v>0</v>
      </c>
      <c r="H33" s="6" t="n">
        <f aca="false">MIN(H29,H32)</f>
        <v>0</v>
      </c>
      <c r="I33" s="6" t="n">
        <f aca="false">MIN(I29,I32)</f>
        <v>0</v>
      </c>
      <c r="J33" s="6" t="n">
        <f aca="false">MIN(J29,J32)</f>
        <v>0</v>
      </c>
      <c r="K33" s="6" t="n">
        <f aca="false">SUM(C33:J33)</f>
        <v>0</v>
      </c>
    </row>
    <row r="34" customFormat="false" ht="15" hidden="false" customHeight="true" outlineLevel="0" collapsed="false">
      <c r="B34" s="1" t="s">
        <v>139</v>
      </c>
      <c r="C34" s="6" t="n">
        <f aca="false">MAX(0,C29-C33)</f>
        <v>0</v>
      </c>
      <c r="D34" s="6" t="n">
        <f aca="false">MAX(0,D29-D33)</f>
        <v>1000</v>
      </c>
      <c r="E34" s="6" t="n">
        <f aca="false">MAX(0,E29-E33)</f>
        <v>0</v>
      </c>
      <c r="F34" s="6" t="n">
        <f aca="false">MAX(0,F29-F33)</f>
        <v>1000</v>
      </c>
      <c r="G34" s="6" t="n">
        <f aca="false">MAX(0,G29-G33)</f>
        <v>0</v>
      </c>
      <c r="H34" s="6" t="n">
        <f aca="false">MAX(0,H29-H33)</f>
        <v>1000</v>
      </c>
      <c r="I34" s="6" t="n">
        <f aca="false">MAX(0,I29-I33)</f>
        <v>0</v>
      </c>
      <c r="J34" s="6" t="n">
        <f aca="false">MAX(0,J29-J33)</f>
        <v>1000</v>
      </c>
      <c r="K34" s="6" t="n">
        <f aca="false">SUM(C34:J34)</f>
        <v>4000</v>
      </c>
    </row>
    <row r="35" customFormat="false" ht="15" hidden="false" customHeight="true" outlineLevel="0" collapsed="false">
      <c r="B35" s="1" t="s">
        <v>140</v>
      </c>
      <c r="C35" s="6" t="n">
        <f aca="false">C32-C33</f>
        <v>0</v>
      </c>
      <c r="D35" s="6" t="n">
        <f aca="false">D32-D33</f>
        <v>0</v>
      </c>
      <c r="E35" s="6" t="n">
        <f aca="false">E32-E33</f>
        <v>1000</v>
      </c>
      <c r="F35" s="6" t="n">
        <f aca="false">F32-F33</f>
        <v>0</v>
      </c>
      <c r="G35" s="6" t="n">
        <f aca="false">G32-G33</f>
        <v>1000</v>
      </c>
      <c r="H35" s="6" t="n">
        <f aca="false">H32-H33</f>
        <v>0</v>
      </c>
      <c r="I35" s="6" t="n">
        <f aca="false">I32-I33</f>
        <v>1000</v>
      </c>
      <c r="J35" s="6" t="n">
        <f aca="false">J32-J33</f>
        <v>0</v>
      </c>
    </row>
    <row r="37" customFormat="false" ht="15" hidden="false" customHeight="true" outlineLevel="0" collapsed="false">
      <c r="A37" s="8" t="s">
        <v>53</v>
      </c>
      <c r="B37" s="8"/>
      <c r="C37" s="8"/>
      <c r="D37" s="8"/>
      <c r="E37" s="8"/>
      <c r="F37" s="8"/>
      <c r="G37" s="8"/>
      <c r="H37" s="8"/>
      <c r="I37" s="8"/>
      <c r="J37" s="8"/>
      <c r="K37" s="8"/>
    </row>
    <row r="38" customFormat="false" ht="15" hidden="false" customHeight="true" outlineLevel="0" collapsed="false">
      <c r="B38" s="1" t="s">
        <v>133</v>
      </c>
      <c r="C38" s="6" t="n">
        <v>0</v>
      </c>
      <c r="D38" s="7" t="n">
        <v>1000</v>
      </c>
      <c r="E38" s="6" t="n">
        <v>0</v>
      </c>
      <c r="F38" s="7" t="n">
        <v>1000</v>
      </c>
      <c r="G38" s="6" t="n">
        <v>0</v>
      </c>
      <c r="H38" s="7" t="n">
        <v>1000</v>
      </c>
      <c r="I38" s="6" t="n">
        <v>0</v>
      </c>
      <c r="J38" s="7" t="n">
        <v>1000</v>
      </c>
      <c r="K38" s="6" t="n">
        <f aca="false">SUM(C38:J38)</f>
        <v>4000</v>
      </c>
    </row>
    <row r="39" customFormat="false" ht="15" hidden="false" customHeight="true" outlineLevel="0" collapsed="false">
      <c r="B39" s="1" t="s">
        <v>134</v>
      </c>
      <c r="C39" s="6" t="n">
        <v>0</v>
      </c>
      <c r="D39" s="6" t="n">
        <v>1</v>
      </c>
      <c r="E39" s="6" t="n">
        <v>0</v>
      </c>
      <c r="F39" s="6" t="n">
        <v>1</v>
      </c>
      <c r="G39" s="6" t="n">
        <v>0</v>
      </c>
      <c r="H39" s="6" t="n">
        <v>1</v>
      </c>
      <c r="I39" s="6" t="n">
        <v>0</v>
      </c>
      <c r="J39" s="6" t="n">
        <v>1</v>
      </c>
    </row>
    <row r="40" customFormat="false" ht="15" hidden="false" customHeight="true" outlineLevel="0" collapsed="false">
      <c r="B40" s="1" t="s">
        <v>135</v>
      </c>
      <c r="C40" s="6" t="n">
        <f aca="false">IF(C39=1,C38,0)</f>
        <v>0</v>
      </c>
      <c r="D40" s="6" t="n">
        <f aca="false">IF(D39=1,D38,0)</f>
        <v>1000</v>
      </c>
      <c r="E40" s="6" t="n">
        <f aca="false">IF(E39=1,E38,0)</f>
        <v>0</v>
      </c>
      <c r="F40" s="6" t="n">
        <f aca="false">IF(F39=1,F38,0)</f>
        <v>1000</v>
      </c>
      <c r="G40" s="6" t="n">
        <f aca="false">IF(G39=1,G38,0)</f>
        <v>0</v>
      </c>
      <c r="H40" s="6" t="n">
        <f aca="false">IF(H39=1,H38,0)</f>
        <v>1000</v>
      </c>
      <c r="I40" s="6" t="n">
        <f aca="false">IF(I39=1,I38,0)</f>
        <v>0</v>
      </c>
      <c r="J40" s="6" t="n">
        <f aca="false">IF(J39=1,J38,0)</f>
        <v>1000</v>
      </c>
      <c r="K40" s="6" t="n">
        <f aca="false">SUM(C40:J40)</f>
        <v>4000</v>
      </c>
    </row>
    <row r="41" customFormat="false" ht="15" hidden="false" customHeight="true" outlineLevel="0" collapsed="false">
      <c r="B41" s="1" t="s">
        <v>125</v>
      </c>
      <c r="C41" s="7" t="n">
        <v>0</v>
      </c>
      <c r="D41" s="9" t="n">
        <f aca="false">C45</f>
        <v>0</v>
      </c>
      <c r="E41" s="9" t="n">
        <f aca="false">D45</f>
        <v>1000</v>
      </c>
      <c r="F41" s="9" t="n">
        <f aca="false">E45</f>
        <v>0</v>
      </c>
      <c r="G41" s="9" t="n">
        <f aca="false">F45</f>
        <v>1000</v>
      </c>
      <c r="H41" s="9" t="n">
        <f aca="false">G45</f>
        <v>0</v>
      </c>
      <c r="I41" s="9" t="n">
        <f aca="false">H45</f>
        <v>1000</v>
      </c>
      <c r="J41" s="9" t="n">
        <f aca="false">I45</f>
        <v>0</v>
      </c>
    </row>
    <row r="42" customFormat="false" ht="15" hidden="false" customHeight="true" outlineLevel="0" collapsed="false">
      <c r="B42" s="1" t="s">
        <v>136</v>
      </c>
      <c r="C42" s="7" t="n">
        <v>0</v>
      </c>
      <c r="D42" s="7" t="n">
        <v>0</v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6" t="n">
        <f aca="false">SUM(C42:J42)</f>
        <v>0</v>
      </c>
    </row>
    <row r="43" customFormat="false" ht="15" hidden="false" customHeight="true" outlineLevel="0" collapsed="false">
      <c r="B43" s="1" t="s">
        <v>137</v>
      </c>
      <c r="C43" s="6" t="n">
        <f aca="false">C41+C42</f>
        <v>0</v>
      </c>
      <c r="D43" s="6" t="n">
        <f aca="false">D41+D42</f>
        <v>0</v>
      </c>
      <c r="E43" s="6" t="n">
        <f aca="false">E41+E42</f>
        <v>1000</v>
      </c>
      <c r="F43" s="6" t="n">
        <f aca="false">F41+F42</f>
        <v>0</v>
      </c>
      <c r="G43" s="6" t="n">
        <f aca="false">G41+G42</f>
        <v>1000</v>
      </c>
      <c r="H43" s="6" t="n">
        <f aca="false">H41+H42</f>
        <v>0</v>
      </c>
      <c r="I43" s="6" t="n">
        <f aca="false">I41+I42</f>
        <v>1000</v>
      </c>
      <c r="J43" s="6" t="n">
        <f aca="false">J41+J42</f>
        <v>0</v>
      </c>
    </row>
    <row r="44" customFormat="false" ht="15" hidden="false" customHeight="true" outlineLevel="0" collapsed="false">
      <c r="B44" s="1" t="s">
        <v>138</v>
      </c>
      <c r="C44" s="6" t="n">
        <f aca="false">MIN(C40,C43)</f>
        <v>0</v>
      </c>
      <c r="D44" s="6" t="n">
        <f aca="false">MIN(D40,D43)</f>
        <v>0</v>
      </c>
      <c r="E44" s="6" t="n">
        <f aca="false">MIN(E40,E43)</f>
        <v>0</v>
      </c>
      <c r="F44" s="6" t="n">
        <f aca="false">MIN(F40,F43)</f>
        <v>0</v>
      </c>
      <c r="G44" s="6" t="n">
        <f aca="false">MIN(G40,G43)</f>
        <v>0</v>
      </c>
      <c r="H44" s="6" t="n">
        <f aca="false">MIN(H40,H43)</f>
        <v>0</v>
      </c>
      <c r="I44" s="6" t="n">
        <f aca="false">MIN(I40,I43)</f>
        <v>0</v>
      </c>
      <c r="J44" s="6" t="n">
        <f aca="false">MIN(J40,J43)</f>
        <v>0</v>
      </c>
      <c r="K44" s="6" t="n">
        <f aca="false">SUM(C44:J44)</f>
        <v>0</v>
      </c>
    </row>
    <row r="45" customFormat="false" ht="15" hidden="false" customHeight="true" outlineLevel="0" collapsed="false">
      <c r="B45" s="1" t="s">
        <v>139</v>
      </c>
      <c r="C45" s="6" t="n">
        <f aca="false">MAX(0,C40-C44)</f>
        <v>0</v>
      </c>
      <c r="D45" s="6" t="n">
        <f aca="false">MAX(0,D40-D44)</f>
        <v>1000</v>
      </c>
      <c r="E45" s="6" t="n">
        <f aca="false">MAX(0,E40-E44)</f>
        <v>0</v>
      </c>
      <c r="F45" s="6" t="n">
        <f aca="false">MAX(0,F40-F44)</f>
        <v>1000</v>
      </c>
      <c r="G45" s="6" t="n">
        <f aca="false">MAX(0,G40-G44)</f>
        <v>0</v>
      </c>
      <c r="H45" s="6" t="n">
        <f aca="false">MAX(0,H40-H44)</f>
        <v>1000</v>
      </c>
      <c r="I45" s="6" t="n">
        <f aca="false">MAX(0,I40-I44)</f>
        <v>0</v>
      </c>
      <c r="J45" s="6" t="n">
        <f aca="false">MAX(0,J40-J44)</f>
        <v>1000</v>
      </c>
      <c r="K45" s="6" t="n">
        <f aca="false">SUM(C45:J45)</f>
        <v>4000</v>
      </c>
    </row>
    <row r="46" customFormat="false" ht="15" hidden="false" customHeight="true" outlineLevel="0" collapsed="false">
      <c r="B46" s="1" t="s">
        <v>140</v>
      </c>
      <c r="C46" s="6" t="n">
        <f aca="false">C43-C44</f>
        <v>0</v>
      </c>
      <c r="D46" s="6" t="n">
        <f aca="false">D43-D44</f>
        <v>0</v>
      </c>
      <c r="E46" s="6" t="n">
        <f aca="false">E43-E44</f>
        <v>1000</v>
      </c>
      <c r="F46" s="6" t="n">
        <f aca="false">F43-F44</f>
        <v>0</v>
      </c>
      <c r="G46" s="6" t="n">
        <f aca="false">G43-G44</f>
        <v>1000</v>
      </c>
      <c r="H46" s="6" t="n">
        <f aca="false">H43-H44</f>
        <v>0</v>
      </c>
      <c r="I46" s="6" t="n">
        <f aca="false">I43-I44</f>
        <v>1000</v>
      </c>
      <c r="J46" s="6" t="n">
        <f aca="false">J43-J44</f>
        <v>0</v>
      </c>
    </row>
    <row r="48" customFormat="false" ht="15" hidden="false" customHeight="true" outlineLevel="0" collapsed="false">
      <c r="A48" s="8" t="s">
        <v>54</v>
      </c>
      <c r="B48" s="8"/>
      <c r="C48" s="8"/>
      <c r="D48" s="8"/>
      <c r="E48" s="8"/>
      <c r="F48" s="8"/>
      <c r="G48" s="8"/>
      <c r="H48" s="8"/>
      <c r="I48" s="8"/>
      <c r="J48" s="8"/>
      <c r="K48" s="8"/>
    </row>
    <row r="49" customFormat="false" ht="15" hidden="false" customHeight="true" outlineLevel="0" collapsed="false">
      <c r="B49" s="1" t="s">
        <v>133</v>
      </c>
      <c r="C49" s="6" t="n">
        <v>0</v>
      </c>
      <c r="D49" s="7" t="n">
        <v>1000</v>
      </c>
      <c r="E49" s="6" t="n">
        <v>0</v>
      </c>
      <c r="F49" s="7" t="n">
        <v>1000</v>
      </c>
      <c r="G49" s="6" t="n">
        <v>0</v>
      </c>
      <c r="H49" s="7" t="n">
        <v>1000</v>
      </c>
      <c r="I49" s="6" t="n">
        <v>0</v>
      </c>
      <c r="J49" s="7" t="n">
        <v>1000</v>
      </c>
      <c r="K49" s="6" t="n">
        <f aca="false">SUM(C49:J49)</f>
        <v>4000</v>
      </c>
    </row>
    <row r="50" customFormat="false" ht="15" hidden="false" customHeight="true" outlineLevel="0" collapsed="false">
      <c r="B50" s="1" t="s">
        <v>134</v>
      </c>
      <c r="C50" s="6" t="n">
        <v>0</v>
      </c>
      <c r="D50" s="6" t="n">
        <v>1</v>
      </c>
      <c r="E50" s="6" t="n">
        <v>0</v>
      </c>
      <c r="F50" s="6" t="n">
        <v>1</v>
      </c>
      <c r="G50" s="6" t="n">
        <v>0</v>
      </c>
      <c r="H50" s="6" t="n">
        <v>1</v>
      </c>
      <c r="I50" s="6" t="n">
        <v>0</v>
      </c>
      <c r="J50" s="6" t="n">
        <v>1</v>
      </c>
    </row>
    <row r="51" customFormat="false" ht="15" hidden="false" customHeight="true" outlineLevel="0" collapsed="false">
      <c r="B51" s="1" t="s">
        <v>135</v>
      </c>
      <c r="C51" s="6" t="n">
        <f aca="false">IF(C50=1,C49,0)</f>
        <v>0</v>
      </c>
      <c r="D51" s="6" t="n">
        <f aca="false">IF(D50=1,D49,0)</f>
        <v>1000</v>
      </c>
      <c r="E51" s="6" t="n">
        <f aca="false">IF(E50=1,E49,0)</f>
        <v>0</v>
      </c>
      <c r="F51" s="6" t="n">
        <f aca="false">IF(F50=1,F49,0)</f>
        <v>1000</v>
      </c>
      <c r="G51" s="6" t="n">
        <f aca="false">IF(G50=1,G49,0)</f>
        <v>0</v>
      </c>
      <c r="H51" s="6" t="n">
        <f aca="false">IF(H50=1,H49,0)</f>
        <v>1000</v>
      </c>
      <c r="I51" s="6" t="n">
        <f aca="false">IF(I50=1,I49,0)</f>
        <v>0</v>
      </c>
      <c r="J51" s="6" t="n">
        <f aca="false">IF(J50=1,J49,0)</f>
        <v>1000</v>
      </c>
      <c r="K51" s="6" t="n">
        <f aca="false">SUM(C51:J51)</f>
        <v>4000</v>
      </c>
    </row>
    <row r="52" customFormat="false" ht="15" hidden="false" customHeight="true" outlineLevel="0" collapsed="false">
      <c r="B52" s="1" t="s">
        <v>125</v>
      </c>
      <c r="C52" s="7" t="n">
        <v>0</v>
      </c>
      <c r="D52" s="9" t="n">
        <f aca="false">C56</f>
        <v>0</v>
      </c>
      <c r="E52" s="9" t="n">
        <f aca="false">D56</f>
        <v>1000</v>
      </c>
      <c r="F52" s="9" t="n">
        <f aca="false">E56</f>
        <v>0</v>
      </c>
      <c r="G52" s="9" t="n">
        <f aca="false">F56</f>
        <v>1000</v>
      </c>
      <c r="H52" s="9" t="n">
        <f aca="false">G56</f>
        <v>0</v>
      </c>
      <c r="I52" s="9" t="n">
        <f aca="false">H56</f>
        <v>1000</v>
      </c>
      <c r="J52" s="9" t="n">
        <f aca="false">I56</f>
        <v>0</v>
      </c>
    </row>
    <row r="53" customFormat="false" ht="15" hidden="false" customHeight="true" outlineLevel="0" collapsed="false">
      <c r="B53" s="1" t="s">
        <v>136</v>
      </c>
      <c r="C53" s="7" t="n">
        <v>0</v>
      </c>
      <c r="D53" s="7" t="n">
        <v>0</v>
      </c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6" t="n">
        <f aca="false">SUM(C53:J53)</f>
        <v>0</v>
      </c>
    </row>
    <row r="54" customFormat="false" ht="15" hidden="false" customHeight="true" outlineLevel="0" collapsed="false">
      <c r="B54" s="1" t="s">
        <v>137</v>
      </c>
      <c r="C54" s="6" t="n">
        <f aca="false">C52+C53</f>
        <v>0</v>
      </c>
      <c r="D54" s="6" t="n">
        <f aca="false">D52+D53</f>
        <v>0</v>
      </c>
      <c r="E54" s="6" t="n">
        <f aca="false">E52+E53</f>
        <v>1000</v>
      </c>
      <c r="F54" s="6" t="n">
        <f aca="false">F52+F53</f>
        <v>0</v>
      </c>
      <c r="G54" s="6" t="n">
        <f aca="false">G52+G53</f>
        <v>1000</v>
      </c>
      <c r="H54" s="6" t="n">
        <f aca="false">H52+H53</f>
        <v>0</v>
      </c>
      <c r="I54" s="6" t="n">
        <f aca="false">I52+I53</f>
        <v>1000</v>
      </c>
      <c r="J54" s="6" t="n">
        <f aca="false">J52+J53</f>
        <v>0</v>
      </c>
    </row>
    <row r="55" customFormat="false" ht="15" hidden="false" customHeight="true" outlineLevel="0" collapsed="false">
      <c r="B55" s="1" t="s">
        <v>138</v>
      </c>
      <c r="C55" s="6" t="n">
        <f aca="false">MIN(C51,C54)</f>
        <v>0</v>
      </c>
      <c r="D55" s="6" t="n">
        <f aca="false">MIN(D51,D54)</f>
        <v>0</v>
      </c>
      <c r="E55" s="6" t="n">
        <f aca="false">MIN(E51,E54)</f>
        <v>0</v>
      </c>
      <c r="F55" s="6" t="n">
        <f aca="false">MIN(F51,F54)</f>
        <v>0</v>
      </c>
      <c r="G55" s="6" t="n">
        <f aca="false">MIN(G51,G54)</f>
        <v>0</v>
      </c>
      <c r="H55" s="6" t="n">
        <f aca="false">MIN(H51,H54)</f>
        <v>0</v>
      </c>
      <c r="I55" s="6" t="n">
        <f aca="false">MIN(I51,I54)</f>
        <v>0</v>
      </c>
      <c r="J55" s="6" t="n">
        <f aca="false">MIN(J51,J54)</f>
        <v>0</v>
      </c>
      <c r="K55" s="6" t="n">
        <f aca="false">SUM(C55:J55)</f>
        <v>0</v>
      </c>
    </row>
    <row r="56" customFormat="false" ht="15" hidden="false" customHeight="true" outlineLevel="0" collapsed="false">
      <c r="B56" s="1" t="s">
        <v>139</v>
      </c>
      <c r="C56" s="6" t="n">
        <f aca="false">MAX(0,C51-C55)</f>
        <v>0</v>
      </c>
      <c r="D56" s="6" t="n">
        <f aca="false">MAX(0,D51-D55)</f>
        <v>1000</v>
      </c>
      <c r="E56" s="6" t="n">
        <f aca="false">MAX(0,E51-E55)</f>
        <v>0</v>
      </c>
      <c r="F56" s="6" t="n">
        <f aca="false">MAX(0,F51-F55)</f>
        <v>1000</v>
      </c>
      <c r="G56" s="6" t="n">
        <f aca="false">MAX(0,G51-G55)</f>
        <v>0</v>
      </c>
      <c r="H56" s="6" t="n">
        <f aca="false">MAX(0,H51-H55)</f>
        <v>1000</v>
      </c>
      <c r="I56" s="6" t="n">
        <f aca="false">MAX(0,I51-I55)</f>
        <v>0</v>
      </c>
      <c r="J56" s="6" t="n">
        <f aca="false">MAX(0,J51-J55)</f>
        <v>1000</v>
      </c>
      <c r="K56" s="6" t="n">
        <f aca="false">SUM(C56:J56)</f>
        <v>4000</v>
      </c>
    </row>
    <row r="57" customFormat="false" ht="15" hidden="false" customHeight="true" outlineLevel="0" collapsed="false">
      <c r="B57" s="1" t="s">
        <v>140</v>
      </c>
      <c r="C57" s="6" t="n">
        <f aca="false">C54-C55</f>
        <v>0</v>
      </c>
      <c r="D57" s="6" t="n">
        <f aca="false">D54-D55</f>
        <v>0</v>
      </c>
      <c r="E57" s="6" t="n">
        <f aca="false">E54-E55</f>
        <v>1000</v>
      </c>
      <c r="F57" s="6" t="n">
        <f aca="false">F54-F55</f>
        <v>0</v>
      </c>
      <c r="G57" s="6" t="n">
        <f aca="false">G54-G55</f>
        <v>1000</v>
      </c>
      <c r="H57" s="6" t="n">
        <f aca="false">H54-H55</f>
        <v>0</v>
      </c>
      <c r="I57" s="6" t="n">
        <f aca="false">I54-I55</f>
        <v>1000</v>
      </c>
      <c r="J57" s="6" t="n">
        <f aca="false">J54-J55</f>
        <v>0</v>
      </c>
    </row>
  </sheetData>
  <mergeCells count="6">
    <mergeCell ref="A1:J1"/>
    <mergeCell ref="A4:K4"/>
    <mergeCell ref="A15:K15"/>
    <mergeCell ref="A26:K26"/>
    <mergeCell ref="A37:K37"/>
    <mergeCell ref="A48:K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5"/>
    <col collapsed="false" customWidth="true" hidden="false" outlineLevel="0" max="11" min="3" style="1" width="12"/>
  </cols>
  <sheetData>
    <row r="1" customFormat="false" ht="17.25" hidden="false" customHeight="true" outlineLevel="0" collapsed="false">
      <c r="A1" s="4" t="s">
        <v>141</v>
      </c>
      <c r="B1" s="4"/>
      <c r="C1" s="4"/>
      <c r="D1" s="4"/>
      <c r="E1" s="4"/>
      <c r="F1" s="4"/>
      <c r="G1" s="4"/>
      <c r="H1" s="4"/>
      <c r="I1" s="4"/>
      <c r="J1" s="4"/>
      <c r="K1" s="4"/>
    </row>
    <row r="3" customFormat="false" ht="15" hidden="false" customHeight="true" outlineLevel="0" collapsed="false">
      <c r="A3" s="1" t="s">
        <v>142</v>
      </c>
      <c r="B3" s="7" t="n">
        <v>0</v>
      </c>
    </row>
    <row r="5" customFormat="false" ht="15" hidden="false" customHeight="true" outlineLevel="0" collapsed="false">
      <c r="A5" s="5" t="s">
        <v>45</v>
      </c>
      <c r="B5" s="5" t="s">
        <v>128</v>
      </c>
      <c r="C5" s="5" t="s">
        <v>67</v>
      </c>
      <c r="D5" s="5" t="s">
        <v>69</v>
      </c>
      <c r="E5" s="5" t="s">
        <v>71</v>
      </c>
      <c r="F5" s="5" t="s">
        <v>75</v>
      </c>
      <c r="G5" s="5" t="s">
        <v>77</v>
      </c>
      <c r="H5" s="5" t="s">
        <v>129</v>
      </c>
      <c r="I5" s="5" t="s">
        <v>130</v>
      </c>
      <c r="J5" s="5" t="s">
        <v>131</v>
      </c>
      <c r="K5" s="5" t="s">
        <v>132</v>
      </c>
    </row>
    <row r="6" customFormat="false" ht="15" hidden="false" customHeight="true" outlineLevel="0" collapsed="false">
      <c r="A6" s="8" t="s">
        <v>50</v>
      </c>
      <c r="B6" s="8"/>
      <c r="C6" s="8"/>
      <c r="D6" s="8"/>
      <c r="E6" s="8"/>
      <c r="F6" s="8"/>
      <c r="G6" s="8"/>
      <c r="H6" s="8"/>
      <c r="I6" s="8"/>
      <c r="J6" s="8"/>
      <c r="K6" s="8"/>
    </row>
    <row r="7" customFormat="false" ht="15" hidden="false" customHeight="true" outlineLevel="0" collapsed="false">
      <c r="B7" s="1" t="s">
        <v>143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6" t="n">
        <f aca="false">SUM(C7:J7)</f>
        <v>0</v>
      </c>
    </row>
    <row r="8" customFormat="false" ht="15" hidden="false" customHeight="true" outlineLevel="0" collapsed="false">
      <c r="B8" s="1" t="s">
        <v>144</v>
      </c>
      <c r="C8" s="9" t="n">
        <f aca="false">$B$3</f>
        <v>0</v>
      </c>
      <c r="D8" s="9" t="n">
        <f aca="false">$B$3</f>
        <v>0</v>
      </c>
      <c r="E8" s="9" t="n">
        <f aca="false">$B$3</f>
        <v>0</v>
      </c>
      <c r="F8" s="9" t="n">
        <f aca="false">$B$3</f>
        <v>0</v>
      </c>
      <c r="G8" s="9" t="n">
        <f aca="false">$B$3</f>
        <v>0</v>
      </c>
      <c r="H8" s="9" t="n">
        <f aca="false">$B$3</f>
        <v>0</v>
      </c>
      <c r="I8" s="9" t="n">
        <f aca="false">$B$3</f>
        <v>0</v>
      </c>
      <c r="J8" s="9" t="n">
        <f aca="false">$B$3</f>
        <v>0</v>
      </c>
      <c r="K8" s="6" t="n">
        <f aca="false">SUM(C8:J8)</f>
        <v>0</v>
      </c>
    </row>
    <row r="9" customFormat="false" ht="15" hidden="false" customHeight="true" outlineLevel="0" collapsed="false">
      <c r="B9" s="1" t="s">
        <v>125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6" t="n">
        <f aca="false">SUM(C9:J9)</f>
        <v>0</v>
      </c>
    </row>
    <row r="10" customFormat="false" ht="15" hidden="false" customHeight="true" outlineLevel="0" collapsed="false">
      <c r="B10" s="1" t="s">
        <v>145</v>
      </c>
      <c r="C10" s="6" t="n">
        <f aca="false">MAX(0,C7+C8-C9)</f>
        <v>0</v>
      </c>
      <c r="D10" s="6" t="n">
        <f aca="false">MAX(0,D7+D8-D9)</f>
        <v>0</v>
      </c>
      <c r="E10" s="6" t="n">
        <f aca="false">MAX(0,E7+E8-E9)</f>
        <v>0</v>
      </c>
      <c r="F10" s="6" t="n">
        <f aca="false">MAX(0,F7+F8-F9)</f>
        <v>0</v>
      </c>
      <c r="G10" s="6" t="n">
        <f aca="false">MAX(0,G7+G8-G9)</f>
        <v>0</v>
      </c>
      <c r="H10" s="6" t="n">
        <f aca="false">MAX(0,H7+H8-H9)</f>
        <v>0</v>
      </c>
      <c r="I10" s="6" t="n">
        <f aca="false">MAX(0,I7+I8-I9)</f>
        <v>0</v>
      </c>
      <c r="J10" s="6" t="n">
        <f aca="false">MAX(0,J7+J8-J9)</f>
        <v>0</v>
      </c>
      <c r="K10" s="6" t="n">
        <f aca="false">SUM(C10:J10)</f>
        <v>0</v>
      </c>
    </row>
    <row r="11" customFormat="false" ht="15" hidden="false" customHeight="true" outlineLevel="0" collapsed="false">
      <c r="B11" s="1" t="s">
        <v>146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6" t="n">
        <f aca="false">SUM(C11:J11)</f>
        <v>0</v>
      </c>
    </row>
    <row r="13" customFormat="false" ht="15" hidden="false" customHeight="true" outlineLevel="0" collapsed="false">
      <c r="A13" s="8" t="s">
        <v>51</v>
      </c>
      <c r="B13" s="8"/>
      <c r="C13" s="8"/>
      <c r="D13" s="8"/>
      <c r="E13" s="8"/>
      <c r="F13" s="8"/>
      <c r="G13" s="8"/>
      <c r="H13" s="8"/>
      <c r="I13" s="8"/>
      <c r="J13" s="8"/>
      <c r="K13" s="8"/>
    </row>
    <row r="14" customFormat="false" ht="15" hidden="false" customHeight="true" outlineLevel="0" collapsed="false">
      <c r="B14" s="1" t="s">
        <v>143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6" t="n">
        <f aca="false">SUM(C14:J14)</f>
        <v>0</v>
      </c>
    </row>
    <row r="15" customFormat="false" ht="15" hidden="false" customHeight="true" outlineLevel="0" collapsed="false">
      <c r="B15" s="1" t="s">
        <v>144</v>
      </c>
      <c r="C15" s="9" t="n">
        <f aca="false">$B$3</f>
        <v>0</v>
      </c>
      <c r="D15" s="9" t="n">
        <f aca="false">$B$3</f>
        <v>0</v>
      </c>
      <c r="E15" s="9" t="n">
        <f aca="false">$B$3</f>
        <v>0</v>
      </c>
      <c r="F15" s="9" t="n">
        <f aca="false">$B$3</f>
        <v>0</v>
      </c>
      <c r="G15" s="9" t="n">
        <f aca="false">$B$3</f>
        <v>0</v>
      </c>
      <c r="H15" s="9" t="n">
        <f aca="false">$B$3</f>
        <v>0</v>
      </c>
      <c r="I15" s="9" t="n">
        <f aca="false">$B$3</f>
        <v>0</v>
      </c>
      <c r="J15" s="9" t="n">
        <f aca="false">$B$3</f>
        <v>0</v>
      </c>
      <c r="K15" s="6" t="n">
        <f aca="false">SUM(C15:J15)</f>
        <v>0</v>
      </c>
    </row>
    <row r="16" customFormat="false" ht="15" hidden="false" customHeight="true" outlineLevel="0" collapsed="false">
      <c r="B16" s="1" t="s">
        <v>125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6" t="n">
        <f aca="false">SUM(C16:J16)</f>
        <v>0</v>
      </c>
    </row>
    <row r="17" customFormat="false" ht="15" hidden="false" customHeight="true" outlineLevel="0" collapsed="false">
      <c r="B17" s="1" t="s">
        <v>145</v>
      </c>
      <c r="C17" s="6" t="n">
        <f aca="false">MAX(0,C14+C15-C16)</f>
        <v>0</v>
      </c>
      <c r="D17" s="6" t="n">
        <f aca="false">MAX(0,D14+D15-D16)</f>
        <v>0</v>
      </c>
      <c r="E17" s="6" t="n">
        <f aca="false">MAX(0,E14+E15-E16)</f>
        <v>0</v>
      </c>
      <c r="F17" s="6" t="n">
        <f aca="false">MAX(0,F14+F15-F16)</f>
        <v>0</v>
      </c>
      <c r="G17" s="6" t="n">
        <f aca="false">MAX(0,G14+G15-G16)</f>
        <v>0</v>
      </c>
      <c r="H17" s="6" t="n">
        <f aca="false">MAX(0,H14+H15-H16)</f>
        <v>0</v>
      </c>
      <c r="I17" s="6" t="n">
        <f aca="false">MAX(0,I14+I15-I16)</f>
        <v>0</v>
      </c>
      <c r="J17" s="6" t="n">
        <f aca="false">MAX(0,J14+J15-J16)</f>
        <v>0</v>
      </c>
      <c r="K17" s="6" t="n">
        <f aca="false">SUM(C17:J17)</f>
        <v>0</v>
      </c>
    </row>
    <row r="18" customFormat="false" ht="15" hidden="false" customHeight="true" outlineLevel="0" collapsed="false">
      <c r="B18" s="1" t="s">
        <v>146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6" t="n">
        <f aca="false">SUM(C18:J18)</f>
        <v>0</v>
      </c>
    </row>
    <row r="20" customFormat="false" ht="15" hidden="false" customHeight="true" outlineLevel="0" collapsed="false">
      <c r="A20" s="8" t="s">
        <v>52</v>
      </c>
      <c r="B20" s="8"/>
      <c r="C20" s="8"/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true" outlineLevel="0" collapsed="false">
      <c r="B21" s="1" t="s">
        <v>143</v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6" t="n">
        <f aca="false">SUM(C21:J21)</f>
        <v>0</v>
      </c>
    </row>
    <row r="22" customFormat="false" ht="15" hidden="false" customHeight="true" outlineLevel="0" collapsed="false">
      <c r="B22" s="1" t="s">
        <v>144</v>
      </c>
      <c r="C22" s="9" t="n">
        <f aca="false">$B$3</f>
        <v>0</v>
      </c>
      <c r="D22" s="9" t="n">
        <f aca="false">$B$3</f>
        <v>0</v>
      </c>
      <c r="E22" s="9" t="n">
        <f aca="false">$B$3</f>
        <v>0</v>
      </c>
      <c r="F22" s="9" t="n">
        <f aca="false">$B$3</f>
        <v>0</v>
      </c>
      <c r="G22" s="9" t="n">
        <f aca="false">$B$3</f>
        <v>0</v>
      </c>
      <c r="H22" s="9" t="n">
        <f aca="false">$B$3</f>
        <v>0</v>
      </c>
      <c r="I22" s="9" t="n">
        <f aca="false">$B$3</f>
        <v>0</v>
      </c>
      <c r="J22" s="9" t="n">
        <f aca="false">$B$3</f>
        <v>0</v>
      </c>
      <c r="K22" s="6" t="n">
        <f aca="false">SUM(C22:J22)</f>
        <v>0</v>
      </c>
    </row>
    <row r="23" customFormat="false" ht="15" hidden="false" customHeight="true" outlineLevel="0" collapsed="false">
      <c r="B23" s="1" t="s">
        <v>125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6" t="n">
        <f aca="false">SUM(C23:J23)</f>
        <v>0</v>
      </c>
    </row>
    <row r="24" customFormat="false" ht="15" hidden="false" customHeight="true" outlineLevel="0" collapsed="false">
      <c r="B24" s="1" t="s">
        <v>145</v>
      </c>
      <c r="C24" s="6" t="n">
        <f aca="false">MAX(0,C21+C22-C23)</f>
        <v>0</v>
      </c>
      <c r="D24" s="6" t="n">
        <f aca="false">MAX(0,D21+D22-D23)</f>
        <v>0</v>
      </c>
      <c r="E24" s="6" t="n">
        <f aca="false">MAX(0,E21+E22-E23)</f>
        <v>0</v>
      </c>
      <c r="F24" s="6" t="n">
        <f aca="false">MAX(0,F21+F22-F23)</f>
        <v>0</v>
      </c>
      <c r="G24" s="6" t="n">
        <f aca="false">MAX(0,G21+G22-G23)</f>
        <v>0</v>
      </c>
      <c r="H24" s="6" t="n">
        <f aca="false">MAX(0,H21+H22-H23)</f>
        <v>0</v>
      </c>
      <c r="I24" s="6" t="n">
        <f aca="false">MAX(0,I21+I22-I23)</f>
        <v>0</v>
      </c>
      <c r="J24" s="6" t="n">
        <f aca="false">MAX(0,J21+J22-J23)</f>
        <v>0</v>
      </c>
      <c r="K24" s="6" t="n">
        <f aca="false">SUM(C24:J24)</f>
        <v>0</v>
      </c>
    </row>
    <row r="25" customFormat="false" ht="15" hidden="false" customHeight="true" outlineLevel="0" collapsed="false">
      <c r="B25" s="1" t="s">
        <v>146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6" t="n">
        <f aca="false">SUM(C25:J25)</f>
        <v>0</v>
      </c>
    </row>
    <row r="27" customFormat="false" ht="15" hidden="false" customHeight="true" outlineLevel="0" collapsed="false">
      <c r="A27" s="8" t="s">
        <v>53</v>
      </c>
      <c r="B27" s="8"/>
      <c r="C27" s="8"/>
      <c r="D27" s="8"/>
      <c r="E27" s="8"/>
      <c r="F27" s="8"/>
      <c r="G27" s="8"/>
      <c r="H27" s="8"/>
      <c r="I27" s="8"/>
      <c r="J27" s="8"/>
      <c r="K27" s="8"/>
    </row>
    <row r="28" customFormat="false" ht="15" hidden="false" customHeight="true" outlineLevel="0" collapsed="false">
      <c r="B28" s="1" t="s">
        <v>143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0</v>
      </c>
      <c r="J28" s="9" t="n">
        <v>0</v>
      </c>
      <c r="K28" s="6" t="n">
        <f aca="false">SUM(C28:J28)</f>
        <v>0</v>
      </c>
    </row>
    <row r="29" customFormat="false" ht="15" hidden="false" customHeight="true" outlineLevel="0" collapsed="false">
      <c r="B29" s="1" t="s">
        <v>144</v>
      </c>
      <c r="C29" s="9" t="n">
        <f aca="false">$B$3</f>
        <v>0</v>
      </c>
      <c r="D29" s="9" t="n">
        <f aca="false">$B$3</f>
        <v>0</v>
      </c>
      <c r="E29" s="9" t="n">
        <f aca="false">$B$3</f>
        <v>0</v>
      </c>
      <c r="F29" s="9" t="n">
        <f aca="false">$B$3</f>
        <v>0</v>
      </c>
      <c r="G29" s="9" t="n">
        <f aca="false">$B$3</f>
        <v>0</v>
      </c>
      <c r="H29" s="9" t="n">
        <f aca="false">$B$3</f>
        <v>0</v>
      </c>
      <c r="I29" s="9" t="n">
        <f aca="false">$B$3</f>
        <v>0</v>
      </c>
      <c r="J29" s="9" t="n">
        <f aca="false">$B$3</f>
        <v>0</v>
      </c>
      <c r="K29" s="6" t="n">
        <f aca="false">SUM(C29:J29)</f>
        <v>0</v>
      </c>
    </row>
    <row r="30" customFormat="false" ht="15" hidden="false" customHeight="true" outlineLevel="0" collapsed="false">
      <c r="B30" s="1" t="s">
        <v>125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</v>
      </c>
      <c r="J30" s="9" t="n">
        <v>0</v>
      </c>
      <c r="K30" s="6" t="n">
        <f aca="false">SUM(C30:J30)</f>
        <v>0</v>
      </c>
    </row>
    <row r="31" customFormat="false" ht="15" hidden="false" customHeight="true" outlineLevel="0" collapsed="false">
      <c r="B31" s="1" t="s">
        <v>145</v>
      </c>
      <c r="C31" s="6" t="n">
        <f aca="false">MAX(0,C28+C29-C30)</f>
        <v>0</v>
      </c>
      <c r="D31" s="6" t="n">
        <f aca="false">MAX(0,D28+D29-D30)</f>
        <v>0</v>
      </c>
      <c r="E31" s="6" t="n">
        <f aca="false">MAX(0,E28+E29-E30)</f>
        <v>0</v>
      </c>
      <c r="F31" s="6" t="n">
        <f aca="false">MAX(0,F28+F29-F30)</f>
        <v>0</v>
      </c>
      <c r="G31" s="6" t="n">
        <f aca="false">MAX(0,G28+G29-G30)</f>
        <v>0</v>
      </c>
      <c r="H31" s="6" t="n">
        <f aca="false">MAX(0,H28+H29-H30)</f>
        <v>0</v>
      </c>
      <c r="I31" s="6" t="n">
        <f aca="false">MAX(0,I28+I29-I30)</f>
        <v>0</v>
      </c>
      <c r="J31" s="6" t="n">
        <f aca="false">MAX(0,J28+J29-J30)</f>
        <v>0</v>
      </c>
      <c r="K31" s="6" t="n">
        <f aca="false">SUM(C31:J31)</f>
        <v>0</v>
      </c>
    </row>
    <row r="32" customFormat="false" ht="15" hidden="false" customHeight="true" outlineLevel="0" collapsed="false">
      <c r="B32" s="1" t="s">
        <v>146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6" t="n">
        <f aca="false">SUM(C32:J32)</f>
        <v>0</v>
      </c>
    </row>
    <row r="34" customFormat="false" ht="15" hidden="false" customHeight="true" outlineLevel="0" collapsed="false">
      <c r="A34" s="8" t="s">
        <v>54</v>
      </c>
      <c r="B34" s="8"/>
      <c r="C34" s="8"/>
      <c r="D34" s="8"/>
      <c r="E34" s="8"/>
      <c r="F34" s="8"/>
      <c r="G34" s="8"/>
      <c r="H34" s="8"/>
      <c r="I34" s="8"/>
      <c r="J34" s="8"/>
      <c r="K34" s="8"/>
    </row>
    <row r="35" customFormat="false" ht="15" hidden="false" customHeight="true" outlineLevel="0" collapsed="false">
      <c r="B35" s="1" t="s">
        <v>143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  <c r="K35" s="6" t="n">
        <f aca="false">SUM(C35:J35)</f>
        <v>0</v>
      </c>
    </row>
    <row r="36" customFormat="false" ht="15" hidden="false" customHeight="true" outlineLevel="0" collapsed="false">
      <c r="B36" s="1" t="s">
        <v>144</v>
      </c>
      <c r="C36" s="9" t="n">
        <f aca="false">$B$3</f>
        <v>0</v>
      </c>
      <c r="D36" s="9" t="n">
        <f aca="false">$B$3</f>
        <v>0</v>
      </c>
      <c r="E36" s="9" t="n">
        <f aca="false">$B$3</f>
        <v>0</v>
      </c>
      <c r="F36" s="9" t="n">
        <f aca="false">$B$3</f>
        <v>0</v>
      </c>
      <c r="G36" s="9" t="n">
        <f aca="false">$B$3</f>
        <v>0</v>
      </c>
      <c r="H36" s="9" t="n">
        <f aca="false">$B$3</f>
        <v>0</v>
      </c>
      <c r="I36" s="9" t="n">
        <f aca="false">$B$3</f>
        <v>0</v>
      </c>
      <c r="J36" s="9" t="n">
        <f aca="false">$B$3</f>
        <v>0</v>
      </c>
      <c r="K36" s="6" t="n">
        <f aca="false">SUM(C36:J36)</f>
        <v>0</v>
      </c>
    </row>
    <row r="37" customFormat="false" ht="15" hidden="false" customHeight="true" outlineLevel="0" collapsed="false">
      <c r="B37" s="1" t="s">
        <v>125</v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 t="n">
        <v>0</v>
      </c>
      <c r="J37" s="9" t="n">
        <v>0</v>
      </c>
      <c r="K37" s="6" t="n">
        <f aca="false">SUM(C37:J37)</f>
        <v>0</v>
      </c>
    </row>
    <row r="38" customFormat="false" ht="15" hidden="false" customHeight="true" outlineLevel="0" collapsed="false">
      <c r="B38" s="1" t="s">
        <v>145</v>
      </c>
      <c r="C38" s="6" t="n">
        <f aca="false">MAX(0,C35+C36-C37)</f>
        <v>0</v>
      </c>
      <c r="D38" s="6" t="n">
        <f aca="false">MAX(0,D35+D36-D37)</f>
        <v>0</v>
      </c>
      <c r="E38" s="6" t="n">
        <f aca="false">MAX(0,E35+E36-E37)</f>
        <v>0</v>
      </c>
      <c r="F38" s="6" t="n">
        <f aca="false">MAX(0,F35+F36-F37)</f>
        <v>0</v>
      </c>
      <c r="G38" s="6" t="n">
        <f aca="false">MAX(0,G35+G36-G37)</f>
        <v>0</v>
      </c>
      <c r="H38" s="6" t="n">
        <f aca="false">MAX(0,H35+H36-H37)</f>
        <v>0</v>
      </c>
      <c r="I38" s="6" t="n">
        <f aca="false">MAX(0,I35+I36-I37)</f>
        <v>0</v>
      </c>
      <c r="J38" s="6" t="n">
        <f aca="false">MAX(0,J35+J36-J37)</f>
        <v>0</v>
      </c>
      <c r="K38" s="6" t="n">
        <f aca="false">SUM(C38:J38)</f>
        <v>0</v>
      </c>
    </row>
    <row r="39" customFormat="false" ht="15" hidden="false" customHeight="true" outlineLevel="0" collapsed="false">
      <c r="B39" s="1" t="s">
        <v>146</v>
      </c>
      <c r="C39" s="7" t="n">
        <v>0</v>
      </c>
      <c r="D39" s="7" t="n">
        <v>0</v>
      </c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6" t="n">
        <f aca="false">SUM(C39:J39)</f>
        <v>0</v>
      </c>
    </row>
  </sheetData>
  <mergeCells count="6">
    <mergeCell ref="A1:K1"/>
    <mergeCell ref="A6:K6"/>
    <mergeCell ref="A13:K13"/>
    <mergeCell ref="A20:K20"/>
    <mergeCell ref="A27:K27"/>
    <mergeCell ref="A34:K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20"/>
    <col collapsed="false" customWidth="true" hidden="false" outlineLevel="0" max="11" min="4" style="1" width="12"/>
  </cols>
  <sheetData>
    <row r="1" customFormat="false" ht="17.25" hidden="false" customHeight="true" outlineLevel="0" collapsed="false">
      <c r="A1" s="4" t="s">
        <v>147</v>
      </c>
      <c r="B1" s="4"/>
      <c r="C1" s="4"/>
      <c r="D1" s="4"/>
      <c r="E1" s="4"/>
      <c r="F1" s="4"/>
      <c r="G1" s="4"/>
      <c r="H1" s="4"/>
      <c r="I1" s="4"/>
      <c r="J1" s="4"/>
      <c r="K1" s="4"/>
    </row>
    <row r="3" customFormat="false" ht="15" hidden="false" customHeight="true" outlineLevel="0" collapsed="false">
      <c r="A3" s="1" t="s">
        <v>148</v>
      </c>
    </row>
    <row r="5" customFormat="false" ht="15" hidden="false" customHeight="true" outlineLevel="0" collapsed="false">
      <c r="A5" s="5" t="s">
        <v>149</v>
      </c>
      <c r="B5" s="5" t="s">
        <v>65</v>
      </c>
      <c r="C5" s="5" t="s">
        <v>128</v>
      </c>
      <c r="D5" s="5" t="s">
        <v>67</v>
      </c>
      <c r="E5" s="5" t="s">
        <v>69</v>
      </c>
      <c r="F5" s="5" t="s">
        <v>71</v>
      </c>
      <c r="G5" s="5" t="s">
        <v>75</v>
      </c>
      <c r="H5" s="5" t="s">
        <v>77</v>
      </c>
      <c r="I5" s="5" t="s">
        <v>129</v>
      </c>
      <c r="J5" s="5" t="s">
        <v>130</v>
      </c>
      <c r="K5" s="5" t="s">
        <v>131</v>
      </c>
    </row>
    <row r="6" customFormat="false" ht="15" hidden="false" customHeight="true" outlineLevel="0" collapsed="false">
      <c r="A6" s="10" t="s">
        <v>50</v>
      </c>
      <c r="B6" s="10"/>
      <c r="C6" s="10"/>
      <c r="D6" s="10"/>
      <c r="E6" s="10"/>
      <c r="F6" s="10"/>
      <c r="G6" s="10"/>
      <c r="H6" s="10"/>
      <c r="I6" s="10"/>
      <c r="J6" s="10"/>
      <c r="K6" s="10"/>
    </row>
    <row r="7" customFormat="false" ht="15" hidden="false" customHeight="true" outlineLevel="0" collapsed="false">
      <c r="B7" s="1" t="s">
        <v>77</v>
      </c>
      <c r="C7" s="1" t="s">
        <v>150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</row>
    <row r="8" customFormat="false" ht="15" hidden="false" customHeight="true" outlineLevel="0" collapsed="false">
      <c r="B8" s="1" t="s">
        <v>77</v>
      </c>
      <c r="C8" s="1" t="s">
        <v>151</v>
      </c>
      <c r="D8" s="7" t="n">
        <v>0</v>
      </c>
      <c r="E8" s="9" t="n">
        <f aca="false">D11</f>
        <v>0</v>
      </c>
      <c r="F8" s="9" t="n">
        <f aca="false">E11</f>
        <v>0</v>
      </c>
      <c r="G8" s="9" t="n">
        <f aca="false">F11</f>
        <v>0</v>
      </c>
      <c r="H8" s="9" t="n">
        <f aca="false">G11</f>
        <v>0</v>
      </c>
      <c r="I8" s="9" t="n">
        <f aca="false">H11</f>
        <v>0</v>
      </c>
      <c r="J8" s="9" t="n">
        <f aca="false">I11</f>
        <v>0</v>
      </c>
      <c r="K8" s="9" t="n">
        <f aca="false">J11</f>
        <v>0</v>
      </c>
    </row>
    <row r="9" customFormat="false" ht="15" hidden="false" customHeight="true" outlineLevel="0" collapsed="false">
      <c r="B9" s="1" t="s">
        <v>77</v>
      </c>
      <c r="C9" s="1" t="s">
        <v>152</v>
      </c>
      <c r="D9" s="6" t="n">
        <f aca="false">D7</f>
        <v>0</v>
      </c>
      <c r="E9" s="6" t="n">
        <f aca="false">E7</f>
        <v>0</v>
      </c>
      <c r="F9" s="6" t="n">
        <f aca="false">F7</f>
        <v>0</v>
      </c>
      <c r="G9" s="6" t="n">
        <f aca="false">G7</f>
        <v>0</v>
      </c>
      <c r="H9" s="6" t="n">
        <f aca="false">H7</f>
        <v>0</v>
      </c>
      <c r="I9" s="6" t="n">
        <f aca="false">I7</f>
        <v>0</v>
      </c>
      <c r="J9" s="6" t="n">
        <f aca="false">J7</f>
        <v>0</v>
      </c>
      <c r="K9" s="6" t="n">
        <f aca="false">K7</f>
        <v>0</v>
      </c>
    </row>
    <row r="10" customFormat="false" ht="15" hidden="false" customHeight="true" outlineLevel="0" collapsed="false">
      <c r="B10" s="1" t="s">
        <v>77</v>
      </c>
      <c r="C10" s="1" t="s">
        <v>153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6" t="n">
        <v>0</v>
      </c>
    </row>
    <row r="11" customFormat="false" ht="15" hidden="false" customHeight="true" outlineLevel="0" collapsed="false">
      <c r="B11" s="1" t="s">
        <v>77</v>
      </c>
      <c r="C11" s="1" t="s">
        <v>154</v>
      </c>
      <c r="D11" s="6" t="n">
        <f aca="false">D8+D9-D10</f>
        <v>0</v>
      </c>
      <c r="E11" s="6" t="n">
        <f aca="false">E8+E9-E10</f>
        <v>0</v>
      </c>
      <c r="F11" s="6" t="n">
        <f aca="false">F8+F9-F10</f>
        <v>0</v>
      </c>
      <c r="G11" s="6" t="n">
        <f aca="false">G8+G9-G10</f>
        <v>0</v>
      </c>
      <c r="H11" s="6" t="n">
        <f aca="false">H8+H9-H10</f>
        <v>0</v>
      </c>
      <c r="I11" s="6" t="n">
        <f aca="false">I8+I9-I10</f>
        <v>0</v>
      </c>
      <c r="J11" s="6" t="n">
        <f aca="false">J8+J9-J10</f>
        <v>0</v>
      </c>
      <c r="K11" s="6" t="n">
        <f aca="false">K8+K9-K10</f>
        <v>0</v>
      </c>
    </row>
    <row r="13" customFormat="false" ht="15" hidden="false" customHeight="true" outlineLevel="0" collapsed="false">
      <c r="B13" s="1" t="s">
        <v>75</v>
      </c>
      <c r="C13" s="1" t="s">
        <v>150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</row>
    <row r="14" customFormat="false" ht="15" hidden="false" customHeight="true" outlineLevel="0" collapsed="false">
      <c r="B14" s="1" t="s">
        <v>75</v>
      </c>
      <c r="C14" s="1" t="s">
        <v>151</v>
      </c>
      <c r="D14" s="7" t="n">
        <v>0</v>
      </c>
      <c r="E14" s="9" t="n">
        <f aca="false">D17</f>
        <v>0</v>
      </c>
      <c r="F14" s="9" t="n">
        <f aca="false">E17</f>
        <v>0</v>
      </c>
      <c r="G14" s="9" t="n">
        <f aca="false">F17</f>
        <v>0</v>
      </c>
      <c r="H14" s="9" t="n">
        <f aca="false">G17</f>
        <v>0</v>
      </c>
      <c r="I14" s="9" t="n">
        <f aca="false">H17</f>
        <v>0</v>
      </c>
      <c r="J14" s="9" t="n">
        <f aca="false">I17</f>
        <v>0</v>
      </c>
      <c r="K14" s="9" t="n">
        <f aca="false">J17</f>
        <v>0</v>
      </c>
    </row>
    <row r="15" customFormat="false" ht="15" hidden="false" customHeight="true" outlineLevel="0" collapsed="false">
      <c r="B15" s="1" t="s">
        <v>75</v>
      </c>
      <c r="C15" s="1" t="s">
        <v>152</v>
      </c>
      <c r="D15" s="6" t="n">
        <f aca="false">D13</f>
        <v>0</v>
      </c>
      <c r="E15" s="6" t="n">
        <f aca="false">E13</f>
        <v>0</v>
      </c>
      <c r="F15" s="6" t="n">
        <f aca="false">F13</f>
        <v>0</v>
      </c>
      <c r="G15" s="6" t="n">
        <f aca="false">G13</f>
        <v>0</v>
      </c>
      <c r="H15" s="6" t="n">
        <f aca="false">H13</f>
        <v>0</v>
      </c>
      <c r="I15" s="6" t="n">
        <f aca="false">I13</f>
        <v>0</v>
      </c>
      <c r="J15" s="6" t="n">
        <f aca="false">J13</f>
        <v>0</v>
      </c>
      <c r="K15" s="6" t="n">
        <f aca="false">K13</f>
        <v>0</v>
      </c>
    </row>
    <row r="16" customFormat="false" ht="15" hidden="false" customHeight="true" outlineLevel="0" collapsed="false">
      <c r="B16" s="1" t="s">
        <v>75</v>
      </c>
      <c r="C16" s="1" t="s">
        <v>153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 customFormat="false" ht="15" hidden="false" customHeight="true" outlineLevel="0" collapsed="false">
      <c r="B17" s="1" t="s">
        <v>75</v>
      </c>
      <c r="C17" s="1" t="s">
        <v>154</v>
      </c>
      <c r="D17" s="6" t="n">
        <f aca="false">D14+D15-D16</f>
        <v>0</v>
      </c>
      <c r="E17" s="6" t="n">
        <f aca="false">E14+E15-E16</f>
        <v>0</v>
      </c>
      <c r="F17" s="6" t="n">
        <f aca="false">F14+F15-F16</f>
        <v>0</v>
      </c>
      <c r="G17" s="6" t="n">
        <f aca="false">G14+G15-G16</f>
        <v>0</v>
      </c>
      <c r="H17" s="6" t="n">
        <f aca="false">H14+H15-H16</f>
        <v>0</v>
      </c>
      <c r="I17" s="6" t="n">
        <f aca="false">I14+I15-I16</f>
        <v>0</v>
      </c>
      <c r="J17" s="6" t="n">
        <f aca="false">J14+J15-J16</f>
        <v>0</v>
      </c>
      <c r="K17" s="6" t="n">
        <f aca="false">K14+K15-K16</f>
        <v>0</v>
      </c>
    </row>
    <row r="19" customFormat="false" ht="15" hidden="false" customHeight="true" outlineLevel="0" collapsed="false">
      <c r="B19" s="1" t="s">
        <v>71</v>
      </c>
      <c r="C19" s="1" t="s">
        <v>150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</row>
    <row r="20" customFormat="false" ht="15" hidden="false" customHeight="true" outlineLevel="0" collapsed="false">
      <c r="B20" s="1" t="s">
        <v>71</v>
      </c>
      <c r="C20" s="1" t="s">
        <v>151</v>
      </c>
      <c r="D20" s="7" t="n">
        <v>0</v>
      </c>
      <c r="E20" s="9" t="n">
        <f aca="false">D23</f>
        <v>0</v>
      </c>
      <c r="F20" s="9" t="n">
        <f aca="false">E23</f>
        <v>0</v>
      </c>
      <c r="G20" s="9" t="n">
        <f aca="false">F23</f>
        <v>0</v>
      </c>
      <c r="H20" s="9" t="n">
        <f aca="false">G23</f>
        <v>0</v>
      </c>
      <c r="I20" s="9" t="n">
        <f aca="false">H23</f>
        <v>0</v>
      </c>
      <c r="J20" s="9" t="n">
        <f aca="false">I23</f>
        <v>0</v>
      </c>
      <c r="K20" s="9" t="n">
        <f aca="false">J23</f>
        <v>0</v>
      </c>
    </row>
    <row r="21" customFormat="false" ht="15" hidden="false" customHeight="true" outlineLevel="0" collapsed="false">
      <c r="B21" s="1" t="s">
        <v>71</v>
      </c>
      <c r="C21" s="1" t="s">
        <v>152</v>
      </c>
      <c r="D21" s="6" t="n">
        <f aca="false">D19</f>
        <v>0</v>
      </c>
      <c r="E21" s="6" t="n">
        <f aca="false">E19</f>
        <v>0</v>
      </c>
      <c r="F21" s="6" t="n">
        <f aca="false">F19</f>
        <v>0</v>
      </c>
      <c r="G21" s="6" t="n">
        <f aca="false">G19</f>
        <v>0</v>
      </c>
      <c r="H21" s="6" t="n">
        <f aca="false">H19</f>
        <v>0</v>
      </c>
      <c r="I21" s="6" t="n">
        <f aca="false">I19</f>
        <v>0</v>
      </c>
      <c r="J21" s="6" t="n">
        <f aca="false">J19</f>
        <v>0</v>
      </c>
      <c r="K21" s="6" t="n">
        <f aca="false">K19</f>
        <v>0</v>
      </c>
    </row>
    <row r="22" customFormat="false" ht="15" hidden="false" customHeight="true" outlineLevel="0" collapsed="false">
      <c r="B22" s="1" t="s">
        <v>71</v>
      </c>
      <c r="C22" s="1" t="s">
        <v>153</v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 customFormat="false" ht="15" hidden="false" customHeight="true" outlineLevel="0" collapsed="false">
      <c r="B23" s="1" t="s">
        <v>71</v>
      </c>
      <c r="C23" s="1" t="s">
        <v>154</v>
      </c>
      <c r="D23" s="6" t="n">
        <f aca="false">D20+D21-D22</f>
        <v>0</v>
      </c>
      <c r="E23" s="6" t="n">
        <f aca="false">E20+E21-E22</f>
        <v>0</v>
      </c>
      <c r="F23" s="6" t="n">
        <f aca="false">F20+F21-F22</f>
        <v>0</v>
      </c>
      <c r="G23" s="6" t="n">
        <f aca="false">G20+G21-G22</f>
        <v>0</v>
      </c>
      <c r="H23" s="6" t="n">
        <f aca="false">H20+H21-H22</f>
        <v>0</v>
      </c>
      <c r="I23" s="6" t="n">
        <f aca="false">I20+I21-I22</f>
        <v>0</v>
      </c>
      <c r="J23" s="6" t="n">
        <f aca="false">J20+J21-J22</f>
        <v>0</v>
      </c>
      <c r="K23" s="6" t="n">
        <f aca="false">K20+K21-K22</f>
        <v>0</v>
      </c>
    </row>
    <row r="25" customFormat="false" ht="15" hidden="false" customHeight="true" outlineLevel="0" collapsed="false">
      <c r="B25" s="1" t="s">
        <v>69</v>
      </c>
      <c r="C25" s="1" t="s">
        <v>150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</row>
    <row r="26" customFormat="false" ht="15" hidden="false" customHeight="true" outlineLevel="0" collapsed="false">
      <c r="B26" s="1" t="s">
        <v>69</v>
      </c>
      <c r="C26" s="1" t="s">
        <v>151</v>
      </c>
      <c r="D26" s="7" t="n">
        <v>0</v>
      </c>
      <c r="E26" s="9" t="n">
        <f aca="false">D29</f>
        <v>0</v>
      </c>
      <c r="F26" s="9" t="n">
        <f aca="false">E29</f>
        <v>0</v>
      </c>
      <c r="G26" s="9" t="n">
        <f aca="false">F29</f>
        <v>0</v>
      </c>
      <c r="H26" s="9" t="n">
        <f aca="false">G29</f>
        <v>0</v>
      </c>
      <c r="I26" s="9" t="n">
        <f aca="false">H29</f>
        <v>0</v>
      </c>
      <c r="J26" s="9" t="n">
        <f aca="false">I29</f>
        <v>0</v>
      </c>
      <c r="K26" s="9" t="n">
        <f aca="false">J29</f>
        <v>0</v>
      </c>
    </row>
    <row r="27" customFormat="false" ht="15" hidden="false" customHeight="true" outlineLevel="0" collapsed="false">
      <c r="B27" s="1" t="s">
        <v>69</v>
      </c>
      <c r="C27" s="1" t="s">
        <v>152</v>
      </c>
      <c r="D27" s="6" t="n">
        <f aca="false">D25</f>
        <v>0</v>
      </c>
      <c r="E27" s="6" t="n">
        <f aca="false">E25</f>
        <v>0</v>
      </c>
      <c r="F27" s="6" t="n">
        <f aca="false">F25</f>
        <v>0</v>
      </c>
      <c r="G27" s="6" t="n">
        <f aca="false">G25</f>
        <v>0</v>
      </c>
      <c r="H27" s="6" t="n">
        <f aca="false">H25</f>
        <v>0</v>
      </c>
      <c r="I27" s="6" t="n">
        <f aca="false">I25</f>
        <v>0</v>
      </c>
      <c r="J27" s="6" t="n">
        <f aca="false">J25</f>
        <v>0</v>
      </c>
      <c r="K27" s="6" t="n">
        <f aca="false">K25</f>
        <v>0</v>
      </c>
    </row>
    <row r="28" customFormat="false" ht="15" hidden="false" customHeight="true" outlineLevel="0" collapsed="false">
      <c r="B28" s="1" t="s">
        <v>69</v>
      </c>
      <c r="C28" s="1" t="s">
        <v>153</v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</row>
    <row r="29" customFormat="false" ht="15" hidden="false" customHeight="true" outlineLevel="0" collapsed="false">
      <c r="B29" s="1" t="s">
        <v>69</v>
      </c>
      <c r="C29" s="1" t="s">
        <v>154</v>
      </c>
      <c r="D29" s="6" t="n">
        <f aca="false">D26+D27-D28</f>
        <v>0</v>
      </c>
      <c r="E29" s="6" t="n">
        <f aca="false">E26+E27-E28</f>
        <v>0</v>
      </c>
      <c r="F29" s="6" t="n">
        <f aca="false">F26+F27-F28</f>
        <v>0</v>
      </c>
      <c r="G29" s="6" t="n">
        <f aca="false">G26+G27-G28</f>
        <v>0</v>
      </c>
      <c r="H29" s="6" t="n">
        <f aca="false">H26+H27-H28</f>
        <v>0</v>
      </c>
      <c r="I29" s="6" t="n">
        <f aca="false">I26+I27-I28</f>
        <v>0</v>
      </c>
      <c r="J29" s="6" t="n">
        <f aca="false">J26+J27-J28</f>
        <v>0</v>
      </c>
      <c r="K29" s="6" t="n">
        <f aca="false">K26+K27-K28</f>
        <v>0</v>
      </c>
    </row>
    <row r="31" customFormat="false" ht="15" hidden="false" customHeight="true" outlineLevel="0" collapsed="false">
      <c r="B31" s="1" t="s">
        <v>67</v>
      </c>
      <c r="C31" s="1" t="s">
        <v>150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</row>
    <row r="32" customFormat="false" ht="15" hidden="false" customHeight="true" outlineLevel="0" collapsed="false">
      <c r="B32" s="1" t="s">
        <v>67</v>
      </c>
      <c r="C32" s="1" t="s">
        <v>151</v>
      </c>
      <c r="D32" s="7" t="n">
        <v>0</v>
      </c>
      <c r="E32" s="9" t="n">
        <f aca="false">D35</f>
        <v>0</v>
      </c>
      <c r="F32" s="9" t="n">
        <f aca="false">E35</f>
        <v>0</v>
      </c>
      <c r="G32" s="9" t="n">
        <f aca="false">F35</f>
        <v>0</v>
      </c>
      <c r="H32" s="9" t="n">
        <f aca="false">G35</f>
        <v>0</v>
      </c>
      <c r="I32" s="9" t="n">
        <f aca="false">H35</f>
        <v>0</v>
      </c>
      <c r="J32" s="9" t="n">
        <f aca="false">I35</f>
        <v>0</v>
      </c>
      <c r="K32" s="9" t="n">
        <f aca="false">J35</f>
        <v>0</v>
      </c>
    </row>
    <row r="33" customFormat="false" ht="15" hidden="false" customHeight="true" outlineLevel="0" collapsed="false">
      <c r="B33" s="1" t="s">
        <v>67</v>
      </c>
      <c r="C33" s="1" t="s">
        <v>152</v>
      </c>
      <c r="D33" s="6" t="n">
        <f aca="false">D31</f>
        <v>0</v>
      </c>
      <c r="E33" s="6" t="n">
        <f aca="false">E31</f>
        <v>0</v>
      </c>
      <c r="F33" s="6" t="n">
        <f aca="false">F31</f>
        <v>0</v>
      </c>
      <c r="G33" s="6" t="n">
        <f aca="false">G31</f>
        <v>0</v>
      </c>
      <c r="H33" s="6" t="n">
        <f aca="false">H31</f>
        <v>0</v>
      </c>
      <c r="I33" s="6" t="n">
        <f aca="false">I31</f>
        <v>0</v>
      </c>
      <c r="J33" s="6" t="n">
        <f aca="false">J31</f>
        <v>0</v>
      </c>
      <c r="K33" s="6" t="n">
        <f aca="false">K31</f>
        <v>0</v>
      </c>
    </row>
    <row r="34" customFormat="false" ht="15" hidden="false" customHeight="true" outlineLevel="0" collapsed="false">
      <c r="B34" s="1" t="s">
        <v>67</v>
      </c>
      <c r="C34" s="1" t="s">
        <v>153</v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 customFormat="false" ht="15" hidden="false" customHeight="true" outlineLevel="0" collapsed="false">
      <c r="B35" s="1" t="s">
        <v>67</v>
      </c>
      <c r="C35" s="1" t="s">
        <v>154</v>
      </c>
      <c r="D35" s="6" t="n">
        <f aca="false">D32+D33-D34</f>
        <v>0</v>
      </c>
      <c r="E35" s="6" t="n">
        <f aca="false">E32+E33-E34</f>
        <v>0</v>
      </c>
      <c r="F35" s="6" t="n">
        <f aca="false">F32+F33-F34</f>
        <v>0</v>
      </c>
      <c r="G35" s="6" t="n">
        <f aca="false">G32+G33-G34</f>
        <v>0</v>
      </c>
      <c r="H35" s="6" t="n">
        <f aca="false">H32+H33-H34</f>
        <v>0</v>
      </c>
      <c r="I35" s="6" t="n">
        <f aca="false">I32+I33-I34</f>
        <v>0</v>
      </c>
      <c r="J35" s="6" t="n">
        <f aca="false">J32+J33-J34</f>
        <v>0</v>
      </c>
      <c r="K35" s="6" t="n">
        <f aca="false">K32+K33-K34</f>
        <v>0</v>
      </c>
    </row>
    <row r="37" customFormat="false" ht="15" hidden="false" customHeight="true" outlineLevel="0" collapsed="false">
      <c r="A37" s="10" t="s">
        <v>51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 customFormat="false" ht="15" hidden="false" customHeight="true" outlineLevel="0" collapsed="false">
      <c r="B38" s="1" t="s">
        <v>77</v>
      </c>
      <c r="C38" s="1" t="s">
        <v>150</v>
      </c>
      <c r="D38" s="7" t="n">
        <v>0</v>
      </c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</row>
    <row r="39" customFormat="false" ht="15" hidden="false" customHeight="true" outlineLevel="0" collapsed="false">
      <c r="B39" s="1" t="s">
        <v>77</v>
      </c>
      <c r="C39" s="1" t="s">
        <v>151</v>
      </c>
      <c r="D39" s="7" t="n">
        <v>0</v>
      </c>
      <c r="E39" s="9" t="n">
        <f aca="false">D42</f>
        <v>0</v>
      </c>
      <c r="F39" s="9" t="n">
        <f aca="false">E42</f>
        <v>0</v>
      </c>
      <c r="G39" s="9" t="n">
        <f aca="false">F42</f>
        <v>0</v>
      </c>
      <c r="H39" s="9" t="n">
        <f aca="false">G42</f>
        <v>0</v>
      </c>
      <c r="I39" s="9" t="n">
        <f aca="false">H42</f>
        <v>0</v>
      </c>
      <c r="J39" s="9" t="n">
        <f aca="false">I42</f>
        <v>0</v>
      </c>
      <c r="K39" s="9" t="n">
        <f aca="false">J42</f>
        <v>0</v>
      </c>
    </row>
    <row r="40" customFormat="false" ht="15" hidden="false" customHeight="true" outlineLevel="0" collapsed="false">
      <c r="B40" s="1" t="s">
        <v>77</v>
      </c>
      <c r="C40" s="1" t="s">
        <v>152</v>
      </c>
      <c r="D40" s="6" t="n">
        <f aca="false">D38</f>
        <v>0</v>
      </c>
      <c r="E40" s="6" t="n">
        <f aca="false">E38</f>
        <v>0</v>
      </c>
      <c r="F40" s="6" t="n">
        <f aca="false">F38</f>
        <v>0</v>
      </c>
      <c r="G40" s="6" t="n">
        <f aca="false">G38</f>
        <v>0</v>
      </c>
      <c r="H40" s="6" t="n">
        <f aca="false">H38</f>
        <v>0</v>
      </c>
      <c r="I40" s="6" t="n">
        <f aca="false">I38</f>
        <v>0</v>
      </c>
      <c r="J40" s="6" t="n">
        <f aca="false">J38</f>
        <v>0</v>
      </c>
      <c r="K40" s="6" t="n">
        <f aca="false">K38</f>
        <v>0</v>
      </c>
    </row>
    <row r="41" customFormat="false" ht="15" hidden="false" customHeight="true" outlineLevel="0" collapsed="false">
      <c r="B41" s="1" t="s">
        <v>77</v>
      </c>
      <c r="C41" s="1" t="s">
        <v>153</v>
      </c>
      <c r="D41" s="6" t="n">
        <v>0</v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</row>
    <row r="42" customFormat="false" ht="15" hidden="false" customHeight="true" outlineLevel="0" collapsed="false">
      <c r="B42" s="1" t="s">
        <v>77</v>
      </c>
      <c r="C42" s="1" t="s">
        <v>154</v>
      </c>
      <c r="D42" s="6" t="n">
        <f aca="false">D39+D40-D41</f>
        <v>0</v>
      </c>
      <c r="E42" s="6" t="n">
        <f aca="false">E39+E40-E41</f>
        <v>0</v>
      </c>
      <c r="F42" s="6" t="n">
        <f aca="false">F39+F40-F41</f>
        <v>0</v>
      </c>
      <c r="G42" s="6" t="n">
        <f aca="false">G39+G40-G41</f>
        <v>0</v>
      </c>
      <c r="H42" s="6" t="n">
        <f aca="false">H39+H40-H41</f>
        <v>0</v>
      </c>
      <c r="I42" s="6" t="n">
        <f aca="false">I39+I40-I41</f>
        <v>0</v>
      </c>
      <c r="J42" s="6" t="n">
        <f aca="false">J39+J40-J41</f>
        <v>0</v>
      </c>
      <c r="K42" s="6" t="n">
        <f aca="false">K39+K40-K41</f>
        <v>0</v>
      </c>
    </row>
    <row r="44" customFormat="false" ht="15" hidden="false" customHeight="true" outlineLevel="0" collapsed="false">
      <c r="B44" s="1" t="s">
        <v>75</v>
      </c>
      <c r="C44" s="1" t="s">
        <v>150</v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</row>
    <row r="45" customFormat="false" ht="15" hidden="false" customHeight="true" outlineLevel="0" collapsed="false">
      <c r="B45" s="1" t="s">
        <v>75</v>
      </c>
      <c r="C45" s="1" t="s">
        <v>151</v>
      </c>
      <c r="D45" s="7" t="n">
        <v>0</v>
      </c>
      <c r="E45" s="9" t="n">
        <f aca="false">D48</f>
        <v>0</v>
      </c>
      <c r="F45" s="9" t="n">
        <f aca="false">E48</f>
        <v>0</v>
      </c>
      <c r="G45" s="9" t="n">
        <f aca="false">F48</f>
        <v>0</v>
      </c>
      <c r="H45" s="9" t="n">
        <f aca="false">G48</f>
        <v>0</v>
      </c>
      <c r="I45" s="9" t="n">
        <f aca="false">H48</f>
        <v>0</v>
      </c>
      <c r="J45" s="9" t="n">
        <f aca="false">I48</f>
        <v>0</v>
      </c>
      <c r="K45" s="9" t="n">
        <f aca="false">J48</f>
        <v>0</v>
      </c>
    </row>
    <row r="46" customFormat="false" ht="15" hidden="false" customHeight="true" outlineLevel="0" collapsed="false">
      <c r="B46" s="1" t="s">
        <v>75</v>
      </c>
      <c r="C46" s="1" t="s">
        <v>152</v>
      </c>
      <c r="D46" s="6" t="n">
        <f aca="false">D44</f>
        <v>0</v>
      </c>
      <c r="E46" s="6" t="n">
        <f aca="false">E44</f>
        <v>0</v>
      </c>
      <c r="F46" s="6" t="n">
        <f aca="false">F44</f>
        <v>0</v>
      </c>
      <c r="G46" s="6" t="n">
        <f aca="false">G44</f>
        <v>0</v>
      </c>
      <c r="H46" s="6" t="n">
        <f aca="false">H44</f>
        <v>0</v>
      </c>
      <c r="I46" s="6" t="n">
        <f aca="false">I44</f>
        <v>0</v>
      </c>
      <c r="J46" s="6" t="n">
        <f aca="false">J44</f>
        <v>0</v>
      </c>
      <c r="K46" s="6" t="n">
        <f aca="false">K44</f>
        <v>0</v>
      </c>
    </row>
    <row r="47" customFormat="false" ht="15" hidden="false" customHeight="true" outlineLevel="0" collapsed="false">
      <c r="B47" s="1" t="s">
        <v>75</v>
      </c>
      <c r="C47" s="1" t="s">
        <v>153</v>
      </c>
      <c r="D47" s="6" t="n">
        <v>0</v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</row>
    <row r="48" customFormat="false" ht="15" hidden="false" customHeight="true" outlineLevel="0" collapsed="false">
      <c r="B48" s="1" t="s">
        <v>75</v>
      </c>
      <c r="C48" s="1" t="s">
        <v>154</v>
      </c>
      <c r="D48" s="6" t="n">
        <f aca="false">D45+D46-D47</f>
        <v>0</v>
      </c>
      <c r="E48" s="6" t="n">
        <f aca="false">E45+E46-E47</f>
        <v>0</v>
      </c>
      <c r="F48" s="6" t="n">
        <f aca="false">F45+F46-F47</f>
        <v>0</v>
      </c>
      <c r="G48" s="6" t="n">
        <f aca="false">G45+G46-G47</f>
        <v>0</v>
      </c>
      <c r="H48" s="6" t="n">
        <f aca="false">H45+H46-H47</f>
        <v>0</v>
      </c>
      <c r="I48" s="6" t="n">
        <f aca="false">I45+I46-I47</f>
        <v>0</v>
      </c>
      <c r="J48" s="6" t="n">
        <f aca="false">J45+J46-J47</f>
        <v>0</v>
      </c>
      <c r="K48" s="6" t="n">
        <f aca="false">K45+K46-K47</f>
        <v>0</v>
      </c>
    </row>
    <row r="50" customFormat="false" ht="15" hidden="false" customHeight="true" outlineLevel="0" collapsed="false">
      <c r="B50" s="1" t="s">
        <v>71</v>
      </c>
      <c r="C50" s="1" t="s">
        <v>150</v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</row>
    <row r="51" customFormat="false" ht="15" hidden="false" customHeight="true" outlineLevel="0" collapsed="false">
      <c r="B51" s="1" t="s">
        <v>71</v>
      </c>
      <c r="C51" s="1" t="s">
        <v>151</v>
      </c>
      <c r="D51" s="7" t="n">
        <v>0</v>
      </c>
      <c r="E51" s="9" t="n">
        <f aca="false">D54</f>
        <v>0</v>
      </c>
      <c r="F51" s="9" t="n">
        <f aca="false">E54</f>
        <v>0</v>
      </c>
      <c r="G51" s="9" t="n">
        <f aca="false">F54</f>
        <v>0</v>
      </c>
      <c r="H51" s="9" t="n">
        <f aca="false">G54</f>
        <v>0</v>
      </c>
      <c r="I51" s="9" t="n">
        <f aca="false">H54</f>
        <v>0</v>
      </c>
      <c r="J51" s="9" t="n">
        <f aca="false">I54</f>
        <v>0</v>
      </c>
      <c r="K51" s="9" t="n">
        <f aca="false">J54</f>
        <v>0</v>
      </c>
    </row>
    <row r="52" customFormat="false" ht="15" hidden="false" customHeight="true" outlineLevel="0" collapsed="false">
      <c r="B52" s="1" t="s">
        <v>71</v>
      </c>
      <c r="C52" s="1" t="s">
        <v>152</v>
      </c>
      <c r="D52" s="6" t="n">
        <f aca="false">D50</f>
        <v>0</v>
      </c>
      <c r="E52" s="6" t="n">
        <f aca="false">E50</f>
        <v>0</v>
      </c>
      <c r="F52" s="6" t="n">
        <f aca="false">F50</f>
        <v>0</v>
      </c>
      <c r="G52" s="6" t="n">
        <f aca="false">G50</f>
        <v>0</v>
      </c>
      <c r="H52" s="6" t="n">
        <f aca="false">H50</f>
        <v>0</v>
      </c>
      <c r="I52" s="6" t="n">
        <f aca="false">I50</f>
        <v>0</v>
      </c>
      <c r="J52" s="6" t="n">
        <f aca="false">J50</f>
        <v>0</v>
      </c>
      <c r="K52" s="6" t="n">
        <f aca="false">K50</f>
        <v>0</v>
      </c>
    </row>
    <row r="53" customFormat="false" ht="15" hidden="false" customHeight="true" outlineLevel="0" collapsed="false">
      <c r="B53" s="1" t="s">
        <v>71</v>
      </c>
      <c r="C53" s="1" t="s">
        <v>153</v>
      </c>
      <c r="D53" s="6" t="n">
        <v>0</v>
      </c>
      <c r="E53" s="6" t="n">
        <v>0</v>
      </c>
      <c r="F53" s="6" t="n">
        <v>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</row>
    <row r="54" customFormat="false" ht="15" hidden="false" customHeight="true" outlineLevel="0" collapsed="false">
      <c r="B54" s="1" t="s">
        <v>71</v>
      </c>
      <c r="C54" s="1" t="s">
        <v>154</v>
      </c>
      <c r="D54" s="6" t="n">
        <f aca="false">D51+D52-D53</f>
        <v>0</v>
      </c>
      <c r="E54" s="6" t="n">
        <f aca="false">E51+E52-E53</f>
        <v>0</v>
      </c>
      <c r="F54" s="6" t="n">
        <f aca="false">F51+F52-F53</f>
        <v>0</v>
      </c>
      <c r="G54" s="6" t="n">
        <f aca="false">G51+G52-G53</f>
        <v>0</v>
      </c>
      <c r="H54" s="6" t="n">
        <f aca="false">H51+H52-H53</f>
        <v>0</v>
      </c>
      <c r="I54" s="6" t="n">
        <f aca="false">I51+I52-I53</f>
        <v>0</v>
      </c>
      <c r="J54" s="6" t="n">
        <f aca="false">J51+J52-J53</f>
        <v>0</v>
      </c>
      <c r="K54" s="6" t="n">
        <f aca="false">K51+K52-K53</f>
        <v>0</v>
      </c>
    </row>
    <row r="56" customFormat="false" ht="15" hidden="false" customHeight="true" outlineLevel="0" collapsed="false">
      <c r="B56" s="1" t="s">
        <v>69</v>
      </c>
      <c r="C56" s="1" t="s">
        <v>150</v>
      </c>
      <c r="D56" s="7" t="n">
        <v>0</v>
      </c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</row>
    <row r="57" customFormat="false" ht="15" hidden="false" customHeight="true" outlineLevel="0" collapsed="false">
      <c r="B57" s="1" t="s">
        <v>69</v>
      </c>
      <c r="C57" s="1" t="s">
        <v>151</v>
      </c>
      <c r="D57" s="7" t="n">
        <v>0</v>
      </c>
      <c r="E57" s="9" t="n">
        <f aca="false">D60</f>
        <v>0</v>
      </c>
      <c r="F57" s="9" t="n">
        <f aca="false">E60</f>
        <v>0</v>
      </c>
      <c r="G57" s="9" t="n">
        <f aca="false">F60</f>
        <v>0</v>
      </c>
      <c r="H57" s="9" t="n">
        <f aca="false">G60</f>
        <v>0</v>
      </c>
      <c r="I57" s="9" t="n">
        <f aca="false">H60</f>
        <v>0</v>
      </c>
      <c r="J57" s="9" t="n">
        <f aca="false">I60</f>
        <v>0</v>
      </c>
      <c r="K57" s="9" t="n">
        <f aca="false">J60</f>
        <v>0</v>
      </c>
    </row>
    <row r="58" customFormat="false" ht="15" hidden="false" customHeight="true" outlineLevel="0" collapsed="false">
      <c r="B58" s="1" t="s">
        <v>69</v>
      </c>
      <c r="C58" s="1" t="s">
        <v>152</v>
      </c>
      <c r="D58" s="6" t="n">
        <f aca="false">D56</f>
        <v>0</v>
      </c>
      <c r="E58" s="6" t="n">
        <f aca="false">E56</f>
        <v>0</v>
      </c>
      <c r="F58" s="6" t="n">
        <f aca="false">F56</f>
        <v>0</v>
      </c>
      <c r="G58" s="6" t="n">
        <f aca="false">G56</f>
        <v>0</v>
      </c>
      <c r="H58" s="6" t="n">
        <f aca="false">H56</f>
        <v>0</v>
      </c>
      <c r="I58" s="6" t="n">
        <f aca="false">I56</f>
        <v>0</v>
      </c>
      <c r="J58" s="6" t="n">
        <f aca="false">J56</f>
        <v>0</v>
      </c>
      <c r="K58" s="6" t="n">
        <f aca="false">K56</f>
        <v>0</v>
      </c>
    </row>
    <row r="59" customFormat="false" ht="15" hidden="false" customHeight="true" outlineLevel="0" collapsed="false">
      <c r="B59" s="1" t="s">
        <v>69</v>
      </c>
      <c r="C59" s="1" t="s">
        <v>153</v>
      </c>
      <c r="D59" s="6" t="n">
        <v>0</v>
      </c>
      <c r="E59" s="6" t="n">
        <v>0</v>
      </c>
      <c r="F59" s="6" t="n">
        <v>0</v>
      </c>
      <c r="G59" s="6" t="n">
        <v>0</v>
      </c>
      <c r="H59" s="6" t="n">
        <v>0</v>
      </c>
      <c r="I59" s="6" t="n">
        <v>0</v>
      </c>
      <c r="J59" s="6" t="n">
        <v>0</v>
      </c>
      <c r="K59" s="6" t="n">
        <v>0</v>
      </c>
    </row>
    <row r="60" customFormat="false" ht="15" hidden="false" customHeight="true" outlineLevel="0" collapsed="false">
      <c r="B60" s="1" t="s">
        <v>69</v>
      </c>
      <c r="C60" s="1" t="s">
        <v>154</v>
      </c>
      <c r="D60" s="6" t="n">
        <f aca="false">D57+D58-D59</f>
        <v>0</v>
      </c>
      <c r="E60" s="6" t="n">
        <f aca="false">E57+E58-E59</f>
        <v>0</v>
      </c>
      <c r="F60" s="6" t="n">
        <f aca="false">F57+F58-F59</f>
        <v>0</v>
      </c>
      <c r="G60" s="6" t="n">
        <f aca="false">G57+G58-G59</f>
        <v>0</v>
      </c>
      <c r="H60" s="6" t="n">
        <f aca="false">H57+H58-H59</f>
        <v>0</v>
      </c>
      <c r="I60" s="6" t="n">
        <f aca="false">I57+I58-I59</f>
        <v>0</v>
      </c>
      <c r="J60" s="6" t="n">
        <f aca="false">J57+J58-J59</f>
        <v>0</v>
      </c>
      <c r="K60" s="6" t="n">
        <f aca="false">K57+K58-K59</f>
        <v>0</v>
      </c>
    </row>
    <row r="62" customFormat="false" ht="15" hidden="false" customHeight="true" outlineLevel="0" collapsed="false">
      <c r="B62" s="1" t="s">
        <v>67</v>
      </c>
      <c r="C62" s="1" t="s">
        <v>150</v>
      </c>
      <c r="D62" s="7" t="n">
        <v>0</v>
      </c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</row>
    <row r="63" customFormat="false" ht="15" hidden="false" customHeight="true" outlineLevel="0" collapsed="false">
      <c r="B63" s="1" t="s">
        <v>67</v>
      </c>
      <c r="C63" s="1" t="s">
        <v>151</v>
      </c>
      <c r="D63" s="7" t="n">
        <v>0</v>
      </c>
      <c r="E63" s="9" t="n">
        <f aca="false">D66</f>
        <v>0</v>
      </c>
      <c r="F63" s="9" t="n">
        <f aca="false">E66</f>
        <v>0</v>
      </c>
      <c r="G63" s="9" t="n">
        <f aca="false">F66</f>
        <v>0</v>
      </c>
      <c r="H63" s="9" t="n">
        <f aca="false">G66</f>
        <v>0</v>
      </c>
      <c r="I63" s="9" t="n">
        <f aca="false">H66</f>
        <v>0</v>
      </c>
      <c r="J63" s="9" t="n">
        <f aca="false">I66</f>
        <v>0</v>
      </c>
      <c r="K63" s="9" t="n">
        <f aca="false">J66</f>
        <v>0</v>
      </c>
    </row>
    <row r="64" customFormat="false" ht="15" hidden="false" customHeight="true" outlineLevel="0" collapsed="false">
      <c r="B64" s="1" t="s">
        <v>67</v>
      </c>
      <c r="C64" s="1" t="s">
        <v>152</v>
      </c>
      <c r="D64" s="6" t="n">
        <f aca="false">D62</f>
        <v>0</v>
      </c>
      <c r="E64" s="6" t="n">
        <f aca="false">E62</f>
        <v>0</v>
      </c>
      <c r="F64" s="6" t="n">
        <f aca="false">F62</f>
        <v>0</v>
      </c>
      <c r="G64" s="6" t="n">
        <f aca="false">G62</f>
        <v>0</v>
      </c>
      <c r="H64" s="6" t="n">
        <f aca="false">H62</f>
        <v>0</v>
      </c>
      <c r="I64" s="6" t="n">
        <f aca="false">I62</f>
        <v>0</v>
      </c>
      <c r="J64" s="6" t="n">
        <f aca="false">J62</f>
        <v>0</v>
      </c>
      <c r="K64" s="6" t="n">
        <f aca="false">K62</f>
        <v>0</v>
      </c>
    </row>
    <row r="65" customFormat="false" ht="15" hidden="false" customHeight="true" outlineLevel="0" collapsed="false">
      <c r="B65" s="1" t="s">
        <v>67</v>
      </c>
      <c r="C65" s="1" t="s">
        <v>153</v>
      </c>
      <c r="D65" s="6" t="n">
        <v>0</v>
      </c>
      <c r="E65" s="6" t="n">
        <v>0</v>
      </c>
      <c r="F65" s="6" t="n">
        <v>0</v>
      </c>
      <c r="G65" s="6" t="n">
        <v>0</v>
      </c>
      <c r="H65" s="6" t="n">
        <v>0</v>
      </c>
      <c r="I65" s="6" t="n">
        <v>0</v>
      </c>
      <c r="J65" s="6" t="n">
        <v>0</v>
      </c>
      <c r="K65" s="6" t="n">
        <v>0</v>
      </c>
    </row>
    <row r="66" customFormat="false" ht="15" hidden="false" customHeight="true" outlineLevel="0" collapsed="false">
      <c r="B66" s="1" t="s">
        <v>67</v>
      </c>
      <c r="C66" s="1" t="s">
        <v>154</v>
      </c>
      <c r="D66" s="6" t="n">
        <f aca="false">D63+D64-D65</f>
        <v>0</v>
      </c>
      <c r="E66" s="6" t="n">
        <f aca="false">E63+E64-E65</f>
        <v>0</v>
      </c>
      <c r="F66" s="6" t="n">
        <f aca="false">F63+F64-F65</f>
        <v>0</v>
      </c>
      <c r="G66" s="6" t="n">
        <f aca="false">G63+G64-G65</f>
        <v>0</v>
      </c>
      <c r="H66" s="6" t="n">
        <f aca="false">H63+H64-H65</f>
        <v>0</v>
      </c>
      <c r="I66" s="6" t="n">
        <f aca="false">I63+I64-I65</f>
        <v>0</v>
      </c>
      <c r="J66" s="6" t="n">
        <f aca="false">J63+J64-J65</f>
        <v>0</v>
      </c>
      <c r="K66" s="6" t="n">
        <f aca="false">K63+K64-K65</f>
        <v>0</v>
      </c>
    </row>
  </sheetData>
  <mergeCells count="3">
    <mergeCell ref="A1:K1"/>
    <mergeCell ref="A6:K6"/>
    <mergeCell ref="A37:K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22"/>
    <col collapsed="false" customWidth="true" hidden="false" outlineLevel="0" max="11" min="4" style="1" width="12"/>
  </cols>
  <sheetData>
    <row r="1" customFormat="false" ht="17.25" hidden="false" customHeight="true" outlineLevel="0" collapsed="false">
      <c r="A1" s="4" t="s">
        <v>155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3" customFormat="false" ht="15" hidden="false" customHeight="true" outlineLevel="0" collapsed="false">
      <c r="A3" s="5" t="s">
        <v>149</v>
      </c>
      <c r="B3" s="5" t="s">
        <v>65</v>
      </c>
      <c r="C3" s="5" t="s">
        <v>128</v>
      </c>
      <c r="D3" s="5" t="s">
        <v>67</v>
      </c>
      <c r="E3" s="5" t="s">
        <v>69</v>
      </c>
      <c r="F3" s="5" t="s">
        <v>71</v>
      </c>
      <c r="G3" s="5" t="s">
        <v>75</v>
      </c>
      <c r="H3" s="5" t="s">
        <v>77</v>
      </c>
      <c r="I3" s="5" t="s">
        <v>129</v>
      </c>
      <c r="J3" s="5" t="s">
        <v>130</v>
      </c>
      <c r="K3" s="5" t="s">
        <v>131</v>
      </c>
    </row>
    <row r="4" customFormat="false" ht="15" hidden="false" customHeight="true" outlineLevel="0" collapsed="false">
      <c r="A4" s="8" t="s">
        <v>50</v>
      </c>
      <c r="B4" s="8"/>
      <c r="C4" s="8"/>
      <c r="D4" s="8"/>
      <c r="E4" s="8"/>
      <c r="F4" s="8"/>
      <c r="G4" s="8"/>
      <c r="H4" s="8"/>
      <c r="I4" s="8"/>
      <c r="J4" s="8"/>
      <c r="K4" s="8"/>
    </row>
    <row r="5" customFormat="false" ht="15" hidden="false" customHeight="true" outlineLevel="0" collapsed="false">
      <c r="B5" s="1" t="s">
        <v>67</v>
      </c>
      <c r="C5" s="1" t="s">
        <v>156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</row>
    <row r="6" customFormat="false" ht="15" hidden="false" customHeight="true" outlineLevel="0" collapsed="false">
      <c r="B6" s="1" t="s">
        <v>67</v>
      </c>
      <c r="C6" s="1" t="s">
        <v>157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</row>
    <row r="7" customFormat="false" ht="15" hidden="false" customHeight="true" outlineLevel="0" collapsed="false">
      <c r="B7" s="1" t="s">
        <v>67</v>
      </c>
      <c r="C7" s="1" t="s">
        <v>158</v>
      </c>
      <c r="D7" s="6" t="n">
        <f aca="false">D5*D6</f>
        <v>0</v>
      </c>
      <c r="E7" s="6" t="n">
        <f aca="false">E5*E6</f>
        <v>0</v>
      </c>
      <c r="F7" s="6" t="n">
        <f aca="false">F5*F6</f>
        <v>0</v>
      </c>
      <c r="G7" s="6" t="n">
        <f aca="false">G5*G6</f>
        <v>0</v>
      </c>
      <c r="H7" s="6" t="n">
        <f aca="false">H5*H6</f>
        <v>0</v>
      </c>
      <c r="I7" s="6" t="n">
        <f aca="false">I5*I6</f>
        <v>0</v>
      </c>
      <c r="J7" s="6" t="n">
        <f aca="false">J5*J6</f>
        <v>0</v>
      </c>
      <c r="K7" s="6" t="n">
        <f aca="false">K5*K6</f>
        <v>0</v>
      </c>
    </row>
    <row r="8" customFormat="false" ht="15" hidden="false" customHeight="true" outlineLevel="0" collapsed="false">
      <c r="B8" s="1" t="s">
        <v>67</v>
      </c>
      <c r="C8" s="1" t="s">
        <v>159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</row>
    <row r="9" customFormat="false" ht="15" hidden="false" customHeight="true" outlineLevel="0" collapsed="false">
      <c r="B9" s="1" t="s">
        <v>67</v>
      </c>
      <c r="C9" s="1" t="s">
        <v>160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</row>
    <row r="10" customFormat="false" ht="15" hidden="false" customHeight="true" outlineLevel="0" collapsed="false">
      <c r="B10" s="1" t="s">
        <v>67</v>
      </c>
      <c r="C10" s="1" t="s">
        <v>161</v>
      </c>
      <c r="D10" s="6" t="n">
        <f aca="false">IF(D9&gt;0,D8/D9*D6,0)</f>
        <v>0</v>
      </c>
      <c r="E10" s="6" t="n">
        <f aca="false">IF(E9&gt;0,E8/E9*E6,0)</f>
        <v>0</v>
      </c>
      <c r="F10" s="6" t="n">
        <f aca="false">IF(F9&gt;0,F8/F9*F6,0)</f>
        <v>0</v>
      </c>
      <c r="G10" s="6" t="n">
        <f aca="false">IF(G9&gt;0,G8/G9*G6,0)</f>
        <v>0</v>
      </c>
      <c r="H10" s="6" t="n">
        <f aca="false">IF(H9&gt;0,H8/H9*H6,0)</f>
        <v>0</v>
      </c>
      <c r="I10" s="6" t="n">
        <f aca="false">IF(I9&gt;0,I8/I9*I6,0)</f>
        <v>0</v>
      </c>
      <c r="J10" s="6" t="n">
        <f aca="false">IF(J9&gt;0,J8/J9*J6,0)</f>
        <v>0</v>
      </c>
      <c r="K10" s="6" t="n">
        <f aca="false">IF(K9&gt;0,K8/K9*K6,0)</f>
        <v>0</v>
      </c>
    </row>
    <row r="11" customFormat="false" ht="15" hidden="false" customHeight="true" outlineLevel="0" collapsed="false">
      <c r="B11" s="1" t="s">
        <v>67</v>
      </c>
      <c r="C11" s="1" t="s">
        <v>162</v>
      </c>
      <c r="D11" s="6" t="n">
        <f aca="false">MIN(D7,D10)</f>
        <v>0</v>
      </c>
      <c r="E11" s="6" t="n">
        <f aca="false">MIN(E7,E10)</f>
        <v>0</v>
      </c>
      <c r="F11" s="6" t="n">
        <f aca="false">MIN(F7,F10)</f>
        <v>0</v>
      </c>
      <c r="G11" s="6" t="n">
        <f aca="false">MIN(G7,G10)</f>
        <v>0</v>
      </c>
      <c r="H11" s="6" t="n">
        <f aca="false">MIN(H7,H10)</f>
        <v>0</v>
      </c>
      <c r="I11" s="6" t="n">
        <f aca="false">MIN(I7,I10)</f>
        <v>0</v>
      </c>
      <c r="J11" s="6" t="n">
        <f aca="false">MIN(J7,J10)</f>
        <v>0</v>
      </c>
      <c r="K11" s="6" t="n">
        <f aca="false">MIN(K7,K10)</f>
        <v>0</v>
      </c>
    </row>
    <row r="12" customFormat="false" ht="15" hidden="false" customHeight="true" outlineLevel="0" collapsed="false">
      <c r="B12" s="1" t="s">
        <v>67</v>
      </c>
      <c r="C12" s="1" t="s">
        <v>163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</row>
    <row r="13" customFormat="false" ht="15" hidden="false" customHeight="true" outlineLevel="0" collapsed="false">
      <c r="B13" s="1" t="s">
        <v>67</v>
      </c>
      <c r="C13" s="1" t="s">
        <v>164</v>
      </c>
      <c r="D13" s="6" t="n">
        <f aca="false">D11*(1+0.2*D12)</f>
        <v>0</v>
      </c>
      <c r="E13" s="6" t="n">
        <f aca="false">E11*(1+0.2*E12)</f>
        <v>0</v>
      </c>
      <c r="F13" s="6" t="n">
        <f aca="false">F11*(1+0.2*F12)</f>
        <v>0</v>
      </c>
      <c r="G13" s="6" t="n">
        <f aca="false">G11*(1+0.2*G12)</f>
        <v>0</v>
      </c>
      <c r="H13" s="6" t="n">
        <f aca="false">H11*(1+0.2*H12)</f>
        <v>0</v>
      </c>
      <c r="I13" s="6" t="n">
        <f aca="false">I11*(1+0.2*I12)</f>
        <v>0</v>
      </c>
      <c r="J13" s="6" t="n">
        <f aca="false">J11*(1+0.2*J12)</f>
        <v>0</v>
      </c>
      <c r="K13" s="6" t="n">
        <f aca="false">K11*(1+0.2*K12)</f>
        <v>0</v>
      </c>
    </row>
    <row r="14" customFormat="false" ht="15" hidden="false" customHeight="true" outlineLevel="0" collapsed="false">
      <c r="B14" s="1" t="s">
        <v>67</v>
      </c>
      <c r="C14" s="1" t="s">
        <v>150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</row>
    <row r="15" customFormat="false" ht="15" hidden="false" customHeight="true" outlineLevel="0" collapsed="false">
      <c r="B15" s="1" t="s">
        <v>67</v>
      </c>
      <c r="C15" s="1" t="s">
        <v>165</v>
      </c>
      <c r="D15" s="6" t="n">
        <f aca="false">MIN(D13,D14)</f>
        <v>0</v>
      </c>
      <c r="E15" s="6" t="n">
        <f aca="false">MIN(E13,E14)</f>
        <v>0</v>
      </c>
      <c r="F15" s="6" t="n">
        <f aca="false">MIN(F13,F14)</f>
        <v>0</v>
      </c>
      <c r="G15" s="6" t="n">
        <f aca="false">MIN(G13,G14)</f>
        <v>0</v>
      </c>
      <c r="H15" s="6" t="n">
        <f aca="false">MIN(H13,H14)</f>
        <v>0</v>
      </c>
      <c r="I15" s="6" t="n">
        <f aca="false">MIN(I13,I14)</f>
        <v>0</v>
      </c>
      <c r="J15" s="6" t="n">
        <f aca="false">MIN(J13,J14)</f>
        <v>0</v>
      </c>
      <c r="K15" s="6" t="n">
        <f aca="false">MIN(K13,K14)</f>
        <v>0</v>
      </c>
    </row>
    <row r="16" customFormat="false" ht="15" hidden="false" customHeight="true" outlineLevel="0" collapsed="false">
      <c r="B16" s="1" t="s">
        <v>67</v>
      </c>
      <c r="C16" s="1" t="s">
        <v>166</v>
      </c>
      <c r="D16" s="6" t="str">
        <f aca="false">IF(D15&gt;D13,"CAPACITY",IF(D15&gt;D14,"PLAN","OK"))</f>
        <v>OK</v>
      </c>
      <c r="E16" s="6" t="str">
        <f aca="false">IF(E15&gt;E13,"CAPACITY",IF(E15&gt;E14,"PLAN","OK"))</f>
        <v>OK</v>
      </c>
      <c r="F16" s="6" t="str">
        <f aca="false">IF(F15&gt;F13,"CAPACITY",IF(F15&gt;F14,"PLAN","OK"))</f>
        <v>OK</v>
      </c>
      <c r="G16" s="6" t="str">
        <f aca="false">IF(G15&gt;G13,"CAPACITY",IF(G15&gt;G14,"PLAN","OK"))</f>
        <v>OK</v>
      </c>
      <c r="H16" s="6" t="str">
        <f aca="false">IF(H15&gt;H13,"CAPACITY",IF(H15&gt;H14,"PLAN","OK"))</f>
        <v>OK</v>
      </c>
      <c r="I16" s="6" t="str">
        <f aca="false">IF(I15&gt;I13,"CAPACITY",IF(I15&gt;I14,"PLAN","OK"))</f>
        <v>OK</v>
      </c>
      <c r="J16" s="6" t="str">
        <f aca="false">IF(J15&gt;J13,"CAPACITY",IF(J15&gt;J14,"PLAN","OK"))</f>
        <v>OK</v>
      </c>
      <c r="K16" s="6" t="str">
        <f aca="false">IF(K15&gt;K13,"CAPACITY",IF(K15&gt;K14,"PLAN","OK"))</f>
        <v>OK</v>
      </c>
    </row>
    <row r="18" customFormat="false" ht="15" hidden="false" customHeight="true" outlineLevel="0" collapsed="false">
      <c r="B18" s="1" t="s">
        <v>69</v>
      </c>
      <c r="C18" s="1" t="s">
        <v>156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</row>
    <row r="19" customFormat="false" ht="15" hidden="false" customHeight="true" outlineLevel="0" collapsed="false">
      <c r="B19" s="1" t="s">
        <v>69</v>
      </c>
      <c r="C19" s="1" t="s">
        <v>157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</row>
    <row r="20" customFormat="false" ht="15" hidden="false" customHeight="true" outlineLevel="0" collapsed="false">
      <c r="B20" s="1" t="s">
        <v>69</v>
      </c>
      <c r="C20" s="1" t="s">
        <v>158</v>
      </c>
      <c r="D20" s="6" t="n">
        <f aca="false">D18*D19</f>
        <v>0</v>
      </c>
      <c r="E20" s="6" t="n">
        <f aca="false">E18*E19</f>
        <v>0</v>
      </c>
      <c r="F20" s="6" t="n">
        <f aca="false">F18*F19</f>
        <v>0</v>
      </c>
      <c r="G20" s="6" t="n">
        <f aca="false">G18*G19</f>
        <v>0</v>
      </c>
      <c r="H20" s="6" t="n">
        <f aca="false">H18*H19</f>
        <v>0</v>
      </c>
      <c r="I20" s="6" t="n">
        <f aca="false">I18*I19</f>
        <v>0</v>
      </c>
      <c r="J20" s="6" t="n">
        <f aca="false">J18*J19</f>
        <v>0</v>
      </c>
      <c r="K20" s="6" t="n">
        <f aca="false">K18*K19</f>
        <v>0</v>
      </c>
    </row>
    <row r="21" customFormat="false" ht="15" hidden="false" customHeight="true" outlineLevel="0" collapsed="false">
      <c r="B21" s="1" t="s">
        <v>69</v>
      </c>
      <c r="C21" s="1" t="s">
        <v>159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</row>
    <row r="22" customFormat="false" ht="15" hidden="false" customHeight="true" outlineLevel="0" collapsed="false">
      <c r="B22" s="1" t="s">
        <v>69</v>
      </c>
      <c r="C22" s="1" t="s">
        <v>160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</row>
    <row r="23" customFormat="false" ht="15" hidden="false" customHeight="true" outlineLevel="0" collapsed="false">
      <c r="B23" s="1" t="s">
        <v>69</v>
      </c>
      <c r="C23" s="1" t="s">
        <v>161</v>
      </c>
      <c r="D23" s="6" t="n">
        <f aca="false">IF(D22&gt;0,D21/D22*D19,0)</f>
        <v>0</v>
      </c>
      <c r="E23" s="6" t="n">
        <f aca="false">IF(E22&gt;0,E21/E22*E19,0)</f>
        <v>0</v>
      </c>
      <c r="F23" s="6" t="n">
        <f aca="false">IF(F22&gt;0,F21/F22*F19,0)</f>
        <v>0</v>
      </c>
      <c r="G23" s="6" t="n">
        <f aca="false">IF(G22&gt;0,G21/G22*G19,0)</f>
        <v>0</v>
      </c>
      <c r="H23" s="6" t="n">
        <f aca="false">IF(H22&gt;0,H21/H22*H19,0)</f>
        <v>0</v>
      </c>
      <c r="I23" s="6" t="n">
        <f aca="false">IF(I22&gt;0,I21/I22*I19,0)</f>
        <v>0</v>
      </c>
      <c r="J23" s="6" t="n">
        <f aca="false">IF(J22&gt;0,J21/J22*J19,0)</f>
        <v>0</v>
      </c>
      <c r="K23" s="6" t="n">
        <f aca="false">IF(K22&gt;0,K21/K22*K19,0)</f>
        <v>0</v>
      </c>
    </row>
    <row r="24" customFormat="false" ht="15" hidden="false" customHeight="true" outlineLevel="0" collapsed="false">
      <c r="B24" s="1" t="s">
        <v>69</v>
      </c>
      <c r="C24" s="1" t="s">
        <v>162</v>
      </c>
      <c r="D24" s="6" t="n">
        <f aca="false">MIN(D20,D23)</f>
        <v>0</v>
      </c>
      <c r="E24" s="6" t="n">
        <f aca="false">MIN(E20,E23)</f>
        <v>0</v>
      </c>
      <c r="F24" s="6" t="n">
        <f aca="false">MIN(F20,F23)</f>
        <v>0</v>
      </c>
      <c r="G24" s="6" t="n">
        <f aca="false">MIN(G20,G23)</f>
        <v>0</v>
      </c>
      <c r="H24" s="6" t="n">
        <f aca="false">MIN(H20,H23)</f>
        <v>0</v>
      </c>
      <c r="I24" s="6" t="n">
        <f aca="false">MIN(I20,I23)</f>
        <v>0</v>
      </c>
      <c r="J24" s="6" t="n">
        <f aca="false">MIN(J20,J23)</f>
        <v>0</v>
      </c>
      <c r="K24" s="6" t="n">
        <f aca="false">MIN(K20,K23)</f>
        <v>0</v>
      </c>
    </row>
    <row r="25" customFormat="false" ht="15" hidden="false" customHeight="true" outlineLevel="0" collapsed="false">
      <c r="B25" s="1" t="s">
        <v>69</v>
      </c>
      <c r="C25" s="1" t="s">
        <v>163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</row>
    <row r="26" customFormat="false" ht="15" hidden="false" customHeight="true" outlineLevel="0" collapsed="false">
      <c r="B26" s="1" t="s">
        <v>69</v>
      </c>
      <c r="C26" s="1" t="s">
        <v>164</v>
      </c>
      <c r="D26" s="6" t="n">
        <f aca="false">D24*(1+0.2*D25)</f>
        <v>0</v>
      </c>
      <c r="E26" s="6" t="n">
        <f aca="false">E24*(1+0.2*E25)</f>
        <v>0</v>
      </c>
      <c r="F26" s="6" t="n">
        <f aca="false">F24*(1+0.2*F25)</f>
        <v>0</v>
      </c>
      <c r="G26" s="6" t="n">
        <f aca="false">G24*(1+0.2*G25)</f>
        <v>0</v>
      </c>
      <c r="H26" s="6" t="n">
        <f aca="false">H24*(1+0.2*H25)</f>
        <v>0</v>
      </c>
      <c r="I26" s="6" t="n">
        <f aca="false">I24*(1+0.2*I25)</f>
        <v>0</v>
      </c>
      <c r="J26" s="6" t="n">
        <f aca="false">J24*(1+0.2*J25)</f>
        <v>0</v>
      </c>
      <c r="K26" s="6" t="n">
        <f aca="false">K24*(1+0.2*K25)</f>
        <v>0</v>
      </c>
    </row>
    <row r="27" customFormat="false" ht="15" hidden="false" customHeight="true" outlineLevel="0" collapsed="false">
      <c r="B27" s="1" t="s">
        <v>69</v>
      </c>
      <c r="C27" s="1" t="s">
        <v>150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  <c r="K27" s="9" t="n">
        <v>0</v>
      </c>
    </row>
    <row r="28" customFormat="false" ht="15" hidden="false" customHeight="true" outlineLevel="0" collapsed="false">
      <c r="B28" s="1" t="s">
        <v>69</v>
      </c>
      <c r="C28" s="1" t="s">
        <v>165</v>
      </c>
      <c r="D28" s="6" t="n">
        <f aca="false">MIN(D26,D27)</f>
        <v>0</v>
      </c>
      <c r="E28" s="6" t="n">
        <f aca="false">MIN(E26,E27)</f>
        <v>0</v>
      </c>
      <c r="F28" s="6" t="n">
        <f aca="false">MIN(F26,F27)</f>
        <v>0</v>
      </c>
      <c r="G28" s="6" t="n">
        <f aca="false">MIN(G26,G27)</f>
        <v>0</v>
      </c>
      <c r="H28" s="6" t="n">
        <f aca="false">MIN(H26,H27)</f>
        <v>0</v>
      </c>
      <c r="I28" s="6" t="n">
        <f aca="false">MIN(I26,I27)</f>
        <v>0</v>
      </c>
      <c r="J28" s="6" t="n">
        <f aca="false">MIN(J26,J27)</f>
        <v>0</v>
      </c>
      <c r="K28" s="6" t="n">
        <f aca="false">MIN(K26,K27)</f>
        <v>0</v>
      </c>
    </row>
    <row r="29" customFormat="false" ht="15" hidden="false" customHeight="true" outlineLevel="0" collapsed="false">
      <c r="B29" s="1" t="s">
        <v>69</v>
      </c>
      <c r="C29" s="1" t="s">
        <v>166</v>
      </c>
      <c r="D29" s="6" t="str">
        <f aca="false">IF(D28&gt;D26,"CAPACITY",IF(D28&gt;D27,"PLAN","OK"))</f>
        <v>OK</v>
      </c>
      <c r="E29" s="6" t="str">
        <f aca="false">IF(E28&gt;E26,"CAPACITY",IF(E28&gt;E27,"PLAN","OK"))</f>
        <v>OK</v>
      </c>
      <c r="F29" s="6" t="str">
        <f aca="false">IF(F28&gt;F26,"CAPACITY",IF(F28&gt;F27,"PLAN","OK"))</f>
        <v>OK</v>
      </c>
      <c r="G29" s="6" t="str">
        <f aca="false">IF(G28&gt;G26,"CAPACITY",IF(G28&gt;G27,"PLAN","OK"))</f>
        <v>OK</v>
      </c>
      <c r="H29" s="6" t="str">
        <f aca="false">IF(H28&gt;H26,"CAPACITY",IF(H28&gt;H27,"PLAN","OK"))</f>
        <v>OK</v>
      </c>
      <c r="I29" s="6" t="str">
        <f aca="false">IF(I28&gt;I26,"CAPACITY",IF(I28&gt;I27,"PLAN","OK"))</f>
        <v>OK</v>
      </c>
      <c r="J29" s="6" t="str">
        <f aca="false">IF(J28&gt;J26,"CAPACITY",IF(J28&gt;J27,"PLAN","OK"))</f>
        <v>OK</v>
      </c>
      <c r="K29" s="6" t="str">
        <f aca="false">IF(K28&gt;K26,"CAPACITY",IF(K28&gt;K27,"PLAN","OK"))</f>
        <v>OK</v>
      </c>
    </row>
    <row r="31" customFormat="false" ht="15" hidden="false" customHeight="true" outlineLevel="0" collapsed="false">
      <c r="B31" s="1" t="s">
        <v>71</v>
      </c>
      <c r="C31" s="1" t="s">
        <v>156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</row>
    <row r="32" customFormat="false" ht="15" hidden="false" customHeight="true" outlineLevel="0" collapsed="false">
      <c r="B32" s="1" t="s">
        <v>71</v>
      </c>
      <c r="C32" s="1" t="s">
        <v>157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</row>
    <row r="33" customFormat="false" ht="15" hidden="false" customHeight="true" outlineLevel="0" collapsed="false">
      <c r="B33" s="1" t="s">
        <v>71</v>
      </c>
      <c r="C33" s="1" t="s">
        <v>158</v>
      </c>
      <c r="D33" s="6" t="n">
        <f aca="false">D31*D32</f>
        <v>0</v>
      </c>
      <c r="E33" s="6" t="n">
        <f aca="false">E31*E32</f>
        <v>0</v>
      </c>
      <c r="F33" s="6" t="n">
        <f aca="false">F31*F32</f>
        <v>0</v>
      </c>
      <c r="G33" s="6" t="n">
        <f aca="false">G31*G32</f>
        <v>0</v>
      </c>
      <c r="H33" s="6" t="n">
        <f aca="false">H31*H32</f>
        <v>0</v>
      </c>
      <c r="I33" s="6" t="n">
        <f aca="false">I31*I32</f>
        <v>0</v>
      </c>
      <c r="J33" s="6" t="n">
        <f aca="false">J31*J32</f>
        <v>0</v>
      </c>
      <c r="K33" s="6" t="n">
        <f aca="false">K31*K32</f>
        <v>0</v>
      </c>
    </row>
    <row r="34" customFormat="false" ht="15" hidden="false" customHeight="true" outlineLevel="0" collapsed="false">
      <c r="B34" s="1" t="s">
        <v>71</v>
      </c>
      <c r="C34" s="1" t="s">
        <v>159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</row>
    <row r="35" customFormat="false" ht="15" hidden="false" customHeight="true" outlineLevel="0" collapsed="false">
      <c r="B35" s="1" t="s">
        <v>71</v>
      </c>
      <c r="C35" s="1" t="s">
        <v>160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  <c r="K35" s="9" t="n">
        <v>0</v>
      </c>
    </row>
    <row r="36" customFormat="false" ht="15" hidden="false" customHeight="true" outlineLevel="0" collapsed="false">
      <c r="B36" s="1" t="s">
        <v>71</v>
      </c>
      <c r="C36" s="1" t="s">
        <v>161</v>
      </c>
      <c r="D36" s="6" t="n">
        <f aca="false">IF(D35&gt;0,D34/D35*D32,0)</f>
        <v>0</v>
      </c>
      <c r="E36" s="6" t="n">
        <f aca="false">IF(E35&gt;0,E34/E35*E32,0)</f>
        <v>0</v>
      </c>
      <c r="F36" s="6" t="n">
        <f aca="false">IF(F35&gt;0,F34/F35*F32,0)</f>
        <v>0</v>
      </c>
      <c r="G36" s="6" t="n">
        <f aca="false">IF(G35&gt;0,G34/G35*G32,0)</f>
        <v>0</v>
      </c>
      <c r="H36" s="6" t="n">
        <f aca="false">IF(H35&gt;0,H34/H35*H32,0)</f>
        <v>0</v>
      </c>
      <c r="I36" s="6" t="n">
        <f aca="false">IF(I35&gt;0,I34/I35*I32,0)</f>
        <v>0</v>
      </c>
      <c r="J36" s="6" t="n">
        <f aca="false">IF(J35&gt;0,J34/J35*J32,0)</f>
        <v>0</v>
      </c>
      <c r="K36" s="6" t="n">
        <f aca="false">IF(K35&gt;0,K34/K35*K32,0)</f>
        <v>0</v>
      </c>
    </row>
    <row r="37" customFormat="false" ht="15" hidden="false" customHeight="true" outlineLevel="0" collapsed="false">
      <c r="B37" s="1" t="s">
        <v>71</v>
      </c>
      <c r="C37" s="1" t="s">
        <v>162</v>
      </c>
      <c r="D37" s="6" t="n">
        <f aca="false">MIN(D33,D36)</f>
        <v>0</v>
      </c>
      <c r="E37" s="6" t="n">
        <f aca="false">MIN(E33,E36)</f>
        <v>0</v>
      </c>
      <c r="F37" s="6" t="n">
        <f aca="false">MIN(F33,F36)</f>
        <v>0</v>
      </c>
      <c r="G37" s="6" t="n">
        <f aca="false">MIN(G33,G36)</f>
        <v>0</v>
      </c>
      <c r="H37" s="6" t="n">
        <f aca="false">MIN(H33,H36)</f>
        <v>0</v>
      </c>
      <c r="I37" s="6" t="n">
        <f aca="false">MIN(I33,I36)</f>
        <v>0</v>
      </c>
      <c r="J37" s="6" t="n">
        <f aca="false">MIN(J33,J36)</f>
        <v>0</v>
      </c>
      <c r="K37" s="6" t="n">
        <f aca="false">MIN(K33,K36)</f>
        <v>0</v>
      </c>
    </row>
    <row r="38" customFormat="false" ht="15" hidden="false" customHeight="true" outlineLevel="0" collapsed="false">
      <c r="B38" s="1" t="s">
        <v>71</v>
      </c>
      <c r="C38" s="1" t="s">
        <v>163</v>
      </c>
      <c r="D38" s="7" t="n">
        <v>0</v>
      </c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</row>
    <row r="39" customFormat="false" ht="15" hidden="false" customHeight="true" outlineLevel="0" collapsed="false">
      <c r="B39" s="1" t="s">
        <v>71</v>
      </c>
      <c r="C39" s="1" t="s">
        <v>164</v>
      </c>
      <c r="D39" s="6" t="n">
        <f aca="false">D37*(1+0.2*D38)</f>
        <v>0</v>
      </c>
      <c r="E39" s="6" t="n">
        <f aca="false">E37*(1+0.2*E38)</f>
        <v>0</v>
      </c>
      <c r="F39" s="6" t="n">
        <f aca="false">F37*(1+0.2*F38)</f>
        <v>0</v>
      </c>
      <c r="G39" s="6" t="n">
        <f aca="false">G37*(1+0.2*G38)</f>
        <v>0</v>
      </c>
      <c r="H39" s="6" t="n">
        <f aca="false">H37*(1+0.2*H38)</f>
        <v>0</v>
      </c>
      <c r="I39" s="6" t="n">
        <f aca="false">I37*(1+0.2*I38)</f>
        <v>0</v>
      </c>
      <c r="J39" s="6" t="n">
        <f aca="false">J37*(1+0.2*J38)</f>
        <v>0</v>
      </c>
      <c r="K39" s="6" t="n">
        <f aca="false">K37*(1+0.2*K38)</f>
        <v>0</v>
      </c>
    </row>
    <row r="40" customFormat="false" ht="15" hidden="false" customHeight="true" outlineLevel="0" collapsed="false">
      <c r="B40" s="1" t="s">
        <v>71</v>
      </c>
      <c r="C40" s="1" t="s">
        <v>150</v>
      </c>
      <c r="D40" s="9" t="n">
        <v>0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0</v>
      </c>
      <c r="J40" s="9" t="n">
        <v>0</v>
      </c>
      <c r="K40" s="9" t="n">
        <v>0</v>
      </c>
    </row>
    <row r="41" customFormat="false" ht="15" hidden="false" customHeight="true" outlineLevel="0" collapsed="false">
      <c r="B41" s="1" t="s">
        <v>71</v>
      </c>
      <c r="C41" s="1" t="s">
        <v>165</v>
      </c>
      <c r="D41" s="6" t="n">
        <f aca="false">MIN(D39,D40)</f>
        <v>0</v>
      </c>
      <c r="E41" s="6" t="n">
        <f aca="false">MIN(E39,E40)</f>
        <v>0</v>
      </c>
      <c r="F41" s="6" t="n">
        <f aca="false">MIN(F39,F40)</f>
        <v>0</v>
      </c>
      <c r="G41" s="6" t="n">
        <f aca="false">MIN(G39,G40)</f>
        <v>0</v>
      </c>
      <c r="H41" s="6" t="n">
        <f aca="false">MIN(H39,H40)</f>
        <v>0</v>
      </c>
      <c r="I41" s="6" t="n">
        <f aca="false">MIN(I39,I40)</f>
        <v>0</v>
      </c>
      <c r="J41" s="6" t="n">
        <f aca="false">MIN(J39,J40)</f>
        <v>0</v>
      </c>
      <c r="K41" s="6" t="n">
        <f aca="false">MIN(K39,K40)</f>
        <v>0</v>
      </c>
    </row>
    <row r="42" customFormat="false" ht="15" hidden="false" customHeight="true" outlineLevel="0" collapsed="false">
      <c r="B42" s="1" t="s">
        <v>71</v>
      </c>
      <c r="C42" s="1" t="s">
        <v>166</v>
      </c>
      <c r="D42" s="6" t="str">
        <f aca="false">IF(D41&gt;D39,"CAPACITY",IF(D41&gt;D40,"PLAN","OK"))</f>
        <v>OK</v>
      </c>
      <c r="E42" s="6" t="str">
        <f aca="false">IF(E41&gt;E39,"CAPACITY",IF(E41&gt;E40,"PLAN","OK"))</f>
        <v>OK</v>
      </c>
      <c r="F42" s="6" t="str">
        <f aca="false">IF(F41&gt;F39,"CAPACITY",IF(F41&gt;F40,"PLAN","OK"))</f>
        <v>OK</v>
      </c>
      <c r="G42" s="6" t="str">
        <f aca="false">IF(G41&gt;G39,"CAPACITY",IF(G41&gt;G40,"PLAN","OK"))</f>
        <v>OK</v>
      </c>
      <c r="H42" s="6" t="str">
        <f aca="false">IF(H41&gt;H39,"CAPACITY",IF(H41&gt;H40,"PLAN","OK"))</f>
        <v>OK</v>
      </c>
      <c r="I42" s="6" t="str">
        <f aca="false">IF(I41&gt;I39,"CAPACITY",IF(I41&gt;I40,"PLAN","OK"))</f>
        <v>OK</v>
      </c>
      <c r="J42" s="6" t="str">
        <f aca="false">IF(J41&gt;J39,"CAPACITY",IF(J41&gt;J40,"PLAN","OK"))</f>
        <v>OK</v>
      </c>
      <c r="K42" s="6" t="str">
        <f aca="false">IF(K41&gt;K39,"CAPACITY",IF(K41&gt;K40,"PLAN","OK"))</f>
        <v>OK</v>
      </c>
    </row>
    <row r="44" customFormat="false" ht="15" hidden="false" customHeight="true" outlineLevel="0" collapsed="false">
      <c r="B44" s="1" t="s">
        <v>75</v>
      </c>
      <c r="C44" s="1" t="s">
        <v>156</v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</row>
    <row r="45" customFormat="false" ht="15" hidden="false" customHeight="true" outlineLevel="0" collapsed="false">
      <c r="B45" s="1" t="s">
        <v>75</v>
      </c>
      <c r="C45" s="1" t="s">
        <v>157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</row>
    <row r="46" customFormat="false" ht="15" hidden="false" customHeight="true" outlineLevel="0" collapsed="false">
      <c r="B46" s="1" t="s">
        <v>75</v>
      </c>
      <c r="C46" s="1" t="s">
        <v>158</v>
      </c>
      <c r="D46" s="6" t="n">
        <f aca="false">D44*D45</f>
        <v>0</v>
      </c>
      <c r="E46" s="6" t="n">
        <f aca="false">E44*E45</f>
        <v>0</v>
      </c>
      <c r="F46" s="6" t="n">
        <f aca="false">F44*F45</f>
        <v>0</v>
      </c>
      <c r="G46" s="6" t="n">
        <f aca="false">G44*G45</f>
        <v>0</v>
      </c>
      <c r="H46" s="6" t="n">
        <f aca="false">H44*H45</f>
        <v>0</v>
      </c>
      <c r="I46" s="6" t="n">
        <f aca="false">I44*I45</f>
        <v>0</v>
      </c>
      <c r="J46" s="6" t="n">
        <f aca="false">J44*J45</f>
        <v>0</v>
      </c>
      <c r="K46" s="6" t="n">
        <f aca="false">K44*K45</f>
        <v>0</v>
      </c>
    </row>
    <row r="47" customFormat="false" ht="15" hidden="false" customHeight="true" outlineLevel="0" collapsed="false">
      <c r="B47" s="1" t="s">
        <v>75</v>
      </c>
      <c r="C47" s="1" t="s">
        <v>159</v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</row>
    <row r="48" customFormat="false" ht="15" hidden="false" customHeight="true" outlineLevel="0" collapsed="false">
      <c r="B48" s="1" t="s">
        <v>75</v>
      </c>
      <c r="C48" s="1" t="s">
        <v>160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 t="n">
        <v>0</v>
      </c>
      <c r="J48" s="9" t="n">
        <v>0</v>
      </c>
      <c r="K48" s="9" t="n">
        <v>0</v>
      </c>
    </row>
    <row r="49" customFormat="false" ht="15" hidden="false" customHeight="true" outlineLevel="0" collapsed="false">
      <c r="B49" s="1" t="s">
        <v>75</v>
      </c>
      <c r="C49" s="1" t="s">
        <v>161</v>
      </c>
      <c r="D49" s="6" t="n">
        <f aca="false">IF(D48&gt;0,D47/D48*D45,0)</f>
        <v>0</v>
      </c>
      <c r="E49" s="6" t="n">
        <f aca="false">IF(E48&gt;0,E47/E48*E45,0)</f>
        <v>0</v>
      </c>
      <c r="F49" s="6" t="n">
        <f aca="false">IF(F48&gt;0,F47/F48*F45,0)</f>
        <v>0</v>
      </c>
      <c r="G49" s="6" t="n">
        <f aca="false">IF(G48&gt;0,G47/G48*G45,0)</f>
        <v>0</v>
      </c>
      <c r="H49" s="6" t="n">
        <f aca="false">IF(H48&gt;0,H47/H48*H45,0)</f>
        <v>0</v>
      </c>
      <c r="I49" s="6" t="n">
        <f aca="false">IF(I48&gt;0,I47/I48*I45,0)</f>
        <v>0</v>
      </c>
      <c r="J49" s="6" t="n">
        <f aca="false">IF(J48&gt;0,J47/J48*J45,0)</f>
        <v>0</v>
      </c>
      <c r="K49" s="6" t="n">
        <f aca="false">IF(K48&gt;0,K47/K48*K45,0)</f>
        <v>0</v>
      </c>
    </row>
    <row r="50" customFormat="false" ht="15" hidden="false" customHeight="true" outlineLevel="0" collapsed="false">
      <c r="B50" s="1" t="s">
        <v>75</v>
      </c>
      <c r="C50" s="1" t="s">
        <v>162</v>
      </c>
      <c r="D50" s="6" t="n">
        <f aca="false">MIN(D46,D49)</f>
        <v>0</v>
      </c>
      <c r="E50" s="6" t="n">
        <f aca="false">MIN(E46,E49)</f>
        <v>0</v>
      </c>
      <c r="F50" s="6" t="n">
        <f aca="false">MIN(F46,F49)</f>
        <v>0</v>
      </c>
      <c r="G50" s="6" t="n">
        <f aca="false">MIN(G46,G49)</f>
        <v>0</v>
      </c>
      <c r="H50" s="6" t="n">
        <f aca="false">MIN(H46,H49)</f>
        <v>0</v>
      </c>
      <c r="I50" s="6" t="n">
        <f aca="false">MIN(I46,I49)</f>
        <v>0</v>
      </c>
      <c r="J50" s="6" t="n">
        <f aca="false">MIN(J46,J49)</f>
        <v>0</v>
      </c>
      <c r="K50" s="6" t="n">
        <f aca="false">MIN(K46,K49)</f>
        <v>0</v>
      </c>
    </row>
    <row r="51" customFormat="false" ht="15" hidden="false" customHeight="true" outlineLevel="0" collapsed="false">
      <c r="B51" s="1" t="s">
        <v>75</v>
      </c>
      <c r="C51" s="1" t="s">
        <v>163</v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</row>
    <row r="52" customFormat="false" ht="15" hidden="false" customHeight="true" outlineLevel="0" collapsed="false">
      <c r="B52" s="1" t="s">
        <v>75</v>
      </c>
      <c r="C52" s="1" t="s">
        <v>164</v>
      </c>
      <c r="D52" s="6" t="n">
        <f aca="false">D50*(1+0.2*D51)</f>
        <v>0</v>
      </c>
      <c r="E52" s="6" t="n">
        <f aca="false">E50*(1+0.2*E51)</f>
        <v>0</v>
      </c>
      <c r="F52" s="6" t="n">
        <f aca="false">F50*(1+0.2*F51)</f>
        <v>0</v>
      </c>
      <c r="G52" s="6" t="n">
        <f aca="false">G50*(1+0.2*G51)</f>
        <v>0</v>
      </c>
      <c r="H52" s="6" t="n">
        <f aca="false">H50*(1+0.2*H51)</f>
        <v>0</v>
      </c>
      <c r="I52" s="6" t="n">
        <f aca="false">I50*(1+0.2*I51)</f>
        <v>0</v>
      </c>
      <c r="J52" s="6" t="n">
        <f aca="false">J50*(1+0.2*J51)</f>
        <v>0</v>
      </c>
      <c r="K52" s="6" t="n">
        <f aca="false">K50*(1+0.2*K51)</f>
        <v>0</v>
      </c>
    </row>
    <row r="53" customFormat="false" ht="15" hidden="false" customHeight="true" outlineLevel="0" collapsed="false">
      <c r="B53" s="1" t="s">
        <v>75</v>
      </c>
      <c r="C53" s="1" t="s">
        <v>150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  <c r="K53" s="9" t="n">
        <v>0</v>
      </c>
    </row>
    <row r="54" customFormat="false" ht="15" hidden="false" customHeight="true" outlineLevel="0" collapsed="false">
      <c r="B54" s="1" t="s">
        <v>75</v>
      </c>
      <c r="C54" s="1" t="s">
        <v>165</v>
      </c>
      <c r="D54" s="6" t="n">
        <f aca="false">MIN(D52,D53)</f>
        <v>0</v>
      </c>
      <c r="E54" s="6" t="n">
        <f aca="false">MIN(E52,E53)</f>
        <v>0</v>
      </c>
      <c r="F54" s="6" t="n">
        <f aca="false">MIN(F52,F53)</f>
        <v>0</v>
      </c>
      <c r="G54" s="6" t="n">
        <f aca="false">MIN(G52,G53)</f>
        <v>0</v>
      </c>
      <c r="H54" s="6" t="n">
        <f aca="false">MIN(H52,H53)</f>
        <v>0</v>
      </c>
      <c r="I54" s="6" t="n">
        <f aca="false">MIN(I52,I53)</f>
        <v>0</v>
      </c>
      <c r="J54" s="6" t="n">
        <f aca="false">MIN(J52,J53)</f>
        <v>0</v>
      </c>
      <c r="K54" s="6" t="n">
        <f aca="false">MIN(K52,K53)</f>
        <v>0</v>
      </c>
    </row>
    <row r="55" customFormat="false" ht="15" hidden="false" customHeight="true" outlineLevel="0" collapsed="false">
      <c r="B55" s="1" t="s">
        <v>75</v>
      </c>
      <c r="C55" s="1" t="s">
        <v>166</v>
      </c>
      <c r="D55" s="6" t="str">
        <f aca="false">IF(D54&gt;D52,"CAPACITY",IF(D54&gt;D53,"PLAN","OK"))</f>
        <v>OK</v>
      </c>
      <c r="E55" s="6" t="str">
        <f aca="false">IF(E54&gt;E52,"CAPACITY",IF(E54&gt;E53,"PLAN","OK"))</f>
        <v>OK</v>
      </c>
      <c r="F55" s="6" t="str">
        <f aca="false">IF(F54&gt;F52,"CAPACITY",IF(F54&gt;F53,"PLAN","OK"))</f>
        <v>OK</v>
      </c>
      <c r="G55" s="6" t="str">
        <f aca="false">IF(G54&gt;G52,"CAPACITY",IF(G54&gt;G53,"PLAN","OK"))</f>
        <v>OK</v>
      </c>
      <c r="H55" s="6" t="str">
        <f aca="false">IF(H54&gt;H52,"CAPACITY",IF(H54&gt;H53,"PLAN","OK"))</f>
        <v>OK</v>
      </c>
      <c r="I55" s="6" t="str">
        <f aca="false">IF(I54&gt;I52,"CAPACITY",IF(I54&gt;I53,"PLAN","OK"))</f>
        <v>OK</v>
      </c>
      <c r="J55" s="6" t="str">
        <f aca="false">IF(J54&gt;J52,"CAPACITY",IF(J54&gt;J53,"PLAN","OK"))</f>
        <v>OK</v>
      </c>
      <c r="K55" s="6" t="str">
        <f aca="false">IF(K54&gt;K52,"CAPACITY",IF(K54&gt;K53,"PLAN","OK"))</f>
        <v>OK</v>
      </c>
    </row>
    <row r="57" customFormat="false" ht="15" hidden="false" customHeight="true" outlineLevel="0" collapsed="false">
      <c r="B57" s="1" t="s">
        <v>77</v>
      </c>
      <c r="C57" s="1" t="s">
        <v>156</v>
      </c>
      <c r="D57" s="7" t="n">
        <v>0</v>
      </c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</row>
    <row r="58" customFormat="false" ht="15" hidden="false" customHeight="true" outlineLevel="0" collapsed="false">
      <c r="B58" s="1" t="s">
        <v>77</v>
      </c>
      <c r="C58" s="1" t="s">
        <v>157</v>
      </c>
      <c r="D58" s="9" t="n">
        <v>0</v>
      </c>
      <c r="E58" s="9" t="n">
        <v>0</v>
      </c>
      <c r="F58" s="9" t="n">
        <v>0</v>
      </c>
      <c r="G58" s="9" t="n">
        <v>0</v>
      </c>
      <c r="H58" s="9" t="n">
        <v>0</v>
      </c>
      <c r="I58" s="9" t="n">
        <v>0</v>
      </c>
      <c r="J58" s="9" t="n">
        <v>0</v>
      </c>
      <c r="K58" s="9" t="n">
        <v>0</v>
      </c>
    </row>
    <row r="59" customFormat="false" ht="15" hidden="false" customHeight="true" outlineLevel="0" collapsed="false">
      <c r="B59" s="1" t="s">
        <v>77</v>
      </c>
      <c r="C59" s="1" t="s">
        <v>158</v>
      </c>
      <c r="D59" s="6" t="n">
        <f aca="false">D57*D58</f>
        <v>0</v>
      </c>
      <c r="E59" s="6" t="n">
        <f aca="false">E57*E58</f>
        <v>0</v>
      </c>
      <c r="F59" s="6" t="n">
        <f aca="false">F57*F58</f>
        <v>0</v>
      </c>
      <c r="G59" s="6" t="n">
        <f aca="false">G57*G58</f>
        <v>0</v>
      </c>
      <c r="H59" s="6" t="n">
        <f aca="false">H57*H58</f>
        <v>0</v>
      </c>
      <c r="I59" s="6" t="n">
        <f aca="false">I57*I58</f>
        <v>0</v>
      </c>
      <c r="J59" s="6" t="n">
        <f aca="false">J57*J58</f>
        <v>0</v>
      </c>
      <c r="K59" s="6" t="n">
        <f aca="false">K57*K58</f>
        <v>0</v>
      </c>
    </row>
    <row r="60" customFormat="false" ht="15" hidden="false" customHeight="true" outlineLevel="0" collapsed="false">
      <c r="B60" s="1" t="s">
        <v>77</v>
      </c>
      <c r="C60" s="1" t="s">
        <v>159</v>
      </c>
      <c r="D60" s="7" t="n">
        <v>0</v>
      </c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</row>
    <row r="61" customFormat="false" ht="15" hidden="false" customHeight="true" outlineLevel="0" collapsed="false">
      <c r="B61" s="1" t="s">
        <v>77</v>
      </c>
      <c r="C61" s="1" t="s">
        <v>160</v>
      </c>
      <c r="D61" s="9" t="n">
        <v>0</v>
      </c>
      <c r="E61" s="9" t="n">
        <v>0</v>
      </c>
      <c r="F61" s="9" t="n">
        <v>0</v>
      </c>
      <c r="G61" s="9" t="n">
        <v>0</v>
      </c>
      <c r="H61" s="9" t="n">
        <v>0</v>
      </c>
      <c r="I61" s="9" t="n">
        <v>0</v>
      </c>
      <c r="J61" s="9" t="n">
        <v>0</v>
      </c>
      <c r="K61" s="9" t="n">
        <v>0</v>
      </c>
    </row>
    <row r="62" customFormat="false" ht="15" hidden="false" customHeight="true" outlineLevel="0" collapsed="false">
      <c r="B62" s="1" t="s">
        <v>77</v>
      </c>
      <c r="C62" s="1" t="s">
        <v>161</v>
      </c>
      <c r="D62" s="6" t="n">
        <f aca="false">IF(D61&gt;0,D60/D61*D58,0)</f>
        <v>0</v>
      </c>
      <c r="E62" s="6" t="n">
        <f aca="false">IF(E61&gt;0,E60/E61*E58,0)</f>
        <v>0</v>
      </c>
      <c r="F62" s="6" t="n">
        <f aca="false">IF(F61&gt;0,F60/F61*F58,0)</f>
        <v>0</v>
      </c>
      <c r="G62" s="6" t="n">
        <f aca="false">IF(G61&gt;0,G60/G61*G58,0)</f>
        <v>0</v>
      </c>
      <c r="H62" s="6" t="n">
        <f aca="false">IF(H61&gt;0,H60/H61*H58,0)</f>
        <v>0</v>
      </c>
      <c r="I62" s="6" t="n">
        <f aca="false">IF(I61&gt;0,I60/I61*I58,0)</f>
        <v>0</v>
      </c>
      <c r="J62" s="6" t="n">
        <f aca="false">IF(J61&gt;0,J60/J61*J58,0)</f>
        <v>0</v>
      </c>
      <c r="K62" s="6" t="n">
        <f aca="false">IF(K61&gt;0,K60/K61*K58,0)</f>
        <v>0</v>
      </c>
    </row>
    <row r="63" customFormat="false" ht="15" hidden="false" customHeight="true" outlineLevel="0" collapsed="false">
      <c r="B63" s="1" t="s">
        <v>77</v>
      </c>
      <c r="C63" s="1" t="s">
        <v>162</v>
      </c>
      <c r="D63" s="6" t="n">
        <f aca="false">MIN(D59,D62)</f>
        <v>0</v>
      </c>
      <c r="E63" s="6" t="n">
        <f aca="false">MIN(E59,E62)</f>
        <v>0</v>
      </c>
      <c r="F63" s="6" t="n">
        <f aca="false">MIN(F59,F62)</f>
        <v>0</v>
      </c>
      <c r="G63" s="6" t="n">
        <f aca="false">MIN(G59,G62)</f>
        <v>0</v>
      </c>
      <c r="H63" s="6" t="n">
        <f aca="false">MIN(H59,H62)</f>
        <v>0</v>
      </c>
      <c r="I63" s="6" t="n">
        <f aca="false">MIN(I59,I62)</f>
        <v>0</v>
      </c>
      <c r="J63" s="6" t="n">
        <f aca="false">MIN(J59,J62)</f>
        <v>0</v>
      </c>
      <c r="K63" s="6" t="n">
        <f aca="false">MIN(K59,K62)</f>
        <v>0</v>
      </c>
    </row>
    <row r="64" customFormat="false" ht="15" hidden="false" customHeight="true" outlineLevel="0" collapsed="false">
      <c r="B64" s="1" t="s">
        <v>77</v>
      </c>
      <c r="C64" s="1" t="s">
        <v>163</v>
      </c>
      <c r="D64" s="7" t="n">
        <v>0</v>
      </c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</row>
    <row r="65" customFormat="false" ht="15" hidden="false" customHeight="true" outlineLevel="0" collapsed="false">
      <c r="B65" s="1" t="s">
        <v>77</v>
      </c>
      <c r="C65" s="1" t="s">
        <v>164</v>
      </c>
      <c r="D65" s="6" t="n">
        <f aca="false">D63*(1+0.2*D64)</f>
        <v>0</v>
      </c>
      <c r="E65" s="6" t="n">
        <f aca="false">E63*(1+0.2*E64)</f>
        <v>0</v>
      </c>
      <c r="F65" s="6" t="n">
        <f aca="false">F63*(1+0.2*F64)</f>
        <v>0</v>
      </c>
      <c r="G65" s="6" t="n">
        <f aca="false">G63*(1+0.2*G64)</f>
        <v>0</v>
      </c>
      <c r="H65" s="6" t="n">
        <f aca="false">H63*(1+0.2*H64)</f>
        <v>0</v>
      </c>
      <c r="I65" s="6" t="n">
        <f aca="false">I63*(1+0.2*I64)</f>
        <v>0</v>
      </c>
      <c r="J65" s="6" t="n">
        <f aca="false">J63*(1+0.2*J64)</f>
        <v>0</v>
      </c>
      <c r="K65" s="6" t="n">
        <f aca="false">K63*(1+0.2*K64)</f>
        <v>0</v>
      </c>
    </row>
    <row r="66" customFormat="false" ht="15" hidden="false" customHeight="true" outlineLevel="0" collapsed="false">
      <c r="B66" s="1" t="s">
        <v>77</v>
      </c>
      <c r="C66" s="1" t="s">
        <v>150</v>
      </c>
      <c r="D66" s="9" t="n">
        <v>0</v>
      </c>
      <c r="E66" s="9" t="n">
        <v>0</v>
      </c>
      <c r="F66" s="9" t="n">
        <v>0</v>
      </c>
      <c r="G66" s="9" t="n">
        <v>0</v>
      </c>
      <c r="H66" s="9" t="n">
        <v>0</v>
      </c>
      <c r="I66" s="9" t="n">
        <v>0</v>
      </c>
      <c r="J66" s="9" t="n">
        <v>0</v>
      </c>
      <c r="K66" s="9" t="n">
        <v>0</v>
      </c>
    </row>
    <row r="67" customFormat="false" ht="15" hidden="false" customHeight="true" outlineLevel="0" collapsed="false">
      <c r="B67" s="1" t="s">
        <v>77</v>
      </c>
      <c r="C67" s="1" t="s">
        <v>165</v>
      </c>
      <c r="D67" s="6" t="n">
        <f aca="false">MIN(D65,D66)</f>
        <v>0</v>
      </c>
      <c r="E67" s="6" t="n">
        <f aca="false">MIN(E65,E66)</f>
        <v>0</v>
      </c>
      <c r="F67" s="6" t="n">
        <f aca="false">MIN(F65,F66)</f>
        <v>0</v>
      </c>
      <c r="G67" s="6" t="n">
        <f aca="false">MIN(G65,G66)</f>
        <v>0</v>
      </c>
      <c r="H67" s="6" t="n">
        <f aca="false">MIN(H65,H66)</f>
        <v>0</v>
      </c>
      <c r="I67" s="6" t="n">
        <f aca="false">MIN(I65,I66)</f>
        <v>0</v>
      </c>
      <c r="J67" s="6" t="n">
        <f aca="false">MIN(J65,J66)</f>
        <v>0</v>
      </c>
      <c r="K67" s="6" t="n">
        <f aca="false">MIN(K65,K66)</f>
        <v>0</v>
      </c>
    </row>
    <row r="68" customFormat="false" ht="15" hidden="false" customHeight="true" outlineLevel="0" collapsed="false">
      <c r="B68" s="1" t="s">
        <v>77</v>
      </c>
      <c r="C68" s="1" t="s">
        <v>166</v>
      </c>
      <c r="D68" s="6" t="str">
        <f aca="false">IF(D67&gt;D65,"CAPACITY",IF(D67&gt;D66,"PLAN","OK"))</f>
        <v>OK</v>
      </c>
      <c r="E68" s="6" t="str">
        <f aca="false">IF(E67&gt;E65,"CAPACITY",IF(E67&gt;E66,"PLAN","OK"))</f>
        <v>OK</v>
      </c>
      <c r="F68" s="6" t="str">
        <f aca="false">IF(F67&gt;F65,"CAPACITY",IF(F67&gt;F66,"PLAN","OK"))</f>
        <v>OK</v>
      </c>
      <c r="G68" s="6" t="str">
        <f aca="false">IF(G67&gt;G65,"CAPACITY",IF(G67&gt;G66,"PLAN","OK"))</f>
        <v>OK</v>
      </c>
      <c r="H68" s="6" t="str">
        <f aca="false">IF(H67&gt;H65,"CAPACITY",IF(H67&gt;H66,"PLAN","OK"))</f>
        <v>OK</v>
      </c>
      <c r="I68" s="6" t="str">
        <f aca="false">IF(I67&gt;I65,"CAPACITY",IF(I67&gt;I66,"PLAN","OK"))</f>
        <v>OK</v>
      </c>
      <c r="J68" s="6" t="str">
        <f aca="false">IF(J67&gt;J65,"CAPACITY",IF(J67&gt;J66,"PLAN","OK"))</f>
        <v>OK</v>
      </c>
      <c r="K68" s="6" t="str">
        <f aca="false">IF(K67&gt;K65,"CAPACITY",IF(K67&gt;K66,"PLAN","OK"))</f>
        <v>OK</v>
      </c>
    </row>
    <row r="70" customFormat="false" ht="15" hidden="false" customHeight="true" outlineLevel="0" collapsed="false">
      <c r="A70" s="8" t="s">
        <v>51</v>
      </c>
      <c r="B70" s="8"/>
      <c r="C70" s="8"/>
      <c r="D70" s="8"/>
      <c r="E70" s="8"/>
      <c r="F70" s="8"/>
      <c r="G70" s="8"/>
      <c r="H70" s="8"/>
      <c r="I70" s="8"/>
      <c r="J70" s="8"/>
      <c r="K70" s="8"/>
    </row>
    <row r="71" customFormat="false" ht="15" hidden="false" customHeight="true" outlineLevel="0" collapsed="false">
      <c r="B71" s="1" t="s">
        <v>67</v>
      </c>
      <c r="C71" s="1" t="s">
        <v>156</v>
      </c>
      <c r="D71" s="7" t="n">
        <v>0</v>
      </c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</row>
    <row r="72" customFormat="false" ht="15" hidden="false" customHeight="true" outlineLevel="0" collapsed="false">
      <c r="B72" s="1" t="s">
        <v>67</v>
      </c>
      <c r="C72" s="1" t="s">
        <v>157</v>
      </c>
      <c r="D72" s="9" t="n">
        <v>0</v>
      </c>
      <c r="E72" s="9" t="n">
        <v>0</v>
      </c>
      <c r="F72" s="9" t="n">
        <v>0</v>
      </c>
      <c r="G72" s="9" t="n">
        <v>0</v>
      </c>
      <c r="H72" s="9" t="n">
        <v>0</v>
      </c>
      <c r="I72" s="9" t="n">
        <v>0</v>
      </c>
      <c r="J72" s="9" t="n">
        <v>0</v>
      </c>
      <c r="K72" s="9" t="n">
        <v>0</v>
      </c>
    </row>
    <row r="73" customFormat="false" ht="15" hidden="false" customHeight="true" outlineLevel="0" collapsed="false">
      <c r="B73" s="1" t="s">
        <v>67</v>
      </c>
      <c r="C73" s="1" t="s">
        <v>158</v>
      </c>
      <c r="D73" s="6" t="n">
        <f aca="false">D71*D72</f>
        <v>0</v>
      </c>
      <c r="E73" s="6" t="n">
        <f aca="false">E71*E72</f>
        <v>0</v>
      </c>
      <c r="F73" s="6" t="n">
        <f aca="false">F71*F72</f>
        <v>0</v>
      </c>
      <c r="G73" s="6" t="n">
        <f aca="false">G71*G72</f>
        <v>0</v>
      </c>
      <c r="H73" s="6" t="n">
        <f aca="false">H71*H72</f>
        <v>0</v>
      </c>
      <c r="I73" s="6" t="n">
        <f aca="false">I71*I72</f>
        <v>0</v>
      </c>
      <c r="J73" s="6" t="n">
        <f aca="false">J71*J72</f>
        <v>0</v>
      </c>
      <c r="K73" s="6" t="n">
        <f aca="false">K71*K72</f>
        <v>0</v>
      </c>
    </row>
    <row r="74" customFormat="false" ht="15" hidden="false" customHeight="true" outlineLevel="0" collapsed="false">
      <c r="B74" s="1" t="s">
        <v>67</v>
      </c>
      <c r="C74" s="1" t="s">
        <v>159</v>
      </c>
      <c r="D74" s="7" t="n">
        <v>0</v>
      </c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</row>
    <row r="75" customFormat="false" ht="15" hidden="false" customHeight="true" outlineLevel="0" collapsed="false">
      <c r="B75" s="1" t="s">
        <v>67</v>
      </c>
      <c r="C75" s="1" t="s">
        <v>160</v>
      </c>
      <c r="D75" s="9" t="n">
        <v>0</v>
      </c>
      <c r="E75" s="9" t="n">
        <v>0</v>
      </c>
      <c r="F75" s="9" t="n">
        <v>0</v>
      </c>
      <c r="G75" s="9" t="n">
        <v>0</v>
      </c>
      <c r="H75" s="9" t="n">
        <v>0</v>
      </c>
      <c r="I75" s="9" t="n">
        <v>0</v>
      </c>
      <c r="J75" s="9" t="n">
        <v>0</v>
      </c>
      <c r="K75" s="9" t="n">
        <v>0</v>
      </c>
    </row>
    <row r="76" customFormat="false" ht="15" hidden="false" customHeight="true" outlineLevel="0" collapsed="false">
      <c r="B76" s="1" t="s">
        <v>67</v>
      </c>
      <c r="C76" s="1" t="s">
        <v>161</v>
      </c>
      <c r="D76" s="6" t="n">
        <f aca="false">IF(D75&gt;0,D74/D75*D72,0)</f>
        <v>0</v>
      </c>
      <c r="E76" s="6" t="n">
        <f aca="false">IF(E75&gt;0,E74/E75*E72,0)</f>
        <v>0</v>
      </c>
      <c r="F76" s="6" t="n">
        <f aca="false">IF(F75&gt;0,F74/F75*F72,0)</f>
        <v>0</v>
      </c>
      <c r="G76" s="6" t="n">
        <f aca="false">IF(G75&gt;0,G74/G75*G72,0)</f>
        <v>0</v>
      </c>
      <c r="H76" s="6" t="n">
        <f aca="false">IF(H75&gt;0,H74/H75*H72,0)</f>
        <v>0</v>
      </c>
      <c r="I76" s="6" t="n">
        <f aca="false">IF(I75&gt;0,I74/I75*I72,0)</f>
        <v>0</v>
      </c>
      <c r="J76" s="6" t="n">
        <f aca="false">IF(J75&gt;0,J74/J75*J72,0)</f>
        <v>0</v>
      </c>
      <c r="K76" s="6" t="n">
        <f aca="false">IF(K75&gt;0,K74/K75*K72,0)</f>
        <v>0</v>
      </c>
    </row>
    <row r="77" customFormat="false" ht="15" hidden="false" customHeight="true" outlineLevel="0" collapsed="false">
      <c r="B77" s="1" t="s">
        <v>67</v>
      </c>
      <c r="C77" s="1" t="s">
        <v>162</v>
      </c>
      <c r="D77" s="6" t="n">
        <f aca="false">MIN(D73,D76)</f>
        <v>0</v>
      </c>
      <c r="E77" s="6" t="n">
        <f aca="false">MIN(E73,E76)</f>
        <v>0</v>
      </c>
      <c r="F77" s="6" t="n">
        <f aca="false">MIN(F73,F76)</f>
        <v>0</v>
      </c>
      <c r="G77" s="6" t="n">
        <f aca="false">MIN(G73,G76)</f>
        <v>0</v>
      </c>
      <c r="H77" s="6" t="n">
        <f aca="false">MIN(H73,H76)</f>
        <v>0</v>
      </c>
      <c r="I77" s="6" t="n">
        <f aca="false">MIN(I73,I76)</f>
        <v>0</v>
      </c>
      <c r="J77" s="6" t="n">
        <f aca="false">MIN(J73,J76)</f>
        <v>0</v>
      </c>
      <c r="K77" s="6" t="n">
        <f aca="false">MIN(K73,K76)</f>
        <v>0</v>
      </c>
    </row>
    <row r="78" customFormat="false" ht="15" hidden="false" customHeight="true" outlineLevel="0" collapsed="false">
      <c r="B78" s="1" t="s">
        <v>67</v>
      </c>
      <c r="C78" s="1" t="s">
        <v>163</v>
      </c>
      <c r="D78" s="7" t="n">
        <v>0</v>
      </c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</row>
    <row r="79" customFormat="false" ht="15" hidden="false" customHeight="true" outlineLevel="0" collapsed="false">
      <c r="B79" s="1" t="s">
        <v>67</v>
      </c>
      <c r="C79" s="1" t="s">
        <v>164</v>
      </c>
      <c r="D79" s="6" t="n">
        <f aca="false">D77*(1+0.2*D78)</f>
        <v>0</v>
      </c>
      <c r="E79" s="6" t="n">
        <f aca="false">E77*(1+0.2*E78)</f>
        <v>0</v>
      </c>
      <c r="F79" s="6" t="n">
        <f aca="false">F77*(1+0.2*F78)</f>
        <v>0</v>
      </c>
      <c r="G79" s="6" t="n">
        <f aca="false">G77*(1+0.2*G78)</f>
        <v>0</v>
      </c>
      <c r="H79" s="6" t="n">
        <f aca="false">H77*(1+0.2*H78)</f>
        <v>0</v>
      </c>
      <c r="I79" s="6" t="n">
        <f aca="false">I77*(1+0.2*I78)</f>
        <v>0</v>
      </c>
      <c r="J79" s="6" t="n">
        <f aca="false">J77*(1+0.2*J78)</f>
        <v>0</v>
      </c>
      <c r="K79" s="6" t="n">
        <f aca="false">K77*(1+0.2*K78)</f>
        <v>0</v>
      </c>
    </row>
    <row r="80" customFormat="false" ht="15" hidden="false" customHeight="true" outlineLevel="0" collapsed="false">
      <c r="B80" s="1" t="s">
        <v>67</v>
      </c>
      <c r="C80" s="1" t="s">
        <v>150</v>
      </c>
      <c r="D80" s="9" t="n">
        <v>0</v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0</v>
      </c>
      <c r="J80" s="9" t="n">
        <v>0</v>
      </c>
      <c r="K80" s="9" t="n">
        <v>0</v>
      </c>
    </row>
    <row r="81" customFormat="false" ht="15" hidden="false" customHeight="true" outlineLevel="0" collapsed="false">
      <c r="B81" s="1" t="s">
        <v>67</v>
      </c>
      <c r="C81" s="1" t="s">
        <v>165</v>
      </c>
      <c r="D81" s="6" t="n">
        <f aca="false">MIN(D79,D80)</f>
        <v>0</v>
      </c>
      <c r="E81" s="6" t="n">
        <f aca="false">MIN(E79,E80)</f>
        <v>0</v>
      </c>
      <c r="F81" s="6" t="n">
        <f aca="false">MIN(F79,F80)</f>
        <v>0</v>
      </c>
      <c r="G81" s="6" t="n">
        <f aca="false">MIN(G79,G80)</f>
        <v>0</v>
      </c>
      <c r="H81" s="6" t="n">
        <f aca="false">MIN(H79,H80)</f>
        <v>0</v>
      </c>
      <c r="I81" s="6" t="n">
        <f aca="false">MIN(I79,I80)</f>
        <v>0</v>
      </c>
      <c r="J81" s="6" t="n">
        <f aca="false">MIN(J79,J80)</f>
        <v>0</v>
      </c>
      <c r="K81" s="6" t="n">
        <f aca="false">MIN(K79,K80)</f>
        <v>0</v>
      </c>
    </row>
    <row r="82" customFormat="false" ht="15" hidden="false" customHeight="true" outlineLevel="0" collapsed="false">
      <c r="B82" s="1" t="s">
        <v>67</v>
      </c>
      <c r="C82" s="1" t="s">
        <v>166</v>
      </c>
      <c r="D82" s="6" t="str">
        <f aca="false">IF(D81&gt;D79,"CAPACITY",IF(D81&gt;D80,"PLAN","OK"))</f>
        <v>OK</v>
      </c>
      <c r="E82" s="6" t="str">
        <f aca="false">IF(E81&gt;E79,"CAPACITY",IF(E81&gt;E80,"PLAN","OK"))</f>
        <v>OK</v>
      </c>
      <c r="F82" s="6" t="str">
        <f aca="false">IF(F81&gt;F79,"CAPACITY",IF(F81&gt;F80,"PLAN","OK"))</f>
        <v>OK</v>
      </c>
      <c r="G82" s="6" t="str">
        <f aca="false">IF(G81&gt;G79,"CAPACITY",IF(G81&gt;G80,"PLAN","OK"))</f>
        <v>OK</v>
      </c>
      <c r="H82" s="6" t="str">
        <f aca="false">IF(H81&gt;H79,"CAPACITY",IF(H81&gt;H80,"PLAN","OK"))</f>
        <v>OK</v>
      </c>
      <c r="I82" s="6" t="str">
        <f aca="false">IF(I81&gt;I79,"CAPACITY",IF(I81&gt;I80,"PLAN","OK"))</f>
        <v>OK</v>
      </c>
      <c r="J82" s="6" t="str">
        <f aca="false">IF(J81&gt;J79,"CAPACITY",IF(J81&gt;J80,"PLAN","OK"))</f>
        <v>OK</v>
      </c>
      <c r="K82" s="6" t="str">
        <f aca="false">IF(K81&gt;K79,"CAPACITY",IF(K81&gt;K80,"PLAN","OK"))</f>
        <v>OK</v>
      </c>
    </row>
    <row r="84" customFormat="false" ht="15" hidden="false" customHeight="true" outlineLevel="0" collapsed="false">
      <c r="B84" s="1" t="s">
        <v>69</v>
      </c>
      <c r="C84" s="1" t="s">
        <v>156</v>
      </c>
      <c r="D84" s="7" t="n">
        <v>0</v>
      </c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</row>
    <row r="85" customFormat="false" ht="15" hidden="false" customHeight="true" outlineLevel="0" collapsed="false">
      <c r="B85" s="1" t="s">
        <v>69</v>
      </c>
      <c r="C85" s="1" t="s">
        <v>157</v>
      </c>
      <c r="D85" s="9" t="n">
        <v>0</v>
      </c>
      <c r="E85" s="9" t="n">
        <v>0</v>
      </c>
      <c r="F85" s="9" t="n">
        <v>0</v>
      </c>
      <c r="G85" s="9" t="n">
        <v>0</v>
      </c>
      <c r="H85" s="9" t="n">
        <v>0</v>
      </c>
      <c r="I85" s="9" t="n">
        <v>0</v>
      </c>
      <c r="J85" s="9" t="n">
        <v>0</v>
      </c>
      <c r="K85" s="9" t="n">
        <v>0</v>
      </c>
    </row>
    <row r="86" customFormat="false" ht="15" hidden="false" customHeight="true" outlineLevel="0" collapsed="false">
      <c r="B86" s="1" t="s">
        <v>69</v>
      </c>
      <c r="C86" s="1" t="s">
        <v>158</v>
      </c>
      <c r="D86" s="6" t="n">
        <f aca="false">D84*D85</f>
        <v>0</v>
      </c>
      <c r="E86" s="6" t="n">
        <f aca="false">E84*E85</f>
        <v>0</v>
      </c>
      <c r="F86" s="6" t="n">
        <f aca="false">F84*F85</f>
        <v>0</v>
      </c>
      <c r="G86" s="6" t="n">
        <f aca="false">G84*G85</f>
        <v>0</v>
      </c>
      <c r="H86" s="6" t="n">
        <f aca="false">H84*H85</f>
        <v>0</v>
      </c>
      <c r="I86" s="6" t="n">
        <f aca="false">I84*I85</f>
        <v>0</v>
      </c>
      <c r="J86" s="6" t="n">
        <f aca="false">J84*J85</f>
        <v>0</v>
      </c>
      <c r="K86" s="6" t="n">
        <f aca="false">K84*K85</f>
        <v>0</v>
      </c>
    </row>
    <row r="87" customFormat="false" ht="15" hidden="false" customHeight="true" outlineLevel="0" collapsed="false">
      <c r="B87" s="1" t="s">
        <v>69</v>
      </c>
      <c r="C87" s="1" t="s">
        <v>159</v>
      </c>
      <c r="D87" s="7" t="n">
        <v>0</v>
      </c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</row>
    <row r="88" customFormat="false" ht="15" hidden="false" customHeight="true" outlineLevel="0" collapsed="false">
      <c r="B88" s="1" t="s">
        <v>69</v>
      </c>
      <c r="C88" s="1" t="s">
        <v>160</v>
      </c>
      <c r="D88" s="9" t="n">
        <v>0</v>
      </c>
      <c r="E88" s="9" t="n">
        <v>0</v>
      </c>
      <c r="F88" s="9" t="n">
        <v>0</v>
      </c>
      <c r="G88" s="9" t="n">
        <v>0</v>
      </c>
      <c r="H88" s="9" t="n">
        <v>0</v>
      </c>
      <c r="I88" s="9" t="n">
        <v>0</v>
      </c>
      <c r="J88" s="9" t="n">
        <v>0</v>
      </c>
      <c r="K88" s="9" t="n">
        <v>0</v>
      </c>
    </row>
    <row r="89" customFormat="false" ht="15" hidden="false" customHeight="true" outlineLevel="0" collapsed="false">
      <c r="B89" s="1" t="s">
        <v>69</v>
      </c>
      <c r="C89" s="1" t="s">
        <v>161</v>
      </c>
      <c r="D89" s="6" t="n">
        <f aca="false">IF(D88&gt;0,D87/D88*D85,0)</f>
        <v>0</v>
      </c>
      <c r="E89" s="6" t="n">
        <f aca="false">IF(E88&gt;0,E87/E88*E85,0)</f>
        <v>0</v>
      </c>
      <c r="F89" s="6" t="n">
        <f aca="false">IF(F88&gt;0,F87/F88*F85,0)</f>
        <v>0</v>
      </c>
      <c r="G89" s="6" t="n">
        <f aca="false">IF(G88&gt;0,G87/G88*G85,0)</f>
        <v>0</v>
      </c>
      <c r="H89" s="6" t="n">
        <f aca="false">IF(H88&gt;0,H87/H88*H85,0)</f>
        <v>0</v>
      </c>
      <c r="I89" s="6" t="n">
        <f aca="false">IF(I88&gt;0,I87/I88*I85,0)</f>
        <v>0</v>
      </c>
      <c r="J89" s="6" t="n">
        <f aca="false">IF(J88&gt;0,J87/J88*J85,0)</f>
        <v>0</v>
      </c>
      <c r="K89" s="6" t="n">
        <f aca="false">IF(K88&gt;0,K87/K88*K85,0)</f>
        <v>0</v>
      </c>
    </row>
    <row r="90" customFormat="false" ht="15" hidden="false" customHeight="true" outlineLevel="0" collapsed="false">
      <c r="B90" s="1" t="s">
        <v>69</v>
      </c>
      <c r="C90" s="1" t="s">
        <v>162</v>
      </c>
      <c r="D90" s="6" t="n">
        <f aca="false">MIN(D86,D89)</f>
        <v>0</v>
      </c>
      <c r="E90" s="6" t="n">
        <f aca="false">MIN(E86,E89)</f>
        <v>0</v>
      </c>
      <c r="F90" s="6" t="n">
        <f aca="false">MIN(F86,F89)</f>
        <v>0</v>
      </c>
      <c r="G90" s="6" t="n">
        <f aca="false">MIN(G86,G89)</f>
        <v>0</v>
      </c>
      <c r="H90" s="6" t="n">
        <f aca="false">MIN(H86,H89)</f>
        <v>0</v>
      </c>
      <c r="I90" s="6" t="n">
        <f aca="false">MIN(I86,I89)</f>
        <v>0</v>
      </c>
      <c r="J90" s="6" t="n">
        <f aca="false">MIN(J86,J89)</f>
        <v>0</v>
      </c>
      <c r="K90" s="6" t="n">
        <f aca="false">MIN(K86,K89)</f>
        <v>0</v>
      </c>
    </row>
    <row r="91" customFormat="false" ht="15" hidden="false" customHeight="true" outlineLevel="0" collapsed="false">
      <c r="B91" s="1" t="s">
        <v>69</v>
      </c>
      <c r="C91" s="1" t="s">
        <v>163</v>
      </c>
      <c r="D91" s="7" t="n">
        <v>0</v>
      </c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</row>
    <row r="92" customFormat="false" ht="15" hidden="false" customHeight="true" outlineLevel="0" collapsed="false">
      <c r="B92" s="1" t="s">
        <v>69</v>
      </c>
      <c r="C92" s="1" t="s">
        <v>164</v>
      </c>
      <c r="D92" s="6" t="n">
        <f aca="false">D90*(1+0.2*D91)</f>
        <v>0</v>
      </c>
      <c r="E92" s="6" t="n">
        <f aca="false">E90*(1+0.2*E91)</f>
        <v>0</v>
      </c>
      <c r="F92" s="6" t="n">
        <f aca="false">F90*(1+0.2*F91)</f>
        <v>0</v>
      </c>
      <c r="G92" s="6" t="n">
        <f aca="false">G90*(1+0.2*G91)</f>
        <v>0</v>
      </c>
      <c r="H92" s="6" t="n">
        <f aca="false">H90*(1+0.2*H91)</f>
        <v>0</v>
      </c>
      <c r="I92" s="6" t="n">
        <f aca="false">I90*(1+0.2*I91)</f>
        <v>0</v>
      </c>
      <c r="J92" s="6" t="n">
        <f aca="false">J90*(1+0.2*J91)</f>
        <v>0</v>
      </c>
      <c r="K92" s="6" t="n">
        <f aca="false">K90*(1+0.2*K91)</f>
        <v>0</v>
      </c>
    </row>
    <row r="93" customFormat="false" ht="15" hidden="false" customHeight="true" outlineLevel="0" collapsed="false">
      <c r="B93" s="1" t="s">
        <v>69</v>
      </c>
      <c r="C93" s="1" t="s">
        <v>150</v>
      </c>
      <c r="D93" s="9" t="n">
        <v>0</v>
      </c>
      <c r="E93" s="9" t="n">
        <v>0</v>
      </c>
      <c r="F93" s="9" t="n">
        <v>0</v>
      </c>
      <c r="G93" s="9" t="n">
        <v>0</v>
      </c>
      <c r="H93" s="9" t="n">
        <v>0</v>
      </c>
      <c r="I93" s="9" t="n">
        <v>0</v>
      </c>
      <c r="J93" s="9" t="n">
        <v>0</v>
      </c>
      <c r="K93" s="9" t="n">
        <v>0</v>
      </c>
    </row>
    <row r="94" customFormat="false" ht="15" hidden="false" customHeight="true" outlineLevel="0" collapsed="false">
      <c r="B94" s="1" t="s">
        <v>69</v>
      </c>
      <c r="C94" s="1" t="s">
        <v>165</v>
      </c>
      <c r="D94" s="6" t="n">
        <f aca="false">MIN(D92,D93)</f>
        <v>0</v>
      </c>
      <c r="E94" s="6" t="n">
        <f aca="false">MIN(E92,E93)</f>
        <v>0</v>
      </c>
      <c r="F94" s="6" t="n">
        <f aca="false">MIN(F92,F93)</f>
        <v>0</v>
      </c>
      <c r="G94" s="6" t="n">
        <f aca="false">MIN(G92,G93)</f>
        <v>0</v>
      </c>
      <c r="H94" s="6" t="n">
        <f aca="false">MIN(H92,H93)</f>
        <v>0</v>
      </c>
      <c r="I94" s="6" t="n">
        <f aca="false">MIN(I92,I93)</f>
        <v>0</v>
      </c>
      <c r="J94" s="6" t="n">
        <f aca="false">MIN(J92,J93)</f>
        <v>0</v>
      </c>
      <c r="K94" s="6" t="n">
        <f aca="false">MIN(K92,K93)</f>
        <v>0</v>
      </c>
    </row>
    <row r="95" customFormat="false" ht="15" hidden="false" customHeight="true" outlineLevel="0" collapsed="false">
      <c r="B95" s="1" t="s">
        <v>69</v>
      </c>
      <c r="C95" s="1" t="s">
        <v>166</v>
      </c>
      <c r="D95" s="6" t="str">
        <f aca="false">IF(D94&gt;D92,"CAPACITY",IF(D94&gt;D93,"PLAN","OK"))</f>
        <v>OK</v>
      </c>
      <c r="E95" s="6" t="str">
        <f aca="false">IF(E94&gt;E92,"CAPACITY",IF(E94&gt;E93,"PLAN","OK"))</f>
        <v>OK</v>
      </c>
      <c r="F95" s="6" t="str">
        <f aca="false">IF(F94&gt;F92,"CAPACITY",IF(F94&gt;F93,"PLAN","OK"))</f>
        <v>OK</v>
      </c>
      <c r="G95" s="6" t="str">
        <f aca="false">IF(G94&gt;G92,"CAPACITY",IF(G94&gt;G93,"PLAN","OK"))</f>
        <v>OK</v>
      </c>
      <c r="H95" s="6" t="str">
        <f aca="false">IF(H94&gt;H92,"CAPACITY",IF(H94&gt;H93,"PLAN","OK"))</f>
        <v>OK</v>
      </c>
      <c r="I95" s="6" t="str">
        <f aca="false">IF(I94&gt;I92,"CAPACITY",IF(I94&gt;I93,"PLAN","OK"))</f>
        <v>OK</v>
      </c>
      <c r="J95" s="6" t="str">
        <f aca="false">IF(J94&gt;J92,"CAPACITY",IF(J94&gt;J93,"PLAN","OK"))</f>
        <v>OK</v>
      </c>
      <c r="K95" s="6" t="str">
        <f aca="false">IF(K94&gt;K92,"CAPACITY",IF(K94&gt;K93,"PLAN","OK"))</f>
        <v>OK</v>
      </c>
    </row>
    <row r="97" customFormat="false" ht="15" hidden="false" customHeight="true" outlineLevel="0" collapsed="false">
      <c r="B97" s="1" t="s">
        <v>71</v>
      </c>
      <c r="C97" s="1" t="s">
        <v>156</v>
      </c>
      <c r="D97" s="7" t="n">
        <v>0</v>
      </c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</row>
    <row r="98" customFormat="false" ht="15" hidden="false" customHeight="true" outlineLevel="0" collapsed="false">
      <c r="B98" s="1" t="s">
        <v>71</v>
      </c>
      <c r="C98" s="1" t="s">
        <v>157</v>
      </c>
      <c r="D98" s="9" t="n">
        <v>0</v>
      </c>
      <c r="E98" s="9" t="n">
        <v>0</v>
      </c>
      <c r="F98" s="9" t="n">
        <v>0</v>
      </c>
      <c r="G98" s="9" t="n">
        <v>0</v>
      </c>
      <c r="H98" s="9" t="n">
        <v>0</v>
      </c>
      <c r="I98" s="9" t="n">
        <v>0</v>
      </c>
      <c r="J98" s="9" t="n">
        <v>0</v>
      </c>
      <c r="K98" s="9" t="n">
        <v>0</v>
      </c>
    </row>
    <row r="99" customFormat="false" ht="15" hidden="false" customHeight="true" outlineLevel="0" collapsed="false">
      <c r="B99" s="1" t="s">
        <v>71</v>
      </c>
      <c r="C99" s="1" t="s">
        <v>158</v>
      </c>
      <c r="D99" s="6" t="n">
        <f aca="false">D97*D98</f>
        <v>0</v>
      </c>
      <c r="E99" s="6" t="n">
        <f aca="false">E97*E98</f>
        <v>0</v>
      </c>
      <c r="F99" s="6" t="n">
        <f aca="false">F97*F98</f>
        <v>0</v>
      </c>
      <c r="G99" s="6" t="n">
        <f aca="false">G97*G98</f>
        <v>0</v>
      </c>
      <c r="H99" s="6" t="n">
        <f aca="false">H97*H98</f>
        <v>0</v>
      </c>
      <c r="I99" s="6" t="n">
        <f aca="false">I97*I98</f>
        <v>0</v>
      </c>
      <c r="J99" s="6" t="n">
        <f aca="false">J97*J98</f>
        <v>0</v>
      </c>
      <c r="K99" s="6" t="n">
        <f aca="false">K97*K98</f>
        <v>0</v>
      </c>
    </row>
    <row r="100" customFormat="false" ht="15" hidden="false" customHeight="true" outlineLevel="0" collapsed="false">
      <c r="B100" s="1" t="s">
        <v>71</v>
      </c>
      <c r="C100" s="1" t="s">
        <v>159</v>
      </c>
      <c r="D100" s="7" t="n">
        <v>0</v>
      </c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</row>
    <row r="101" customFormat="false" ht="15" hidden="false" customHeight="true" outlineLevel="0" collapsed="false">
      <c r="B101" s="1" t="s">
        <v>71</v>
      </c>
      <c r="C101" s="1" t="s">
        <v>160</v>
      </c>
      <c r="D101" s="9" t="n">
        <v>0</v>
      </c>
      <c r="E101" s="9" t="n">
        <v>0</v>
      </c>
      <c r="F101" s="9" t="n">
        <v>0</v>
      </c>
      <c r="G101" s="9" t="n">
        <v>0</v>
      </c>
      <c r="H101" s="9" t="n">
        <v>0</v>
      </c>
      <c r="I101" s="9" t="n">
        <v>0</v>
      </c>
      <c r="J101" s="9" t="n">
        <v>0</v>
      </c>
      <c r="K101" s="9" t="n">
        <v>0</v>
      </c>
    </row>
    <row r="102" customFormat="false" ht="15" hidden="false" customHeight="true" outlineLevel="0" collapsed="false">
      <c r="B102" s="1" t="s">
        <v>71</v>
      </c>
      <c r="C102" s="1" t="s">
        <v>161</v>
      </c>
      <c r="D102" s="6" t="n">
        <f aca="false">IF(D101&gt;0,D100/D101*D98,0)</f>
        <v>0</v>
      </c>
      <c r="E102" s="6" t="n">
        <f aca="false">IF(E101&gt;0,E100/E101*E98,0)</f>
        <v>0</v>
      </c>
      <c r="F102" s="6" t="n">
        <f aca="false">IF(F101&gt;0,F100/F101*F98,0)</f>
        <v>0</v>
      </c>
      <c r="G102" s="6" t="n">
        <f aca="false">IF(G101&gt;0,G100/G101*G98,0)</f>
        <v>0</v>
      </c>
      <c r="H102" s="6" t="n">
        <f aca="false">IF(H101&gt;0,H100/H101*H98,0)</f>
        <v>0</v>
      </c>
      <c r="I102" s="6" t="n">
        <f aca="false">IF(I101&gt;0,I100/I101*I98,0)</f>
        <v>0</v>
      </c>
      <c r="J102" s="6" t="n">
        <f aca="false">IF(J101&gt;0,J100/J101*J98,0)</f>
        <v>0</v>
      </c>
      <c r="K102" s="6" t="n">
        <f aca="false">IF(K101&gt;0,K100/K101*K98,0)</f>
        <v>0</v>
      </c>
    </row>
    <row r="103" customFormat="false" ht="15" hidden="false" customHeight="true" outlineLevel="0" collapsed="false">
      <c r="B103" s="1" t="s">
        <v>71</v>
      </c>
      <c r="C103" s="1" t="s">
        <v>162</v>
      </c>
      <c r="D103" s="6" t="n">
        <f aca="false">MIN(D99,D102)</f>
        <v>0</v>
      </c>
      <c r="E103" s="6" t="n">
        <f aca="false">MIN(E99,E102)</f>
        <v>0</v>
      </c>
      <c r="F103" s="6" t="n">
        <f aca="false">MIN(F99,F102)</f>
        <v>0</v>
      </c>
      <c r="G103" s="6" t="n">
        <f aca="false">MIN(G99,G102)</f>
        <v>0</v>
      </c>
      <c r="H103" s="6" t="n">
        <f aca="false">MIN(H99,H102)</f>
        <v>0</v>
      </c>
      <c r="I103" s="6" t="n">
        <f aca="false">MIN(I99,I102)</f>
        <v>0</v>
      </c>
      <c r="J103" s="6" t="n">
        <f aca="false">MIN(J99,J102)</f>
        <v>0</v>
      </c>
      <c r="K103" s="6" t="n">
        <f aca="false">MIN(K99,K102)</f>
        <v>0</v>
      </c>
    </row>
    <row r="104" customFormat="false" ht="15" hidden="false" customHeight="true" outlineLevel="0" collapsed="false">
      <c r="B104" s="1" t="s">
        <v>71</v>
      </c>
      <c r="C104" s="1" t="s">
        <v>163</v>
      </c>
      <c r="D104" s="7" t="n">
        <v>0</v>
      </c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</row>
    <row r="105" customFormat="false" ht="15" hidden="false" customHeight="true" outlineLevel="0" collapsed="false">
      <c r="B105" s="1" t="s">
        <v>71</v>
      </c>
      <c r="C105" s="1" t="s">
        <v>164</v>
      </c>
      <c r="D105" s="6" t="n">
        <f aca="false">D103*(1+0.2*D104)</f>
        <v>0</v>
      </c>
      <c r="E105" s="6" t="n">
        <f aca="false">E103*(1+0.2*E104)</f>
        <v>0</v>
      </c>
      <c r="F105" s="6" t="n">
        <f aca="false">F103*(1+0.2*F104)</f>
        <v>0</v>
      </c>
      <c r="G105" s="6" t="n">
        <f aca="false">G103*(1+0.2*G104)</f>
        <v>0</v>
      </c>
      <c r="H105" s="6" t="n">
        <f aca="false">H103*(1+0.2*H104)</f>
        <v>0</v>
      </c>
      <c r="I105" s="6" t="n">
        <f aca="false">I103*(1+0.2*I104)</f>
        <v>0</v>
      </c>
      <c r="J105" s="6" t="n">
        <f aca="false">J103*(1+0.2*J104)</f>
        <v>0</v>
      </c>
      <c r="K105" s="6" t="n">
        <f aca="false">K103*(1+0.2*K104)</f>
        <v>0</v>
      </c>
    </row>
    <row r="106" customFormat="false" ht="15" hidden="false" customHeight="true" outlineLevel="0" collapsed="false">
      <c r="B106" s="1" t="s">
        <v>71</v>
      </c>
      <c r="C106" s="1" t="s">
        <v>150</v>
      </c>
      <c r="D106" s="9" t="n">
        <v>0</v>
      </c>
      <c r="E106" s="9" t="n">
        <v>0</v>
      </c>
      <c r="F106" s="9" t="n">
        <v>0</v>
      </c>
      <c r="G106" s="9" t="n">
        <v>0</v>
      </c>
      <c r="H106" s="9" t="n">
        <v>0</v>
      </c>
      <c r="I106" s="9" t="n">
        <v>0</v>
      </c>
      <c r="J106" s="9" t="n">
        <v>0</v>
      </c>
      <c r="K106" s="9" t="n">
        <v>0</v>
      </c>
    </row>
    <row r="107" customFormat="false" ht="15" hidden="false" customHeight="true" outlineLevel="0" collapsed="false">
      <c r="B107" s="1" t="s">
        <v>71</v>
      </c>
      <c r="C107" s="1" t="s">
        <v>165</v>
      </c>
      <c r="D107" s="6" t="n">
        <f aca="false">MIN(D105,D106)</f>
        <v>0</v>
      </c>
      <c r="E107" s="6" t="n">
        <f aca="false">MIN(E105,E106)</f>
        <v>0</v>
      </c>
      <c r="F107" s="6" t="n">
        <f aca="false">MIN(F105,F106)</f>
        <v>0</v>
      </c>
      <c r="G107" s="6" t="n">
        <f aca="false">MIN(G105,G106)</f>
        <v>0</v>
      </c>
      <c r="H107" s="6" t="n">
        <f aca="false">MIN(H105,H106)</f>
        <v>0</v>
      </c>
      <c r="I107" s="6" t="n">
        <f aca="false">MIN(I105,I106)</f>
        <v>0</v>
      </c>
      <c r="J107" s="6" t="n">
        <f aca="false">MIN(J105,J106)</f>
        <v>0</v>
      </c>
      <c r="K107" s="6" t="n">
        <f aca="false">MIN(K105,K106)</f>
        <v>0</v>
      </c>
    </row>
    <row r="108" customFormat="false" ht="15" hidden="false" customHeight="true" outlineLevel="0" collapsed="false">
      <c r="B108" s="1" t="s">
        <v>71</v>
      </c>
      <c r="C108" s="1" t="s">
        <v>166</v>
      </c>
      <c r="D108" s="6" t="str">
        <f aca="false">IF(D107&gt;D105,"CAPACITY",IF(D107&gt;D106,"PLAN","OK"))</f>
        <v>OK</v>
      </c>
      <c r="E108" s="6" t="str">
        <f aca="false">IF(E107&gt;E105,"CAPACITY",IF(E107&gt;E106,"PLAN","OK"))</f>
        <v>OK</v>
      </c>
      <c r="F108" s="6" t="str">
        <f aca="false">IF(F107&gt;F105,"CAPACITY",IF(F107&gt;F106,"PLAN","OK"))</f>
        <v>OK</v>
      </c>
      <c r="G108" s="6" t="str">
        <f aca="false">IF(G107&gt;G105,"CAPACITY",IF(G107&gt;G106,"PLAN","OK"))</f>
        <v>OK</v>
      </c>
      <c r="H108" s="6" t="str">
        <f aca="false">IF(H107&gt;H105,"CAPACITY",IF(H107&gt;H106,"PLAN","OK"))</f>
        <v>OK</v>
      </c>
      <c r="I108" s="6" t="str">
        <f aca="false">IF(I107&gt;I105,"CAPACITY",IF(I107&gt;I106,"PLAN","OK"))</f>
        <v>OK</v>
      </c>
      <c r="J108" s="6" t="str">
        <f aca="false">IF(J107&gt;J105,"CAPACITY",IF(J107&gt;J106,"PLAN","OK"))</f>
        <v>OK</v>
      </c>
      <c r="K108" s="6" t="str">
        <f aca="false">IF(K107&gt;K105,"CAPACITY",IF(K107&gt;K106,"PLAN","OK"))</f>
        <v>OK</v>
      </c>
    </row>
    <row r="110" customFormat="false" ht="15" hidden="false" customHeight="true" outlineLevel="0" collapsed="false">
      <c r="B110" s="1" t="s">
        <v>75</v>
      </c>
      <c r="C110" s="1" t="s">
        <v>156</v>
      </c>
      <c r="D110" s="7" t="n">
        <v>0</v>
      </c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</row>
    <row r="111" customFormat="false" ht="15" hidden="false" customHeight="true" outlineLevel="0" collapsed="false">
      <c r="B111" s="1" t="s">
        <v>75</v>
      </c>
      <c r="C111" s="1" t="s">
        <v>157</v>
      </c>
      <c r="D111" s="9" t="n">
        <v>0</v>
      </c>
      <c r="E111" s="9" t="n">
        <v>0</v>
      </c>
      <c r="F111" s="9" t="n">
        <v>0</v>
      </c>
      <c r="G111" s="9" t="n">
        <v>0</v>
      </c>
      <c r="H111" s="9" t="n">
        <v>0</v>
      </c>
      <c r="I111" s="9" t="n">
        <v>0</v>
      </c>
      <c r="J111" s="9" t="n">
        <v>0</v>
      </c>
      <c r="K111" s="9" t="n">
        <v>0</v>
      </c>
    </row>
    <row r="112" customFormat="false" ht="15" hidden="false" customHeight="true" outlineLevel="0" collapsed="false">
      <c r="B112" s="1" t="s">
        <v>75</v>
      </c>
      <c r="C112" s="1" t="s">
        <v>158</v>
      </c>
      <c r="D112" s="6" t="n">
        <f aca="false">D110*D111</f>
        <v>0</v>
      </c>
      <c r="E112" s="6" t="n">
        <f aca="false">E110*E111</f>
        <v>0</v>
      </c>
      <c r="F112" s="6" t="n">
        <f aca="false">F110*F111</f>
        <v>0</v>
      </c>
      <c r="G112" s="6" t="n">
        <f aca="false">G110*G111</f>
        <v>0</v>
      </c>
      <c r="H112" s="6" t="n">
        <f aca="false">H110*H111</f>
        <v>0</v>
      </c>
      <c r="I112" s="6" t="n">
        <f aca="false">I110*I111</f>
        <v>0</v>
      </c>
      <c r="J112" s="6" t="n">
        <f aca="false">J110*J111</f>
        <v>0</v>
      </c>
      <c r="K112" s="6" t="n">
        <f aca="false">K110*K111</f>
        <v>0</v>
      </c>
    </row>
    <row r="113" customFormat="false" ht="15" hidden="false" customHeight="true" outlineLevel="0" collapsed="false">
      <c r="B113" s="1" t="s">
        <v>75</v>
      </c>
      <c r="C113" s="1" t="s">
        <v>159</v>
      </c>
      <c r="D113" s="7" t="n">
        <v>0</v>
      </c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</row>
    <row r="114" customFormat="false" ht="15" hidden="false" customHeight="true" outlineLevel="0" collapsed="false">
      <c r="B114" s="1" t="s">
        <v>75</v>
      </c>
      <c r="C114" s="1" t="s">
        <v>160</v>
      </c>
      <c r="D114" s="9" t="n">
        <v>0</v>
      </c>
      <c r="E114" s="9" t="n">
        <v>0</v>
      </c>
      <c r="F114" s="9" t="n">
        <v>0</v>
      </c>
      <c r="G114" s="9" t="n">
        <v>0</v>
      </c>
      <c r="H114" s="9" t="n">
        <v>0</v>
      </c>
      <c r="I114" s="9" t="n">
        <v>0</v>
      </c>
      <c r="J114" s="9" t="n">
        <v>0</v>
      </c>
      <c r="K114" s="9" t="n">
        <v>0</v>
      </c>
    </row>
    <row r="115" customFormat="false" ht="15" hidden="false" customHeight="true" outlineLevel="0" collapsed="false">
      <c r="B115" s="1" t="s">
        <v>75</v>
      </c>
      <c r="C115" s="1" t="s">
        <v>161</v>
      </c>
      <c r="D115" s="6" t="n">
        <f aca="false">IF(D114&gt;0,D113/D114*D111,0)</f>
        <v>0</v>
      </c>
      <c r="E115" s="6" t="n">
        <f aca="false">IF(E114&gt;0,E113/E114*E111,0)</f>
        <v>0</v>
      </c>
      <c r="F115" s="6" t="n">
        <f aca="false">IF(F114&gt;0,F113/F114*F111,0)</f>
        <v>0</v>
      </c>
      <c r="G115" s="6" t="n">
        <f aca="false">IF(G114&gt;0,G113/G114*G111,0)</f>
        <v>0</v>
      </c>
      <c r="H115" s="6" t="n">
        <f aca="false">IF(H114&gt;0,H113/H114*H111,0)</f>
        <v>0</v>
      </c>
      <c r="I115" s="6" t="n">
        <f aca="false">IF(I114&gt;0,I113/I114*I111,0)</f>
        <v>0</v>
      </c>
      <c r="J115" s="6" t="n">
        <f aca="false">IF(J114&gt;0,J113/J114*J111,0)</f>
        <v>0</v>
      </c>
      <c r="K115" s="6" t="n">
        <f aca="false">IF(K114&gt;0,K113/K114*K111,0)</f>
        <v>0</v>
      </c>
    </row>
    <row r="116" customFormat="false" ht="15" hidden="false" customHeight="true" outlineLevel="0" collapsed="false">
      <c r="B116" s="1" t="s">
        <v>75</v>
      </c>
      <c r="C116" s="1" t="s">
        <v>162</v>
      </c>
      <c r="D116" s="6" t="n">
        <f aca="false">MIN(D112,D115)</f>
        <v>0</v>
      </c>
      <c r="E116" s="6" t="n">
        <f aca="false">MIN(E112,E115)</f>
        <v>0</v>
      </c>
      <c r="F116" s="6" t="n">
        <f aca="false">MIN(F112,F115)</f>
        <v>0</v>
      </c>
      <c r="G116" s="6" t="n">
        <f aca="false">MIN(G112,G115)</f>
        <v>0</v>
      </c>
      <c r="H116" s="6" t="n">
        <f aca="false">MIN(H112,H115)</f>
        <v>0</v>
      </c>
      <c r="I116" s="6" t="n">
        <f aca="false">MIN(I112,I115)</f>
        <v>0</v>
      </c>
      <c r="J116" s="6" t="n">
        <f aca="false">MIN(J112,J115)</f>
        <v>0</v>
      </c>
      <c r="K116" s="6" t="n">
        <f aca="false">MIN(K112,K115)</f>
        <v>0</v>
      </c>
    </row>
    <row r="117" customFormat="false" ht="15" hidden="false" customHeight="true" outlineLevel="0" collapsed="false">
      <c r="B117" s="1" t="s">
        <v>75</v>
      </c>
      <c r="C117" s="1" t="s">
        <v>163</v>
      </c>
      <c r="D117" s="7" t="n">
        <v>0</v>
      </c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</row>
    <row r="118" customFormat="false" ht="15" hidden="false" customHeight="true" outlineLevel="0" collapsed="false">
      <c r="B118" s="1" t="s">
        <v>75</v>
      </c>
      <c r="C118" s="1" t="s">
        <v>164</v>
      </c>
      <c r="D118" s="6" t="n">
        <f aca="false">D116*(1+0.2*D117)</f>
        <v>0</v>
      </c>
      <c r="E118" s="6" t="n">
        <f aca="false">E116*(1+0.2*E117)</f>
        <v>0</v>
      </c>
      <c r="F118" s="6" t="n">
        <f aca="false">F116*(1+0.2*F117)</f>
        <v>0</v>
      </c>
      <c r="G118" s="6" t="n">
        <f aca="false">G116*(1+0.2*G117)</f>
        <v>0</v>
      </c>
      <c r="H118" s="6" t="n">
        <f aca="false">H116*(1+0.2*H117)</f>
        <v>0</v>
      </c>
      <c r="I118" s="6" t="n">
        <f aca="false">I116*(1+0.2*I117)</f>
        <v>0</v>
      </c>
      <c r="J118" s="6" t="n">
        <f aca="false">J116*(1+0.2*J117)</f>
        <v>0</v>
      </c>
      <c r="K118" s="6" t="n">
        <f aca="false">K116*(1+0.2*K117)</f>
        <v>0</v>
      </c>
    </row>
    <row r="119" customFormat="false" ht="15" hidden="false" customHeight="true" outlineLevel="0" collapsed="false">
      <c r="B119" s="1" t="s">
        <v>75</v>
      </c>
      <c r="C119" s="1" t="s">
        <v>150</v>
      </c>
      <c r="D119" s="9" t="n">
        <v>0</v>
      </c>
      <c r="E119" s="9" t="n">
        <v>0</v>
      </c>
      <c r="F119" s="9" t="n">
        <v>0</v>
      </c>
      <c r="G119" s="9" t="n">
        <v>0</v>
      </c>
      <c r="H119" s="9" t="n">
        <v>0</v>
      </c>
      <c r="I119" s="9" t="n">
        <v>0</v>
      </c>
      <c r="J119" s="9" t="n">
        <v>0</v>
      </c>
      <c r="K119" s="9" t="n">
        <v>0</v>
      </c>
    </row>
    <row r="120" customFormat="false" ht="15" hidden="false" customHeight="true" outlineLevel="0" collapsed="false">
      <c r="B120" s="1" t="s">
        <v>75</v>
      </c>
      <c r="C120" s="1" t="s">
        <v>165</v>
      </c>
      <c r="D120" s="6" t="n">
        <f aca="false">MIN(D118,D119)</f>
        <v>0</v>
      </c>
      <c r="E120" s="6" t="n">
        <f aca="false">MIN(E118,E119)</f>
        <v>0</v>
      </c>
      <c r="F120" s="6" t="n">
        <f aca="false">MIN(F118,F119)</f>
        <v>0</v>
      </c>
      <c r="G120" s="6" t="n">
        <f aca="false">MIN(G118,G119)</f>
        <v>0</v>
      </c>
      <c r="H120" s="6" t="n">
        <f aca="false">MIN(H118,H119)</f>
        <v>0</v>
      </c>
      <c r="I120" s="6" t="n">
        <f aca="false">MIN(I118,I119)</f>
        <v>0</v>
      </c>
      <c r="J120" s="6" t="n">
        <f aca="false">MIN(J118,J119)</f>
        <v>0</v>
      </c>
      <c r="K120" s="6" t="n">
        <f aca="false">MIN(K118,K119)</f>
        <v>0</v>
      </c>
    </row>
    <row r="121" customFormat="false" ht="15" hidden="false" customHeight="true" outlineLevel="0" collapsed="false">
      <c r="B121" s="1" t="s">
        <v>75</v>
      </c>
      <c r="C121" s="1" t="s">
        <v>166</v>
      </c>
      <c r="D121" s="6" t="str">
        <f aca="false">IF(D120&gt;D118,"CAPACITY",IF(D120&gt;D119,"PLAN","OK"))</f>
        <v>OK</v>
      </c>
      <c r="E121" s="6" t="str">
        <f aca="false">IF(E120&gt;E118,"CAPACITY",IF(E120&gt;E119,"PLAN","OK"))</f>
        <v>OK</v>
      </c>
      <c r="F121" s="6" t="str">
        <f aca="false">IF(F120&gt;F118,"CAPACITY",IF(F120&gt;F119,"PLAN","OK"))</f>
        <v>OK</v>
      </c>
      <c r="G121" s="6" t="str">
        <f aca="false">IF(G120&gt;G118,"CAPACITY",IF(G120&gt;G119,"PLAN","OK"))</f>
        <v>OK</v>
      </c>
      <c r="H121" s="6" t="str">
        <f aca="false">IF(H120&gt;H118,"CAPACITY",IF(H120&gt;H119,"PLAN","OK"))</f>
        <v>OK</v>
      </c>
      <c r="I121" s="6" t="str">
        <f aca="false">IF(I120&gt;I118,"CAPACITY",IF(I120&gt;I119,"PLAN","OK"))</f>
        <v>OK</v>
      </c>
      <c r="J121" s="6" t="str">
        <f aca="false">IF(J120&gt;J118,"CAPACITY",IF(J120&gt;J119,"PLAN","OK"))</f>
        <v>OK</v>
      </c>
      <c r="K121" s="6" t="str">
        <f aca="false">IF(K120&gt;K118,"CAPACITY",IF(K120&gt;K119,"PLAN","OK"))</f>
        <v>OK</v>
      </c>
    </row>
    <row r="123" customFormat="false" ht="15" hidden="false" customHeight="true" outlineLevel="0" collapsed="false">
      <c r="B123" s="1" t="s">
        <v>77</v>
      </c>
      <c r="C123" s="1" t="s">
        <v>156</v>
      </c>
      <c r="D123" s="7" t="n">
        <v>0</v>
      </c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</row>
    <row r="124" customFormat="false" ht="15" hidden="false" customHeight="true" outlineLevel="0" collapsed="false">
      <c r="B124" s="1" t="s">
        <v>77</v>
      </c>
      <c r="C124" s="1" t="s">
        <v>157</v>
      </c>
      <c r="D124" s="9" t="n">
        <v>0</v>
      </c>
      <c r="E124" s="9" t="n">
        <v>0</v>
      </c>
      <c r="F124" s="9" t="n">
        <v>0</v>
      </c>
      <c r="G124" s="9" t="n">
        <v>0</v>
      </c>
      <c r="H124" s="9" t="n">
        <v>0</v>
      </c>
      <c r="I124" s="9" t="n">
        <v>0</v>
      </c>
      <c r="J124" s="9" t="n">
        <v>0</v>
      </c>
      <c r="K124" s="9" t="n">
        <v>0</v>
      </c>
    </row>
    <row r="125" customFormat="false" ht="15" hidden="false" customHeight="true" outlineLevel="0" collapsed="false">
      <c r="B125" s="1" t="s">
        <v>77</v>
      </c>
      <c r="C125" s="1" t="s">
        <v>158</v>
      </c>
      <c r="D125" s="6" t="n">
        <f aca="false">D123*D124</f>
        <v>0</v>
      </c>
      <c r="E125" s="6" t="n">
        <f aca="false">E123*E124</f>
        <v>0</v>
      </c>
      <c r="F125" s="6" t="n">
        <f aca="false">F123*F124</f>
        <v>0</v>
      </c>
      <c r="G125" s="6" t="n">
        <f aca="false">G123*G124</f>
        <v>0</v>
      </c>
      <c r="H125" s="6" t="n">
        <f aca="false">H123*H124</f>
        <v>0</v>
      </c>
      <c r="I125" s="6" t="n">
        <f aca="false">I123*I124</f>
        <v>0</v>
      </c>
      <c r="J125" s="6" t="n">
        <f aca="false">J123*J124</f>
        <v>0</v>
      </c>
      <c r="K125" s="6" t="n">
        <f aca="false">K123*K124</f>
        <v>0</v>
      </c>
    </row>
    <row r="126" customFormat="false" ht="15" hidden="false" customHeight="true" outlineLevel="0" collapsed="false">
      <c r="B126" s="1" t="s">
        <v>77</v>
      </c>
      <c r="C126" s="1" t="s">
        <v>159</v>
      </c>
      <c r="D126" s="7" t="n">
        <v>0</v>
      </c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</row>
    <row r="127" customFormat="false" ht="15" hidden="false" customHeight="true" outlineLevel="0" collapsed="false">
      <c r="B127" s="1" t="s">
        <v>77</v>
      </c>
      <c r="C127" s="1" t="s">
        <v>160</v>
      </c>
      <c r="D127" s="9" t="n">
        <v>0</v>
      </c>
      <c r="E127" s="9" t="n">
        <v>0</v>
      </c>
      <c r="F127" s="9" t="n">
        <v>0</v>
      </c>
      <c r="G127" s="9" t="n">
        <v>0</v>
      </c>
      <c r="H127" s="9" t="n">
        <v>0</v>
      </c>
      <c r="I127" s="9" t="n">
        <v>0</v>
      </c>
      <c r="J127" s="9" t="n">
        <v>0</v>
      </c>
      <c r="K127" s="9" t="n">
        <v>0</v>
      </c>
    </row>
    <row r="128" customFormat="false" ht="15" hidden="false" customHeight="true" outlineLevel="0" collapsed="false">
      <c r="B128" s="1" t="s">
        <v>77</v>
      </c>
      <c r="C128" s="1" t="s">
        <v>161</v>
      </c>
      <c r="D128" s="6" t="n">
        <f aca="false">IF(D127&gt;0,D126/D127*D124,0)</f>
        <v>0</v>
      </c>
      <c r="E128" s="6" t="n">
        <f aca="false">IF(E127&gt;0,E126/E127*E124,0)</f>
        <v>0</v>
      </c>
      <c r="F128" s="6" t="n">
        <f aca="false">IF(F127&gt;0,F126/F127*F124,0)</f>
        <v>0</v>
      </c>
      <c r="G128" s="6" t="n">
        <f aca="false">IF(G127&gt;0,G126/G127*G124,0)</f>
        <v>0</v>
      </c>
      <c r="H128" s="6" t="n">
        <f aca="false">IF(H127&gt;0,H126/H127*H124,0)</f>
        <v>0</v>
      </c>
      <c r="I128" s="6" t="n">
        <f aca="false">IF(I127&gt;0,I126/I127*I124,0)</f>
        <v>0</v>
      </c>
      <c r="J128" s="6" t="n">
        <f aca="false">IF(J127&gt;0,J126/J127*J124,0)</f>
        <v>0</v>
      </c>
      <c r="K128" s="6" t="n">
        <f aca="false">IF(K127&gt;0,K126/K127*K124,0)</f>
        <v>0</v>
      </c>
    </row>
    <row r="129" customFormat="false" ht="15" hidden="false" customHeight="true" outlineLevel="0" collapsed="false">
      <c r="B129" s="1" t="s">
        <v>77</v>
      </c>
      <c r="C129" s="1" t="s">
        <v>162</v>
      </c>
      <c r="D129" s="6" t="n">
        <f aca="false">MIN(D125,D128)</f>
        <v>0</v>
      </c>
      <c r="E129" s="6" t="n">
        <f aca="false">MIN(E125,E128)</f>
        <v>0</v>
      </c>
      <c r="F129" s="6" t="n">
        <f aca="false">MIN(F125,F128)</f>
        <v>0</v>
      </c>
      <c r="G129" s="6" t="n">
        <f aca="false">MIN(G125,G128)</f>
        <v>0</v>
      </c>
      <c r="H129" s="6" t="n">
        <f aca="false">MIN(H125,H128)</f>
        <v>0</v>
      </c>
      <c r="I129" s="6" t="n">
        <f aca="false">MIN(I125,I128)</f>
        <v>0</v>
      </c>
      <c r="J129" s="6" t="n">
        <f aca="false">MIN(J125,J128)</f>
        <v>0</v>
      </c>
      <c r="K129" s="6" t="n">
        <f aca="false">MIN(K125,K128)</f>
        <v>0</v>
      </c>
    </row>
    <row r="130" customFormat="false" ht="15" hidden="false" customHeight="true" outlineLevel="0" collapsed="false">
      <c r="B130" s="1" t="s">
        <v>77</v>
      </c>
      <c r="C130" s="1" t="s">
        <v>163</v>
      </c>
      <c r="D130" s="7" t="n">
        <v>0</v>
      </c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</row>
    <row r="131" customFormat="false" ht="15" hidden="false" customHeight="true" outlineLevel="0" collapsed="false">
      <c r="B131" s="1" t="s">
        <v>77</v>
      </c>
      <c r="C131" s="1" t="s">
        <v>164</v>
      </c>
      <c r="D131" s="6" t="n">
        <f aca="false">D129*(1+0.2*D130)</f>
        <v>0</v>
      </c>
      <c r="E131" s="6" t="n">
        <f aca="false">E129*(1+0.2*E130)</f>
        <v>0</v>
      </c>
      <c r="F131" s="6" t="n">
        <f aca="false">F129*(1+0.2*F130)</f>
        <v>0</v>
      </c>
      <c r="G131" s="6" t="n">
        <f aca="false">G129*(1+0.2*G130)</f>
        <v>0</v>
      </c>
      <c r="H131" s="6" t="n">
        <f aca="false">H129*(1+0.2*H130)</f>
        <v>0</v>
      </c>
      <c r="I131" s="6" t="n">
        <f aca="false">I129*(1+0.2*I130)</f>
        <v>0</v>
      </c>
      <c r="J131" s="6" t="n">
        <f aca="false">J129*(1+0.2*J130)</f>
        <v>0</v>
      </c>
      <c r="K131" s="6" t="n">
        <f aca="false">K129*(1+0.2*K130)</f>
        <v>0</v>
      </c>
    </row>
    <row r="132" customFormat="false" ht="15" hidden="false" customHeight="true" outlineLevel="0" collapsed="false">
      <c r="B132" s="1" t="s">
        <v>77</v>
      </c>
      <c r="C132" s="1" t="s">
        <v>150</v>
      </c>
      <c r="D132" s="9" t="n">
        <v>0</v>
      </c>
      <c r="E132" s="9" t="n">
        <v>0</v>
      </c>
      <c r="F132" s="9" t="n">
        <v>0</v>
      </c>
      <c r="G132" s="9" t="n">
        <v>0</v>
      </c>
      <c r="H132" s="9" t="n">
        <v>0</v>
      </c>
      <c r="I132" s="9" t="n">
        <v>0</v>
      </c>
      <c r="J132" s="9" t="n">
        <v>0</v>
      </c>
      <c r="K132" s="9" t="n">
        <v>0</v>
      </c>
    </row>
    <row r="133" customFormat="false" ht="15" hidden="false" customHeight="true" outlineLevel="0" collapsed="false">
      <c r="B133" s="1" t="s">
        <v>77</v>
      </c>
      <c r="C133" s="1" t="s">
        <v>165</v>
      </c>
      <c r="D133" s="6" t="n">
        <f aca="false">MIN(D131,D132)</f>
        <v>0</v>
      </c>
      <c r="E133" s="6" t="n">
        <f aca="false">MIN(E131,E132)</f>
        <v>0</v>
      </c>
      <c r="F133" s="6" t="n">
        <f aca="false">MIN(F131,F132)</f>
        <v>0</v>
      </c>
      <c r="G133" s="6" t="n">
        <f aca="false">MIN(G131,G132)</f>
        <v>0</v>
      </c>
      <c r="H133" s="6" t="n">
        <f aca="false">MIN(H131,H132)</f>
        <v>0</v>
      </c>
      <c r="I133" s="6" t="n">
        <f aca="false">MIN(I131,I132)</f>
        <v>0</v>
      </c>
      <c r="J133" s="6" t="n">
        <f aca="false">MIN(J131,J132)</f>
        <v>0</v>
      </c>
      <c r="K133" s="6" t="n">
        <f aca="false">MIN(K131,K132)</f>
        <v>0</v>
      </c>
    </row>
    <row r="134" customFormat="false" ht="15" hidden="false" customHeight="true" outlineLevel="0" collapsed="false">
      <c r="B134" s="1" t="s">
        <v>77</v>
      </c>
      <c r="C134" s="1" t="s">
        <v>166</v>
      </c>
      <c r="D134" s="6" t="str">
        <f aca="false">IF(D133&gt;D131,"CAPACITY",IF(D133&gt;D132,"PLAN","OK"))</f>
        <v>OK</v>
      </c>
      <c r="E134" s="6" t="str">
        <f aca="false">IF(E133&gt;E131,"CAPACITY",IF(E133&gt;E132,"PLAN","OK"))</f>
        <v>OK</v>
      </c>
      <c r="F134" s="6" t="str">
        <f aca="false">IF(F133&gt;F131,"CAPACITY",IF(F133&gt;F132,"PLAN","OK"))</f>
        <v>OK</v>
      </c>
      <c r="G134" s="6" t="str">
        <f aca="false">IF(G133&gt;G131,"CAPACITY",IF(G133&gt;G132,"PLAN","OK"))</f>
        <v>OK</v>
      </c>
      <c r="H134" s="6" t="str">
        <f aca="false">IF(H133&gt;H131,"CAPACITY",IF(H133&gt;H132,"PLAN","OK"))</f>
        <v>OK</v>
      </c>
      <c r="I134" s="6" t="str">
        <f aca="false">IF(I133&gt;I131,"CAPACITY",IF(I133&gt;I132,"PLAN","OK"))</f>
        <v>OK</v>
      </c>
      <c r="J134" s="6" t="str">
        <f aca="false">IF(J133&gt;J131,"CAPACITY",IF(J133&gt;J132,"PLAN","OK"))</f>
        <v>OK</v>
      </c>
      <c r="K134" s="6" t="str">
        <f aca="false">IF(K133&gt;K131,"CAPACITY",IF(K133&gt;K132,"PLAN","OK"))</f>
        <v>OK</v>
      </c>
    </row>
  </sheetData>
  <mergeCells count="3">
    <mergeCell ref="A1:L1"/>
    <mergeCell ref="A4:K4"/>
    <mergeCell ref="A70:K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12" min="3" style="1" width="12"/>
  </cols>
  <sheetData>
    <row r="1" customFormat="false" ht="17.25" hidden="false" customHeight="true" outlineLevel="0" collapsed="false">
      <c r="A1" s="4" t="s">
        <v>167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3" customFormat="false" ht="15" hidden="false" customHeight="true" outlineLevel="0" collapsed="false">
      <c r="A3" s="5" t="s">
        <v>168</v>
      </c>
      <c r="B3" s="5" t="s">
        <v>128</v>
      </c>
      <c r="C3" s="5" t="s">
        <v>169</v>
      </c>
      <c r="D3" s="5" t="s">
        <v>67</v>
      </c>
      <c r="E3" s="5" t="s">
        <v>69</v>
      </c>
      <c r="F3" s="5" t="s">
        <v>71</v>
      </c>
      <c r="G3" s="5" t="s">
        <v>75</v>
      </c>
      <c r="H3" s="5" t="s">
        <v>77</v>
      </c>
      <c r="I3" s="5" t="s">
        <v>129</v>
      </c>
      <c r="J3" s="5" t="s">
        <v>130</v>
      </c>
      <c r="K3" s="5" t="s">
        <v>131</v>
      </c>
      <c r="L3" s="5" t="s">
        <v>132</v>
      </c>
    </row>
    <row r="4" customFormat="false" ht="15" hidden="false" customHeight="true" outlineLevel="0" collapsed="false">
      <c r="A4" s="8" t="s">
        <v>110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15" hidden="false" customHeight="true" outlineLevel="0" collapsed="false">
      <c r="B5" s="1" t="s">
        <v>91</v>
      </c>
      <c r="D5" s="9" t="n">
        <v>30</v>
      </c>
      <c r="E5" s="9" t="n">
        <v>30</v>
      </c>
      <c r="F5" s="9" t="n">
        <v>30</v>
      </c>
      <c r="G5" s="9" t="n">
        <v>30</v>
      </c>
      <c r="H5" s="9" t="n">
        <v>30</v>
      </c>
      <c r="I5" s="9" t="n">
        <v>30</v>
      </c>
      <c r="J5" s="9" t="n">
        <v>30</v>
      </c>
      <c r="K5" s="9" t="n">
        <v>30</v>
      </c>
    </row>
    <row r="6" customFormat="false" ht="15" hidden="false" customHeight="true" outlineLevel="0" collapsed="false">
      <c r="B6" s="1" t="s">
        <v>109</v>
      </c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9" t="n">
        <v>1</v>
      </c>
      <c r="J6" s="9" t="n">
        <v>1</v>
      </c>
      <c r="K6" s="9" t="n">
        <v>1</v>
      </c>
    </row>
    <row r="7" customFormat="false" ht="15" hidden="false" customHeight="true" outlineLevel="0" collapsed="false">
      <c r="B7" s="1" t="s">
        <v>170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</row>
    <row r="8" customFormat="false" ht="15" hidden="false" customHeight="true" outlineLevel="0" collapsed="false">
      <c r="B8" s="1" t="s">
        <v>171</v>
      </c>
      <c r="D8" s="6" t="n">
        <f aca="false">D6*D7</f>
        <v>0</v>
      </c>
      <c r="E8" s="6" t="n">
        <f aca="false">E6*E7</f>
        <v>0</v>
      </c>
      <c r="F8" s="6" t="n">
        <f aca="false">F6*F7</f>
        <v>0</v>
      </c>
      <c r="G8" s="6" t="n">
        <f aca="false">G6*G7</f>
        <v>0</v>
      </c>
      <c r="H8" s="6" t="n">
        <f aca="false">H6*H7</f>
        <v>0</v>
      </c>
      <c r="I8" s="6" t="n">
        <f aca="false">I6*I7</f>
        <v>0</v>
      </c>
      <c r="J8" s="6" t="n">
        <f aca="false">J6*J7</f>
        <v>0</v>
      </c>
      <c r="K8" s="6" t="n">
        <f aca="false">K6*K7</f>
        <v>0</v>
      </c>
      <c r="L8" s="6" t="n">
        <f aca="false">SUM(D8:K8)</f>
        <v>0</v>
      </c>
    </row>
    <row r="9" customFormat="false" ht="15" hidden="false" customHeight="true" outlineLevel="0" collapsed="false">
      <c r="B9" s="1" t="s">
        <v>151</v>
      </c>
      <c r="D9" s="7" t="n">
        <v>0</v>
      </c>
      <c r="E9" s="9" t="n">
        <f aca="false">D13</f>
        <v>0</v>
      </c>
      <c r="F9" s="9" t="n">
        <f aca="false">E13</f>
        <v>0</v>
      </c>
      <c r="G9" s="9" t="n">
        <f aca="false">F13</f>
        <v>0</v>
      </c>
      <c r="H9" s="9" t="n">
        <f aca="false">G13</f>
        <v>0</v>
      </c>
      <c r="I9" s="9" t="n">
        <f aca="false">H13</f>
        <v>0</v>
      </c>
      <c r="J9" s="9" t="n">
        <f aca="false">I13</f>
        <v>0</v>
      </c>
      <c r="K9" s="9" t="n">
        <f aca="false">J13</f>
        <v>0</v>
      </c>
    </row>
    <row r="10" customFormat="false" ht="15" hidden="false" customHeight="true" outlineLevel="0" collapsed="false">
      <c r="B10" s="1" t="s">
        <v>172</v>
      </c>
      <c r="D10" s="6" t="n">
        <f aca="false">MAX(0,D8-D9)</f>
        <v>0</v>
      </c>
      <c r="E10" s="6" t="n">
        <f aca="false">MAX(0,E8-E9)</f>
        <v>0</v>
      </c>
      <c r="F10" s="6" t="n">
        <f aca="false">MAX(0,F8-F9)</f>
        <v>0</v>
      </c>
      <c r="G10" s="6" t="n">
        <f aca="false">MAX(0,G8-G9)</f>
        <v>0</v>
      </c>
      <c r="H10" s="6" t="n">
        <f aca="false">MAX(0,H8-H9)</f>
        <v>0</v>
      </c>
      <c r="I10" s="6" t="n">
        <f aca="false">MAX(0,I8-I9)</f>
        <v>0</v>
      </c>
      <c r="J10" s="6" t="n">
        <f aca="false">MAX(0,J8-J9)</f>
        <v>0</v>
      </c>
      <c r="K10" s="6" t="n">
        <f aca="false">MAX(0,K8-K9)</f>
        <v>0</v>
      </c>
    </row>
    <row r="11" customFormat="false" ht="15" hidden="false" customHeight="true" outlineLevel="0" collapsed="false">
      <c r="B11" s="1" t="s">
        <v>173</v>
      </c>
      <c r="D11" s="6" t="n">
        <f aca="false">CEILING(D10/D5,1)</f>
        <v>0</v>
      </c>
      <c r="E11" s="6" t="n">
        <f aca="false">CEILING(E10/E5,1)</f>
        <v>0</v>
      </c>
      <c r="F11" s="6" t="n">
        <f aca="false">CEILING(F10/F5,1)</f>
        <v>0</v>
      </c>
      <c r="G11" s="6" t="n">
        <f aca="false">CEILING(G10/G5,1)</f>
        <v>0</v>
      </c>
      <c r="H11" s="6" t="n">
        <f aca="false">CEILING(H10/H5,1)</f>
        <v>0</v>
      </c>
      <c r="I11" s="6" t="n">
        <f aca="false">CEILING(I10/I5,1)</f>
        <v>0</v>
      </c>
      <c r="J11" s="6" t="n">
        <f aca="false">CEILING(J10/J5,1)</f>
        <v>0</v>
      </c>
      <c r="K11" s="6" t="n">
        <f aca="false">CEILING(K10/K5,1)</f>
        <v>0</v>
      </c>
    </row>
    <row r="12" customFormat="false" ht="15" hidden="false" customHeight="true" outlineLevel="0" collapsed="false">
      <c r="B12" s="1" t="s">
        <v>174</v>
      </c>
      <c r="D12" s="6" t="n">
        <f aca="false">D11*D5</f>
        <v>0</v>
      </c>
      <c r="E12" s="6" t="n">
        <f aca="false">E11*E5</f>
        <v>0</v>
      </c>
      <c r="F12" s="6" t="n">
        <f aca="false">F11*F5</f>
        <v>0</v>
      </c>
      <c r="G12" s="6" t="n">
        <f aca="false">G11*G5</f>
        <v>0</v>
      </c>
      <c r="H12" s="6" t="n">
        <f aca="false">H11*H5</f>
        <v>0</v>
      </c>
      <c r="I12" s="6" t="n">
        <f aca="false">I11*I5</f>
        <v>0</v>
      </c>
      <c r="J12" s="6" t="n">
        <f aca="false">J11*J5</f>
        <v>0</v>
      </c>
      <c r="K12" s="6" t="n">
        <f aca="false">K11*K5</f>
        <v>0</v>
      </c>
      <c r="L12" s="6" t="n">
        <f aca="false">SUM(D12:K12)</f>
        <v>0</v>
      </c>
    </row>
    <row r="13" customFormat="false" ht="15" hidden="false" customHeight="true" outlineLevel="0" collapsed="false">
      <c r="B13" s="1" t="s">
        <v>154</v>
      </c>
      <c r="D13" s="6" t="n">
        <f aca="false">D9+D12-D8</f>
        <v>0</v>
      </c>
      <c r="E13" s="6" t="n">
        <f aca="false">E9+E12-E8</f>
        <v>0</v>
      </c>
      <c r="F13" s="6" t="n">
        <f aca="false">F9+F12-F8</f>
        <v>0</v>
      </c>
      <c r="G13" s="6" t="n">
        <f aca="false">G9+G12-G8</f>
        <v>0</v>
      </c>
      <c r="H13" s="6" t="n">
        <f aca="false">H9+H12-H8</f>
        <v>0</v>
      </c>
      <c r="I13" s="6" t="n">
        <f aca="false">I9+I12-I8</f>
        <v>0</v>
      </c>
      <c r="J13" s="6" t="n">
        <f aca="false">J9+J12-J8</f>
        <v>0</v>
      </c>
      <c r="K13" s="6" t="n">
        <f aca="false">K9+K12-K8</f>
        <v>0</v>
      </c>
    </row>
    <row r="14" customFormat="false" ht="15" hidden="false" customHeight="true" outlineLevel="0" collapsed="false">
      <c r="B14" s="1" t="s">
        <v>107</v>
      </c>
      <c r="D14" s="6" t="n">
        <f aca="false">IF(D11&gt;0,2300,0)</f>
        <v>0</v>
      </c>
      <c r="E14" s="6" t="n">
        <f aca="false">IF(E11&gt;0,2300,0)</f>
        <v>0</v>
      </c>
      <c r="F14" s="6" t="n">
        <f aca="false">IF(F11&gt;0,2300,0)</f>
        <v>0</v>
      </c>
      <c r="G14" s="6" t="n">
        <f aca="false">IF(G11&gt;0,2300,0)</f>
        <v>0</v>
      </c>
      <c r="H14" s="6" t="n">
        <f aca="false">IF(H11&gt;0,2300,0)</f>
        <v>0</v>
      </c>
      <c r="I14" s="6" t="n">
        <f aca="false">IF(I11&gt;0,2300,0)</f>
        <v>0</v>
      </c>
      <c r="J14" s="6" t="n">
        <f aca="false">IF(J11&gt;0,2300,0)</f>
        <v>0</v>
      </c>
      <c r="K14" s="6" t="n">
        <f aca="false">IF(K11&gt;0,2300,0)</f>
        <v>0</v>
      </c>
      <c r="L14" s="6" t="n">
        <f aca="false">SUM(D14:K14)</f>
        <v>0</v>
      </c>
    </row>
    <row r="15" customFormat="false" ht="15" hidden="false" customHeight="true" outlineLevel="0" collapsed="false">
      <c r="B15" s="1" t="s">
        <v>175</v>
      </c>
      <c r="D15" s="6" t="n">
        <f aca="false">D13*0.3</f>
        <v>0</v>
      </c>
      <c r="E15" s="6" t="n">
        <f aca="false">E13*0.3</f>
        <v>0</v>
      </c>
      <c r="F15" s="6" t="n">
        <f aca="false">F13*0.3</f>
        <v>0</v>
      </c>
      <c r="G15" s="6" t="n">
        <f aca="false">G13*0.3</f>
        <v>0</v>
      </c>
      <c r="H15" s="6" t="n">
        <f aca="false">H13*0.3</f>
        <v>0</v>
      </c>
      <c r="I15" s="6" t="n">
        <f aca="false">I13*0.3</f>
        <v>0</v>
      </c>
      <c r="J15" s="6" t="n">
        <f aca="false">J13*0.3</f>
        <v>0</v>
      </c>
      <c r="K15" s="6" t="n">
        <f aca="false">K13*0.3</f>
        <v>0</v>
      </c>
      <c r="L15" s="6" t="n">
        <f aca="false">SUM(D15:K15)</f>
        <v>0</v>
      </c>
    </row>
    <row r="17" customFormat="false" ht="15" hidden="false" customHeight="true" outlineLevel="0" collapsed="false">
      <c r="A17" s="8" t="s">
        <v>111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</row>
    <row r="18" customFormat="false" ht="15" hidden="false" customHeight="true" outlineLevel="0" collapsed="false">
      <c r="B18" s="1" t="s">
        <v>91</v>
      </c>
      <c r="D18" s="9" t="n">
        <v>12</v>
      </c>
      <c r="E18" s="9" t="n">
        <v>12</v>
      </c>
      <c r="F18" s="9" t="n">
        <v>12</v>
      </c>
      <c r="G18" s="9" t="n">
        <v>12</v>
      </c>
      <c r="H18" s="9" t="n">
        <v>12</v>
      </c>
      <c r="I18" s="9" t="n">
        <v>12</v>
      </c>
      <c r="J18" s="9" t="n">
        <v>12</v>
      </c>
      <c r="K18" s="9" t="n">
        <v>12</v>
      </c>
    </row>
    <row r="19" customFormat="false" ht="15" hidden="false" customHeight="true" outlineLevel="0" collapsed="false">
      <c r="B19" s="1" t="s">
        <v>109</v>
      </c>
      <c r="D19" s="9" t="n">
        <v>0.2</v>
      </c>
      <c r="E19" s="9" t="n">
        <v>0.2</v>
      </c>
      <c r="F19" s="9" t="n">
        <v>0.2</v>
      </c>
      <c r="G19" s="9" t="n">
        <v>0.2</v>
      </c>
      <c r="H19" s="9" t="n">
        <v>0.2</v>
      </c>
      <c r="I19" s="9" t="n">
        <v>0.2</v>
      </c>
      <c r="J19" s="9" t="n">
        <v>0.2</v>
      </c>
      <c r="K19" s="9" t="n">
        <v>0.2</v>
      </c>
    </row>
    <row r="20" customFormat="false" ht="15" hidden="false" customHeight="true" outlineLevel="0" collapsed="false">
      <c r="B20" s="1" t="s">
        <v>170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</row>
    <row r="21" customFormat="false" ht="15" hidden="false" customHeight="true" outlineLevel="0" collapsed="false">
      <c r="B21" s="1" t="s">
        <v>171</v>
      </c>
      <c r="D21" s="6" t="n">
        <f aca="false">D19*D20</f>
        <v>0</v>
      </c>
      <c r="E21" s="6" t="n">
        <f aca="false">E19*E20</f>
        <v>0</v>
      </c>
      <c r="F21" s="6" t="n">
        <f aca="false">F19*F20</f>
        <v>0</v>
      </c>
      <c r="G21" s="6" t="n">
        <f aca="false">G19*G20</f>
        <v>0</v>
      </c>
      <c r="H21" s="6" t="n">
        <f aca="false">H19*H20</f>
        <v>0</v>
      </c>
      <c r="I21" s="6" t="n">
        <f aca="false">I19*I20</f>
        <v>0</v>
      </c>
      <c r="J21" s="6" t="n">
        <f aca="false">J19*J20</f>
        <v>0</v>
      </c>
      <c r="K21" s="6" t="n">
        <f aca="false">K19*K20</f>
        <v>0</v>
      </c>
      <c r="L21" s="6" t="n">
        <f aca="false">SUM(D21:K21)</f>
        <v>0</v>
      </c>
    </row>
    <row r="22" customFormat="false" ht="15" hidden="false" customHeight="true" outlineLevel="0" collapsed="false">
      <c r="B22" s="1" t="s">
        <v>151</v>
      </c>
      <c r="D22" s="7" t="n">
        <v>0</v>
      </c>
      <c r="E22" s="9" t="n">
        <f aca="false">D26</f>
        <v>0</v>
      </c>
      <c r="F22" s="9" t="n">
        <f aca="false">E26</f>
        <v>0</v>
      </c>
      <c r="G22" s="9" t="n">
        <f aca="false">F26</f>
        <v>0</v>
      </c>
      <c r="H22" s="9" t="n">
        <f aca="false">G26</f>
        <v>0</v>
      </c>
      <c r="I22" s="9" t="n">
        <f aca="false">H26</f>
        <v>0</v>
      </c>
      <c r="J22" s="9" t="n">
        <f aca="false">I26</f>
        <v>0</v>
      </c>
      <c r="K22" s="9" t="n">
        <f aca="false">J26</f>
        <v>0</v>
      </c>
    </row>
    <row r="23" customFormat="false" ht="15" hidden="false" customHeight="true" outlineLevel="0" collapsed="false">
      <c r="B23" s="1" t="s">
        <v>172</v>
      </c>
      <c r="D23" s="6" t="n">
        <f aca="false">MAX(0,D21-D22)</f>
        <v>0</v>
      </c>
      <c r="E23" s="6" t="n">
        <f aca="false">MAX(0,E21-E22)</f>
        <v>0</v>
      </c>
      <c r="F23" s="6" t="n">
        <f aca="false">MAX(0,F21-F22)</f>
        <v>0</v>
      </c>
      <c r="G23" s="6" t="n">
        <f aca="false">MAX(0,G21-G22)</f>
        <v>0</v>
      </c>
      <c r="H23" s="6" t="n">
        <f aca="false">MAX(0,H21-H22)</f>
        <v>0</v>
      </c>
      <c r="I23" s="6" t="n">
        <f aca="false">MAX(0,I21-I22)</f>
        <v>0</v>
      </c>
      <c r="J23" s="6" t="n">
        <f aca="false">MAX(0,J21-J22)</f>
        <v>0</v>
      </c>
      <c r="K23" s="6" t="n">
        <f aca="false">MAX(0,K21-K22)</f>
        <v>0</v>
      </c>
    </row>
    <row r="24" customFormat="false" ht="15" hidden="false" customHeight="true" outlineLevel="0" collapsed="false">
      <c r="B24" s="1" t="s">
        <v>173</v>
      </c>
      <c r="D24" s="6" t="n">
        <f aca="false">CEILING(D23/D18,1)</f>
        <v>0</v>
      </c>
      <c r="E24" s="6" t="n">
        <f aca="false">CEILING(E23/E18,1)</f>
        <v>0</v>
      </c>
      <c r="F24" s="6" t="n">
        <f aca="false">CEILING(F23/F18,1)</f>
        <v>0</v>
      </c>
      <c r="G24" s="6" t="n">
        <f aca="false">CEILING(G23/G18,1)</f>
        <v>0</v>
      </c>
      <c r="H24" s="6" t="n">
        <f aca="false">CEILING(H23/H18,1)</f>
        <v>0</v>
      </c>
      <c r="I24" s="6" t="n">
        <f aca="false">CEILING(I23/I18,1)</f>
        <v>0</v>
      </c>
      <c r="J24" s="6" t="n">
        <f aca="false">CEILING(J23/J18,1)</f>
        <v>0</v>
      </c>
      <c r="K24" s="6" t="n">
        <f aca="false">CEILING(K23/K18,1)</f>
        <v>0</v>
      </c>
    </row>
    <row r="25" customFormat="false" ht="15" hidden="false" customHeight="true" outlineLevel="0" collapsed="false">
      <c r="B25" s="1" t="s">
        <v>174</v>
      </c>
      <c r="D25" s="6" t="n">
        <f aca="false">D24*D18</f>
        <v>0</v>
      </c>
      <c r="E25" s="6" t="n">
        <f aca="false">E24*E18</f>
        <v>0</v>
      </c>
      <c r="F25" s="6" t="n">
        <f aca="false">F24*F18</f>
        <v>0</v>
      </c>
      <c r="G25" s="6" t="n">
        <f aca="false">G24*G18</f>
        <v>0</v>
      </c>
      <c r="H25" s="6" t="n">
        <f aca="false">H24*H18</f>
        <v>0</v>
      </c>
      <c r="I25" s="6" t="n">
        <f aca="false">I24*I18</f>
        <v>0</v>
      </c>
      <c r="J25" s="6" t="n">
        <f aca="false">J24*J18</f>
        <v>0</v>
      </c>
      <c r="K25" s="6" t="n">
        <f aca="false">K24*K18</f>
        <v>0</v>
      </c>
      <c r="L25" s="6" t="n">
        <f aca="false">SUM(D25:K25)</f>
        <v>0</v>
      </c>
    </row>
    <row r="26" customFormat="false" ht="15" hidden="false" customHeight="true" outlineLevel="0" collapsed="false">
      <c r="B26" s="1" t="s">
        <v>154</v>
      </c>
      <c r="D26" s="6" t="n">
        <f aca="false">D22+D25-D21</f>
        <v>0</v>
      </c>
      <c r="E26" s="6" t="n">
        <f aca="false">E22+E25-E21</f>
        <v>0</v>
      </c>
      <c r="F26" s="6" t="n">
        <f aca="false">F22+F25-F21</f>
        <v>0</v>
      </c>
      <c r="G26" s="6" t="n">
        <f aca="false">G22+G25-G21</f>
        <v>0</v>
      </c>
      <c r="H26" s="6" t="n">
        <f aca="false">H22+H25-H21</f>
        <v>0</v>
      </c>
      <c r="I26" s="6" t="n">
        <f aca="false">I22+I25-I21</f>
        <v>0</v>
      </c>
      <c r="J26" s="6" t="n">
        <f aca="false">J22+J25-J21</f>
        <v>0</v>
      </c>
      <c r="K26" s="6" t="n">
        <f aca="false">K22+K25-K21</f>
        <v>0</v>
      </c>
    </row>
    <row r="27" customFormat="false" ht="15" hidden="false" customHeight="true" outlineLevel="0" collapsed="false">
      <c r="B27" s="1" t="s">
        <v>107</v>
      </c>
      <c r="D27" s="6" t="n">
        <f aca="false">IF(D24&gt;0,6000,0)</f>
        <v>0</v>
      </c>
      <c r="E27" s="6" t="n">
        <f aca="false">IF(E24&gt;0,6000,0)</f>
        <v>0</v>
      </c>
      <c r="F27" s="6" t="n">
        <f aca="false">IF(F24&gt;0,6000,0)</f>
        <v>0</v>
      </c>
      <c r="G27" s="6" t="n">
        <f aca="false">IF(G24&gt;0,6000,0)</f>
        <v>0</v>
      </c>
      <c r="H27" s="6" t="n">
        <f aca="false">IF(H24&gt;0,6000,0)</f>
        <v>0</v>
      </c>
      <c r="I27" s="6" t="n">
        <f aca="false">IF(I24&gt;0,6000,0)</f>
        <v>0</v>
      </c>
      <c r="J27" s="6" t="n">
        <f aca="false">IF(J24&gt;0,6000,0)</f>
        <v>0</v>
      </c>
      <c r="K27" s="6" t="n">
        <f aca="false">IF(K24&gt;0,6000,0)</f>
        <v>0</v>
      </c>
      <c r="L27" s="6" t="n">
        <f aca="false">SUM(D27:K27)</f>
        <v>0</v>
      </c>
    </row>
    <row r="28" customFormat="false" ht="15" hidden="false" customHeight="true" outlineLevel="0" collapsed="false">
      <c r="B28" s="1" t="s">
        <v>175</v>
      </c>
      <c r="D28" s="6" t="n">
        <f aca="false">D26*4.5</f>
        <v>0</v>
      </c>
      <c r="E28" s="6" t="n">
        <f aca="false">E26*4.5</f>
        <v>0</v>
      </c>
      <c r="F28" s="6" t="n">
        <f aca="false">F26*4.5</f>
        <v>0</v>
      </c>
      <c r="G28" s="6" t="n">
        <f aca="false">G26*4.5</f>
        <v>0</v>
      </c>
      <c r="H28" s="6" t="n">
        <f aca="false">H26*4.5</f>
        <v>0</v>
      </c>
      <c r="I28" s="6" t="n">
        <f aca="false">I26*4.5</f>
        <v>0</v>
      </c>
      <c r="J28" s="6" t="n">
        <f aca="false">J26*4.5</f>
        <v>0</v>
      </c>
      <c r="K28" s="6" t="n">
        <f aca="false">K26*4.5</f>
        <v>0</v>
      </c>
      <c r="L28" s="6" t="n">
        <f aca="false">SUM(D28:K28)</f>
        <v>0</v>
      </c>
    </row>
    <row r="30" customFormat="false" ht="15" hidden="false" customHeight="true" outlineLevel="0" collapsed="false">
      <c r="A30" s="8" t="s">
        <v>96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</row>
    <row r="31" customFormat="false" ht="15" hidden="false" customHeight="true" outlineLevel="0" collapsed="false">
      <c r="B31" s="1" t="s">
        <v>91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  <c r="I31" s="9" t="n">
        <v>0</v>
      </c>
      <c r="J31" s="9" t="n">
        <v>0</v>
      </c>
      <c r="K31" s="9" t="n">
        <v>0</v>
      </c>
    </row>
    <row r="32" customFormat="false" ht="15" hidden="false" customHeight="true" outlineLevel="0" collapsed="false">
      <c r="B32" s="1" t="s">
        <v>109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</row>
    <row r="33" customFormat="false" ht="15" hidden="false" customHeight="true" outlineLevel="0" collapsed="false">
      <c r="B33" s="1" t="s">
        <v>170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</row>
    <row r="34" customFormat="false" ht="15" hidden="false" customHeight="true" outlineLevel="0" collapsed="false">
      <c r="B34" s="1" t="s">
        <v>171</v>
      </c>
      <c r="D34" s="6" t="n">
        <f aca="false">D32*D33</f>
        <v>0</v>
      </c>
      <c r="E34" s="6" t="n">
        <f aca="false">E32*E33</f>
        <v>0</v>
      </c>
      <c r="F34" s="6" t="n">
        <f aca="false">F32*F33</f>
        <v>0</v>
      </c>
      <c r="G34" s="6" t="n">
        <f aca="false">G32*G33</f>
        <v>0</v>
      </c>
      <c r="H34" s="6" t="n">
        <f aca="false">H32*H33</f>
        <v>0</v>
      </c>
      <c r="I34" s="6" t="n">
        <f aca="false">I32*I33</f>
        <v>0</v>
      </c>
      <c r="J34" s="6" t="n">
        <f aca="false">J32*J33</f>
        <v>0</v>
      </c>
      <c r="K34" s="6" t="n">
        <f aca="false">K32*K33</f>
        <v>0</v>
      </c>
      <c r="L34" s="6" t="n">
        <f aca="false">SUM(D34:K34)</f>
        <v>0</v>
      </c>
    </row>
    <row r="35" customFormat="false" ht="15" hidden="false" customHeight="true" outlineLevel="0" collapsed="false">
      <c r="B35" s="1" t="s">
        <v>151</v>
      </c>
      <c r="D35" s="7" t="n">
        <v>0</v>
      </c>
      <c r="E35" s="9" t="n">
        <f aca="false">D39</f>
        <v>0</v>
      </c>
      <c r="F35" s="9" t="n">
        <f aca="false">E39</f>
        <v>0</v>
      </c>
      <c r="G35" s="9" t="n">
        <f aca="false">F39</f>
        <v>0</v>
      </c>
      <c r="H35" s="9" t="n">
        <f aca="false">G39</f>
        <v>0</v>
      </c>
      <c r="I35" s="9" t="n">
        <f aca="false">H39</f>
        <v>0</v>
      </c>
      <c r="J35" s="9" t="n">
        <f aca="false">I39</f>
        <v>0</v>
      </c>
      <c r="K35" s="9" t="n">
        <f aca="false">J39</f>
        <v>0</v>
      </c>
    </row>
    <row r="36" customFormat="false" ht="15" hidden="false" customHeight="true" outlineLevel="0" collapsed="false">
      <c r="B36" s="1" t="s">
        <v>172</v>
      </c>
      <c r="D36" s="6" t="n">
        <f aca="false">MAX(0,D34-D35)</f>
        <v>0</v>
      </c>
      <c r="E36" s="6" t="n">
        <f aca="false">MAX(0,E34-E35)</f>
        <v>0</v>
      </c>
      <c r="F36" s="6" t="n">
        <f aca="false">MAX(0,F34-F35)</f>
        <v>0</v>
      </c>
      <c r="G36" s="6" t="n">
        <f aca="false">MAX(0,G34-G35)</f>
        <v>0</v>
      </c>
      <c r="H36" s="6" t="n">
        <f aca="false">MAX(0,H34-H35)</f>
        <v>0</v>
      </c>
      <c r="I36" s="6" t="n">
        <f aca="false">MAX(0,I34-I35)</f>
        <v>0</v>
      </c>
      <c r="J36" s="6" t="n">
        <f aca="false">MAX(0,J34-J35)</f>
        <v>0</v>
      </c>
      <c r="K36" s="6" t="n">
        <f aca="false">MAX(0,K34-K35)</f>
        <v>0</v>
      </c>
    </row>
    <row r="37" customFormat="false" ht="15" hidden="false" customHeight="true" outlineLevel="0" collapsed="false">
      <c r="B37" s="1" t="s">
        <v>173</v>
      </c>
    </row>
    <row r="38" customFormat="false" ht="15" hidden="false" customHeight="true" outlineLevel="0" collapsed="false">
      <c r="B38" s="1" t="s">
        <v>174</v>
      </c>
      <c r="C38" s="7" t="n">
        <v>0</v>
      </c>
      <c r="L38" s="6" t="n">
        <f aca="false">SUM(D38:K38)</f>
        <v>0</v>
      </c>
    </row>
    <row r="39" customFormat="false" ht="15" hidden="false" customHeight="true" outlineLevel="0" collapsed="false">
      <c r="B39" s="1" t="s">
        <v>154</v>
      </c>
      <c r="D39" s="6" t="n">
        <f aca="false">D35+C38-D34</f>
        <v>0</v>
      </c>
      <c r="E39" s="6" t="n">
        <f aca="false">E35+C38-E34</f>
        <v>0</v>
      </c>
      <c r="F39" s="6" t="n">
        <f aca="false">F35+C38-F34</f>
        <v>0</v>
      </c>
      <c r="G39" s="6" t="n">
        <f aca="false">G35+C38-G34</f>
        <v>0</v>
      </c>
      <c r="H39" s="6" t="n">
        <f aca="false">H35+C38-H34</f>
        <v>0</v>
      </c>
      <c r="I39" s="6" t="n">
        <f aca="false">I35+C38-I34</f>
        <v>0</v>
      </c>
      <c r="J39" s="6" t="n">
        <f aca="false">J35+C38-J34</f>
        <v>0</v>
      </c>
      <c r="K39" s="6" t="n">
        <f aca="false">K35+C38-K34</f>
        <v>0</v>
      </c>
    </row>
    <row r="40" customFormat="false" ht="15" hidden="false" customHeight="true" outlineLevel="0" collapsed="false">
      <c r="B40" s="1" t="s">
        <v>107</v>
      </c>
      <c r="L40" s="6" t="n">
        <f aca="false">SUM(D40:K40)</f>
        <v>0</v>
      </c>
    </row>
    <row r="41" customFormat="false" ht="15" hidden="false" customHeight="true" outlineLevel="0" collapsed="false">
      <c r="B41" s="1" t="s">
        <v>175</v>
      </c>
      <c r="L41" s="6" t="n">
        <f aca="false">SUM(D41:K41)</f>
        <v>0</v>
      </c>
    </row>
    <row r="43" customFormat="false" ht="15" hidden="false" customHeight="true" outlineLevel="0" collapsed="false">
      <c r="A43" s="8" t="s">
        <v>97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 customFormat="false" ht="15" hidden="false" customHeight="true" outlineLevel="0" collapsed="false">
      <c r="B44" s="1" t="s">
        <v>91</v>
      </c>
      <c r="D44" s="9" t="n">
        <v>0</v>
      </c>
      <c r="E44" s="9" t="n">
        <v>0</v>
      </c>
      <c r="F44" s="9" t="n">
        <v>0</v>
      </c>
      <c r="G44" s="9" t="n">
        <v>0</v>
      </c>
      <c r="H44" s="9" t="n">
        <v>0</v>
      </c>
      <c r="I44" s="9" t="n">
        <v>0</v>
      </c>
      <c r="J44" s="9" t="n">
        <v>0</v>
      </c>
      <c r="K44" s="9" t="n">
        <v>0</v>
      </c>
    </row>
    <row r="45" customFormat="false" ht="15" hidden="false" customHeight="true" outlineLevel="0" collapsed="false">
      <c r="B45" s="1" t="s">
        <v>109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</row>
    <row r="46" customFormat="false" ht="15" hidden="false" customHeight="true" outlineLevel="0" collapsed="false">
      <c r="B46" s="1" t="s">
        <v>170</v>
      </c>
      <c r="D46" s="9" t="n">
        <v>0</v>
      </c>
      <c r="E46" s="9" t="n">
        <v>0</v>
      </c>
      <c r="F46" s="9" t="n">
        <v>0</v>
      </c>
      <c r="G46" s="9" t="n">
        <v>0</v>
      </c>
      <c r="H46" s="9" t="n">
        <v>0</v>
      </c>
      <c r="I46" s="9" t="n">
        <v>0</v>
      </c>
      <c r="J46" s="9" t="n">
        <v>0</v>
      </c>
      <c r="K46" s="9" t="n">
        <v>0</v>
      </c>
    </row>
    <row r="47" customFormat="false" ht="15" hidden="false" customHeight="true" outlineLevel="0" collapsed="false">
      <c r="B47" s="1" t="s">
        <v>171</v>
      </c>
      <c r="D47" s="6" t="n">
        <f aca="false">D45*D46</f>
        <v>0</v>
      </c>
      <c r="E47" s="6" t="n">
        <f aca="false">E45*E46</f>
        <v>0</v>
      </c>
      <c r="F47" s="6" t="n">
        <f aca="false">F45*F46</f>
        <v>0</v>
      </c>
      <c r="G47" s="6" t="n">
        <f aca="false">G45*G46</f>
        <v>0</v>
      </c>
      <c r="H47" s="6" t="n">
        <f aca="false">H45*H46</f>
        <v>0</v>
      </c>
      <c r="I47" s="6" t="n">
        <f aca="false">I45*I46</f>
        <v>0</v>
      </c>
      <c r="J47" s="6" t="n">
        <f aca="false">J45*J46</f>
        <v>0</v>
      </c>
      <c r="K47" s="6" t="n">
        <f aca="false">K45*K46</f>
        <v>0</v>
      </c>
      <c r="L47" s="6" t="n">
        <f aca="false">SUM(D47:K47)</f>
        <v>0</v>
      </c>
    </row>
    <row r="48" customFormat="false" ht="15" hidden="false" customHeight="true" outlineLevel="0" collapsed="false">
      <c r="B48" s="1" t="s">
        <v>151</v>
      </c>
      <c r="D48" s="7" t="n">
        <v>0</v>
      </c>
      <c r="E48" s="9" t="n">
        <f aca="false">D52</f>
        <v>0</v>
      </c>
      <c r="F48" s="9" t="n">
        <f aca="false">E52</f>
        <v>0</v>
      </c>
      <c r="G48" s="9" t="n">
        <f aca="false">F52</f>
        <v>0</v>
      </c>
      <c r="H48" s="9" t="n">
        <f aca="false">G52</f>
        <v>0</v>
      </c>
      <c r="I48" s="9" t="n">
        <f aca="false">H52</f>
        <v>0</v>
      </c>
      <c r="J48" s="9" t="n">
        <f aca="false">I52</f>
        <v>0</v>
      </c>
      <c r="K48" s="9" t="n">
        <f aca="false">J52</f>
        <v>0</v>
      </c>
    </row>
    <row r="49" customFormat="false" ht="15" hidden="false" customHeight="true" outlineLevel="0" collapsed="false">
      <c r="B49" s="1" t="s">
        <v>172</v>
      </c>
      <c r="D49" s="6" t="n">
        <f aca="false">MAX(0,D47-D48)</f>
        <v>0</v>
      </c>
      <c r="E49" s="6" t="n">
        <f aca="false">MAX(0,E47-E48)</f>
        <v>0</v>
      </c>
      <c r="F49" s="6" t="n">
        <f aca="false">MAX(0,F47-F48)</f>
        <v>0</v>
      </c>
      <c r="G49" s="6" t="n">
        <f aca="false">MAX(0,G47-G48)</f>
        <v>0</v>
      </c>
      <c r="H49" s="6" t="n">
        <f aca="false">MAX(0,H47-H48)</f>
        <v>0</v>
      </c>
      <c r="I49" s="6" t="n">
        <f aca="false">MAX(0,I47-I48)</f>
        <v>0</v>
      </c>
      <c r="J49" s="6" t="n">
        <f aca="false">MAX(0,J47-J48)</f>
        <v>0</v>
      </c>
      <c r="K49" s="6" t="n">
        <f aca="false">MAX(0,K47-K48)</f>
        <v>0</v>
      </c>
    </row>
    <row r="50" customFormat="false" ht="15" hidden="false" customHeight="true" outlineLevel="0" collapsed="false">
      <c r="B50" s="1" t="s">
        <v>173</v>
      </c>
    </row>
    <row r="51" customFormat="false" ht="15" hidden="false" customHeight="true" outlineLevel="0" collapsed="false">
      <c r="B51" s="1" t="s">
        <v>174</v>
      </c>
      <c r="C51" s="7" t="n">
        <v>0</v>
      </c>
      <c r="L51" s="6" t="n">
        <f aca="false">SUM(D51:K51)</f>
        <v>0</v>
      </c>
    </row>
    <row r="52" customFormat="false" ht="15" hidden="false" customHeight="true" outlineLevel="0" collapsed="false">
      <c r="B52" s="1" t="s">
        <v>154</v>
      </c>
      <c r="D52" s="6" t="n">
        <f aca="false">D48+C51-D47</f>
        <v>0</v>
      </c>
      <c r="E52" s="6" t="n">
        <f aca="false">E48+C51-E47</f>
        <v>0</v>
      </c>
      <c r="F52" s="6" t="n">
        <f aca="false">F48+C51-F47</f>
        <v>0</v>
      </c>
      <c r="G52" s="6" t="n">
        <f aca="false">G48+C51-G47</f>
        <v>0</v>
      </c>
      <c r="H52" s="6" t="n">
        <f aca="false">H48+C51-H47</f>
        <v>0</v>
      </c>
      <c r="I52" s="6" t="n">
        <f aca="false">I48+C51-I47</f>
        <v>0</v>
      </c>
      <c r="J52" s="6" t="n">
        <f aca="false">J48+C51-J47</f>
        <v>0</v>
      </c>
      <c r="K52" s="6" t="n">
        <f aca="false">K48+C51-K47</f>
        <v>0</v>
      </c>
    </row>
    <row r="53" customFormat="false" ht="15" hidden="false" customHeight="true" outlineLevel="0" collapsed="false">
      <c r="B53" s="1" t="s">
        <v>107</v>
      </c>
      <c r="L53" s="6" t="n">
        <f aca="false">SUM(D53:K53)</f>
        <v>0</v>
      </c>
    </row>
    <row r="54" customFormat="false" ht="15" hidden="false" customHeight="true" outlineLevel="0" collapsed="false">
      <c r="B54" s="1" t="s">
        <v>175</v>
      </c>
      <c r="L54" s="6" t="n">
        <f aca="false">SUM(D54:K54)</f>
        <v>0</v>
      </c>
    </row>
    <row r="56" customFormat="false" ht="15" hidden="false" customHeight="true" outlineLevel="0" collapsed="false">
      <c r="A56" s="8" t="s">
        <v>98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customFormat="false" ht="15" hidden="false" customHeight="true" outlineLevel="0" collapsed="false">
      <c r="B57" s="1" t="s">
        <v>91</v>
      </c>
      <c r="D57" s="9" t="n">
        <v>0</v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0</v>
      </c>
      <c r="K57" s="9" t="n">
        <v>0</v>
      </c>
    </row>
    <row r="58" customFormat="false" ht="15" hidden="false" customHeight="true" outlineLevel="0" collapsed="false">
      <c r="B58" s="1" t="s">
        <v>109</v>
      </c>
      <c r="D58" s="9" t="n">
        <v>0</v>
      </c>
      <c r="E58" s="9" t="n">
        <v>0</v>
      </c>
      <c r="F58" s="9" t="n">
        <v>0</v>
      </c>
      <c r="G58" s="9" t="n">
        <v>0</v>
      </c>
      <c r="H58" s="9" t="n">
        <v>0</v>
      </c>
      <c r="I58" s="9" t="n">
        <v>0</v>
      </c>
      <c r="J58" s="9" t="n">
        <v>0</v>
      </c>
      <c r="K58" s="9" t="n">
        <v>0</v>
      </c>
    </row>
    <row r="59" customFormat="false" ht="15" hidden="false" customHeight="true" outlineLevel="0" collapsed="false">
      <c r="B59" s="1" t="s">
        <v>170</v>
      </c>
      <c r="D59" s="9" t="n">
        <v>0</v>
      </c>
      <c r="E59" s="9" t="n">
        <v>0</v>
      </c>
      <c r="F59" s="9" t="n">
        <v>0</v>
      </c>
      <c r="G59" s="9" t="n">
        <v>0</v>
      </c>
      <c r="H59" s="9" t="n">
        <v>0</v>
      </c>
      <c r="I59" s="9" t="n">
        <v>0</v>
      </c>
      <c r="J59" s="9" t="n">
        <v>0</v>
      </c>
      <c r="K59" s="9" t="n">
        <v>0</v>
      </c>
    </row>
    <row r="60" customFormat="false" ht="15" hidden="false" customHeight="true" outlineLevel="0" collapsed="false">
      <c r="B60" s="1" t="s">
        <v>171</v>
      </c>
      <c r="D60" s="6" t="n">
        <f aca="false">D58*D59</f>
        <v>0</v>
      </c>
      <c r="E60" s="6" t="n">
        <f aca="false">E58*E59</f>
        <v>0</v>
      </c>
      <c r="F60" s="6" t="n">
        <f aca="false">F58*F59</f>
        <v>0</v>
      </c>
      <c r="G60" s="6" t="n">
        <f aca="false">G58*G59</f>
        <v>0</v>
      </c>
      <c r="H60" s="6" t="n">
        <f aca="false">H58*H59</f>
        <v>0</v>
      </c>
      <c r="I60" s="6" t="n">
        <f aca="false">I58*I59</f>
        <v>0</v>
      </c>
      <c r="J60" s="6" t="n">
        <f aca="false">J58*J59</f>
        <v>0</v>
      </c>
      <c r="K60" s="6" t="n">
        <f aca="false">K58*K59</f>
        <v>0</v>
      </c>
      <c r="L60" s="6" t="n">
        <f aca="false">SUM(D60:K60)</f>
        <v>0</v>
      </c>
    </row>
    <row r="61" customFormat="false" ht="15" hidden="false" customHeight="true" outlineLevel="0" collapsed="false">
      <c r="B61" s="1" t="s">
        <v>151</v>
      </c>
      <c r="D61" s="7" t="n">
        <v>0</v>
      </c>
      <c r="E61" s="9" t="n">
        <f aca="false">D65</f>
        <v>0</v>
      </c>
      <c r="F61" s="9" t="n">
        <f aca="false">E65</f>
        <v>0</v>
      </c>
      <c r="G61" s="9" t="n">
        <f aca="false">F65</f>
        <v>0</v>
      </c>
      <c r="H61" s="9" t="n">
        <f aca="false">G65</f>
        <v>0</v>
      </c>
      <c r="I61" s="9" t="n">
        <f aca="false">H65</f>
        <v>0</v>
      </c>
      <c r="J61" s="9" t="n">
        <f aca="false">I65</f>
        <v>0</v>
      </c>
      <c r="K61" s="9" t="n">
        <f aca="false">J65</f>
        <v>0</v>
      </c>
    </row>
    <row r="62" customFormat="false" ht="15" hidden="false" customHeight="true" outlineLevel="0" collapsed="false">
      <c r="B62" s="1" t="s">
        <v>172</v>
      </c>
      <c r="D62" s="6" t="n">
        <f aca="false">MAX(0,D60-D61)</f>
        <v>0</v>
      </c>
      <c r="E62" s="6" t="n">
        <f aca="false">MAX(0,E60-E61)</f>
        <v>0</v>
      </c>
      <c r="F62" s="6" t="n">
        <f aca="false">MAX(0,F60-F61)</f>
        <v>0</v>
      </c>
      <c r="G62" s="6" t="n">
        <f aca="false">MAX(0,G60-G61)</f>
        <v>0</v>
      </c>
      <c r="H62" s="6" t="n">
        <f aca="false">MAX(0,H60-H61)</f>
        <v>0</v>
      </c>
      <c r="I62" s="6" t="n">
        <f aca="false">MAX(0,I60-I61)</f>
        <v>0</v>
      </c>
      <c r="J62" s="6" t="n">
        <f aca="false">MAX(0,J60-J61)</f>
        <v>0</v>
      </c>
      <c r="K62" s="6" t="n">
        <f aca="false">MAX(0,K60-K61)</f>
        <v>0</v>
      </c>
    </row>
    <row r="63" customFormat="false" ht="15" hidden="false" customHeight="true" outlineLevel="0" collapsed="false">
      <c r="B63" s="1" t="s">
        <v>173</v>
      </c>
    </row>
    <row r="64" customFormat="false" ht="15" hidden="false" customHeight="true" outlineLevel="0" collapsed="false">
      <c r="B64" s="1" t="s">
        <v>174</v>
      </c>
      <c r="C64" s="7" t="n">
        <v>0</v>
      </c>
      <c r="L64" s="6" t="n">
        <f aca="false">SUM(D64:K64)</f>
        <v>0</v>
      </c>
    </row>
    <row r="65" customFormat="false" ht="15" hidden="false" customHeight="true" outlineLevel="0" collapsed="false">
      <c r="B65" s="1" t="s">
        <v>154</v>
      </c>
      <c r="D65" s="6" t="n">
        <f aca="false">D61+C64-D60</f>
        <v>0</v>
      </c>
      <c r="E65" s="6" t="n">
        <f aca="false">E61+C64-E60</f>
        <v>0</v>
      </c>
      <c r="F65" s="6" t="n">
        <f aca="false">F61+C64-F60</f>
        <v>0</v>
      </c>
      <c r="G65" s="6" t="n">
        <f aca="false">G61+C64-G60</f>
        <v>0</v>
      </c>
      <c r="H65" s="6" t="n">
        <f aca="false">H61+C64-H60</f>
        <v>0</v>
      </c>
      <c r="I65" s="6" t="n">
        <f aca="false">I61+C64-I60</f>
        <v>0</v>
      </c>
      <c r="J65" s="6" t="n">
        <f aca="false">J61+C64-J60</f>
        <v>0</v>
      </c>
      <c r="K65" s="6" t="n">
        <f aca="false">K61+C64-K60</f>
        <v>0</v>
      </c>
    </row>
    <row r="66" customFormat="false" ht="15" hidden="false" customHeight="true" outlineLevel="0" collapsed="false">
      <c r="B66" s="1" t="s">
        <v>107</v>
      </c>
      <c r="L66" s="6" t="n">
        <f aca="false">SUM(D66:K66)</f>
        <v>0</v>
      </c>
    </row>
    <row r="67" customFormat="false" ht="15" hidden="false" customHeight="true" outlineLevel="0" collapsed="false">
      <c r="B67" s="1" t="s">
        <v>175</v>
      </c>
      <c r="L67" s="6" t="n">
        <f aca="false">SUM(D67:K67)</f>
        <v>0</v>
      </c>
    </row>
    <row r="69" customFormat="false" ht="15" hidden="false" customHeight="true" outlineLevel="0" collapsed="false">
      <c r="A69" s="8" t="s">
        <v>99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customFormat="false" ht="15" hidden="false" customHeight="true" outlineLevel="0" collapsed="false">
      <c r="B70" s="1" t="s">
        <v>91</v>
      </c>
      <c r="D70" s="9" t="n">
        <v>0</v>
      </c>
      <c r="E70" s="9" t="n">
        <v>0</v>
      </c>
      <c r="F70" s="9" t="n">
        <v>0</v>
      </c>
      <c r="G70" s="9" t="n">
        <v>0</v>
      </c>
      <c r="H70" s="9" t="n">
        <v>0</v>
      </c>
      <c r="I70" s="9" t="n">
        <v>0</v>
      </c>
      <c r="J70" s="9" t="n">
        <v>0</v>
      </c>
      <c r="K70" s="9" t="n">
        <v>0</v>
      </c>
    </row>
    <row r="71" customFormat="false" ht="15" hidden="false" customHeight="true" outlineLevel="0" collapsed="false">
      <c r="B71" s="1" t="s">
        <v>109</v>
      </c>
      <c r="D71" s="9" t="n">
        <v>0</v>
      </c>
      <c r="E71" s="9" t="n">
        <v>0</v>
      </c>
      <c r="F71" s="9" t="n">
        <v>0</v>
      </c>
      <c r="G71" s="9" t="n">
        <v>0</v>
      </c>
      <c r="H71" s="9" t="n">
        <v>0</v>
      </c>
      <c r="I71" s="9" t="n">
        <v>0</v>
      </c>
      <c r="J71" s="9" t="n">
        <v>0</v>
      </c>
      <c r="K71" s="9" t="n">
        <v>0</v>
      </c>
    </row>
    <row r="72" customFormat="false" ht="15" hidden="false" customHeight="true" outlineLevel="0" collapsed="false">
      <c r="B72" s="1" t="s">
        <v>170</v>
      </c>
      <c r="D72" s="9" t="n">
        <v>0</v>
      </c>
      <c r="E72" s="9" t="n">
        <v>0</v>
      </c>
      <c r="F72" s="9" t="n">
        <v>0</v>
      </c>
      <c r="G72" s="9" t="n">
        <v>0</v>
      </c>
      <c r="H72" s="9" t="n">
        <v>0</v>
      </c>
      <c r="I72" s="9" t="n">
        <v>0</v>
      </c>
      <c r="J72" s="9" t="n">
        <v>0</v>
      </c>
      <c r="K72" s="9" t="n">
        <v>0</v>
      </c>
    </row>
    <row r="73" customFormat="false" ht="15" hidden="false" customHeight="true" outlineLevel="0" collapsed="false">
      <c r="B73" s="1" t="s">
        <v>171</v>
      </c>
      <c r="D73" s="6" t="n">
        <f aca="false">D71*D72</f>
        <v>0</v>
      </c>
      <c r="E73" s="6" t="n">
        <f aca="false">E71*E72</f>
        <v>0</v>
      </c>
      <c r="F73" s="6" t="n">
        <f aca="false">F71*F72</f>
        <v>0</v>
      </c>
      <c r="G73" s="6" t="n">
        <f aca="false">G71*G72</f>
        <v>0</v>
      </c>
      <c r="H73" s="6" t="n">
        <f aca="false">H71*H72</f>
        <v>0</v>
      </c>
      <c r="I73" s="6" t="n">
        <f aca="false">I71*I72</f>
        <v>0</v>
      </c>
      <c r="J73" s="6" t="n">
        <f aca="false">J71*J72</f>
        <v>0</v>
      </c>
      <c r="K73" s="6" t="n">
        <f aca="false">K71*K72</f>
        <v>0</v>
      </c>
      <c r="L73" s="6" t="n">
        <f aca="false">SUM(D73:K73)</f>
        <v>0</v>
      </c>
    </row>
    <row r="74" customFormat="false" ht="15" hidden="false" customHeight="true" outlineLevel="0" collapsed="false">
      <c r="B74" s="1" t="s">
        <v>151</v>
      </c>
      <c r="D74" s="7" t="n">
        <v>0</v>
      </c>
      <c r="E74" s="9" t="n">
        <f aca="false">D78</f>
        <v>0</v>
      </c>
      <c r="F74" s="9" t="n">
        <f aca="false">E78</f>
        <v>0</v>
      </c>
      <c r="G74" s="9" t="n">
        <f aca="false">F78</f>
        <v>0</v>
      </c>
      <c r="H74" s="9" t="n">
        <f aca="false">G78</f>
        <v>0</v>
      </c>
      <c r="I74" s="9" t="n">
        <f aca="false">H78</f>
        <v>0</v>
      </c>
      <c r="J74" s="9" t="n">
        <f aca="false">I78</f>
        <v>0</v>
      </c>
      <c r="K74" s="9" t="n">
        <f aca="false">J78</f>
        <v>0</v>
      </c>
    </row>
    <row r="75" customFormat="false" ht="15" hidden="false" customHeight="true" outlineLevel="0" collapsed="false">
      <c r="B75" s="1" t="s">
        <v>172</v>
      </c>
      <c r="D75" s="6" t="n">
        <f aca="false">MAX(0,D73-D74)</f>
        <v>0</v>
      </c>
      <c r="E75" s="6" t="n">
        <f aca="false">MAX(0,E73-E74)</f>
        <v>0</v>
      </c>
      <c r="F75" s="6" t="n">
        <f aca="false">MAX(0,F73-F74)</f>
        <v>0</v>
      </c>
      <c r="G75" s="6" t="n">
        <f aca="false">MAX(0,G73-G74)</f>
        <v>0</v>
      </c>
      <c r="H75" s="6" t="n">
        <f aca="false">MAX(0,H73-H74)</f>
        <v>0</v>
      </c>
      <c r="I75" s="6" t="n">
        <f aca="false">MAX(0,I73-I74)</f>
        <v>0</v>
      </c>
      <c r="J75" s="6" t="n">
        <f aca="false">MAX(0,J73-J74)</f>
        <v>0</v>
      </c>
      <c r="K75" s="6" t="n">
        <f aca="false">MAX(0,K73-K74)</f>
        <v>0</v>
      </c>
    </row>
    <row r="76" customFormat="false" ht="15" hidden="false" customHeight="true" outlineLevel="0" collapsed="false">
      <c r="B76" s="1" t="s">
        <v>173</v>
      </c>
    </row>
    <row r="77" customFormat="false" ht="15" hidden="false" customHeight="true" outlineLevel="0" collapsed="false">
      <c r="B77" s="1" t="s">
        <v>174</v>
      </c>
      <c r="C77" s="7" t="n">
        <v>0</v>
      </c>
      <c r="L77" s="6" t="n">
        <f aca="false">SUM(D77:K77)</f>
        <v>0</v>
      </c>
    </row>
    <row r="78" customFormat="false" ht="15" hidden="false" customHeight="true" outlineLevel="0" collapsed="false">
      <c r="B78" s="1" t="s">
        <v>154</v>
      </c>
      <c r="D78" s="6" t="n">
        <f aca="false">D74+C77-D73</f>
        <v>0</v>
      </c>
      <c r="E78" s="6" t="n">
        <f aca="false">E74+C77-E73</f>
        <v>0</v>
      </c>
      <c r="F78" s="6" t="n">
        <f aca="false">F74+C77-F73</f>
        <v>0</v>
      </c>
      <c r="G78" s="6" t="n">
        <f aca="false">G74+C77-G73</f>
        <v>0</v>
      </c>
      <c r="H78" s="6" t="n">
        <f aca="false">H74+C77-H73</f>
        <v>0</v>
      </c>
      <c r="I78" s="6" t="n">
        <f aca="false">I74+C77-I73</f>
        <v>0</v>
      </c>
      <c r="J78" s="6" t="n">
        <f aca="false">J74+C77-J73</f>
        <v>0</v>
      </c>
      <c r="K78" s="6" t="n">
        <f aca="false">K74+C77-K73</f>
        <v>0</v>
      </c>
    </row>
    <row r="79" customFormat="false" ht="15" hidden="false" customHeight="true" outlineLevel="0" collapsed="false">
      <c r="B79" s="1" t="s">
        <v>107</v>
      </c>
      <c r="L79" s="6" t="n">
        <f aca="false">SUM(D79:K79)</f>
        <v>0</v>
      </c>
    </row>
    <row r="80" customFormat="false" ht="15" hidden="false" customHeight="true" outlineLevel="0" collapsed="false">
      <c r="B80" s="1" t="s">
        <v>175</v>
      </c>
      <c r="L80" s="6" t="n">
        <f aca="false">SUM(D80:K80)</f>
        <v>0</v>
      </c>
    </row>
    <row r="82" customFormat="false" ht="15" hidden="false" customHeight="true" outlineLevel="0" collapsed="false">
      <c r="A82" s="8" t="s">
        <v>100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customFormat="false" ht="15" hidden="false" customHeight="true" outlineLevel="0" collapsed="false">
      <c r="B83" s="1" t="s">
        <v>91</v>
      </c>
      <c r="D83" s="9" t="n">
        <v>0</v>
      </c>
      <c r="E83" s="9" t="n">
        <v>0</v>
      </c>
      <c r="F83" s="9" t="n">
        <v>0</v>
      </c>
      <c r="G83" s="9" t="n">
        <v>0</v>
      </c>
      <c r="H83" s="9" t="n">
        <v>0</v>
      </c>
      <c r="I83" s="9" t="n">
        <v>0</v>
      </c>
      <c r="J83" s="9" t="n">
        <v>0</v>
      </c>
      <c r="K83" s="9" t="n">
        <v>0</v>
      </c>
    </row>
    <row r="84" customFormat="false" ht="15" hidden="false" customHeight="true" outlineLevel="0" collapsed="false">
      <c r="B84" s="1" t="s">
        <v>109</v>
      </c>
      <c r="D84" s="9" t="n">
        <v>0</v>
      </c>
      <c r="E84" s="9" t="n">
        <v>0</v>
      </c>
      <c r="F84" s="9" t="n">
        <v>0</v>
      </c>
      <c r="G84" s="9" t="n">
        <v>0</v>
      </c>
      <c r="H84" s="9" t="n">
        <v>0</v>
      </c>
      <c r="I84" s="9" t="n">
        <v>0</v>
      </c>
      <c r="J84" s="9" t="n">
        <v>0</v>
      </c>
      <c r="K84" s="9" t="n">
        <v>0</v>
      </c>
    </row>
    <row r="85" customFormat="false" ht="15" hidden="false" customHeight="true" outlineLevel="0" collapsed="false">
      <c r="B85" s="1" t="s">
        <v>170</v>
      </c>
      <c r="D85" s="9" t="n">
        <v>0</v>
      </c>
      <c r="E85" s="9" t="n">
        <v>0</v>
      </c>
      <c r="F85" s="9" t="n">
        <v>0</v>
      </c>
      <c r="G85" s="9" t="n">
        <v>0</v>
      </c>
      <c r="H85" s="9" t="n">
        <v>0</v>
      </c>
      <c r="I85" s="9" t="n">
        <v>0</v>
      </c>
      <c r="J85" s="9" t="n">
        <v>0</v>
      </c>
      <c r="K85" s="9" t="n">
        <v>0</v>
      </c>
    </row>
    <row r="86" customFormat="false" ht="15" hidden="false" customHeight="true" outlineLevel="0" collapsed="false">
      <c r="B86" s="1" t="s">
        <v>171</v>
      </c>
      <c r="D86" s="6" t="n">
        <f aca="false">D84*D85</f>
        <v>0</v>
      </c>
      <c r="E86" s="6" t="n">
        <f aca="false">E84*E85</f>
        <v>0</v>
      </c>
      <c r="F86" s="6" t="n">
        <f aca="false">F84*F85</f>
        <v>0</v>
      </c>
      <c r="G86" s="6" t="n">
        <f aca="false">G84*G85</f>
        <v>0</v>
      </c>
      <c r="H86" s="6" t="n">
        <f aca="false">H84*H85</f>
        <v>0</v>
      </c>
      <c r="I86" s="6" t="n">
        <f aca="false">I84*I85</f>
        <v>0</v>
      </c>
      <c r="J86" s="6" t="n">
        <f aca="false">J84*J85</f>
        <v>0</v>
      </c>
      <c r="K86" s="6" t="n">
        <f aca="false">K84*K85</f>
        <v>0</v>
      </c>
      <c r="L86" s="6" t="n">
        <f aca="false">SUM(D86:K86)</f>
        <v>0</v>
      </c>
    </row>
    <row r="87" customFormat="false" ht="15" hidden="false" customHeight="true" outlineLevel="0" collapsed="false">
      <c r="B87" s="1" t="s">
        <v>151</v>
      </c>
      <c r="D87" s="7" t="n">
        <v>0</v>
      </c>
      <c r="E87" s="9" t="n">
        <f aca="false">D91</f>
        <v>0</v>
      </c>
      <c r="F87" s="9" t="n">
        <f aca="false">E91</f>
        <v>0</v>
      </c>
      <c r="G87" s="9" t="n">
        <f aca="false">F91</f>
        <v>0</v>
      </c>
      <c r="H87" s="9" t="n">
        <f aca="false">G91</f>
        <v>0</v>
      </c>
      <c r="I87" s="9" t="n">
        <f aca="false">H91</f>
        <v>0</v>
      </c>
      <c r="J87" s="9" t="n">
        <f aca="false">I91</f>
        <v>0</v>
      </c>
      <c r="K87" s="9" t="n">
        <f aca="false">J91</f>
        <v>0</v>
      </c>
    </row>
    <row r="88" customFormat="false" ht="15" hidden="false" customHeight="true" outlineLevel="0" collapsed="false">
      <c r="B88" s="1" t="s">
        <v>172</v>
      </c>
      <c r="D88" s="6" t="n">
        <f aca="false">MAX(0,D86-D87)</f>
        <v>0</v>
      </c>
      <c r="E88" s="6" t="n">
        <f aca="false">MAX(0,E86-E87)</f>
        <v>0</v>
      </c>
      <c r="F88" s="6" t="n">
        <f aca="false">MAX(0,F86-F87)</f>
        <v>0</v>
      </c>
      <c r="G88" s="6" t="n">
        <f aca="false">MAX(0,G86-G87)</f>
        <v>0</v>
      </c>
      <c r="H88" s="6" t="n">
        <f aca="false">MAX(0,H86-H87)</f>
        <v>0</v>
      </c>
      <c r="I88" s="6" t="n">
        <f aca="false">MAX(0,I86-I87)</f>
        <v>0</v>
      </c>
      <c r="J88" s="6" t="n">
        <f aca="false">MAX(0,J86-J87)</f>
        <v>0</v>
      </c>
      <c r="K88" s="6" t="n">
        <f aca="false">MAX(0,K86-K87)</f>
        <v>0</v>
      </c>
    </row>
    <row r="89" customFormat="false" ht="15" hidden="false" customHeight="true" outlineLevel="0" collapsed="false">
      <c r="B89" s="1" t="s">
        <v>173</v>
      </c>
    </row>
    <row r="90" customFormat="false" ht="15" hidden="false" customHeight="true" outlineLevel="0" collapsed="false">
      <c r="B90" s="1" t="s">
        <v>174</v>
      </c>
      <c r="C90" s="7" t="n">
        <v>0</v>
      </c>
      <c r="L90" s="6" t="n">
        <f aca="false">SUM(D90:K90)</f>
        <v>0</v>
      </c>
    </row>
    <row r="91" customFormat="false" ht="15" hidden="false" customHeight="true" outlineLevel="0" collapsed="false">
      <c r="B91" s="1" t="s">
        <v>154</v>
      </c>
      <c r="D91" s="6" t="n">
        <f aca="false">D87+C90-D86</f>
        <v>0</v>
      </c>
      <c r="E91" s="6" t="n">
        <f aca="false">E87+C90-E86</f>
        <v>0</v>
      </c>
      <c r="F91" s="6" t="n">
        <f aca="false">F87+C90-F86</f>
        <v>0</v>
      </c>
      <c r="G91" s="6" t="n">
        <f aca="false">G87+C90-G86</f>
        <v>0</v>
      </c>
      <c r="H91" s="6" t="n">
        <f aca="false">H87+C90-H86</f>
        <v>0</v>
      </c>
      <c r="I91" s="6" t="n">
        <f aca="false">I87+C90-I86</f>
        <v>0</v>
      </c>
      <c r="J91" s="6" t="n">
        <f aca="false">J87+C90-J86</f>
        <v>0</v>
      </c>
      <c r="K91" s="6" t="n">
        <f aca="false">K87+C90-K86</f>
        <v>0</v>
      </c>
    </row>
    <row r="92" customFormat="false" ht="15" hidden="false" customHeight="true" outlineLevel="0" collapsed="false">
      <c r="B92" s="1" t="s">
        <v>107</v>
      </c>
      <c r="L92" s="6" t="n">
        <f aca="false">SUM(D92:K92)</f>
        <v>0</v>
      </c>
    </row>
    <row r="93" customFormat="false" ht="15" hidden="false" customHeight="true" outlineLevel="0" collapsed="false">
      <c r="B93" s="1" t="s">
        <v>175</v>
      </c>
      <c r="L93" s="6" t="n">
        <f aca="false">SUM(D93:K93)</f>
        <v>0</v>
      </c>
    </row>
    <row r="95" customFormat="false" ht="15" hidden="false" customHeight="true" outlineLevel="0" collapsed="false">
      <c r="A95" s="8" t="s">
        <v>101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</row>
    <row r="96" customFormat="false" ht="15" hidden="false" customHeight="true" outlineLevel="0" collapsed="false">
      <c r="B96" s="1" t="s">
        <v>91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</row>
    <row r="97" customFormat="false" ht="15" hidden="false" customHeight="true" outlineLevel="0" collapsed="false">
      <c r="B97" s="1" t="s">
        <v>109</v>
      </c>
      <c r="D97" s="9" t="n">
        <v>0</v>
      </c>
      <c r="E97" s="9" t="n">
        <v>0</v>
      </c>
      <c r="F97" s="9" t="n">
        <v>0</v>
      </c>
      <c r="G97" s="9" t="n">
        <v>0</v>
      </c>
      <c r="H97" s="9" t="n">
        <v>0</v>
      </c>
      <c r="I97" s="9" t="n">
        <v>0</v>
      </c>
      <c r="J97" s="9" t="n">
        <v>0</v>
      </c>
      <c r="K97" s="9" t="n">
        <v>0</v>
      </c>
    </row>
    <row r="98" customFormat="false" ht="15" hidden="false" customHeight="true" outlineLevel="0" collapsed="false">
      <c r="B98" s="1" t="s">
        <v>170</v>
      </c>
      <c r="D98" s="9" t="n">
        <v>0</v>
      </c>
      <c r="E98" s="9" t="n">
        <v>0</v>
      </c>
      <c r="F98" s="9" t="n">
        <v>0</v>
      </c>
      <c r="G98" s="9" t="n">
        <v>0</v>
      </c>
      <c r="H98" s="9" t="n">
        <v>0</v>
      </c>
      <c r="I98" s="9" t="n">
        <v>0</v>
      </c>
      <c r="J98" s="9" t="n">
        <v>0</v>
      </c>
      <c r="K98" s="9" t="n">
        <v>0</v>
      </c>
    </row>
    <row r="99" customFormat="false" ht="15" hidden="false" customHeight="true" outlineLevel="0" collapsed="false">
      <c r="B99" s="1" t="s">
        <v>171</v>
      </c>
      <c r="D99" s="6" t="n">
        <f aca="false">D97*D98</f>
        <v>0</v>
      </c>
      <c r="E99" s="6" t="n">
        <f aca="false">E97*E98</f>
        <v>0</v>
      </c>
      <c r="F99" s="6" t="n">
        <f aca="false">F97*F98</f>
        <v>0</v>
      </c>
      <c r="G99" s="6" t="n">
        <f aca="false">G97*G98</f>
        <v>0</v>
      </c>
      <c r="H99" s="6" t="n">
        <f aca="false">H97*H98</f>
        <v>0</v>
      </c>
      <c r="I99" s="6" t="n">
        <f aca="false">I97*I98</f>
        <v>0</v>
      </c>
      <c r="J99" s="6" t="n">
        <f aca="false">J97*J98</f>
        <v>0</v>
      </c>
      <c r="K99" s="6" t="n">
        <f aca="false">K97*K98</f>
        <v>0</v>
      </c>
      <c r="L99" s="6" t="n">
        <f aca="false">SUM(D99:K99)</f>
        <v>0</v>
      </c>
    </row>
    <row r="100" customFormat="false" ht="15" hidden="false" customHeight="true" outlineLevel="0" collapsed="false">
      <c r="B100" s="1" t="s">
        <v>151</v>
      </c>
      <c r="D100" s="7" t="n">
        <v>0</v>
      </c>
      <c r="E100" s="9" t="n">
        <f aca="false">D104</f>
        <v>0</v>
      </c>
      <c r="F100" s="9" t="n">
        <f aca="false">E104</f>
        <v>0</v>
      </c>
      <c r="G100" s="9" t="n">
        <f aca="false">F104</f>
        <v>0</v>
      </c>
      <c r="H100" s="9" t="n">
        <f aca="false">G104</f>
        <v>0</v>
      </c>
      <c r="I100" s="9" t="n">
        <f aca="false">H104</f>
        <v>0</v>
      </c>
      <c r="J100" s="9" t="n">
        <f aca="false">I104</f>
        <v>0</v>
      </c>
      <c r="K100" s="9" t="n">
        <f aca="false">J104</f>
        <v>0</v>
      </c>
    </row>
    <row r="101" customFormat="false" ht="15" hidden="false" customHeight="true" outlineLevel="0" collapsed="false">
      <c r="B101" s="1" t="s">
        <v>172</v>
      </c>
      <c r="D101" s="6" t="n">
        <f aca="false">MAX(0,D99-D100)</f>
        <v>0</v>
      </c>
      <c r="E101" s="6" t="n">
        <f aca="false">MAX(0,E99-E100)</f>
        <v>0</v>
      </c>
      <c r="F101" s="6" t="n">
        <f aca="false">MAX(0,F99-F100)</f>
        <v>0</v>
      </c>
      <c r="G101" s="6" t="n">
        <f aca="false">MAX(0,G99-G100)</f>
        <v>0</v>
      </c>
      <c r="H101" s="6" t="n">
        <f aca="false">MAX(0,H99-H100)</f>
        <v>0</v>
      </c>
      <c r="I101" s="6" t="n">
        <f aca="false">MAX(0,I99-I100)</f>
        <v>0</v>
      </c>
      <c r="J101" s="6" t="n">
        <f aca="false">MAX(0,J99-J100)</f>
        <v>0</v>
      </c>
      <c r="K101" s="6" t="n">
        <f aca="false">MAX(0,K99-K100)</f>
        <v>0</v>
      </c>
    </row>
    <row r="102" customFormat="false" ht="15" hidden="false" customHeight="true" outlineLevel="0" collapsed="false">
      <c r="B102" s="1" t="s">
        <v>173</v>
      </c>
    </row>
    <row r="103" customFormat="false" ht="15" hidden="false" customHeight="true" outlineLevel="0" collapsed="false">
      <c r="B103" s="1" t="s">
        <v>174</v>
      </c>
      <c r="C103" s="7" t="n">
        <v>0</v>
      </c>
      <c r="L103" s="6" t="n">
        <f aca="false">SUM(D103:K103)</f>
        <v>0</v>
      </c>
    </row>
    <row r="104" customFormat="false" ht="15" hidden="false" customHeight="true" outlineLevel="0" collapsed="false">
      <c r="B104" s="1" t="s">
        <v>154</v>
      </c>
      <c r="D104" s="6" t="n">
        <f aca="false">D100+C103-D99</f>
        <v>0</v>
      </c>
      <c r="E104" s="6" t="n">
        <f aca="false">E100+C103-E99</f>
        <v>0</v>
      </c>
      <c r="F104" s="6" t="n">
        <f aca="false">F100+C103-F99</f>
        <v>0</v>
      </c>
      <c r="G104" s="6" t="n">
        <f aca="false">G100+C103-G99</f>
        <v>0</v>
      </c>
      <c r="H104" s="6" t="n">
        <f aca="false">H100+C103-H99</f>
        <v>0</v>
      </c>
      <c r="I104" s="6" t="n">
        <f aca="false">I100+C103-I99</f>
        <v>0</v>
      </c>
      <c r="J104" s="6" t="n">
        <f aca="false">J100+C103-J99</f>
        <v>0</v>
      </c>
      <c r="K104" s="6" t="n">
        <f aca="false">K100+C103-K99</f>
        <v>0</v>
      </c>
    </row>
    <row r="105" customFormat="false" ht="15" hidden="false" customHeight="true" outlineLevel="0" collapsed="false">
      <c r="B105" s="1" t="s">
        <v>107</v>
      </c>
      <c r="L105" s="6" t="n">
        <f aca="false">SUM(D105:K105)</f>
        <v>0</v>
      </c>
    </row>
    <row r="106" customFormat="false" ht="15" hidden="false" customHeight="true" outlineLevel="0" collapsed="false">
      <c r="B106" s="1" t="s">
        <v>175</v>
      </c>
      <c r="L106" s="6" t="n">
        <f aca="false">SUM(D106:K106)</f>
        <v>0</v>
      </c>
    </row>
  </sheetData>
  <mergeCells count="9">
    <mergeCell ref="A1:L1"/>
    <mergeCell ref="A4:L4"/>
    <mergeCell ref="A17:L17"/>
    <mergeCell ref="A30:L30"/>
    <mergeCell ref="A43:L43"/>
    <mergeCell ref="A56:L56"/>
    <mergeCell ref="A69:L69"/>
    <mergeCell ref="A82:L82"/>
    <mergeCell ref="A95:L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5"/>
    <col collapsed="false" customWidth="true" hidden="false" outlineLevel="0" max="3" min="3" style="1" width="20"/>
  </cols>
  <sheetData>
    <row r="1" customFormat="false" ht="17.25" hidden="false" customHeight="true" outlineLevel="0" collapsed="false">
      <c r="A1" s="4" t="s">
        <v>176</v>
      </c>
      <c r="B1" s="4"/>
      <c r="C1" s="4"/>
      <c r="D1" s="4"/>
      <c r="E1" s="4"/>
      <c r="F1" s="4"/>
    </row>
    <row r="3" customFormat="false" ht="15" hidden="false" customHeight="true" outlineLevel="0" collapsed="false">
      <c r="A3" s="5" t="s">
        <v>149</v>
      </c>
      <c r="B3" s="5" t="s">
        <v>128</v>
      </c>
      <c r="C3" s="5" t="s">
        <v>177</v>
      </c>
    </row>
    <row r="4" customFormat="false" ht="15" hidden="false" customHeight="true" outlineLevel="0" collapsed="false">
      <c r="A4" s="8" t="s">
        <v>50</v>
      </c>
      <c r="B4" s="8"/>
      <c r="C4" s="8"/>
    </row>
    <row r="5" customFormat="false" ht="15" hidden="false" customHeight="true" outlineLevel="0" collapsed="false">
      <c r="B5" s="1" t="s">
        <v>178</v>
      </c>
      <c r="C5" s="7" t="n">
        <v>7</v>
      </c>
    </row>
    <row r="6" customFormat="false" ht="15" hidden="false" customHeight="true" outlineLevel="0" collapsed="false">
      <c r="B6" s="1" t="s">
        <v>179</v>
      </c>
      <c r="C6" s="7" t="n">
        <v>1</v>
      </c>
    </row>
    <row r="7" customFormat="false" ht="15" hidden="false" customHeight="true" outlineLevel="0" collapsed="false">
      <c r="B7" s="1" t="s">
        <v>180</v>
      </c>
      <c r="C7" s="7" t="n">
        <v>22</v>
      </c>
    </row>
    <row r="8" customFormat="false" ht="15" hidden="false" customHeight="true" outlineLevel="0" collapsed="false">
      <c r="B8" s="1" t="s">
        <v>181</v>
      </c>
      <c r="C8" s="7" t="n">
        <v>1</v>
      </c>
    </row>
    <row r="9" customFormat="false" ht="15" hidden="false" customHeight="true" outlineLevel="0" collapsed="false">
      <c r="B9" s="1" t="s">
        <v>182</v>
      </c>
      <c r="C9" s="7" t="n">
        <v>3</v>
      </c>
    </row>
    <row r="10" customFormat="false" ht="15" hidden="false" customHeight="true" outlineLevel="0" collapsed="false">
      <c r="B10" s="1" t="s">
        <v>183</v>
      </c>
      <c r="C10" s="7" t="n">
        <v>5</v>
      </c>
    </row>
    <row r="11" customFormat="false" ht="15" hidden="false" customHeight="true" outlineLevel="0" collapsed="false">
      <c r="B11" s="1" t="s">
        <v>184</v>
      </c>
      <c r="C11" s="7" t="n">
        <v>0</v>
      </c>
    </row>
    <row r="12" customFormat="false" ht="15" hidden="false" customHeight="true" outlineLevel="0" collapsed="false">
      <c r="B12" s="1" t="s">
        <v>185</v>
      </c>
      <c r="C12" s="7" t="n">
        <v>6</v>
      </c>
    </row>
    <row r="13" customFormat="false" ht="15" hidden="false" customHeight="true" outlineLevel="0" collapsed="false">
      <c r="B13" s="1" t="s">
        <v>186</v>
      </c>
      <c r="C13" s="7" t="n">
        <v>25</v>
      </c>
    </row>
    <row r="14" customFormat="false" ht="15" hidden="false" customHeight="true" outlineLevel="0" collapsed="false">
      <c r="B14" s="1" t="s">
        <v>187</v>
      </c>
      <c r="C14" s="7" t="n">
        <v>1</v>
      </c>
    </row>
    <row r="15" customFormat="false" ht="15" hidden="false" customHeight="true" outlineLevel="0" collapsed="false">
      <c r="B15" s="1" t="s">
        <v>188</v>
      </c>
      <c r="C15" s="6" t="n">
        <f aca="false">C5*C6+C7*C8+C9*C10+C11*C12+C13*C14</f>
        <v>69</v>
      </c>
    </row>
    <row r="16" customFormat="false" ht="15" hidden="false" customHeight="true" outlineLevel="0" collapsed="false">
      <c r="B16" s="1" t="s">
        <v>189</v>
      </c>
      <c r="C16" s="7" t="n">
        <v>4</v>
      </c>
    </row>
    <row r="17" customFormat="false" ht="15" hidden="false" customHeight="true" outlineLevel="0" collapsed="false">
      <c r="B17" s="1" t="s">
        <v>190</v>
      </c>
      <c r="C17" s="6" t="n">
        <f aca="false">C16*18</f>
        <v>72</v>
      </c>
    </row>
    <row r="18" customFormat="false" ht="15" hidden="false" customHeight="true" outlineLevel="0" collapsed="false">
      <c r="B18" s="1" t="s">
        <v>191</v>
      </c>
      <c r="C18" s="6" t="n">
        <f aca="false">MAX(0,C15-C17)</f>
        <v>0</v>
      </c>
    </row>
    <row r="19" customFormat="false" ht="15" hidden="false" customHeight="true" outlineLevel="0" collapsed="false">
      <c r="B19" s="1" t="s">
        <v>192</v>
      </c>
      <c r="C19" s="6" t="n">
        <f aca="false">CEILING(C15/18,1)</f>
        <v>4</v>
      </c>
    </row>
    <row r="20" customFormat="false" ht="15" hidden="false" customHeight="true" outlineLevel="0" collapsed="false">
      <c r="B20" s="1" t="s">
        <v>193</v>
      </c>
      <c r="C20" s="6" t="str">
        <f aca="false">IF(C18&gt;0,"⚠️ FALTA ESPACIO","✓ OK")</f>
        <v>✓ OK</v>
      </c>
    </row>
    <row r="22" customFormat="false" ht="15" hidden="false" customHeight="true" outlineLevel="0" collapsed="false">
      <c r="A22" s="8" t="s">
        <v>51</v>
      </c>
      <c r="B22" s="8"/>
      <c r="C22" s="8"/>
    </row>
    <row r="23" customFormat="false" ht="15" hidden="false" customHeight="true" outlineLevel="0" collapsed="false">
      <c r="B23" s="1" t="s">
        <v>178</v>
      </c>
      <c r="C23" s="7" t="n">
        <v>3</v>
      </c>
    </row>
    <row r="24" customFormat="false" ht="15" hidden="false" customHeight="true" outlineLevel="0" collapsed="false">
      <c r="B24" s="1" t="s">
        <v>179</v>
      </c>
      <c r="C24" s="7" t="n">
        <v>1</v>
      </c>
    </row>
    <row r="25" customFormat="false" ht="15" hidden="false" customHeight="true" outlineLevel="0" collapsed="false">
      <c r="B25" s="1" t="s">
        <v>180</v>
      </c>
      <c r="C25" s="7" t="n">
        <v>9</v>
      </c>
    </row>
    <row r="26" customFormat="false" ht="15" hidden="false" customHeight="true" outlineLevel="0" collapsed="false">
      <c r="B26" s="1" t="s">
        <v>181</v>
      </c>
      <c r="C26" s="7" t="n">
        <v>1</v>
      </c>
    </row>
    <row r="27" customFormat="false" ht="15" hidden="false" customHeight="true" outlineLevel="0" collapsed="false">
      <c r="B27" s="1" t="s">
        <v>182</v>
      </c>
      <c r="C27" s="7" t="n">
        <v>1</v>
      </c>
    </row>
    <row r="28" customFormat="false" ht="15" hidden="false" customHeight="true" outlineLevel="0" collapsed="false">
      <c r="B28" s="1" t="s">
        <v>183</v>
      </c>
      <c r="C28" s="7" t="n">
        <v>5</v>
      </c>
    </row>
    <row r="29" customFormat="false" ht="15" hidden="false" customHeight="true" outlineLevel="0" collapsed="false">
      <c r="B29" s="1" t="s">
        <v>184</v>
      </c>
      <c r="C29" s="7" t="n">
        <v>0</v>
      </c>
    </row>
    <row r="30" customFormat="false" ht="15" hidden="false" customHeight="true" outlineLevel="0" collapsed="false">
      <c r="B30" s="1" t="s">
        <v>185</v>
      </c>
      <c r="C30" s="7" t="n">
        <v>6</v>
      </c>
    </row>
    <row r="31" customFormat="false" ht="15" hidden="false" customHeight="true" outlineLevel="0" collapsed="false">
      <c r="B31" s="1" t="s">
        <v>186</v>
      </c>
      <c r="C31" s="7" t="n">
        <v>8</v>
      </c>
    </row>
    <row r="32" customFormat="false" ht="15" hidden="false" customHeight="true" outlineLevel="0" collapsed="false">
      <c r="B32" s="1" t="s">
        <v>187</v>
      </c>
      <c r="C32" s="7" t="n">
        <v>1</v>
      </c>
    </row>
    <row r="33" customFormat="false" ht="15" hidden="false" customHeight="true" outlineLevel="0" collapsed="false">
      <c r="B33" s="1" t="s">
        <v>188</v>
      </c>
      <c r="C33" s="6" t="n">
        <f aca="false">C23*C24+C25*C26+C27*C28+C29*C30+C31*C32</f>
        <v>25</v>
      </c>
    </row>
    <row r="34" customFormat="false" ht="15" hidden="false" customHeight="true" outlineLevel="0" collapsed="false">
      <c r="B34" s="1" t="s">
        <v>189</v>
      </c>
      <c r="C34" s="7" t="n">
        <v>2</v>
      </c>
    </row>
    <row r="35" customFormat="false" ht="15" hidden="false" customHeight="true" outlineLevel="0" collapsed="false">
      <c r="B35" s="1" t="s">
        <v>190</v>
      </c>
      <c r="C35" s="6" t="n">
        <f aca="false">C34*18</f>
        <v>36</v>
      </c>
    </row>
    <row r="36" customFormat="false" ht="15" hidden="false" customHeight="true" outlineLevel="0" collapsed="false">
      <c r="B36" s="1" t="s">
        <v>191</v>
      </c>
      <c r="C36" s="6" t="n">
        <f aca="false">MAX(0,C33-C35)</f>
        <v>0</v>
      </c>
    </row>
    <row r="37" customFormat="false" ht="15" hidden="false" customHeight="true" outlineLevel="0" collapsed="false">
      <c r="B37" s="1" t="s">
        <v>192</v>
      </c>
      <c r="C37" s="6" t="n">
        <f aca="false">CEILING(C33/18,1)</f>
        <v>2</v>
      </c>
    </row>
    <row r="38" customFormat="false" ht="15" hidden="false" customHeight="true" outlineLevel="0" collapsed="false">
      <c r="B38" s="1" t="s">
        <v>193</v>
      </c>
      <c r="C38" s="6" t="str">
        <f aca="false">IF(C36&gt;0,"⚠️ FALTA ESPACIO","✓ OK")</f>
        <v>✓ OK</v>
      </c>
    </row>
  </sheetData>
  <mergeCells count="3">
    <mergeCell ref="A1:F1"/>
    <mergeCell ref="A4:C4"/>
    <mergeCell ref="A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10" min="2" style="1" width="14"/>
  </cols>
  <sheetData>
    <row r="1" customFormat="false" ht="17.25" hidden="false" customHeight="true" outlineLevel="0" collapsed="false">
      <c r="A1" s="4" t="s">
        <v>194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3" customFormat="false" ht="27.75" hidden="false" customHeight="true" outlineLevel="0" collapsed="false">
      <c r="A3" s="5" t="s">
        <v>128</v>
      </c>
      <c r="B3" s="5" t="s">
        <v>67</v>
      </c>
      <c r="C3" s="5" t="s">
        <v>69</v>
      </c>
      <c r="D3" s="5" t="s">
        <v>71</v>
      </c>
      <c r="E3" s="5" t="s">
        <v>75</v>
      </c>
      <c r="F3" s="5" t="s">
        <v>77</v>
      </c>
      <c r="G3" s="5" t="s">
        <v>129</v>
      </c>
      <c r="H3" s="5" t="s">
        <v>130</v>
      </c>
      <c r="I3" s="5" t="s">
        <v>131</v>
      </c>
      <c r="J3" s="5" t="s">
        <v>195</v>
      </c>
    </row>
    <row r="4" customFormat="false" ht="15" hidden="false" customHeight="true" outlineLevel="0" collapsed="false">
      <c r="A4" s="11" t="s">
        <v>79</v>
      </c>
    </row>
    <row r="5" customFormat="false" ht="15" hidden="false" customHeight="true" outlineLevel="0" collapsed="false">
      <c r="A5" s="1" t="s">
        <v>159</v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6" t="n">
        <f aca="false">SUM(B5:I5)</f>
        <v>0</v>
      </c>
    </row>
    <row r="6" customFormat="false" ht="15" hidden="false" customHeight="true" outlineLevel="0" collapsed="false">
      <c r="A6" s="1" t="s">
        <v>196</v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6" t="n">
        <f aca="false">SUM(B6:I6)</f>
        <v>0</v>
      </c>
    </row>
    <row r="7" customFormat="false" ht="15" hidden="false" customHeight="true" outlineLevel="0" collapsed="false">
      <c r="A7" s="1" t="s">
        <v>197</v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f aca="false">SUM(B7:I7)</f>
        <v>0</v>
      </c>
    </row>
    <row r="8" customFormat="false" ht="15" hidden="false" customHeight="true" outlineLevel="0" collapsed="false">
      <c r="A8" s="1" t="s">
        <v>198</v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6" t="n">
        <f aca="false">SUM(B8:I8)</f>
        <v>0</v>
      </c>
    </row>
    <row r="9" customFormat="false" ht="15" hidden="false" customHeight="true" outlineLevel="0" collapsed="false">
      <c r="A9" s="1" t="s">
        <v>199</v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6" t="n">
        <f aca="false">SUM(B9:I9)</f>
        <v>0</v>
      </c>
    </row>
    <row r="10" customFormat="false" ht="15" hidden="false" customHeight="true" outlineLevel="0" collapsed="false">
      <c r="A10" s="1" t="s">
        <v>200</v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f aca="false">SUM(B10:I10)</f>
        <v>0</v>
      </c>
    </row>
    <row r="11" customFormat="false" ht="15" hidden="false" customHeight="true" outlineLevel="0" collapsed="false">
      <c r="A11" s="1" t="s">
        <v>201</v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f aca="false">SUM(B11:I11)</f>
        <v>0</v>
      </c>
    </row>
    <row r="12" customFormat="false" ht="15" hidden="false" customHeight="true" outlineLevel="0" collapsed="false">
      <c r="A12" s="1" t="s">
        <v>202</v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f aca="false">SUM(B12:I12)</f>
        <v>0</v>
      </c>
    </row>
    <row r="13" customFormat="false" ht="15" hidden="false" customHeight="true" outlineLevel="0" collapsed="false">
      <c r="A13" s="11"/>
    </row>
    <row r="14" customFormat="false" ht="15" hidden="false" customHeight="true" outlineLevel="0" collapsed="false">
      <c r="A14" s="11" t="s">
        <v>85</v>
      </c>
    </row>
    <row r="15" customFormat="false" ht="15" hidden="false" customHeight="true" outlineLevel="0" collapsed="false">
      <c r="A15" s="1" t="s">
        <v>203</v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6" t="n">
        <f aca="false">SUM(B15:I15)</f>
        <v>0</v>
      </c>
    </row>
    <row r="16" customFormat="false" ht="15" hidden="false" customHeight="true" outlineLevel="0" collapsed="false">
      <c r="A16" s="1" t="s">
        <v>204</v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6" t="n">
        <f aca="false">SUM(B16:I16)</f>
        <v>0</v>
      </c>
    </row>
    <row r="17" customFormat="false" ht="15" hidden="false" customHeight="true" outlineLevel="0" collapsed="false">
      <c r="A17" s="1" t="s">
        <v>205</v>
      </c>
      <c r="B17" s="6" t="n">
        <v>0</v>
      </c>
      <c r="C17" s="6" t="n">
        <v>0</v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f aca="false">SUM(B17:I17)</f>
        <v>0</v>
      </c>
    </row>
    <row r="18" customFormat="false" ht="15" hidden="false" customHeight="true" outlineLevel="0" collapsed="false">
      <c r="A18" s="1" t="s">
        <v>206</v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6" t="n">
        <f aca="false">SUM(B18:I18)</f>
        <v>0</v>
      </c>
    </row>
    <row r="19" customFormat="false" ht="15" hidden="false" customHeight="true" outlineLevel="0" collapsed="false">
      <c r="A19" s="1" t="s">
        <v>207</v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6" t="n">
        <f aca="false">SUM(B19:I19)</f>
        <v>0</v>
      </c>
    </row>
    <row r="20" customFormat="false" ht="15" hidden="false" customHeight="true" outlineLevel="0" collapsed="false">
      <c r="A20" s="1" t="s">
        <v>208</v>
      </c>
      <c r="B20" s="6" t="n">
        <v>0</v>
      </c>
      <c r="C20" s="6" t="n">
        <v>0</v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f aca="false">SUM(B20:I20)</f>
        <v>0</v>
      </c>
    </row>
    <row r="21" customFormat="false" ht="15" hidden="false" customHeight="true" outlineLevel="0" collapsed="false">
      <c r="A21" s="1" t="s">
        <v>209</v>
      </c>
      <c r="B21" s="6" t="n">
        <v>0</v>
      </c>
      <c r="C21" s="6" t="n">
        <v>0</v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  <c r="I21" s="6" t="n">
        <v>0</v>
      </c>
      <c r="J21" s="6" t="n">
        <f aca="false">SUM(B21:I21)</f>
        <v>0</v>
      </c>
    </row>
    <row r="22" customFormat="false" ht="15" hidden="false" customHeight="true" outlineLevel="0" collapsed="false">
      <c r="A22" s="11"/>
    </row>
    <row r="23" customFormat="false" ht="15" hidden="false" customHeight="true" outlineLevel="0" collapsed="false">
      <c r="A23" s="11" t="s">
        <v>210</v>
      </c>
    </row>
    <row r="24" customFormat="false" ht="15" hidden="false" customHeight="true" outlineLevel="0" collapsed="false">
      <c r="A24" s="1" t="s">
        <v>211</v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6" t="n">
        <f aca="false">SUM(B24:I24)</f>
        <v>0</v>
      </c>
    </row>
    <row r="25" customFormat="false" ht="15" hidden="false" customHeight="true" outlineLevel="0" collapsed="false">
      <c r="A25" s="1" t="s">
        <v>212</v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6" t="n">
        <f aca="false">SUM(B25:I25)</f>
        <v>0</v>
      </c>
    </row>
    <row r="26" customFormat="false" ht="15" hidden="false" customHeight="true" outlineLevel="0" collapsed="false">
      <c r="A26" s="1" t="s">
        <v>213</v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6" t="n">
        <f aca="false">SUM(B26:I26)</f>
        <v>0</v>
      </c>
    </row>
    <row r="27" customFormat="false" ht="15" hidden="false" customHeight="true" outlineLevel="0" collapsed="false">
      <c r="A27" s="1" t="s">
        <v>214</v>
      </c>
      <c r="B27" s="6" t="n">
        <v>0</v>
      </c>
      <c r="C27" s="6" t="n">
        <v>0</v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f aca="false">SUM(B27:I27)</f>
        <v>0</v>
      </c>
    </row>
    <row r="28" customFormat="false" ht="15" hidden="false" customHeight="true" outlineLevel="0" collapsed="false">
      <c r="A28" s="11"/>
    </row>
    <row r="29" customFormat="false" ht="15" hidden="false" customHeight="true" outlineLevel="0" collapsed="false">
      <c r="A29" s="11" t="s">
        <v>215</v>
      </c>
    </row>
    <row r="30" customFormat="false" ht="15" hidden="false" customHeight="true" outlineLevel="0" collapsed="false">
      <c r="A30" s="1" t="s">
        <v>107</v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6" t="n">
        <f aca="false">SUM(B30:I30)</f>
        <v>0</v>
      </c>
    </row>
    <row r="31" customFormat="false" ht="15" hidden="false" customHeight="true" outlineLevel="0" collapsed="false">
      <c r="A31" s="1" t="s">
        <v>175</v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6" t="n">
        <f aca="false">SUM(B31:I31)</f>
        <v>0</v>
      </c>
    </row>
    <row r="32" customFormat="false" ht="15" hidden="false" customHeight="true" outlineLevel="0" collapsed="false">
      <c r="A32" s="1" t="s">
        <v>216</v>
      </c>
      <c r="B32" s="6" t="n">
        <v>0</v>
      </c>
      <c r="C32" s="6" t="n">
        <v>0</v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  <c r="J32" s="6" t="n">
        <f aca="false">SUM(B32:I32)</f>
        <v>0</v>
      </c>
    </row>
    <row r="33" customFormat="false" ht="15" hidden="false" customHeight="true" outlineLevel="0" collapsed="false">
      <c r="A33" s="11"/>
    </row>
    <row r="34" customFormat="false" ht="15" hidden="false" customHeight="true" outlineLevel="0" collapsed="false">
      <c r="A34" s="11" t="s">
        <v>217</v>
      </c>
    </row>
    <row r="35" customFormat="false" ht="15" hidden="false" customHeight="true" outlineLevel="0" collapsed="false">
      <c r="A35" s="1" t="s">
        <v>218</v>
      </c>
      <c r="B35" s="6" t="n">
        <v>0</v>
      </c>
      <c r="C35" s="6" t="n">
        <v>0</v>
      </c>
      <c r="D35" s="6" t="n">
        <v>0</v>
      </c>
      <c r="E35" s="6" t="n">
        <v>0</v>
      </c>
      <c r="F35" s="6" t="n">
        <v>0</v>
      </c>
      <c r="G35" s="6" t="n">
        <v>0</v>
      </c>
      <c r="H35" s="6" t="n">
        <v>0</v>
      </c>
      <c r="I35" s="6" t="n">
        <v>0</v>
      </c>
      <c r="J35" s="6" t="n">
        <f aca="false">SUM(B35:I35)</f>
        <v>0</v>
      </c>
    </row>
    <row r="36" customFormat="false" ht="15" hidden="false" customHeight="true" outlineLevel="0" collapsed="false">
      <c r="A36" s="1" t="s">
        <v>209</v>
      </c>
      <c r="B36" s="6" t="n">
        <v>0</v>
      </c>
      <c r="C36" s="6" t="n">
        <v>0</v>
      </c>
      <c r="D36" s="6" t="n">
        <v>0</v>
      </c>
      <c r="E36" s="6" t="n">
        <v>0</v>
      </c>
      <c r="F36" s="6" t="n">
        <v>0</v>
      </c>
      <c r="G36" s="6" t="n">
        <v>0</v>
      </c>
      <c r="H36" s="6" t="n">
        <v>0</v>
      </c>
      <c r="I36" s="6" t="n">
        <v>0</v>
      </c>
      <c r="J36" s="6" t="n">
        <f aca="false">SUM(B36:I36)</f>
        <v>0</v>
      </c>
    </row>
    <row r="37" customFormat="false" ht="15" hidden="false" customHeight="true" outlineLevel="0" collapsed="false">
      <c r="A37" s="1" t="s">
        <v>214</v>
      </c>
      <c r="B37" s="6" t="n">
        <v>0</v>
      </c>
      <c r="C37" s="6" t="n">
        <v>0</v>
      </c>
      <c r="D37" s="6" t="n">
        <v>0</v>
      </c>
      <c r="E37" s="6" t="n">
        <v>0</v>
      </c>
      <c r="F37" s="6" t="n">
        <v>0</v>
      </c>
      <c r="G37" s="6" t="n">
        <v>0</v>
      </c>
      <c r="H37" s="6" t="n">
        <v>0</v>
      </c>
      <c r="I37" s="6" t="n">
        <v>0</v>
      </c>
      <c r="J37" s="6" t="n">
        <f aca="false">SUM(B37:I37)</f>
        <v>0</v>
      </c>
    </row>
    <row r="38" customFormat="false" ht="15" hidden="false" customHeight="true" outlineLevel="0" collapsed="false">
      <c r="A38" s="1" t="s">
        <v>216</v>
      </c>
      <c r="B38" s="6" t="n">
        <v>0</v>
      </c>
      <c r="C38" s="6" t="n">
        <v>0</v>
      </c>
      <c r="D38" s="6" t="n">
        <v>0</v>
      </c>
      <c r="E38" s="6" t="n">
        <v>0</v>
      </c>
      <c r="F38" s="6" t="n">
        <v>0</v>
      </c>
      <c r="G38" s="6" t="n">
        <v>0</v>
      </c>
      <c r="H38" s="6" t="n">
        <v>0</v>
      </c>
      <c r="I38" s="6" t="n">
        <v>0</v>
      </c>
      <c r="J38" s="6" t="n">
        <f aca="false">SUM(B38:I38)</f>
        <v>0</v>
      </c>
    </row>
    <row r="39" customFormat="false" ht="15" hidden="false" customHeight="true" outlineLevel="0" collapsed="false">
      <c r="A39" s="1" t="s">
        <v>219</v>
      </c>
      <c r="B39" s="6" t="n">
        <v>0</v>
      </c>
      <c r="C39" s="6" t="n">
        <v>0</v>
      </c>
      <c r="D39" s="6" t="n">
        <v>0</v>
      </c>
      <c r="E39" s="6" t="n">
        <v>0</v>
      </c>
      <c r="F39" s="6" t="n">
        <v>0</v>
      </c>
      <c r="G39" s="6" t="n">
        <v>0</v>
      </c>
      <c r="H39" s="6" t="n">
        <v>0</v>
      </c>
      <c r="I39" s="6" t="n">
        <v>0</v>
      </c>
      <c r="J39" s="6" t="n">
        <f aca="false">SUM(B39:I39)</f>
        <v>0</v>
      </c>
    </row>
    <row r="40" customFormat="false" ht="15" hidden="false" customHeight="true" outlineLevel="0" collapsed="false">
      <c r="A40" s="1" t="s">
        <v>220</v>
      </c>
      <c r="B40" s="7" t="n">
        <v>0</v>
      </c>
      <c r="C40" s="7" t="n">
        <v>0</v>
      </c>
      <c r="D40" s="7" t="n">
        <v>0</v>
      </c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6" t="n">
        <f aca="false">SUM(B40:I40)</f>
        <v>0</v>
      </c>
    </row>
    <row r="41" customFormat="false" ht="15" hidden="false" customHeight="true" outlineLevel="0" collapsed="false">
      <c r="A41" s="1" t="s">
        <v>221</v>
      </c>
      <c r="B41" s="6" t="n">
        <v>0</v>
      </c>
      <c r="C41" s="6" t="n">
        <v>0</v>
      </c>
      <c r="D41" s="6" t="n">
        <v>0</v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f aca="false">SUM(B41:I41)</f>
        <v>0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20"/>
    <col collapsed="false" customWidth="true" hidden="false" outlineLevel="0" max="3" min="3" style="1" width="30"/>
  </cols>
  <sheetData>
    <row r="1" customFormat="false" ht="17.25" hidden="false" customHeight="true" outlineLevel="0" collapsed="false">
      <c r="A1" s="4" t="s">
        <v>222</v>
      </c>
      <c r="B1" s="4"/>
      <c r="C1" s="4"/>
      <c r="D1" s="4"/>
    </row>
    <row r="3" customFormat="false" ht="15" hidden="false" customHeight="true" outlineLevel="0" collapsed="false">
      <c r="A3" s="5" t="s">
        <v>223</v>
      </c>
      <c r="B3" s="5" t="s">
        <v>224</v>
      </c>
      <c r="C3" s="5" t="s">
        <v>225</v>
      </c>
    </row>
    <row r="4" customFormat="false" ht="15" hidden="false" customHeight="true" outlineLevel="0" collapsed="false">
      <c r="A4" s="1" t="s">
        <v>226</v>
      </c>
      <c r="B4" s="6" t="s">
        <v>227</v>
      </c>
      <c r="C4" s="1" t="s">
        <v>228</v>
      </c>
    </row>
    <row r="5" customFormat="false" ht="15" hidden="false" customHeight="true" outlineLevel="0" collapsed="false">
      <c r="A5" s="1" t="s">
        <v>229</v>
      </c>
      <c r="B5" s="6" t="s">
        <v>227</v>
      </c>
      <c r="C5" s="1" t="s">
        <v>230</v>
      </c>
    </row>
    <row r="6" customFormat="false" ht="15" hidden="false" customHeight="true" outlineLevel="0" collapsed="false">
      <c r="A6" s="1" t="s">
        <v>231</v>
      </c>
      <c r="B6" s="6" t="s">
        <v>227</v>
      </c>
      <c r="C6" s="1" t="s">
        <v>232</v>
      </c>
    </row>
    <row r="7" customFormat="false" ht="15" hidden="false" customHeight="true" outlineLevel="0" collapsed="false">
      <c r="A7" s="1" t="s">
        <v>233</v>
      </c>
      <c r="B7" s="6" t="s">
        <v>227</v>
      </c>
      <c r="C7" s="1" t="s">
        <v>234</v>
      </c>
    </row>
    <row r="8" customFormat="false" ht="15" hidden="false" customHeight="true" outlineLevel="0" collapsed="false">
      <c r="A8" s="1" t="s">
        <v>235</v>
      </c>
      <c r="B8" s="6" t="s">
        <v>227</v>
      </c>
      <c r="C8" s="1" t="s">
        <v>236</v>
      </c>
    </row>
    <row r="11" customFormat="false" ht="17.25" hidden="false" customHeight="true" outlineLevel="0" collapsed="false">
      <c r="A11" s="12" t="s">
        <v>237</v>
      </c>
      <c r="B11" s="13" t="s">
        <v>238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5"/>
    <col collapsed="false" customWidth="true" hidden="false" outlineLevel="0" max="11" min="3" style="1" width="10"/>
  </cols>
  <sheetData>
    <row r="1" customFormat="false" ht="17.25" hidden="false" customHeight="true" outlineLevel="0" collapsed="false">
      <c r="A1" s="4" t="s">
        <v>239</v>
      </c>
      <c r="B1" s="4"/>
      <c r="C1" s="4"/>
      <c r="D1" s="4"/>
      <c r="E1" s="4"/>
      <c r="F1" s="4"/>
    </row>
    <row r="3" customFormat="false" ht="15" hidden="false" customHeight="true" outlineLevel="0" collapsed="false">
      <c r="A3" s="8" t="s">
        <v>240</v>
      </c>
      <c r="B3" s="8"/>
      <c r="C3" s="8"/>
      <c r="D3" s="8"/>
      <c r="E3" s="8"/>
    </row>
    <row r="4" customFormat="false" ht="27.75" hidden="false" customHeight="true" outlineLevel="0" collapsed="false">
      <c r="A4" s="5" t="s">
        <v>149</v>
      </c>
      <c r="B4" s="5" t="s">
        <v>241</v>
      </c>
      <c r="C4" s="5" t="s">
        <v>242</v>
      </c>
      <c r="D4" s="5" t="s">
        <v>243</v>
      </c>
    </row>
    <row r="5" customFormat="false" ht="15" hidden="false" customHeight="true" outlineLevel="0" collapsed="false">
      <c r="A5" s="7"/>
      <c r="B5" s="7"/>
      <c r="C5" s="7"/>
      <c r="D5" s="7"/>
    </row>
    <row r="6" customFormat="false" ht="15" hidden="false" customHeight="true" outlineLevel="0" collapsed="false">
      <c r="A6" s="7"/>
      <c r="B6" s="7"/>
      <c r="C6" s="7"/>
      <c r="D6" s="7"/>
    </row>
    <row r="7" customFormat="false" ht="15" hidden="false" customHeight="true" outlineLevel="0" collapsed="false">
      <c r="A7" s="7"/>
      <c r="B7" s="7"/>
      <c r="C7" s="7"/>
      <c r="D7" s="7"/>
    </row>
    <row r="8" customFormat="false" ht="15" hidden="false" customHeight="true" outlineLevel="0" collapsed="false">
      <c r="A8" s="7"/>
      <c r="B8" s="7"/>
      <c r="C8" s="7"/>
      <c r="D8" s="7"/>
    </row>
    <row r="9" customFormat="false" ht="15" hidden="false" customHeight="true" outlineLevel="0" collapsed="false">
      <c r="A9" s="7"/>
      <c r="B9" s="7"/>
      <c r="C9" s="7"/>
      <c r="D9" s="7"/>
    </row>
    <row r="11" customFormat="false" ht="15" hidden="false" customHeight="true" outlineLevel="0" collapsed="false">
      <c r="A11" s="8" t="s">
        <v>244</v>
      </c>
      <c r="B11" s="8"/>
      <c r="C11" s="8"/>
      <c r="D11" s="8"/>
    </row>
    <row r="12" customFormat="false" ht="27.75" hidden="false" customHeight="true" outlineLevel="0" collapsed="false">
      <c r="A12" s="5" t="s">
        <v>149</v>
      </c>
      <c r="B12" s="5" t="s">
        <v>65</v>
      </c>
      <c r="C12" s="5" t="s">
        <v>159</v>
      </c>
    </row>
    <row r="13" customFormat="false" ht="15" hidden="false" customHeight="true" outlineLevel="0" collapsed="false">
      <c r="A13" s="1" t="s">
        <v>50</v>
      </c>
      <c r="B13" s="1" t="s">
        <v>245</v>
      </c>
      <c r="C13" s="7" t="n">
        <v>7</v>
      </c>
    </row>
    <row r="14" customFormat="false" ht="15" hidden="false" customHeight="true" outlineLevel="0" collapsed="false">
      <c r="A14" s="1" t="s">
        <v>50</v>
      </c>
      <c r="B14" s="1" t="s">
        <v>246</v>
      </c>
      <c r="C14" s="7" t="n">
        <v>22</v>
      </c>
    </row>
    <row r="15" customFormat="false" ht="15" hidden="false" customHeight="true" outlineLevel="0" collapsed="false">
      <c r="A15" s="1" t="s">
        <v>50</v>
      </c>
      <c r="B15" s="1" t="s">
        <v>247</v>
      </c>
      <c r="C15" s="7" t="n">
        <v>90</v>
      </c>
    </row>
    <row r="16" customFormat="false" ht="15" hidden="false" customHeight="true" outlineLevel="0" collapsed="false">
      <c r="A16" s="1" t="s">
        <v>50</v>
      </c>
      <c r="B16" s="1" t="s">
        <v>248</v>
      </c>
      <c r="C16" s="7" t="n">
        <v>4</v>
      </c>
    </row>
    <row r="17" customFormat="false" ht="15" hidden="false" customHeight="true" outlineLevel="0" collapsed="false">
      <c r="A17" s="1" t="s">
        <v>50</v>
      </c>
      <c r="B17" s="1" t="s">
        <v>249</v>
      </c>
      <c r="C17" s="7" t="n">
        <v>10</v>
      </c>
    </row>
    <row r="18" customFormat="false" ht="15" hidden="false" customHeight="true" outlineLevel="0" collapsed="false">
      <c r="A18" s="1" t="s">
        <v>50</v>
      </c>
      <c r="B18" s="1" t="s">
        <v>250</v>
      </c>
      <c r="C18" s="7" t="n">
        <v>11</v>
      </c>
    </row>
    <row r="19" customFormat="false" ht="15" hidden="false" customHeight="true" outlineLevel="0" collapsed="false">
      <c r="A19" s="1" t="s">
        <v>50</v>
      </c>
      <c r="B19" s="1" t="s">
        <v>251</v>
      </c>
      <c r="C19" s="7" t="n">
        <v>75</v>
      </c>
    </row>
    <row r="20" customFormat="false" ht="15" hidden="false" customHeight="true" outlineLevel="0" collapsed="false">
      <c r="A20" s="1" t="s">
        <v>51</v>
      </c>
      <c r="B20" s="1" t="s">
        <v>245</v>
      </c>
      <c r="C20" s="7" t="n">
        <v>3</v>
      </c>
    </row>
    <row r="21" customFormat="false" ht="15" hidden="false" customHeight="true" outlineLevel="0" collapsed="false">
      <c r="A21" s="1" t="s">
        <v>51</v>
      </c>
      <c r="B21" s="1" t="s">
        <v>246</v>
      </c>
      <c r="C21" s="7" t="n">
        <v>9</v>
      </c>
    </row>
    <row r="22" customFormat="false" ht="15" hidden="false" customHeight="true" outlineLevel="0" collapsed="false">
      <c r="A22" s="1" t="s">
        <v>51</v>
      </c>
      <c r="B22" s="1" t="s">
        <v>247</v>
      </c>
      <c r="C22" s="7" t="n">
        <v>30</v>
      </c>
    </row>
    <row r="23" customFormat="false" ht="15" hidden="false" customHeight="true" outlineLevel="0" collapsed="false">
      <c r="A23" s="1" t="s">
        <v>51</v>
      </c>
      <c r="B23" s="1" t="s">
        <v>248</v>
      </c>
      <c r="C23" s="7" t="n">
        <v>2</v>
      </c>
    </row>
    <row r="24" customFormat="false" ht="15" hidden="false" customHeight="true" outlineLevel="0" collapsed="false">
      <c r="A24" s="1" t="s">
        <v>51</v>
      </c>
      <c r="B24" s="1" t="s">
        <v>249</v>
      </c>
      <c r="C24" s="7" t="n">
        <v>3</v>
      </c>
    </row>
    <row r="25" customFormat="false" ht="15" hidden="false" customHeight="true" outlineLevel="0" collapsed="false">
      <c r="A25" s="1" t="s">
        <v>51</v>
      </c>
      <c r="B25" s="1" t="s">
        <v>250</v>
      </c>
      <c r="C25" s="7" t="n">
        <v>3</v>
      </c>
    </row>
    <row r="26" customFormat="false" ht="15" hidden="false" customHeight="true" outlineLevel="0" collapsed="false">
      <c r="A26" s="1" t="s">
        <v>51</v>
      </c>
      <c r="B26" s="1" t="s">
        <v>251</v>
      </c>
      <c r="C26" s="7" t="n">
        <v>21</v>
      </c>
    </row>
    <row r="28" customFormat="false" ht="15" hidden="false" customHeight="true" outlineLevel="0" collapsed="false">
      <c r="A28" s="8" t="s">
        <v>252</v>
      </c>
      <c r="B28" s="8"/>
      <c r="C28" s="8"/>
      <c r="D28" s="8"/>
      <c r="E28" s="8"/>
      <c r="F28" s="8"/>
      <c r="G28" s="8"/>
      <c r="H28" s="8"/>
      <c r="I28" s="8"/>
      <c r="J28" s="8"/>
      <c r="K28" s="8"/>
    </row>
    <row r="29" customFormat="false" ht="15" hidden="false" customHeight="true" outlineLevel="0" collapsed="false">
      <c r="A29" s="5" t="s">
        <v>149</v>
      </c>
      <c r="B29" s="5" t="s">
        <v>65</v>
      </c>
      <c r="C29" s="5" t="s">
        <v>67</v>
      </c>
      <c r="D29" s="5" t="s">
        <v>69</v>
      </c>
      <c r="E29" s="5" t="s">
        <v>71</v>
      </c>
      <c r="F29" s="5" t="s">
        <v>75</v>
      </c>
      <c r="G29" s="5" t="s">
        <v>77</v>
      </c>
      <c r="H29" s="5" t="s">
        <v>129</v>
      </c>
      <c r="I29" s="5" t="s">
        <v>130</v>
      </c>
      <c r="J29" s="5" t="s">
        <v>131</v>
      </c>
    </row>
    <row r="30" customFormat="false" ht="15" hidden="false" customHeight="true" outlineLevel="0" collapsed="false">
      <c r="A30" s="1" t="s">
        <v>50</v>
      </c>
      <c r="B30" s="1" t="s">
        <v>67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</row>
    <row r="31" customFormat="false" ht="15" hidden="false" customHeight="true" outlineLevel="0" collapsed="false">
      <c r="A31" s="1" t="s">
        <v>50</v>
      </c>
      <c r="B31" s="1" t="s">
        <v>69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</row>
    <row r="32" customFormat="false" ht="15" hidden="false" customHeight="true" outlineLevel="0" collapsed="false">
      <c r="A32" s="1" t="s">
        <v>50</v>
      </c>
      <c r="B32" s="1" t="s">
        <v>71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</row>
    <row r="33" customFormat="false" ht="15" hidden="false" customHeight="true" outlineLevel="0" collapsed="false">
      <c r="A33" s="1" t="s">
        <v>50</v>
      </c>
      <c r="B33" s="1" t="s">
        <v>75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</row>
    <row r="34" customFormat="false" ht="15" hidden="false" customHeight="true" outlineLevel="0" collapsed="false">
      <c r="A34" s="1" t="s">
        <v>50</v>
      </c>
      <c r="B34" s="1" t="s">
        <v>77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</row>
    <row r="35" customFormat="false" ht="15" hidden="false" customHeight="true" outlineLevel="0" collapsed="false">
      <c r="A35" s="1" t="s">
        <v>51</v>
      </c>
      <c r="B35" s="1" t="s">
        <v>67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</row>
    <row r="36" customFormat="false" ht="15" hidden="false" customHeight="true" outlineLevel="0" collapsed="false">
      <c r="A36" s="1" t="s">
        <v>51</v>
      </c>
      <c r="B36" s="1" t="s">
        <v>69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</row>
    <row r="37" customFormat="false" ht="15" hidden="false" customHeight="true" outlineLevel="0" collapsed="false">
      <c r="A37" s="1" t="s">
        <v>51</v>
      </c>
      <c r="B37" s="1" t="s">
        <v>71</v>
      </c>
      <c r="C37" s="7" t="n">
        <v>0</v>
      </c>
      <c r="D37" s="7" t="n">
        <v>0</v>
      </c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</row>
    <row r="38" customFormat="false" ht="15" hidden="false" customHeight="true" outlineLevel="0" collapsed="false">
      <c r="A38" s="1" t="s">
        <v>51</v>
      </c>
      <c r="B38" s="1" t="s">
        <v>75</v>
      </c>
      <c r="C38" s="7" t="n">
        <v>0</v>
      </c>
      <c r="D38" s="7" t="n">
        <v>0</v>
      </c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</row>
    <row r="39" customFormat="false" ht="15" hidden="false" customHeight="true" outlineLevel="0" collapsed="false">
      <c r="A39" s="1" t="s">
        <v>51</v>
      </c>
      <c r="B39" s="1" t="s">
        <v>77</v>
      </c>
      <c r="C39" s="7" t="n">
        <v>0</v>
      </c>
      <c r="D39" s="7" t="n">
        <v>0</v>
      </c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</row>
    <row r="41" customFormat="false" ht="15" hidden="false" customHeight="true" outlineLevel="0" collapsed="false">
      <c r="A41" s="8" t="s">
        <v>253</v>
      </c>
      <c r="B41" s="8"/>
      <c r="C41" s="8"/>
      <c r="D41" s="8"/>
      <c r="E41" s="8"/>
      <c r="F41" s="8"/>
      <c r="G41" s="8"/>
      <c r="H41" s="8"/>
      <c r="I41" s="8"/>
      <c r="J41" s="8"/>
      <c r="K41" s="8"/>
    </row>
    <row r="42" customFormat="false" ht="15" hidden="false" customHeight="true" outlineLevel="0" collapsed="false">
      <c r="A42" s="5" t="s">
        <v>149</v>
      </c>
      <c r="B42" s="5" t="s">
        <v>65</v>
      </c>
      <c r="C42" s="5" t="s">
        <v>67</v>
      </c>
      <c r="D42" s="5" t="s">
        <v>69</v>
      </c>
      <c r="E42" s="5" t="s">
        <v>71</v>
      </c>
      <c r="F42" s="5" t="s">
        <v>75</v>
      </c>
      <c r="G42" s="5" t="s">
        <v>77</v>
      </c>
      <c r="H42" s="5" t="s">
        <v>129</v>
      </c>
      <c r="I42" s="5" t="s">
        <v>130</v>
      </c>
      <c r="J42" s="5" t="s">
        <v>131</v>
      </c>
    </row>
    <row r="43" customFormat="false" ht="15" hidden="false" customHeight="true" outlineLevel="0" collapsed="false">
      <c r="A43" s="1" t="s">
        <v>50</v>
      </c>
      <c r="B43" s="1" t="s">
        <v>67</v>
      </c>
      <c r="C43" s="7" t="n">
        <v>0</v>
      </c>
      <c r="D43" s="7" t="n">
        <v>0</v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</row>
    <row r="44" customFormat="false" ht="15" hidden="false" customHeight="true" outlineLevel="0" collapsed="false">
      <c r="A44" s="1" t="s">
        <v>50</v>
      </c>
      <c r="B44" s="1" t="s">
        <v>69</v>
      </c>
      <c r="C44" s="7" t="n">
        <v>0</v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</row>
    <row r="45" customFormat="false" ht="15" hidden="false" customHeight="true" outlineLevel="0" collapsed="false">
      <c r="A45" s="1" t="s">
        <v>50</v>
      </c>
      <c r="B45" s="1" t="s">
        <v>71</v>
      </c>
      <c r="C45" s="7" t="n">
        <v>0</v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</row>
    <row r="46" customFormat="false" ht="15" hidden="false" customHeight="true" outlineLevel="0" collapsed="false">
      <c r="A46" s="1" t="s">
        <v>50</v>
      </c>
      <c r="B46" s="1" t="s">
        <v>75</v>
      </c>
      <c r="C46" s="7" t="n">
        <v>0</v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</row>
    <row r="47" customFormat="false" ht="15" hidden="false" customHeight="true" outlineLevel="0" collapsed="false">
      <c r="A47" s="1" t="s">
        <v>50</v>
      </c>
      <c r="B47" s="1" t="s">
        <v>77</v>
      </c>
      <c r="C47" s="7" t="n">
        <v>0</v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</row>
    <row r="48" customFormat="false" ht="15" hidden="false" customHeight="true" outlineLevel="0" collapsed="false">
      <c r="A48" s="1" t="s">
        <v>51</v>
      </c>
      <c r="B48" s="1" t="s">
        <v>67</v>
      </c>
      <c r="C48" s="7" t="n">
        <v>0</v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</row>
    <row r="49" customFormat="false" ht="15" hidden="false" customHeight="true" outlineLevel="0" collapsed="false">
      <c r="A49" s="1" t="s">
        <v>51</v>
      </c>
      <c r="B49" s="1" t="s">
        <v>69</v>
      </c>
      <c r="C49" s="7" t="n">
        <v>0</v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</row>
    <row r="50" customFormat="false" ht="15" hidden="false" customHeight="true" outlineLevel="0" collapsed="false">
      <c r="A50" s="1" t="s">
        <v>51</v>
      </c>
      <c r="B50" s="1" t="s">
        <v>71</v>
      </c>
      <c r="C50" s="7" t="n">
        <v>0</v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</row>
    <row r="51" customFormat="false" ht="15" hidden="false" customHeight="true" outlineLevel="0" collapsed="false">
      <c r="A51" s="1" t="s">
        <v>51</v>
      </c>
      <c r="B51" s="1" t="s">
        <v>75</v>
      </c>
      <c r="C51" s="7" t="n">
        <v>0</v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</row>
    <row r="52" customFormat="false" ht="15" hidden="false" customHeight="true" outlineLevel="0" collapsed="false">
      <c r="A52" s="1" t="s">
        <v>51</v>
      </c>
      <c r="B52" s="1" t="s">
        <v>77</v>
      </c>
      <c r="C52" s="7" t="n">
        <v>0</v>
      </c>
      <c r="D52" s="7" t="n">
        <v>0</v>
      </c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</row>
  </sheetData>
  <mergeCells count="5">
    <mergeCell ref="A1:F1"/>
    <mergeCell ref="A3:E3"/>
    <mergeCell ref="A11:D11"/>
    <mergeCell ref="A28:K28"/>
    <mergeCell ref="A41:K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2026-01-13T02:16:28Z</dcterms:created>
  <dc:creator>openpyxl</dc:creator>
  <dc:description/>
  <dc:language>en-US</dc:language>
  <cp:lastModifiedBy/>
  <dcterms:modified xsi:type="dcterms:W3CDTF">2026-01-13T02:16:59Z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