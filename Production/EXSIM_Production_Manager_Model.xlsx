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0dc407a335d7300f/Documentos/GitHub/BusinessSim/Production/"/>
    </mc:Choice>
  </mc:AlternateContent>
  <xr:revisionPtr revIDLastSave="4617" documentId="11_E08FEB1B810725D520DD993F9C92980C4254F8C8" xr6:coauthVersionLast="47" xr6:coauthVersionMax="47" xr10:uidLastSave="{C59DCA8D-6CFE-49ED-934E-DF03CF6BB7C5}"/>
  <bookViews>
    <workbookView xWindow="-108" yWindow="-108" windowWidth="23256" windowHeight="12456" tabRatio="500" xr2:uid="{00000000-000D-0000-FFFF-FFFF00000000}"/>
  </bookViews>
  <sheets>
    <sheet name="00_README" sheetId="1" r:id="rId1"/>
    <sheet name="01_INPUTS_MASTER" sheetId="2" r:id="rId2"/>
    <sheet name="02_DEMAND" sheetId="3" r:id="rId3"/>
    <sheet name="03_MPS_S5" sheetId="4" r:id="rId4"/>
    <sheet name="04_FLOW_S1_S5" sheetId="5" r:id="rId5"/>
    <sheet name="05_CAPACITY" sheetId="6" r:id="rId6"/>
    <sheet name="06_MRP_MATERIALS" sheetId="7" r:id="rId7"/>
    <sheet name="07_SPACES" sheetId="8" r:id="rId8"/>
    <sheet name="08_COSTING" sheetId="9" r:id="rId9"/>
    <sheet name="09_CHECKS" sheetId="10" r:id="rId10"/>
    <sheet name="10_DECISIONS_UPLOAD" sheetId="11" r:id="rId1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K128" i="6" l="1"/>
  <c r="K62" i="6"/>
  <c r="J128" i="6"/>
  <c r="J62" i="6"/>
  <c r="I128" i="6"/>
  <c r="I62" i="6"/>
  <c r="H128" i="6"/>
  <c r="H62" i="6"/>
  <c r="G128" i="6"/>
  <c r="G62" i="6"/>
  <c r="F128" i="6"/>
  <c r="F62" i="6"/>
  <c r="E128" i="6"/>
  <c r="E62" i="6"/>
  <c r="D128" i="6"/>
  <c r="D62" i="6"/>
  <c r="L224" i="7"/>
  <c r="C224" i="7"/>
  <c r="D224" i="7"/>
  <c r="E224" i="7"/>
  <c r="F224" i="7"/>
  <c r="G224" i="7"/>
  <c r="H224" i="7"/>
  <c r="I224" i="7"/>
  <c r="J224" i="7"/>
  <c r="K224" i="7"/>
  <c r="L223" i="7"/>
  <c r="K223" i="7"/>
  <c r="J223" i="7"/>
  <c r="I223" i="7"/>
  <c r="H223" i="7"/>
  <c r="G223" i="7"/>
  <c r="F223" i="7"/>
  <c r="E223" i="7"/>
  <c r="D223" i="7"/>
  <c r="C223" i="7"/>
  <c r="L222" i="7"/>
  <c r="K222" i="7"/>
  <c r="J222" i="7"/>
  <c r="I222" i="7"/>
  <c r="H222" i="7"/>
  <c r="G222" i="7"/>
  <c r="F222" i="7"/>
  <c r="E222" i="7"/>
  <c r="D222" i="7"/>
  <c r="C222" i="7"/>
  <c r="L219" i="7"/>
  <c r="C219" i="7"/>
  <c r="D219" i="7"/>
  <c r="E219" i="7"/>
  <c r="F219" i="7"/>
  <c r="G219" i="7"/>
  <c r="H219" i="7"/>
  <c r="I219" i="7"/>
  <c r="J219" i="7"/>
  <c r="K219" i="7"/>
  <c r="L218" i="7"/>
  <c r="K218" i="7"/>
  <c r="J218" i="7"/>
  <c r="I218" i="7"/>
  <c r="H218" i="7"/>
  <c r="G218" i="7"/>
  <c r="F218" i="7"/>
  <c r="E218" i="7"/>
  <c r="D218" i="7"/>
  <c r="C218" i="7"/>
  <c r="L217" i="7"/>
  <c r="K217" i="7"/>
  <c r="J217" i="7"/>
  <c r="I217" i="7"/>
  <c r="H217" i="7"/>
  <c r="G217" i="7"/>
  <c r="F217" i="7"/>
  <c r="E217" i="7"/>
  <c r="D217" i="7"/>
  <c r="C217" i="7"/>
  <c r="B8" i="10"/>
  <c r="B7" i="10"/>
  <c r="B6" i="10"/>
  <c r="B5" i="10"/>
  <c r="I32" i="9"/>
  <c r="I31" i="9"/>
  <c r="I30" i="9"/>
  <c r="I27" i="9"/>
  <c r="I26" i="9"/>
  <c r="I25" i="9"/>
  <c r="I24" i="9"/>
  <c r="H32" i="9"/>
  <c r="H31" i="9"/>
  <c r="H30" i="9"/>
  <c r="H27" i="9"/>
  <c r="H26" i="9"/>
  <c r="H25" i="9"/>
  <c r="H24" i="9"/>
  <c r="G32" i="9"/>
  <c r="G31" i="9"/>
  <c r="G30" i="9"/>
  <c r="G27" i="9"/>
  <c r="G26" i="9"/>
  <c r="G25" i="9"/>
  <c r="G24" i="9"/>
  <c r="F32" i="9"/>
  <c r="F31" i="9"/>
  <c r="F30" i="9"/>
  <c r="F27" i="9"/>
  <c r="F26" i="9"/>
  <c r="F25" i="9"/>
  <c r="F24" i="9"/>
  <c r="J24" i="9" s="1"/>
  <c r="E32" i="9"/>
  <c r="E31" i="9"/>
  <c r="E30" i="9"/>
  <c r="E27" i="9"/>
  <c r="E26" i="9"/>
  <c r="E25" i="9"/>
  <c r="E24" i="9"/>
  <c r="D32" i="9"/>
  <c r="D31" i="9"/>
  <c r="D30" i="9"/>
  <c r="D27" i="9"/>
  <c r="D26" i="9"/>
  <c r="D25" i="9"/>
  <c r="D24" i="9"/>
  <c r="C32" i="9"/>
  <c r="C31" i="9"/>
  <c r="C30" i="9"/>
  <c r="C27" i="9"/>
  <c r="C26" i="9"/>
  <c r="C25" i="9"/>
  <c r="C24" i="9"/>
  <c r="B32" i="9"/>
  <c r="B31" i="9"/>
  <c r="B30" i="9"/>
  <c r="B27" i="9"/>
  <c r="B26" i="9"/>
  <c r="B25" i="9"/>
  <c r="B24" i="9"/>
  <c r="L213" i="7"/>
  <c r="L212" i="7"/>
  <c r="L210" i="7"/>
  <c r="L206" i="7"/>
  <c r="L200" i="7"/>
  <c r="L199" i="7"/>
  <c r="L197" i="7"/>
  <c r="L193" i="7"/>
  <c r="L187" i="7"/>
  <c r="L186" i="7"/>
  <c r="L184" i="7"/>
  <c r="L180" i="7"/>
  <c r="L174" i="7"/>
  <c r="L173" i="7"/>
  <c r="L171" i="7"/>
  <c r="L167" i="7"/>
  <c r="L161" i="7"/>
  <c r="L160" i="7"/>
  <c r="L158" i="7"/>
  <c r="L154" i="7"/>
  <c r="L148" i="7"/>
  <c r="L147" i="7"/>
  <c r="L145" i="7"/>
  <c r="L141" i="7"/>
  <c r="L135" i="7"/>
  <c r="L134" i="7"/>
  <c r="L132" i="7"/>
  <c r="L128" i="7"/>
  <c r="L122" i="7"/>
  <c r="L121" i="7"/>
  <c r="L119" i="7"/>
  <c r="L115" i="7"/>
  <c r="L106" i="7"/>
  <c r="L105" i="7"/>
  <c r="L103" i="7"/>
  <c r="L99" i="7"/>
  <c r="L93" i="7"/>
  <c r="L92" i="7"/>
  <c r="L90" i="7"/>
  <c r="L86" i="7"/>
  <c r="L80" i="7"/>
  <c r="L79" i="7"/>
  <c r="L77" i="7"/>
  <c r="L73" i="7"/>
  <c r="L67" i="7"/>
  <c r="L66" i="7"/>
  <c r="L64" i="7"/>
  <c r="L60" i="7"/>
  <c r="L54" i="7"/>
  <c r="L53" i="7"/>
  <c r="L51" i="7"/>
  <c r="L47" i="7"/>
  <c r="L41" i="7"/>
  <c r="L40" i="7"/>
  <c r="L38" i="7"/>
  <c r="L34" i="7"/>
  <c r="L28" i="7"/>
  <c r="L27" i="7"/>
  <c r="L25" i="7"/>
  <c r="L21" i="7"/>
  <c r="L15" i="7"/>
  <c r="L14" i="7"/>
  <c r="L12" i="7"/>
  <c r="L8" i="7"/>
  <c r="K213" i="7"/>
  <c r="J213" i="7"/>
  <c r="I213" i="7"/>
  <c r="H213" i="7"/>
  <c r="G213" i="7"/>
  <c r="F213" i="7"/>
  <c r="E213" i="7"/>
  <c r="D213" i="7"/>
  <c r="C213" i="7"/>
  <c r="K212" i="7"/>
  <c r="J212" i="7"/>
  <c r="I212" i="7"/>
  <c r="H212" i="7"/>
  <c r="G212" i="7"/>
  <c r="F212" i="7"/>
  <c r="E212" i="7"/>
  <c r="D212" i="7"/>
  <c r="C212" i="7"/>
  <c r="K211" i="7"/>
  <c r="J211" i="7"/>
  <c r="I211" i="7"/>
  <c r="H211" i="7"/>
  <c r="G211" i="7"/>
  <c r="F211" i="7"/>
  <c r="E211" i="7"/>
  <c r="D211" i="7"/>
  <c r="C211" i="7"/>
  <c r="D210" i="7"/>
  <c r="C210" i="7"/>
  <c r="D209" i="7"/>
  <c r="C209" i="7"/>
  <c r="D208" i="7"/>
  <c r="C208" i="7"/>
  <c r="D207" i="7"/>
  <c r="C207" i="7"/>
  <c r="K206" i="7"/>
  <c r="J206" i="7"/>
  <c r="I206" i="7"/>
  <c r="H206" i="7"/>
  <c r="G206" i="7"/>
  <c r="F206" i="7"/>
  <c r="E206" i="7"/>
  <c r="D206" i="7"/>
  <c r="C206" i="7"/>
  <c r="K205" i="7"/>
  <c r="J205" i="7"/>
  <c r="I205" i="7"/>
  <c r="H205" i="7"/>
  <c r="G205" i="7"/>
  <c r="F205" i="7"/>
  <c r="E205" i="7"/>
  <c r="D205" i="7"/>
  <c r="C205" i="7"/>
  <c r="K204" i="7"/>
  <c r="J204" i="7"/>
  <c r="I204" i="7"/>
  <c r="H204" i="7"/>
  <c r="G204" i="7"/>
  <c r="F204" i="7"/>
  <c r="E204" i="7"/>
  <c r="D204" i="7"/>
  <c r="C204" i="7"/>
  <c r="K203" i="7"/>
  <c r="J203" i="7"/>
  <c r="I203" i="7"/>
  <c r="H203" i="7"/>
  <c r="G203" i="7"/>
  <c r="F203" i="7"/>
  <c r="E203" i="7"/>
  <c r="D203" i="7"/>
  <c r="C203" i="7"/>
  <c r="K200" i="7"/>
  <c r="J200" i="7"/>
  <c r="I200" i="7"/>
  <c r="H200" i="7"/>
  <c r="G200" i="7"/>
  <c r="F200" i="7"/>
  <c r="E200" i="7"/>
  <c r="D200" i="7"/>
  <c r="C200" i="7"/>
  <c r="K199" i="7"/>
  <c r="J199" i="7"/>
  <c r="I199" i="7"/>
  <c r="H199" i="7"/>
  <c r="G199" i="7"/>
  <c r="F199" i="7"/>
  <c r="E199" i="7"/>
  <c r="D199" i="7"/>
  <c r="C199" i="7"/>
  <c r="K198" i="7"/>
  <c r="J198" i="7"/>
  <c r="I198" i="7"/>
  <c r="H198" i="7"/>
  <c r="G198" i="7"/>
  <c r="F198" i="7"/>
  <c r="E198" i="7"/>
  <c r="D198" i="7"/>
  <c r="C198" i="7"/>
  <c r="D197" i="7"/>
  <c r="C197" i="7"/>
  <c r="D196" i="7"/>
  <c r="C196" i="7"/>
  <c r="D195" i="7"/>
  <c r="C195" i="7"/>
  <c r="D194" i="7"/>
  <c r="C194" i="7"/>
  <c r="K193" i="7"/>
  <c r="J193" i="7"/>
  <c r="I193" i="7"/>
  <c r="H193" i="7"/>
  <c r="G193" i="7"/>
  <c r="F193" i="7"/>
  <c r="E193" i="7"/>
  <c r="D193" i="7"/>
  <c r="C193" i="7"/>
  <c r="K192" i="7"/>
  <c r="J192" i="7"/>
  <c r="I192" i="7"/>
  <c r="H192" i="7"/>
  <c r="G192" i="7"/>
  <c r="F192" i="7"/>
  <c r="E192" i="7"/>
  <c r="D192" i="7"/>
  <c r="C192" i="7"/>
  <c r="K191" i="7"/>
  <c r="J191" i="7"/>
  <c r="I191" i="7"/>
  <c r="H191" i="7"/>
  <c r="G191" i="7"/>
  <c r="F191" i="7"/>
  <c r="E191" i="7"/>
  <c r="D191" i="7"/>
  <c r="C191" i="7"/>
  <c r="K190" i="7"/>
  <c r="J190" i="7"/>
  <c r="I190" i="7"/>
  <c r="H190" i="7"/>
  <c r="G190" i="7"/>
  <c r="F190" i="7"/>
  <c r="E190" i="7"/>
  <c r="D190" i="7"/>
  <c r="C190" i="7"/>
  <c r="K187" i="7"/>
  <c r="J187" i="7"/>
  <c r="I187" i="7"/>
  <c r="H187" i="7"/>
  <c r="G187" i="7"/>
  <c r="F187" i="7"/>
  <c r="E187" i="7"/>
  <c r="D187" i="7"/>
  <c r="C187" i="7"/>
  <c r="K186" i="7"/>
  <c r="J186" i="7"/>
  <c r="I186" i="7"/>
  <c r="H186" i="7"/>
  <c r="G186" i="7"/>
  <c r="F186" i="7"/>
  <c r="E186" i="7"/>
  <c r="D186" i="7"/>
  <c r="C186" i="7"/>
  <c r="K185" i="7"/>
  <c r="J185" i="7"/>
  <c r="I185" i="7"/>
  <c r="H185" i="7"/>
  <c r="G185" i="7"/>
  <c r="F185" i="7"/>
  <c r="E185" i="7"/>
  <c r="D185" i="7"/>
  <c r="C185" i="7"/>
  <c r="D184" i="7"/>
  <c r="C184" i="7"/>
  <c r="D183" i="7"/>
  <c r="C183" i="7"/>
  <c r="D182" i="7"/>
  <c r="C182" i="7"/>
  <c r="D181" i="7"/>
  <c r="C181" i="7"/>
  <c r="K180" i="7"/>
  <c r="J180" i="7"/>
  <c r="I180" i="7"/>
  <c r="H180" i="7"/>
  <c r="G180" i="7"/>
  <c r="F180" i="7"/>
  <c r="E180" i="7"/>
  <c r="D180" i="7"/>
  <c r="C180" i="7"/>
  <c r="K179" i="7"/>
  <c r="J179" i="7"/>
  <c r="I179" i="7"/>
  <c r="H179" i="7"/>
  <c r="G179" i="7"/>
  <c r="F179" i="7"/>
  <c r="E179" i="7"/>
  <c r="D179" i="7"/>
  <c r="C179" i="7"/>
  <c r="K178" i="7"/>
  <c r="J178" i="7"/>
  <c r="I178" i="7"/>
  <c r="H178" i="7"/>
  <c r="G178" i="7"/>
  <c r="F178" i="7"/>
  <c r="E178" i="7"/>
  <c r="D178" i="7"/>
  <c r="C178" i="7"/>
  <c r="K177" i="7"/>
  <c r="J177" i="7"/>
  <c r="I177" i="7"/>
  <c r="H177" i="7"/>
  <c r="G177" i="7"/>
  <c r="F177" i="7"/>
  <c r="E177" i="7"/>
  <c r="D177" i="7"/>
  <c r="C177" i="7"/>
  <c r="K174" i="7"/>
  <c r="J174" i="7"/>
  <c r="I174" i="7"/>
  <c r="H174" i="7"/>
  <c r="G174" i="7"/>
  <c r="F174" i="7"/>
  <c r="E174" i="7"/>
  <c r="D174" i="7"/>
  <c r="C174" i="7"/>
  <c r="K173" i="7"/>
  <c r="J173" i="7"/>
  <c r="I173" i="7"/>
  <c r="H173" i="7"/>
  <c r="G173" i="7"/>
  <c r="F173" i="7"/>
  <c r="E173" i="7"/>
  <c r="D173" i="7"/>
  <c r="C173" i="7"/>
  <c r="K172" i="7"/>
  <c r="J172" i="7"/>
  <c r="I172" i="7"/>
  <c r="H172" i="7"/>
  <c r="G172" i="7"/>
  <c r="F172" i="7"/>
  <c r="E172" i="7"/>
  <c r="D172" i="7"/>
  <c r="C172" i="7"/>
  <c r="D171" i="7"/>
  <c r="C171" i="7"/>
  <c r="D170" i="7"/>
  <c r="C170" i="7"/>
  <c r="D169" i="7"/>
  <c r="C169" i="7"/>
  <c r="D168" i="7"/>
  <c r="C168" i="7"/>
  <c r="K167" i="7"/>
  <c r="J167" i="7"/>
  <c r="I167" i="7"/>
  <c r="H167" i="7"/>
  <c r="G167" i="7"/>
  <c r="F167" i="7"/>
  <c r="E167" i="7"/>
  <c r="D167" i="7"/>
  <c r="C167" i="7"/>
  <c r="K166" i="7"/>
  <c r="J166" i="7"/>
  <c r="I166" i="7"/>
  <c r="H166" i="7"/>
  <c r="G166" i="7"/>
  <c r="F166" i="7"/>
  <c r="E166" i="7"/>
  <c r="D166" i="7"/>
  <c r="C166" i="7"/>
  <c r="K165" i="7"/>
  <c r="J165" i="7"/>
  <c r="I165" i="7"/>
  <c r="H165" i="7"/>
  <c r="G165" i="7"/>
  <c r="F165" i="7"/>
  <c r="E165" i="7"/>
  <c r="D165" i="7"/>
  <c r="C165" i="7"/>
  <c r="K164" i="7"/>
  <c r="J164" i="7"/>
  <c r="I164" i="7"/>
  <c r="H164" i="7"/>
  <c r="G164" i="7"/>
  <c r="F164" i="7"/>
  <c r="E164" i="7"/>
  <c r="D164" i="7"/>
  <c r="C164" i="7"/>
  <c r="K161" i="7"/>
  <c r="J161" i="7"/>
  <c r="I161" i="7"/>
  <c r="H161" i="7"/>
  <c r="G161" i="7"/>
  <c r="F161" i="7"/>
  <c r="E161" i="7"/>
  <c r="D161" i="7"/>
  <c r="C161" i="7"/>
  <c r="K160" i="7"/>
  <c r="J160" i="7"/>
  <c r="I160" i="7"/>
  <c r="H160" i="7"/>
  <c r="G160" i="7"/>
  <c r="F160" i="7"/>
  <c r="E160" i="7"/>
  <c r="D160" i="7"/>
  <c r="C160" i="7"/>
  <c r="K159" i="7"/>
  <c r="J159" i="7"/>
  <c r="I159" i="7"/>
  <c r="H159" i="7"/>
  <c r="G159" i="7"/>
  <c r="F159" i="7"/>
  <c r="E159" i="7"/>
  <c r="D159" i="7"/>
  <c r="C159" i="7"/>
  <c r="D158" i="7"/>
  <c r="C158" i="7"/>
  <c r="D157" i="7"/>
  <c r="C157" i="7"/>
  <c r="D156" i="7"/>
  <c r="C156" i="7"/>
  <c r="D155" i="7"/>
  <c r="C155" i="7"/>
  <c r="K154" i="7"/>
  <c r="J154" i="7"/>
  <c r="I154" i="7"/>
  <c r="H154" i="7"/>
  <c r="G154" i="7"/>
  <c r="F154" i="7"/>
  <c r="E154" i="7"/>
  <c r="D154" i="7"/>
  <c r="C154" i="7"/>
  <c r="K153" i="7"/>
  <c r="J153" i="7"/>
  <c r="I153" i="7"/>
  <c r="H153" i="7"/>
  <c r="G153" i="7"/>
  <c r="F153" i="7"/>
  <c r="E153" i="7"/>
  <c r="D153" i="7"/>
  <c r="C153" i="7"/>
  <c r="K152" i="7"/>
  <c r="J152" i="7"/>
  <c r="I152" i="7"/>
  <c r="H152" i="7"/>
  <c r="G152" i="7"/>
  <c r="F152" i="7"/>
  <c r="E152" i="7"/>
  <c r="D152" i="7"/>
  <c r="C152" i="7"/>
  <c r="K151" i="7"/>
  <c r="J151" i="7"/>
  <c r="I151" i="7"/>
  <c r="H151" i="7"/>
  <c r="G151" i="7"/>
  <c r="F151" i="7"/>
  <c r="E151" i="7"/>
  <c r="D151" i="7"/>
  <c r="C151" i="7"/>
  <c r="K148" i="7"/>
  <c r="J148" i="7"/>
  <c r="I148" i="7"/>
  <c r="H148" i="7"/>
  <c r="G148" i="7"/>
  <c r="F148" i="7"/>
  <c r="E148" i="7"/>
  <c r="D148" i="7"/>
  <c r="C148" i="7"/>
  <c r="K147" i="7"/>
  <c r="J147" i="7"/>
  <c r="I147" i="7"/>
  <c r="H147" i="7"/>
  <c r="G147" i="7"/>
  <c r="F147" i="7"/>
  <c r="E147" i="7"/>
  <c r="D147" i="7"/>
  <c r="C147" i="7"/>
  <c r="K146" i="7"/>
  <c r="J146" i="7"/>
  <c r="I146" i="7"/>
  <c r="H146" i="7"/>
  <c r="G146" i="7"/>
  <c r="F146" i="7"/>
  <c r="E146" i="7"/>
  <c r="D146" i="7"/>
  <c r="C146" i="7"/>
  <c r="D145" i="7"/>
  <c r="C145" i="7"/>
  <c r="D144" i="7"/>
  <c r="C144" i="7"/>
  <c r="D143" i="7"/>
  <c r="C143" i="7"/>
  <c r="D142" i="7"/>
  <c r="C142" i="7"/>
  <c r="K141" i="7"/>
  <c r="J141" i="7"/>
  <c r="I141" i="7"/>
  <c r="H141" i="7"/>
  <c r="G141" i="7"/>
  <c r="F141" i="7"/>
  <c r="E141" i="7"/>
  <c r="D141" i="7"/>
  <c r="C141" i="7"/>
  <c r="K140" i="7"/>
  <c r="J140" i="7"/>
  <c r="I140" i="7"/>
  <c r="H140" i="7"/>
  <c r="G140" i="7"/>
  <c r="F140" i="7"/>
  <c r="E140" i="7"/>
  <c r="D140" i="7"/>
  <c r="C140" i="7"/>
  <c r="K139" i="7"/>
  <c r="J139" i="7"/>
  <c r="I139" i="7"/>
  <c r="H139" i="7"/>
  <c r="G139" i="7"/>
  <c r="F139" i="7"/>
  <c r="E139" i="7"/>
  <c r="D139" i="7"/>
  <c r="C139" i="7"/>
  <c r="K138" i="7"/>
  <c r="J138" i="7"/>
  <c r="I138" i="7"/>
  <c r="H138" i="7"/>
  <c r="G138" i="7"/>
  <c r="F138" i="7"/>
  <c r="E138" i="7"/>
  <c r="D138" i="7"/>
  <c r="C138" i="7"/>
  <c r="K135" i="7"/>
  <c r="J135" i="7"/>
  <c r="I135" i="7"/>
  <c r="H135" i="7"/>
  <c r="G135" i="7"/>
  <c r="F135" i="7"/>
  <c r="E135" i="7"/>
  <c r="D135" i="7"/>
  <c r="C135" i="7"/>
  <c r="K134" i="7"/>
  <c r="J134" i="7"/>
  <c r="I134" i="7"/>
  <c r="H134" i="7"/>
  <c r="G134" i="7"/>
  <c r="F134" i="7"/>
  <c r="E134" i="7"/>
  <c r="D134" i="7"/>
  <c r="C134" i="7"/>
  <c r="K133" i="7"/>
  <c r="J133" i="7"/>
  <c r="I133" i="7"/>
  <c r="H133" i="7"/>
  <c r="G133" i="7"/>
  <c r="F133" i="7"/>
  <c r="E133" i="7"/>
  <c r="D133" i="7"/>
  <c r="C133" i="7"/>
  <c r="D132" i="7"/>
  <c r="C132" i="7"/>
  <c r="D131" i="7"/>
  <c r="C131" i="7"/>
  <c r="D130" i="7"/>
  <c r="C130" i="7"/>
  <c r="D129" i="7"/>
  <c r="C129" i="7"/>
  <c r="K128" i="7"/>
  <c r="J128" i="7"/>
  <c r="I128" i="7"/>
  <c r="H128" i="7"/>
  <c r="G128" i="7"/>
  <c r="F128" i="7"/>
  <c r="E128" i="7"/>
  <c r="D128" i="7"/>
  <c r="C128" i="7"/>
  <c r="K127" i="7"/>
  <c r="J127" i="7"/>
  <c r="I127" i="7"/>
  <c r="H127" i="7"/>
  <c r="G127" i="7"/>
  <c r="F127" i="7"/>
  <c r="E127" i="7"/>
  <c r="D127" i="7"/>
  <c r="C127" i="7"/>
  <c r="K126" i="7"/>
  <c r="J126" i="7"/>
  <c r="I126" i="7"/>
  <c r="H126" i="7"/>
  <c r="G126" i="7"/>
  <c r="F126" i="7"/>
  <c r="E126" i="7"/>
  <c r="D126" i="7"/>
  <c r="C126" i="7"/>
  <c r="K125" i="7"/>
  <c r="J125" i="7"/>
  <c r="I125" i="7"/>
  <c r="H125" i="7"/>
  <c r="G125" i="7"/>
  <c r="F125" i="7"/>
  <c r="E125" i="7"/>
  <c r="D125" i="7"/>
  <c r="C125" i="7"/>
  <c r="K122" i="7"/>
  <c r="J122" i="7"/>
  <c r="I122" i="7"/>
  <c r="H122" i="7"/>
  <c r="G122" i="7"/>
  <c r="F122" i="7"/>
  <c r="E122" i="7"/>
  <c r="D122" i="7"/>
  <c r="C122" i="7"/>
  <c r="K121" i="7"/>
  <c r="J121" i="7"/>
  <c r="I121" i="7"/>
  <c r="H121" i="7"/>
  <c r="G121" i="7"/>
  <c r="F121" i="7"/>
  <c r="E121" i="7"/>
  <c r="D121" i="7"/>
  <c r="C121" i="7"/>
  <c r="K120" i="7"/>
  <c r="J120" i="7"/>
  <c r="I120" i="7"/>
  <c r="H120" i="7"/>
  <c r="G120" i="7"/>
  <c r="F120" i="7"/>
  <c r="E120" i="7"/>
  <c r="D120" i="7"/>
  <c r="C120" i="7"/>
  <c r="D119" i="7"/>
  <c r="C119" i="7"/>
  <c r="D118" i="7"/>
  <c r="C118" i="7"/>
  <c r="D117" i="7"/>
  <c r="C117" i="7"/>
  <c r="D116" i="7"/>
  <c r="C116" i="7"/>
  <c r="K115" i="7"/>
  <c r="J115" i="7"/>
  <c r="I115" i="7"/>
  <c r="H115" i="7"/>
  <c r="G115" i="7"/>
  <c r="F115" i="7"/>
  <c r="E115" i="7"/>
  <c r="D115" i="7"/>
  <c r="C115" i="7"/>
  <c r="K114" i="7"/>
  <c r="J114" i="7"/>
  <c r="I114" i="7"/>
  <c r="H114" i="7"/>
  <c r="G114" i="7"/>
  <c r="F114" i="7"/>
  <c r="E114" i="7"/>
  <c r="D114" i="7"/>
  <c r="C114" i="7"/>
  <c r="K113" i="7"/>
  <c r="J113" i="7"/>
  <c r="I113" i="7"/>
  <c r="H113" i="7"/>
  <c r="G113" i="7"/>
  <c r="F113" i="7"/>
  <c r="E113" i="7"/>
  <c r="D113" i="7"/>
  <c r="C113" i="7"/>
  <c r="K112" i="7"/>
  <c r="J112" i="7"/>
  <c r="I112" i="7"/>
  <c r="H112" i="7"/>
  <c r="G112" i="7"/>
  <c r="F112" i="7"/>
  <c r="E112" i="7"/>
  <c r="D112" i="7"/>
  <c r="C112" i="7"/>
  <c r="K106" i="7"/>
  <c r="J106" i="7"/>
  <c r="I106" i="7"/>
  <c r="H106" i="7"/>
  <c r="G106" i="7"/>
  <c r="F106" i="7"/>
  <c r="E106" i="7"/>
  <c r="D106" i="7"/>
  <c r="C106" i="7"/>
  <c r="K105" i="7"/>
  <c r="J105" i="7"/>
  <c r="I105" i="7"/>
  <c r="H105" i="7"/>
  <c r="G105" i="7"/>
  <c r="F105" i="7"/>
  <c r="E105" i="7"/>
  <c r="D105" i="7"/>
  <c r="C105" i="7"/>
  <c r="K104" i="7"/>
  <c r="J104" i="7"/>
  <c r="I104" i="7"/>
  <c r="H104" i="7"/>
  <c r="G104" i="7"/>
  <c r="F104" i="7"/>
  <c r="E104" i="7"/>
  <c r="D104" i="7"/>
  <c r="C104" i="7"/>
  <c r="D103" i="7"/>
  <c r="C103" i="7"/>
  <c r="D102" i="7"/>
  <c r="C102" i="7"/>
  <c r="D101" i="7"/>
  <c r="C101" i="7"/>
  <c r="D100" i="7"/>
  <c r="C100" i="7"/>
  <c r="K99" i="7"/>
  <c r="J99" i="7"/>
  <c r="I99" i="7"/>
  <c r="H99" i="7"/>
  <c r="G99" i="7"/>
  <c r="F99" i="7"/>
  <c r="E99" i="7"/>
  <c r="D99" i="7"/>
  <c r="C99" i="7"/>
  <c r="K98" i="7"/>
  <c r="J98" i="7"/>
  <c r="I98" i="7"/>
  <c r="H98" i="7"/>
  <c r="G98" i="7"/>
  <c r="F98" i="7"/>
  <c r="E98" i="7"/>
  <c r="D98" i="7"/>
  <c r="C98" i="7"/>
  <c r="K97" i="7"/>
  <c r="J97" i="7"/>
  <c r="I97" i="7"/>
  <c r="H97" i="7"/>
  <c r="G97" i="7"/>
  <c r="F97" i="7"/>
  <c r="E97" i="7"/>
  <c r="D97" i="7"/>
  <c r="C97" i="7"/>
  <c r="K96" i="7"/>
  <c r="J96" i="7"/>
  <c r="I96" i="7"/>
  <c r="H96" i="7"/>
  <c r="G96" i="7"/>
  <c r="F96" i="7"/>
  <c r="E96" i="7"/>
  <c r="D96" i="7"/>
  <c r="C96" i="7"/>
  <c r="K93" i="7"/>
  <c r="J93" i="7"/>
  <c r="I93" i="7"/>
  <c r="H93" i="7"/>
  <c r="G93" i="7"/>
  <c r="F93" i="7"/>
  <c r="E93" i="7"/>
  <c r="D93" i="7"/>
  <c r="C93" i="7"/>
  <c r="K92" i="7"/>
  <c r="J92" i="7"/>
  <c r="I92" i="7"/>
  <c r="H92" i="7"/>
  <c r="G92" i="7"/>
  <c r="F92" i="7"/>
  <c r="E92" i="7"/>
  <c r="D92" i="7"/>
  <c r="C92" i="7"/>
  <c r="K91" i="7"/>
  <c r="J91" i="7"/>
  <c r="I91" i="7"/>
  <c r="H91" i="7"/>
  <c r="G91" i="7"/>
  <c r="F91" i="7"/>
  <c r="E91" i="7"/>
  <c r="D91" i="7"/>
  <c r="C91" i="7"/>
  <c r="D90" i="7"/>
  <c r="C90" i="7"/>
  <c r="D89" i="7"/>
  <c r="C89" i="7"/>
  <c r="D88" i="7"/>
  <c r="C88" i="7"/>
  <c r="D87" i="7"/>
  <c r="C87" i="7"/>
  <c r="K86" i="7"/>
  <c r="J86" i="7"/>
  <c r="I86" i="7"/>
  <c r="H86" i="7"/>
  <c r="G86" i="7"/>
  <c r="F86" i="7"/>
  <c r="E86" i="7"/>
  <c r="D86" i="7"/>
  <c r="C86" i="7"/>
  <c r="K85" i="7"/>
  <c r="J85" i="7"/>
  <c r="I85" i="7"/>
  <c r="H85" i="7"/>
  <c r="G85" i="7"/>
  <c r="F85" i="7"/>
  <c r="E85" i="7"/>
  <c r="D85" i="7"/>
  <c r="C85" i="7"/>
  <c r="K84" i="7"/>
  <c r="J84" i="7"/>
  <c r="I84" i="7"/>
  <c r="H84" i="7"/>
  <c r="G84" i="7"/>
  <c r="F84" i="7"/>
  <c r="E84" i="7"/>
  <c r="D84" i="7"/>
  <c r="C84" i="7"/>
  <c r="K83" i="7"/>
  <c r="J83" i="7"/>
  <c r="I83" i="7"/>
  <c r="H83" i="7"/>
  <c r="G83" i="7"/>
  <c r="F83" i="7"/>
  <c r="E83" i="7"/>
  <c r="D83" i="7"/>
  <c r="C83" i="7"/>
  <c r="K80" i="7"/>
  <c r="J80" i="7"/>
  <c r="I80" i="7"/>
  <c r="H80" i="7"/>
  <c r="G80" i="7"/>
  <c r="F80" i="7"/>
  <c r="E80" i="7"/>
  <c r="D80" i="7"/>
  <c r="C80" i="7"/>
  <c r="K79" i="7"/>
  <c r="J79" i="7"/>
  <c r="I79" i="7"/>
  <c r="H79" i="7"/>
  <c r="G79" i="7"/>
  <c r="F79" i="7"/>
  <c r="E79" i="7"/>
  <c r="D79" i="7"/>
  <c r="C79" i="7"/>
  <c r="K78" i="7"/>
  <c r="J78" i="7"/>
  <c r="I78" i="7"/>
  <c r="H78" i="7"/>
  <c r="G78" i="7"/>
  <c r="F78" i="7"/>
  <c r="E78" i="7"/>
  <c r="D78" i="7"/>
  <c r="C78" i="7"/>
  <c r="D77" i="7"/>
  <c r="C77" i="7"/>
  <c r="D76" i="7"/>
  <c r="C76" i="7"/>
  <c r="D75" i="7"/>
  <c r="C75" i="7"/>
  <c r="D74" i="7"/>
  <c r="C74" i="7"/>
  <c r="K73" i="7"/>
  <c r="J73" i="7"/>
  <c r="I73" i="7"/>
  <c r="H73" i="7"/>
  <c r="G73" i="7"/>
  <c r="F73" i="7"/>
  <c r="E73" i="7"/>
  <c r="D73" i="7"/>
  <c r="C73" i="7"/>
  <c r="K72" i="7"/>
  <c r="J72" i="7"/>
  <c r="I72" i="7"/>
  <c r="H72" i="7"/>
  <c r="G72" i="7"/>
  <c r="F72" i="7"/>
  <c r="E72" i="7"/>
  <c r="D72" i="7"/>
  <c r="C72" i="7"/>
  <c r="K71" i="7"/>
  <c r="J71" i="7"/>
  <c r="I71" i="7"/>
  <c r="H71" i="7"/>
  <c r="G71" i="7"/>
  <c r="F71" i="7"/>
  <c r="E71" i="7"/>
  <c r="D71" i="7"/>
  <c r="C71" i="7"/>
  <c r="K70" i="7"/>
  <c r="J70" i="7"/>
  <c r="I70" i="7"/>
  <c r="H70" i="7"/>
  <c r="G70" i="7"/>
  <c r="F70" i="7"/>
  <c r="E70" i="7"/>
  <c r="D70" i="7"/>
  <c r="C70" i="7"/>
  <c r="K67" i="7"/>
  <c r="J67" i="7"/>
  <c r="I67" i="7"/>
  <c r="H67" i="7"/>
  <c r="G67" i="7"/>
  <c r="F67" i="7"/>
  <c r="E67" i="7"/>
  <c r="D67" i="7"/>
  <c r="C67" i="7"/>
  <c r="K66" i="7"/>
  <c r="J66" i="7"/>
  <c r="I66" i="7"/>
  <c r="H66" i="7"/>
  <c r="G66" i="7"/>
  <c r="F66" i="7"/>
  <c r="E66" i="7"/>
  <c r="D66" i="7"/>
  <c r="C66" i="7"/>
  <c r="K65" i="7"/>
  <c r="J65" i="7"/>
  <c r="I65" i="7"/>
  <c r="H65" i="7"/>
  <c r="G65" i="7"/>
  <c r="F65" i="7"/>
  <c r="E65" i="7"/>
  <c r="D65" i="7"/>
  <c r="C65" i="7"/>
  <c r="D64" i="7"/>
  <c r="C64" i="7"/>
  <c r="D63" i="7"/>
  <c r="C63" i="7"/>
  <c r="D62" i="7"/>
  <c r="C62" i="7"/>
  <c r="D61" i="7"/>
  <c r="C61" i="7"/>
  <c r="K60" i="7"/>
  <c r="J60" i="7"/>
  <c r="I60" i="7"/>
  <c r="H60" i="7"/>
  <c r="G60" i="7"/>
  <c r="F60" i="7"/>
  <c r="E60" i="7"/>
  <c r="D60" i="7"/>
  <c r="C60" i="7"/>
  <c r="K59" i="7"/>
  <c r="J59" i="7"/>
  <c r="I59" i="7"/>
  <c r="H59" i="7"/>
  <c r="G59" i="7"/>
  <c r="F59" i="7"/>
  <c r="E59" i="7"/>
  <c r="D59" i="7"/>
  <c r="C59" i="7"/>
  <c r="K58" i="7"/>
  <c r="J58" i="7"/>
  <c r="I58" i="7"/>
  <c r="H58" i="7"/>
  <c r="G58" i="7"/>
  <c r="F58" i="7"/>
  <c r="E58" i="7"/>
  <c r="D58" i="7"/>
  <c r="C58" i="7"/>
  <c r="K57" i="7"/>
  <c r="J57" i="7"/>
  <c r="I57" i="7"/>
  <c r="H57" i="7"/>
  <c r="G57" i="7"/>
  <c r="F57" i="7"/>
  <c r="E57" i="7"/>
  <c r="D57" i="7"/>
  <c r="C57" i="7"/>
  <c r="K54" i="7"/>
  <c r="J54" i="7"/>
  <c r="I54" i="7"/>
  <c r="H54" i="7"/>
  <c r="G54" i="7"/>
  <c r="F54" i="7"/>
  <c r="E54" i="7"/>
  <c r="D54" i="7"/>
  <c r="C54" i="7"/>
  <c r="K53" i="7"/>
  <c r="J53" i="7"/>
  <c r="I53" i="7"/>
  <c r="H53" i="7"/>
  <c r="G53" i="7"/>
  <c r="F53" i="7"/>
  <c r="E53" i="7"/>
  <c r="D53" i="7"/>
  <c r="C53" i="7"/>
  <c r="K52" i="7"/>
  <c r="J52" i="7"/>
  <c r="I52" i="7"/>
  <c r="H52" i="7"/>
  <c r="G52" i="7"/>
  <c r="F52" i="7"/>
  <c r="E52" i="7"/>
  <c r="D52" i="7"/>
  <c r="C52" i="7"/>
  <c r="D51" i="7"/>
  <c r="C51" i="7"/>
  <c r="D50" i="7"/>
  <c r="C50" i="7"/>
  <c r="D49" i="7"/>
  <c r="C49" i="7"/>
  <c r="D48" i="7"/>
  <c r="C48" i="7"/>
  <c r="K47" i="7"/>
  <c r="J47" i="7"/>
  <c r="I47" i="7"/>
  <c r="H47" i="7"/>
  <c r="G47" i="7"/>
  <c r="F47" i="7"/>
  <c r="E47" i="7"/>
  <c r="D47" i="7"/>
  <c r="C47" i="7"/>
  <c r="K46" i="7"/>
  <c r="J46" i="7"/>
  <c r="I46" i="7"/>
  <c r="H46" i="7"/>
  <c r="G46" i="7"/>
  <c r="F46" i="7"/>
  <c r="E46" i="7"/>
  <c r="D46" i="7"/>
  <c r="C46" i="7"/>
  <c r="K45" i="7"/>
  <c r="J45" i="7"/>
  <c r="I45" i="7"/>
  <c r="H45" i="7"/>
  <c r="G45" i="7"/>
  <c r="F45" i="7"/>
  <c r="E45" i="7"/>
  <c r="D45" i="7"/>
  <c r="C45" i="7"/>
  <c r="K44" i="7"/>
  <c r="J44" i="7"/>
  <c r="I44" i="7"/>
  <c r="H44" i="7"/>
  <c r="G44" i="7"/>
  <c r="F44" i="7"/>
  <c r="E44" i="7"/>
  <c r="D44" i="7"/>
  <c r="C44" i="7"/>
  <c r="K41" i="7"/>
  <c r="J41" i="7"/>
  <c r="I41" i="7"/>
  <c r="H41" i="7"/>
  <c r="G41" i="7"/>
  <c r="F41" i="7"/>
  <c r="E41" i="7"/>
  <c r="D41" i="7"/>
  <c r="C41" i="7"/>
  <c r="K40" i="7"/>
  <c r="J40" i="7"/>
  <c r="I40" i="7"/>
  <c r="H40" i="7"/>
  <c r="G40" i="7"/>
  <c r="F40" i="7"/>
  <c r="E40" i="7"/>
  <c r="D40" i="7"/>
  <c r="C40" i="7"/>
  <c r="K39" i="7"/>
  <c r="J39" i="7"/>
  <c r="I39" i="7"/>
  <c r="H39" i="7"/>
  <c r="G39" i="7"/>
  <c r="F39" i="7"/>
  <c r="E39" i="7"/>
  <c r="D39" i="7"/>
  <c r="C39" i="7"/>
  <c r="D38" i="7"/>
  <c r="C38" i="7"/>
  <c r="D37" i="7"/>
  <c r="C37" i="7"/>
  <c r="D36" i="7"/>
  <c r="C36" i="7"/>
  <c r="D35" i="7"/>
  <c r="C35" i="7"/>
  <c r="K34" i="7"/>
  <c r="J34" i="7"/>
  <c r="I34" i="7"/>
  <c r="H34" i="7"/>
  <c r="G34" i="7"/>
  <c r="F34" i="7"/>
  <c r="E34" i="7"/>
  <c r="D34" i="7"/>
  <c r="C34" i="7"/>
  <c r="K33" i="7"/>
  <c r="J33" i="7"/>
  <c r="I33" i="7"/>
  <c r="H33" i="7"/>
  <c r="G33" i="7"/>
  <c r="F33" i="7"/>
  <c r="E33" i="7"/>
  <c r="D33" i="7"/>
  <c r="C33" i="7"/>
  <c r="K32" i="7"/>
  <c r="J32" i="7"/>
  <c r="I32" i="7"/>
  <c r="H32" i="7"/>
  <c r="G32" i="7"/>
  <c r="F32" i="7"/>
  <c r="E32" i="7"/>
  <c r="D32" i="7"/>
  <c r="C32" i="7"/>
  <c r="K31" i="7"/>
  <c r="J31" i="7"/>
  <c r="I31" i="7"/>
  <c r="H31" i="7"/>
  <c r="G31" i="7"/>
  <c r="F31" i="7"/>
  <c r="E31" i="7"/>
  <c r="D31" i="7"/>
  <c r="C31" i="7"/>
  <c r="K28" i="7"/>
  <c r="J28" i="7"/>
  <c r="I28" i="7"/>
  <c r="H28" i="7"/>
  <c r="G28" i="7"/>
  <c r="F28" i="7"/>
  <c r="E28" i="7"/>
  <c r="D28" i="7"/>
  <c r="C28" i="7"/>
  <c r="K27" i="7"/>
  <c r="J27" i="7"/>
  <c r="I27" i="7"/>
  <c r="H27" i="7"/>
  <c r="G27" i="7"/>
  <c r="F27" i="7"/>
  <c r="E27" i="7"/>
  <c r="D27" i="7"/>
  <c r="C27" i="7"/>
  <c r="K26" i="7"/>
  <c r="J26" i="7"/>
  <c r="I26" i="7"/>
  <c r="H26" i="7"/>
  <c r="G26" i="7"/>
  <c r="F26" i="7"/>
  <c r="E26" i="7"/>
  <c r="D26" i="7"/>
  <c r="C26" i="7"/>
  <c r="D25" i="7"/>
  <c r="C25" i="7"/>
  <c r="D24" i="7"/>
  <c r="C24" i="7"/>
  <c r="D23" i="7"/>
  <c r="C23" i="7"/>
  <c r="D22" i="7"/>
  <c r="C22" i="7"/>
  <c r="K21" i="7"/>
  <c r="J21" i="7"/>
  <c r="I21" i="7"/>
  <c r="H21" i="7"/>
  <c r="G21" i="7"/>
  <c r="F21" i="7"/>
  <c r="E21" i="7"/>
  <c r="D21" i="7"/>
  <c r="C21" i="7"/>
  <c r="K20" i="7"/>
  <c r="J20" i="7"/>
  <c r="I20" i="7"/>
  <c r="H20" i="7"/>
  <c r="G20" i="7"/>
  <c r="F20" i="7"/>
  <c r="E20" i="7"/>
  <c r="D20" i="7"/>
  <c r="C20" i="7"/>
  <c r="K19" i="7"/>
  <c r="J19" i="7"/>
  <c r="I19" i="7"/>
  <c r="H19" i="7"/>
  <c r="G19" i="7"/>
  <c r="F19" i="7"/>
  <c r="E19" i="7"/>
  <c r="D19" i="7"/>
  <c r="C19" i="7"/>
  <c r="K18" i="7"/>
  <c r="J18" i="7"/>
  <c r="I18" i="7"/>
  <c r="H18" i="7"/>
  <c r="G18" i="7"/>
  <c r="F18" i="7"/>
  <c r="E18" i="7"/>
  <c r="D18" i="7"/>
  <c r="C18" i="7"/>
  <c r="K15" i="7"/>
  <c r="J15" i="7"/>
  <c r="I15" i="7"/>
  <c r="H15" i="7"/>
  <c r="G15" i="7"/>
  <c r="F15" i="7"/>
  <c r="E15" i="7"/>
  <c r="D15" i="7"/>
  <c r="C15" i="7"/>
  <c r="K14" i="7"/>
  <c r="J14" i="7"/>
  <c r="I14" i="7"/>
  <c r="H14" i="7"/>
  <c r="G14" i="7"/>
  <c r="F14" i="7"/>
  <c r="E14" i="7"/>
  <c r="D14" i="7"/>
  <c r="C14" i="7"/>
  <c r="K13" i="7"/>
  <c r="J13" i="7"/>
  <c r="I13" i="7"/>
  <c r="H13" i="7"/>
  <c r="G13" i="7"/>
  <c r="F13" i="7"/>
  <c r="E13" i="7"/>
  <c r="D13" i="7"/>
  <c r="C13" i="7"/>
  <c r="D12" i="7"/>
  <c r="C12" i="7"/>
  <c r="D11" i="7"/>
  <c r="C11" i="7"/>
  <c r="D10" i="7"/>
  <c r="C10" i="7"/>
  <c r="D9" i="7"/>
  <c r="C9" i="7"/>
  <c r="K8" i="7"/>
  <c r="J8" i="7"/>
  <c r="I8" i="7"/>
  <c r="H8" i="7"/>
  <c r="G8" i="7"/>
  <c r="F8" i="7"/>
  <c r="E8" i="7"/>
  <c r="D8" i="7"/>
  <c r="C8" i="7"/>
  <c r="K7" i="7"/>
  <c r="J7" i="7"/>
  <c r="I7" i="7"/>
  <c r="H7" i="7"/>
  <c r="G7" i="7"/>
  <c r="F7" i="7"/>
  <c r="E7" i="7"/>
  <c r="D7" i="7"/>
  <c r="C7" i="7"/>
  <c r="K6" i="7"/>
  <c r="J6" i="7"/>
  <c r="I6" i="7"/>
  <c r="H6" i="7"/>
  <c r="G6" i="7"/>
  <c r="F6" i="7"/>
  <c r="E6" i="7"/>
  <c r="D6" i="7"/>
  <c r="C6" i="7"/>
  <c r="K5" i="7"/>
  <c r="J5" i="7"/>
  <c r="I5" i="7"/>
  <c r="H5" i="7"/>
  <c r="G5" i="7"/>
  <c r="F5" i="7"/>
  <c r="E5" i="7"/>
  <c r="D5" i="7"/>
  <c r="C5" i="7"/>
  <c r="I38" i="9"/>
  <c r="H38" i="9"/>
  <c r="G38" i="9"/>
  <c r="F38" i="9"/>
  <c r="E38" i="9"/>
  <c r="D38" i="9"/>
  <c r="C38" i="9"/>
  <c r="B38" i="9"/>
  <c r="I37" i="9"/>
  <c r="H37" i="9"/>
  <c r="G37" i="9"/>
  <c r="F37" i="9"/>
  <c r="E37" i="9"/>
  <c r="D37" i="9"/>
  <c r="C37" i="9"/>
  <c r="B37" i="9"/>
  <c r="I35" i="9"/>
  <c r="H35" i="9"/>
  <c r="G35" i="9"/>
  <c r="F35" i="9"/>
  <c r="E35" i="9"/>
  <c r="D35" i="9"/>
  <c r="C35" i="9"/>
  <c r="B35" i="9"/>
  <c r="I19" i="9"/>
  <c r="H19" i="9"/>
  <c r="G19" i="9"/>
  <c r="F19" i="9"/>
  <c r="E19" i="9"/>
  <c r="D19" i="9"/>
  <c r="C19" i="9"/>
  <c r="B19" i="9"/>
  <c r="I17" i="9"/>
  <c r="H17" i="9"/>
  <c r="G17" i="9"/>
  <c r="F17" i="9"/>
  <c r="E17" i="9"/>
  <c r="D17" i="9"/>
  <c r="C17" i="9"/>
  <c r="B17" i="9"/>
  <c r="I16" i="9"/>
  <c r="H16" i="9"/>
  <c r="G16" i="9"/>
  <c r="F16" i="9"/>
  <c r="E16" i="9"/>
  <c r="D16" i="9"/>
  <c r="J16" i="9" s="1"/>
  <c r="C16" i="9"/>
  <c r="B16" i="9"/>
  <c r="I15" i="9"/>
  <c r="H15" i="9"/>
  <c r="G15" i="9"/>
  <c r="F15" i="9"/>
  <c r="E15" i="9"/>
  <c r="D15" i="9"/>
  <c r="C15" i="9"/>
  <c r="B15" i="9"/>
  <c r="I12" i="9"/>
  <c r="H12" i="9"/>
  <c r="G12" i="9"/>
  <c r="F12" i="9"/>
  <c r="E12" i="9"/>
  <c r="D12" i="9"/>
  <c r="C12" i="9"/>
  <c r="B12" i="9"/>
  <c r="I11" i="9"/>
  <c r="H11" i="9"/>
  <c r="G11" i="9"/>
  <c r="F11" i="9"/>
  <c r="E11" i="9"/>
  <c r="D11" i="9"/>
  <c r="C11" i="9"/>
  <c r="B11" i="9"/>
  <c r="I10" i="9"/>
  <c r="H10" i="9"/>
  <c r="G10" i="9"/>
  <c r="F10" i="9"/>
  <c r="E10" i="9"/>
  <c r="D10" i="9"/>
  <c r="C10" i="9"/>
  <c r="B10" i="9"/>
  <c r="I9" i="9"/>
  <c r="H9" i="9"/>
  <c r="G9" i="9"/>
  <c r="F9" i="9"/>
  <c r="E9" i="9"/>
  <c r="D9" i="9"/>
  <c r="C9" i="9"/>
  <c r="B9" i="9"/>
  <c r="I8" i="9"/>
  <c r="H8" i="9"/>
  <c r="G8" i="9"/>
  <c r="F8" i="9"/>
  <c r="E8" i="9"/>
  <c r="D8" i="9"/>
  <c r="C8" i="9"/>
  <c r="B8" i="9"/>
  <c r="I7" i="9"/>
  <c r="H7" i="9"/>
  <c r="G7" i="9"/>
  <c r="F7" i="9"/>
  <c r="E7" i="9"/>
  <c r="D7" i="9"/>
  <c r="C7" i="9"/>
  <c r="B7" i="9"/>
  <c r="I6" i="9"/>
  <c r="H6" i="9"/>
  <c r="G6" i="9"/>
  <c r="F6" i="9"/>
  <c r="E6" i="9"/>
  <c r="D6" i="9"/>
  <c r="C6" i="9"/>
  <c r="B6" i="9"/>
  <c r="J6" i="9" s="1"/>
  <c r="I5" i="9"/>
  <c r="H5" i="9"/>
  <c r="G5" i="9"/>
  <c r="F5" i="9"/>
  <c r="E5" i="9"/>
  <c r="D5" i="9"/>
  <c r="C5" i="9"/>
  <c r="B5" i="9"/>
  <c r="J19" i="9"/>
  <c r="H134" i="6"/>
  <c r="J134" i="6"/>
  <c r="K132" i="6"/>
  <c r="J132" i="6"/>
  <c r="I132" i="6"/>
  <c r="H132" i="6"/>
  <c r="G132" i="6"/>
  <c r="F132" i="6"/>
  <c r="E132" i="6"/>
  <c r="D132" i="6"/>
  <c r="K130" i="6"/>
  <c r="J130" i="6"/>
  <c r="I130" i="6"/>
  <c r="H130" i="6"/>
  <c r="G130" i="6"/>
  <c r="F130" i="6"/>
  <c r="E130" i="6"/>
  <c r="D130" i="6"/>
  <c r="D127" i="6"/>
  <c r="D126" i="6"/>
  <c r="D124" i="6"/>
  <c r="D123" i="6"/>
  <c r="D121" i="6"/>
  <c r="E121" i="6"/>
  <c r="F121" i="6"/>
  <c r="G121" i="6"/>
  <c r="H121" i="6"/>
  <c r="I121" i="6"/>
  <c r="J121" i="6"/>
  <c r="K121" i="6"/>
  <c r="K119" i="6"/>
  <c r="J119" i="6"/>
  <c r="I119" i="6"/>
  <c r="H119" i="6"/>
  <c r="G119" i="6"/>
  <c r="F119" i="6"/>
  <c r="E119" i="6"/>
  <c r="D119" i="6"/>
  <c r="K117" i="6"/>
  <c r="J117" i="6"/>
  <c r="I117" i="6"/>
  <c r="H117" i="6"/>
  <c r="G117" i="6"/>
  <c r="F117" i="6"/>
  <c r="E117" i="6"/>
  <c r="D117" i="6"/>
  <c r="D114" i="6"/>
  <c r="D113" i="6"/>
  <c r="D111" i="6"/>
  <c r="D110" i="6"/>
  <c r="D108" i="6"/>
  <c r="E108" i="6"/>
  <c r="F108" i="6"/>
  <c r="G108" i="6"/>
  <c r="H108" i="6"/>
  <c r="I108" i="6"/>
  <c r="J108" i="6"/>
  <c r="K108" i="6"/>
  <c r="K106" i="6"/>
  <c r="J106" i="6"/>
  <c r="I106" i="6"/>
  <c r="H106" i="6"/>
  <c r="G106" i="6"/>
  <c r="F106" i="6"/>
  <c r="E106" i="6"/>
  <c r="D106" i="6"/>
  <c r="K104" i="6"/>
  <c r="J104" i="6"/>
  <c r="I104" i="6"/>
  <c r="H104" i="6"/>
  <c r="G104" i="6"/>
  <c r="F104" i="6"/>
  <c r="E104" i="6"/>
  <c r="D104" i="6"/>
  <c r="D101" i="6"/>
  <c r="D100" i="6"/>
  <c r="D99" i="6"/>
  <c r="D98" i="6"/>
  <c r="D97" i="6"/>
  <c r="D95" i="6"/>
  <c r="E95" i="6"/>
  <c r="F95" i="6"/>
  <c r="G95" i="6"/>
  <c r="H95" i="6"/>
  <c r="I95" i="6"/>
  <c r="J95" i="6"/>
  <c r="K95" i="6"/>
  <c r="K93" i="6"/>
  <c r="J93" i="6"/>
  <c r="I93" i="6"/>
  <c r="H93" i="6"/>
  <c r="G93" i="6"/>
  <c r="F93" i="6"/>
  <c r="E93" i="6"/>
  <c r="D93" i="6"/>
  <c r="K91" i="6"/>
  <c r="J91" i="6"/>
  <c r="I91" i="6"/>
  <c r="H91" i="6"/>
  <c r="G91" i="6"/>
  <c r="F91" i="6"/>
  <c r="E91" i="6"/>
  <c r="D91" i="6"/>
  <c r="D88" i="6"/>
  <c r="D87" i="6"/>
  <c r="D85" i="6"/>
  <c r="D84" i="6"/>
  <c r="D82" i="6"/>
  <c r="E82" i="6"/>
  <c r="F82" i="6"/>
  <c r="G82" i="6"/>
  <c r="H82" i="6"/>
  <c r="I82" i="6"/>
  <c r="J82" i="6"/>
  <c r="K82" i="6"/>
  <c r="K80" i="6"/>
  <c r="J80" i="6"/>
  <c r="I80" i="6"/>
  <c r="H80" i="6"/>
  <c r="G80" i="6"/>
  <c r="F80" i="6"/>
  <c r="E80" i="6"/>
  <c r="D80" i="6"/>
  <c r="K78" i="6"/>
  <c r="J78" i="6"/>
  <c r="I78" i="6"/>
  <c r="H78" i="6"/>
  <c r="G78" i="6"/>
  <c r="F78" i="6"/>
  <c r="E78" i="6"/>
  <c r="D78" i="6"/>
  <c r="D75" i="6"/>
  <c r="D74" i="6"/>
  <c r="D72" i="6"/>
  <c r="D71" i="6"/>
  <c r="F68" i="6"/>
  <c r="H68" i="6"/>
  <c r="J68" i="6"/>
  <c r="K66" i="6"/>
  <c r="J66" i="6"/>
  <c r="I66" i="6"/>
  <c r="H66" i="6"/>
  <c r="G66" i="6"/>
  <c r="F66" i="6"/>
  <c r="E66" i="6"/>
  <c r="D66" i="6"/>
  <c r="K64" i="6"/>
  <c r="J64" i="6"/>
  <c r="I64" i="6"/>
  <c r="H64" i="6"/>
  <c r="G64" i="6"/>
  <c r="F64" i="6"/>
  <c r="E64" i="6"/>
  <c r="D64" i="6"/>
  <c r="D61" i="6"/>
  <c r="D60" i="6"/>
  <c r="D58" i="6"/>
  <c r="D57" i="6"/>
  <c r="D55" i="6"/>
  <c r="E55" i="6"/>
  <c r="F55" i="6"/>
  <c r="G55" i="6"/>
  <c r="H55" i="6"/>
  <c r="I55" i="6"/>
  <c r="J55" i="6"/>
  <c r="K55" i="6"/>
  <c r="K53" i="6"/>
  <c r="J53" i="6"/>
  <c r="I53" i="6"/>
  <c r="H53" i="6"/>
  <c r="G53" i="6"/>
  <c r="F53" i="6"/>
  <c r="E53" i="6"/>
  <c r="D53" i="6"/>
  <c r="K51" i="6"/>
  <c r="J51" i="6"/>
  <c r="I51" i="6"/>
  <c r="H51" i="6"/>
  <c r="G51" i="6"/>
  <c r="F51" i="6"/>
  <c r="E51" i="6"/>
  <c r="D51" i="6"/>
  <c r="D48" i="6"/>
  <c r="D47" i="6"/>
  <c r="D45" i="6"/>
  <c r="D44" i="6"/>
  <c r="D42" i="6"/>
  <c r="E42" i="6"/>
  <c r="F42" i="6"/>
  <c r="G42" i="6"/>
  <c r="H42" i="6"/>
  <c r="I42" i="6"/>
  <c r="J42" i="6"/>
  <c r="K42" i="6"/>
  <c r="K40" i="6"/>
  <c r="J40" i="6"/>
  <c r="I40" i="6"/>
  <c r="H40" i="6"/>
  <c r="G40" i="6"/>
  <c r="F40" i="6"/>
  <c r="E40" i="6"/>
  <c r="D40" i="6"/>
  <c r="K38" i="6"/>
  <c r="J38" i="6"/>
  <c r="I38" i="6"/>
  <c r="H38" i="6"/>
  <c r="G38" i="6"/>
  <c r="F38" i="6"/>
  <c r="E38" i="6"/>
  <c r="D38" i="6"/>
  <c r="D35" i="6"/>
  <c r="D34" i="6"/>
  <c r="D33" i="6"/>
  <c r="D32" i="6"/>
  <c r="D31" i="6"/>
  <c r="D29" i="6"/>
  <c r="E29" i="6"/>
  <c r="F29" i="6"/>
  <c r="G29" i="6"/>
  <c r="H29" i="6"/>
  <c r="I29" i="6"/>
  <c r="J29" i="6"/>
  <c r="K29" i="6"/>
  <c r="K27" i="6"/>
  <c r="J27" i="6"/>
  <c r="I27" i="6"/>
  <c r="H27" i="6"/>
  <c r="G27" i="6"/>
  <c r="F27" i="6"/>
  <c r="E27" i="6"/>
  <c r="D27" i="6"/>
  <c r="K25" i="6"/>
  <c r="J25" i="6"/>
  <c r="I25" i="6"/>
  <c r="H25" i="6"/>
  <c r="G25" i="6"/>
  <c r="F25" i="6"/>
  <c r="E25" i="6"/>
  <c r="D25" i="6"/>
  <c r="D22" i="6"/>
  <c r="D21" i="6"/>
  <c r="D19" i="6"/>
  <c r="D18" i="6"/>
  <c r="D16" i="6"/>
  <c r="E16" i="6"/>
  <c r="F16" i="6"/>
  <c r="G16" i="6"/>
  <c r="H16" i="6"/>
  <c r="I16" i="6"/>
  <c r="J16" i="6"/>
  <c r="K16" i="6"/>
  <c r="K14" i="6"/>
  <c r="J14" i="6"/>
  <c r="I14" i="6"/>
  <c r="H14" i="6"/>
  <c r="G14" i="6"/>
  <c r="F14" i="6"/>
  <c r="E14" i="6"/>
  <c r="D14" i="6"/>
  <c r="K12" i="6"/>
  <c r="J12" i="6"/>
  <c r="I12" i="6"/>
  <c r="H12" i="6"/>
  <c r="G12" i="6"/>
  <c r="F12" i="6"/>
  <c r="E12" i="6"/>
  <c r="D12" i="6"/>
  <c r="D9" i="6"/>
  <c r="D8" i="6"/>
  <c r="D6" i="6"/>
  <c r="D5" i="6"/>
  <c r="K65" i="5"/>
  <c r="J65" i="5"/>
  <c r="I65" i="5"/>
  <c r="H65" i="5"/>
  <c r="G65" i="5"/>
  <c r="F65" i="5"/>
  <c r="E65" i="5"/>
  <c r="D65" i="5"/>
  <c r="K59" i="5"/>
  <c r="J59" i="5"/>
  <c r="I59" i="5"/>
  <c r="H59" i="5"/>
  <c r="G59" i="5"/>
  <c r="F59" i="5"/>
  <c r="E59" i="5"/>
  <c r="D59" i="5"/>
  <c r="K53" i="5"/>
  <c r="J53" i="5"/>
  <c r="I53" i="5"/>
  <c r="H53" i="5"/>
  <c r="G53" i="5"/>
  <c r="F53" i="5"/>
  <c r="E53" i="5"/>
  <c r="D53" i="5"/>
  <c r="K47" i="5"/>
  <c r="J47" i="5"/>
  <c r="I47" i="5"/>
  <c r="H47" i="5"/>
  <c r="G47" i="5"/>
  <c r="F47" i="5"/>
  <c r="E47" i="5"/>
  <c r="D47" i="5"/>
  <c r="K34" i="5"/>
  <c r="J34" i="5"/>
  <c r="I34" i="5"/>
  <c r="H34" i="5"/>
  <c r="G34" i="5"/>
  <c r="F34" i="5"/>
  <c r="E34" i="5"/>
  <c r="D34" i="5"/>
  <c r="K28" i="5"/>
  <c r="J28" i="5"/>
  <c r="I28" i="5"/>
  <c r="H28" i="5"/>
  <c r="G28" i="5"/>
  <c r="F28" i="5"/>
  <c r="E28" i="5"/>
  <c r="D28" i="5"/>
  <c r="K22" i="5"/>
  <c r="J22" i="5"/>
  <c r="I22" i="5"/>
  <c r="H22" i="5"/>
  <c r="G22" i="5"/>
  <c r="F22" i="5"/>
  <c r="E22" i="5"/>
  <c r="D22" i="5"/>
  <c r="K16" i="5"/>
  <c r="J16" i="5"/>
  <c r="I16" i="5"/>
  <c r="H16" i="5"/>
  <c r="G16" i="5"/>
  <c r="F16" i="5"/>
  <c r="E16" i="5"/>
  <c r="D16" i="5"/>
  <c r="K41" i="5"/>
  <c r="J41" i="5"/>
  <c r="I41" i="5"/>
  <c r="H41" i="5"/>
  <c r="G41" i="5"/>
  <c r="F41" i="5"/>
  <c r="E41" i="5"/>
  <c r="D41" i="5"/>
  <c r="K10" i="5"/>
  <c r="J10" i="5"/>
  <c r="I10" i="5"/>
  <c r="H10" i="5"/>
  <c r="G10" i="5"/>
  <c r="F10" i="5"/>
  <c r="E10" i="5"/>
  <c r="D10" i="5"/>
  <c r="K64" i="5"/>
  <c r="J64" i="5"/>
  <c r="I64" i="5"/>
  <c r="H64" i="5"/>
  <c r="G64" i="5"/>
  <c r="F64" i="5"/>
  <c r="E64" i="5"/>
  <c r="D64" i="5"/>
  <c r="K58" i="5"/>
  <c r="J58" i="5"/>
  <c r="I58" i="5"/>
  <c r="H58" i="5"/>
  <c r="G58" i="5"/>
  <c r="F58" i="5"/>
  <c r="E58" i="5"/>
  <c r="D58" i="5"/>
  <c r="K52" i="5"/>
  <c r="J52" i="5"/>
  <c r="I52" i="5"/>
  <c r="H52" i="5"/>
  <c r="G52" i="5"/>
  <c r="F52" i="5"/>
  <c r="E52" i="5"/>
  <c r="D52" i="5"/>
  <c r="K46" i="5"/>
  <c r="J46" i="5"/>
  <c r="I46" i="5"/>
  <c r="H46" i="5"/>
  <c r="G46" i="5"/>
  <c r="F46" i="5"/>
  <c r="E46" i="5"/>
  <c r="D46" i="5"/>
  <c r="K40" i="5"/>
  <c r="J40" i="5"/>
  <c r="I40" i="5"/>
  <c r="H40" i="5"/>
  <c r="G40" i="5"/>
  <c r="F40" i="5"/>
  <c r="E40" i="5"/>
  <c r="D40" i="5"/>
  <c r="K33" i="5"/>
  <c r="J33" i="5"/>
  <c r="I33" i="5"/>
  <c r="H33" i="5"/>
  <c r="G33" i="5"/>
  <c r="F33" i="5"/>
  <c r="E33" i="5"/>
  <c r="D33" i="5"/>
  <c r="K27" i="5"/>
  <c r="J27" i="5"/>
  <c r="I27" i="5"/>
  <c r="H27" i="5"/>
  <c r="G27" i="5"/>
  <c r="F27" i="5"/>
  <c r="E27" i="5"/>
  <c r="D27" i="5"/>
  <c r="K21" i="5"/>
  <c r="J21" i="5"/>
  <c r="I21" i="5"/>
  <c r="H21" i="5"/>
  <c r="G21" i="5"/>
  <c r="F21" i="5"/>
  <c r="E21" i="5"/>
  <c r="D21" i="5"/>
  <c r="K15" i="5"/>
  <c r="J15" i="5"/>
  <c r="I15" i="5"/>
  <c r="H15" i="5"/>
  <c r="G15" i="5"/>
  <c r="F15" i="5"/>
  <c r="E15" i="5"/>
  <c r="D15" i="5"/>
  <c r="K9" i="5"/>
  <c r="J9" i="5"/>
  <c r="I9" i="5"/>
  <c r="H9" i="5"/>
  <c r="G9" i="5"/>
  <c r="F9" i="5"/>
  <c r="E9" i="5"/>
  <c r="D9" i="5"/>
  <c r="D63" i="5"/>
  <c r="D57" i="5"/>
  <c r="D51" i="5"/>
  <c r="D45" i="5"/>
  <c r="D39" i="5"/>
  <c r="D32" i="5"/>
  <c r="D26" i="5"/>
  <c r="D20" i="5"/>
  <c r="D14" i="5"/>
  <c r="D8" i="5"/>
  <c r="K62" i="5"/>
  <c r="J62" i="5"/>
  <c r="I62" i="5"/>
  <c r="H62" i="5"/>
  <c r="G62" i="5"/>
  <c r="F62" i="5"/>
  <c r="E62" i="5"/>
  <c r="D62" i="5"/>
  <c r="K56" i="5"/>
  <c r="J56" i="5"/>
  <c r="I56" i="5"/>
  <c r="H56" i="5"/>
  <c r="G56" i="5"/>
  <c r="F56" i="5"/>
  <c r="E56" i="5"/>
  <c r="D56" i="5"/>
  <c r="K50" i="5"/>
  <c r="J50" i="5"/>
  <c r="I50" i="5"/>
  <c r="H50" i="5"/>
  <c r="G50" i="5"/>
  <c r="F50" i="5"/>
  <c r="E50" i="5"/>
  <c r="D50" i="5"/>
  <c r="K44" i="5"/>
  <c r="J44" i="5"/>
  <c r="I44" i="5"/>
  <c r="H44" i="5"/>
  <c r="G44" i="5"/>
  <c r="F44" i="5"/>
  <c r="E44" i="5"/>
  <c r="D44" i="5"/>
  <c r="K31" i="5"/>
  <c r="J31" i="5"/>
  <c r="I31" i="5"/>
  <c r="H31" i="5"/>
  <c r="G31" i="5"/>
  <c r="F31" i="5"/>
  <c r="E31" i="5"/>
  <c r="D31" i="5"/>
  <c r="K25" i="5"/>
  <c r="J25" i="5"/>
  <c r="I25" i="5"/>
  <c r="H25" i="5"/>
  <c r="G25" i="5"/>
  <c r="F25" i="5"/>
  <c r="E25" i="5"/>
  <c r="D25" i="5"/>
  <c r="K19" i="5"/>
  <c r="J19" i="5"/>
  <c r="I19" i="5"/>
  <c r="H19" i="5"/>
  <c r="G19" i="5"/>
  <c r="F19" i="5"/>
  <c r="E19" i="5"/>
  <c r="D19" i="5"/>
  <c r="K13" i="5"/>
  <c r="J13" i="5"/>
  <c r="I13" i="5"/>
  <c r="H13" i="5"/>
  <c r="G13" i="5"/>
  <c r="F13" i="5"/>
  <c r="E13" i="5"/>
  <c r="D13" i="5"/>
  <c r="K38" i="5"/>
  <c r="J38" i="5"/>
  <c r="I38" i="5"/>
  <c r="H38" i="5"/>
  <c r="G38" i="5"/>
  <c r="F38" i="5"/>
  <c r="E38" i="5"/>
  <c r="D38" i="5"/>
  <c r="K7" i="5"/>
  <c r="J7" i="5"/>
  <c r="I7" i="5"/>
  <c r="H7" i="5"/>
  <c r="G7" i="5"/>
  <c r="F7" i="5"/>
  <c r="E7" i="5"/>
  <c r="D7" i="5"/>
  <c r="J39" i="4"/>
  <c r="I39" i="4"/>
  <c r="H39" i="4"/>
  <c r="G39" i="4"/>
  <c r="F39" i="4"/>
  <c r="E39" i="4"/>
  <c r="D39" i="4"/>
  <c r="C39" i="4"/>
  <c r="J32" i="4"/>
  <c r="I32" i="4"/>
  <c r="H32" i="4"/>
  <c r="G32" i="4"/>
  <c r="F32" i="4"/>
  <c r="E32" i="4"/>
  <c r="D32" i="4"/>
  <c r="C32" i="4"/>
  <c r="J25" i="4"/>
  <c r="I25" i="4"/>
  <c r="H25" i="4"/>
  <c r="G25" i="4"/>
  <c r="F25" i="4"/>
  <c r="E25" i="4"/>
  <c r="D25" i="4"/>
  <c r="K25" i="4" s="1"/>
  <c r="C25" i="4"/>
  <c r="J18" i="4"/>
  <c r="I18" i="4"/>
  <c r="H18" i="4"/>
  <c r="G18" i="4"/>
  <c r="F18" i="4"/>
  <c r="E18" i="4"/>
  <c r="D18" i="4"/>
  <c r="C18" i="4"/>
  <c r="J11" i="4"/>
  <c r="I11" i="4"/>
  <c r="H11" i="4"/>
  <c r="G11" i="4"/>
  <c r="F11" i="4"/>
  <c r="E11" i="4"/>
  <c r="D11" i="4"/>
  <c r="C11" i="4"/>
  <c r="J37" i="4"/>
  <c r="I37" i="4"/>
  <c r="H37" i="4"/>
  <c r="G37" i="4"/>
  <c r="F37" i="4"/>
  <c r="E37" i="4"/>
  <c r="D37" i="4"/>
  <c r="J30" i="4"/>
  <c r="I30" i="4"/>
  <c r="H30" i="4"/>
  <c r="G30" i="4"/>
  <c r="F30" i="4"/>
  <c r="E30" i="4"/>
  <c r="D30" i="4"/>
  <c r="J23" i="4"/>
  <c r="I23" i="4"/>
  <c r="H23" i="4"/>
  <c r="H24" i="4" s="1"/>
  <c r="G23" i="4"/>
  <c r="F23" i="4"/>
  <c r="E23" i="4"/>
  <c r="D23" i="4"/>
  <c r="J16" i="4"/>
  <c r="I16" i="4"/>
  <c r="H16" i="4"/>
  <c r="G16" i="4"/>
  <c r="F16" i="4"/>
  <c r="E16" i="4"/>
  <c r="D16" i="4"/>
  <c r="J9" i="4"/>
  <c r="I9" i="4"/>
  <c r="H9" i="4"/>
  <c r="G9" i="4"/>
  <c r="F9" i="4"/>
  <c r="E9" i="4"/>
  <c r="D9" i="4"/>
  <c r="C37" i="4"/>
  <c r="C30" i="4"/>
  <c r="C23" i="4"/>
  <c r="C16" i="4"/>
  <c r="C9" i="4"/>
  <c r="J36" i="4"/>
  <c r="J38" i="4" s="1"/>
  <c r="I36" i="4"/>
  <c r="H36" i="4"/>
  <c r="H38" i="4" s="1"/>
  <c r="G36" i="4"/>
  <c r="F36" i="4"/>
  <c r="E36" i="4"/>
  <c r="D36" i="4"/>
  <c r="C36" i="4"/>
  <c r="J29" i="4"/>
  <c r="I29" i="4"/>
  <c r="H29" i="4"/>
  <c r="G29" i="4"/>
  <c r="F29" i="4"/>
  <c r="E29" i="4"/>
  <c r="D29" i="4"/>
  <c r="C29" i="4"/>
  <c r="J22" i="4"/>
  <c r="I22" i="4"/>
  <c r="H22" i="4"/>
  <c r="G22" i="4"/>
  <c r="F22" i="4"/>
  <c r="E22" i="4"/>
  <c r="D22" i="4"/>
  <c r="C22" i="4"/>
  <c r="J15" i="4"/>
  <c r="I15" i="4"/>
  <c r="H15" i="4"/>
  <c r="G15" i="4"/>
  <c r="F15" i="4"/>
  <c r="F17" i="4" s="1"/>
  <c r="E15" i="4"/>
  <c r="D15" i="4"/>
  <c r="C15" i="4"/>
  <c r="J8" i="4"/>
  <c r="I8" i="4"/>
  <c r="H8" i="4"/>
  <c r="G8" i="4"/>
  <c r="F8" i="4"/>
  <c r="E8" i="4"/>
  <c r="D8" i="4"/>
  <c r="C8" i="4"/>
  <c r="J7" i="4"/>
  <c r="I7" i="4"/>
  <c r="H7" i="4"/>
  <c r="G7" i="4"/>
  <c r="F7" i="4"/>
  <c r="E7" i="4"/>
  <c r="D7" i="4"/>
  <c r="C7" i="4"/>
  <c r="J35" i="4"/>
  <c r="I35" i="4"/>
  <c r="H35" i="4"/>
  <c r="G35" i="4"/>
  <c r="F35" i="4"/>
  <c r="E35" i="4"/>
  <c r="D35" i="4"/>
  <c r="C35" i="4"/>
  <c r="J28" i="4"/>
  <c r="I28" i="4"/>
  <c r="H28" i="4"/>
  <c r="G28" i="4"/>
  <c r="F28" i="4"/>
  <c r="E28" i="4"/>
  <c r="D28" i="4"/>
  <c r="C28" i="4"/>
  <c r="J21" i="4"/>
  <c r="I21" i="4"/>
  <c r="H21" i="4"/>
  <c r="G21" i="4"/>
  <c r="F21" i="4"/>
  <c r="E21" i="4"/>
  <c r="D21" i="4"/>
  <c r="C21" i="4"/>
  <c r="J14" i="4"/>
  <c r="I14" i="4"/>
  <c r="H14" i="4"/>
  <c r="G14" i="4"/>
  <c r="F14" i="4"/>
  <c r="E14" i="4"/>
  <c r="D14" i="4"/>
  <c r="C14" i="4"/>
  <c r="J52" i="3"/>
  <c r="I52" i="3"/>
  <c r="H52" i="3"/>
  <c r="G52" i="3"/>
  <c r="F52" i="3"/>
  <c r="E52" i="3"/>
  <c r="D52" i="3"/>
  <c r="J41" i="3"/>
  <c r="I41" i="3"/>
  <c r="H41" i="3"/>
  <c r="G41" i="3"/>
  <c r="F41" i="3"/>
  <c r="E41" i="3"/>
  <c r="D41" i="3"/>
  <c r="J30" i="3"/>
  <c r="I30" i="3"/>
  <c r="H30" i="3"/>
  <c r="G30" i="3"/>
  <c r="F30" i="3"/>
  <c r="E30" i="3"/>
  <c r="D30" i="3"/>
  <c r="C52" i="3"/>
  <c r="C41" i="3"/>
  <c r="C30" i="3"/>
  <c r="C32" i="3" s="1"/>
  <c r="C19" i="3"/>
  <c r="C8" i="3"/>
  <c r="J50" i="3"/>
  <c r="I50" i="3"/>
  <c r="H50" i="3"/>
  <c r="G50" i="3"/>
  <c r="F50" i="3"/>
  <c r="E50" i="3"/>
  <c r="D50" i="3"/>
  <c r="C50" i="3"/>
  <c r="J39" i="3"/>
  <c r="I39" i="3"/>
  <c r="H39" i="3"/>
  <c r="G39" i="3"/>
  <c r="F39" i="3"/>
  <c r="E39" i="3"/>
  <c r="D39" i="3"/>
  <c r="C39" i="3"/>
  <c r="J28" i="3"/>
  <c r="I28" i="3"/>
  <c r="H28" i="3"/>
  <c r="G28" i="3"/>
  <c r="F28" i="3"/>
  <c r="E28" i="3"/>
  <c r="E29" i="3" s="1"/>
  <c r="D28" i="3"/>
  <c r="C28" i="3"/>
  <c r="J17" i="3"/>
  <c r="I17" i="3"/>
  <c r="H17" i="3"/>
  <c r="G17" i="3"/>
  <c r="F17" i="3"/>
  <c r="E17" i="3"/>
  <c r="D17" i="3"/>
  <c r="C17" i="3"/>
  <c r="J6" i="3"/>
  <c r="I6" i="3"/>
  <c r="H6" i="3"/>
  <c r="G6" i="3"/>
  <c r="F6" i="3"/>
  <c r="E6" i="3"/>
  <c r="D6" i="3"/>
  <c r="C6" i="3"/>
  <c r="J32" i="9"/>
  <c r="J31" i="9"/>
  <c r="J30" i="9"/>
  <c r="J27" i="9"/>
  <c r="J26" i="9"/>
  <c r="J25" i="9"/>
  <c r="J15" i="9"/>
  <c r="J9" i="9"/>
  <c r="J8" i="9"/>
  <c r="C37" i="8"/>
  <c r="C36" i="8"/>
  <c r="C38" i="8" s="1"/>
  <c r="C35" i="8"/>
  <c r="C33" i="8"/>
  <c r="C17" i="8"/>
  <c r="C15" i="8"/>
  <c r="I129" i="6"/>
  <c r="I131" i="6" s="1"/>
  <c r="K125" i="6"/>
  <c r="K129" i="6" s="1"/>
  <c r="K131" i="6" s="1"/>
  <c r="K133" i="6" s="1"/>
  <c r="J125" i="6"/>
  <c r="J129" i="6" s="1"/>
  <c r="J131" i="6" s="1"/>
  <c r="J133" i="6" s="1"/>
  <c r="I125" i="6"/>
  <c r="H125" i="6"/>
  <c r="H129" i="6" s="1"/>
  <c r="H131" i="6" s="1"/>
  <c r="H133" i="6" s="1"/>
  <c r="G125" i="6"/>
  <c r="G129" i="6" s="1"/>
  <c r="G131" i="6" s="1"/>
  <c r="G133" i="6" s="1"/>
  <c r="F125" i="6"/>
  <c r="F129" i="6" s="1"/>
  <c r="F131" i="6" s="1"/>
  <c r="F133" i="6" s="1"/>
  <c r="E125" i="6"/>
  <c r="E129" i="6" s="1"/>
  <c r="E131" i="6" s="1"/>
  <c r="E133" i="6" s="1"/>
  <c r="D125" i="6"/>
  <c r="K120" i="6"/>
  <c r="I120" i="6"/>
  <c r="E118" i="6"/>
  <c r="E120" i="6" s="1"/>
  <c r="K116" i="6"/>
  <c r="K118" i="6" s="1"/>
  <c r="I116" i="6"/>
  <c r="I118" i="6" s="1"/>
  <c r="F116" i="6"/>
  <c r="F118" i="6" s="1"/>
  <c r="F120" i="6" s="1"/>
  <c r="K115" i="6"/>
  <c r="J115" i="6"/>
  <c r="I115" i="6"/>
  <c r="H115" i="6"/>
  <c r="G115" i="6"/>
  <c r="F115" i="6"/>
  <c r="E115" i="6"/>
  <c r="D115" i="6"/>
  <c r="K112" i="6"/>
  <c r="J112" i="6"/>
  <c r="J116" i="6" s="1"/>
  <c r="J118" i="6" s="1"/>
  <c r="J120" i="6" s="1"/>
  <c r="I112" i="6"/>
  <c r="H112" i="6"/>
  <c r="H116" i="6" s="1"/>
  <c r="H118" i="6" s="1"/>
  <c r="H120" i="6" s="1"/>
  <c r="G112" i="6"/>
  <c r="G116" i="6" s="1"/>
  <c r="G118" i="6" s="1"/>
  <c r="G120" i="6" s="1"/>
  <c r="F112" i="6"/>
  <c r="E112" i="6"/>
  <c r="E116" i="6" s="1"/>
  <c r="D112" i="6"/>
  <c r="D116" i="6" s="1"/>
  <c r="D118" i="6" s="1"/>
  <c r="D120" i="6" s="1"/>
  <c r="I105" i="6"/>
  <c r="I107" i="6" s="1"/>
  <c r="I103" i="6"/>
  <c r="E103" i="6"/>
  <c r="E105" i="6" s="1"/>
  <c r="E107" i="6" s="1"/>
  <c r="K102" i="6"/>
  <c r="J102" i="6"/>
  <c r="I102" i="6"/>
  <c r="H102" i="6"/>
  <c r="G102" i="6"/>
  <c r="F102" i="6"/>
  <c r="E102" i="6"/>
  <c r="D102" i="6"/>
  <c r="K99" i="6"/>
  <c r="K103" i="6" s="1"/>
  <c r="K105" i="6" s="1"/>
  <c r="K107" i="6" s="1"/>
  <c r="J99" i="6"/>
  <c r="J103" i="6" s="1"/>
  <c r="J105" i="6" s="1"/>
  <c r="J107" i="6" s="1"/>
  <c r="I99" i="6"/>
  <c r="H99" i="6"/>
  <c r="H103" i="6" s="1"/>
  <c r="H105" i="6" s="1"/>
  <c r="H107" i="6" s="1"/>
  <c r="G99" i="6"/>
  <c r="G103" i="6" s="1"/>
  <c r="G105" i="6" s="1"/>
  <c r="G107" i="6" s="1"/>
  <c r="F99" i="6"/>
  <c r="F103" i="6" s="1"/>
  <c r="F105" i="6" s="1"/>
  <c r="F107" i="6" s="1"/>
  <c r="E99" i="6"/>
  <c r="D103" i="6"/>
  <c r="D105" i="6" s="1"/>
  <c r="D107" i="6" s="1"/>
  <c r="E92" i="6"/>
  <c r="E94" i="6" s="1"/>
  <c r="F90" i="6"/>
  <c r="K89" i="6"/>
  <c r="J89" i="6"/>
  <c r="I89" i="6"/>
  <c r="H89" i="6"/>
  <c r="G89" i="6"/>
  <c r="F89" i="6"/>
  <c r="E89" i="6"/>
  <c r="D89" i="6"/>
  <c r="K86" i="6"/>
  <c r="K90" i="6" s="1"/>
  <c r="K92" i="6" s="1"/>
  <c r="K94" i="6" s="1"/>
  <c r="J86" i="6"/>
  <c r="J90" i="6" s="1"/>
  <c r="J92" i="6" s="1"/>
  <c r="J94" i="6" s="1"/>
  <c r="I86" i="6"/>
  <c r="I90" i="6" s="1"/>
  <c r="I92" i="6" s="1"/>
  <c r="I94" i="6" s="1"/>
  <c r="H86" i="6"/>
  <c r="H90" i="6" s="1"/>
  <c r="H92" i="6" s="1"/>
  <c r="H94" i="6" s="1"/>
  <c r="G86" i="6"/>
  <c r="G90" i="6" s="1"/>
  <c r="G92" i="6" s="1"/>
  <c r="G94" i="6" s="1"/>
  <c r="F86" i="6"/>
  <c r="E86" i="6"/>
  <c r="E90" i="6" s="1"/>
  <c r="D86" i="6"/>
  <c r="K79" i="6"/>
  <c r="K81" i="6" s="1"/>
  <c r="I77" i="6"/>
  <c r="I79" i="6" s="1"/>
  <c r="I81" i="6" s="1"/>
  <c r="K76" i="6"/>
  <c r="J76" i="6"/>
  <c r="I76" i="6"/>
  <c r="H76" i="6"/>
  <c r="G76" i="6"/>
  <c r="F76" i="6"/>
  <c r="E76" i="6"/>
  <c r="D76" i="6"/>
  <c r="K73" i="6"/>
  <c r="K77" i="6" s="1"/>
  <c r="J73" i="6"/>
  <c r="J77" i="6" s="1"/>
  <c r="J79" i="6" s="1"/>
  <c r="J81" i="6" s="1"/>
  <c r="I73" i="6"/>
  <c r="H73" i="6"/>
  <c r="H77" i="6" s="1"/>
  <c r="H79" i="6" s="1"/>
  <c r="H81" i="6" s="1"/>
  <c r="G73" i="6"/>
  <c r="G77" i="6" s="1"/>
  <c r="G79" i="6" s="1"/>
  <c r="G81" i="6" s="1"/>
  <c r="F73" i="6"/>
  <c r="F77" i="6" s="1"/>
  <c r="F79" i="6" s="1"/>
  <c r="F81" i="6" s="1"/>
  <c r="E73" i="6"/>
  <c r="E77" i="6" s="1"/>
  <c r="E79" i="6" s="1"/>
  <c r="E81" i="6" s="1"/>
  <c r="D73" i="6"/>
  <c r="D77" i="6" s="1"/>
  <c r="D79" i="6" s="1"/>
  <c r="D81" i="6" s="1"/>
  <c r="K63" i="6"/>
  <c r="K65" i="6" s="1"/>
  <c r="K67" i="6" s="1"/>
  <c r="I63" i="6"/>
  <c r="I65" i="6" s="1"/>
  <c r="I67" i="6" s="1"/>
  <c r="K59" i="6"/>
  <c r="J59" i="6"/>
  <c r="J63" i="6" s="1"/>
  <c r="J65" i="6" s="1"/>
  <c r="J67" i="6" s="1"/>
  <c r="I59" i="6"/>
  <c r="H59" i="6"/>
  <c r="H63" i="6" s="1"/>
  <c r="H65" i="6" s="1"/>
  <c r="H67" i="6" s="1"/>
  <c r="F40" i="9" s="1"/>
  <c r="F41" i="9" s="1"/>
  <c r="G59" i="6"/>
  <c r="G63" i="6" s="1"/>
  <c r="G65" i="6" s="1"/>
  <c r="G67" i="6" s="1"/>
  <c r="E40" i="9" s="1"/>
  <c r="E41" i="9" s="1"/>
  <c r="F59" i="6"/>
  <c r="F63" i="6" s="1"/>
  <c r="F65" i="6" s="1"/>
  <c r="F67" i="6" s="1"/>
  <c r="E59" i="6"/>
  <c r="E63" i="6" s="1"/>
  <c r="E65" i="6" s="1"/>
  <c r="E67" i="6" s="1"/>
  <c r="D59" i="6"/>
  <c r="D63" i="6" s="1"/>
  <c r="D65" i="6" s="1"/>
  <c r="D67" i="6" s="1"/>
  <c r="I52" i="6"/>
  <c r="I54" i="6" s="1"/>
  <c r="I50" i="6"/>
  <c r="F50" i="6"/>
  <c r="F52" i="6" s="1"/>
  <c r="F54" i="6" s="1"/>
  <c r="E50" i="6"/>
  <c r="E52" i="6" s="1"/>
  <c r="E54" i="6" s="1"/>
  <c r="K49" i="6"/>
  <c r="J49" i="6"/>
  <c r="I49" i="6"/>
  <c r="H49" i="6"/>
  <c r="G49" i="6"/>
  <c r="F49" i="6"/>
  <c r="E49" i="6"/>
  <c r="D49" i="6"/>
  <c r="K46" i="6"/>
  <c r="K50" i="6" s="1"/>
  <c r="K52" i="6" s="1"/>
  <c r="K54" i="6" s="1"/>
  <c r="J46" i="6"/>
  <c r="J50" i="6" s="1"/>
  <c r="J52" i="6" s="1"/>
  <c r="J54" i="6" s="1"/>
  <c r="I46" i="6"/>
  <c r="H46" i="6"/>
  <c r="H50" i="6" s="1"/>
  <c r="H52" i="6" s="1"/>
  <c r="H54" i="6" s="1"/>
  <c r="G46" i="6"/>
  <c r="G50" i="6" s="1"/>
  <c r="F46" i="6"/>
  <c r="E46" i="6"/>
  <c r="D46" i="6"/>
  <c r="E41" i="6"/>
  <c r="E39" i="6"/>
  <c r="I37" i="6"/>
  <c r="I39" i="6" s="1"/>
  <c r="I41" i="6" s="1"/>
  <c r="F37" i="6"/>
  <c r="F39" i="6" s="1"/>
  <c r="F41" i="6" s="1"/>
  <c r="K36" i="6"/>
  <c r="J36" i="6"/>
  <c r="I36" i="6"/>
  <c r="H36" i="6"/>
  <c r="G36" i="6"/>
  <c r="F36" i="6"/>
  <c r="E36" i="6"/>
  <c r="D36" i="6"/>
  <c r="K33" i="6"/>
  <c r="K37" i="6" s="1"/>
  <c r="K39" i="6" s="1"/>
  <c r="K41" i="6" s="1"/>
  <c r="J33" i="6"/>
  <c r="J37" i="6" s="1"/>
  <c r="J39" i="6" s="1"/>
  <c r="J41" i="6" s="1"/>
  <c r="I33" i="6"/>
  <c r="H33" i="6"/>
  <c r="H37" i="6" s="1"/>
  <c r="H39" i="6" s="1"/>
  <c r="H41" i="6" s="1"/>
  <c r="G33" i="6"/>
  <c r="G37" i="6" s="1"/>
  <c r="G39" i="6" s="1"/>
  <c r="F33" i="6"/>
  <c r="E33" i="6"/>
  <c r="E37" i="6" s="1"/>
  <c r="D37" i="6"/>
  <c r="D39" i="6" s="1"/>
  <c r="D41" i="6" s="1"/>
  <c r="K24" i="6"/>
  <c r="K26" i="6" s="1"/>
  <c r="K28" i="6" s="1"/>
  <c r="E24" i="6"/>
  <c r="E26" i="6" s="1"/>
  <c r="E28" i="6" s="1"/>
  <c r="K23" i="6"/>
  <c r="J23" i="6"/>
  <c r="I23" i="6"/>
  <c r="H23" i="6"/>
  <c r="G23" i="6"/>
  <c r="F23" i="6"/>
  <c r="E23" i="6"/>
  <c r="D23" i="6"/>
  <c r="K20" i="6"/>
  <c r="J20" i="6"/>
  <c r="J24" i="6" s="1"/>
  <c r="J26" i="6" s="1"/>
  <c r="J28" i="6" s="1"/>
  <c r="I20" i="6"/>
  <c r="I24" i="6" s="1"/>
  <c r="I26" i="6" s="1"/>
  <c r="I28" i="6" s="1"/>
  <c r="H20" i="6"/>
  <c r="H24" i="6" s="1"/>
  <c r="H26" i="6" s="1"/>
  <c r="H28" i="6" s="1"/>
  <c r="G20" i="6"/>
  <c r="G24" i="6" s="1"/>
  <c r="G26" i="6" s="1"/>
  <c r="G28" i="6" s="1"/>
  <c r="F20" i="6"/>
  <c r="F24" i="6" s="1"/>
  <c r="F26" i="6" s="1"/>
  <c r="F28" i="6" s="1"/>
  <c r="E20" i="6"/>
  <c r="D20" i="6"/>
  <c r="D24" i="6" s="1"/>
  <c r="D26" i="6" s="1"/>
  <c r="D28" i="6" s="1"/>
  <c r="K11" i="6"/>
  <c r="K13" i="6" s="1"/>
  <c r="K15" i="6" s="1"/>
  <c r="I11" i="6"/>
  <c r="I13" i="6" s="1"/>
  <c r="I15" i="6" s="1"/>
  <c r="G11" i="6"/>
  <c r="G13" i="6" s="1"/>
  <c r="G15" i="6" s="1"/>
  <c r="K10" i="6"/>
  <c r="J10" i="6"/>
  <c r="I10" i="6"/>
  <c r="H10" i="6"/>
  <c r="G10" i="6"/>
  <c r="F10" i="6"/>
  <c r="E10" i="6"/>
  <c r="D10" i="6"/>
  <c r="K7" i="6"/>
  <c r="J7" i="6"/>
  <c r="J11" i="6" s="1"/>
  <c r="J13" i="6" s="1"/>
  <c r="J15" i="6" s="1"/>
  <c r="I7" i="6"/>
  <c r="H7" i="6"/>
  <c r="H11" i="6" s="1"/>
  <c r="H13" i="6" s="1"/>
  <c r="H15" i="6" s="1"/>
  <c r="G7" i="6"/>
  <c r="F7" i="6"/>
  <c r="F11" i="6" s="1"/>
  <c r="F13" i="6" s="1"/>
  <c r="F15" i="6" s="1"/>
  <c r="E7" i="6"/>
  <c r="E11" i="6" s="1"/>
  <c r="E13" i="6" s="1"/>
  <c r="E15" i="6" s="1"/>
  <c r="D7" i="6"/>
  <c r="D66" i="5"/>
  <c r="D60" i="5"/>
  <c r="E57" i="5" s="1"/>
  <c r="D54" i="5"/>
  <c r="E51" i="5" s="1"/>
  <c r="D48" i="5"/>
  <c r="E45" i="5" s="1"/>
  <c r="J20" i="3"/>
  <c r="I20" i="3"/>
  <c r="H20" i="3"/>
  <c r="G20" i="3"/>
  <c r="F20" i="3"/>
  <c r="E20" i="3"/>
  <c r="D20" i="3"/>
  <c r="D42" i="5"/>
  <c r="E39" i="5" s="1"/>
  <c r="E42" i="5" s="1"/>
  <c r="D35" i="5"/>
  <c r="D29" i="5"/>
  <c r="D23" i="5"/>
  <c r="E20" i="5" s="1"/>
  <c r="D17" i="5"/>
  <c r="E14" i="5" s="1"/>
  <c r="J9" i="3"/>
  <c r="I9" i="3"/>
  <c r="H9" i="3"/>
  <c r="G9" i="3"/>
  <c r="F9" i="3"/>
  <c r="E9" i="3"/>
  <c r="D9" i="3"/>
  <c r="D11" i="5"/>
  <c r="E8" i="5" s="1"/>
  <c r="K39" i="4"/>
  <c r="D38" i="4"/>
  <c r="C38" i="4"/>
  <c r="K37" i="4"/>
  <c r="I38" i="4"/>
  <c r="G38" i="4"/>
  <c r="F38" i="4"/>
  <c r="E38" i="4"/>
  <c r="K35" i="4"/>
  <c r="K32" i="4"/>
  <c r="I31" i="4"/>
  <c r="H31" i="4"/>
  <c r="C31" i="4"/>
  <c r="K30" i="4"/>
  <c r="J31" i="4"/>
  <c r="G31" i="4"/>
  <c r="F31" i="4"/>
  <c r="E31" i="4"/>
  <c r="D31" i="4"/>
  <c r="K29" i="4"/>
  <c r="K28" i="4"/>
  <c r="F24" i="4"/>
  <c r="E24" i="4"/>
  <c r="K23" i="4"/>
  <c r="J24" i="4"/>
  <c r="I24" i="4"/>
  <c r="G24" i="4"/>
  <c r="D24" i="4"/>
  <c r="C24" i="4"/>
  <c r="K21" i="4"/>
  <c r="K18" i="4"/>
  <c r="J17" i="4"/>
  <c r="G17" i="4"/>
  <c r="C17" i="4"/>
  <c r="K16" i="4"/>
  <c r="I17" i="4"/>
  <c r="H17" i="4"/>
  <c r="E17" i="4"/>
  <c r="D17" i="4"/>
  <c r="K14" i="4"/>
  <c r="K11" i="4"/>
  <c r="H10" i="4"/>
  <c r="G10" i="4"/>
  <c r="K9" i="4"/>
  <c r="J10" i="4"/>
  <c r="I10" i="4"/>
  <c r="F10" i="4"/>
  <c r="E10" i="4"/>
  <c r="D10" i="4"/>
  <c r="C10" i="4"/>
  <c r="K7" i="4"/>
  <c r="C54" i="3"/>
  <c r="K53" i="3"/>
  <c r="J51" i="3"/>
  <c r="I51" i="3"/>
  <c r="H51" i="3"/>
  <c r="G51" i="3"/>
  <c r="F51" i="3"/>
  <c r="E51" i="3"/>
  <c r="D51" i="3"/>
  <c r="C51" i="3"/>
  <c r="C55" i="3" s="1"/>
  <c r="C57" i="3" s="1"/>
  <c r="K49" i="3"/>
  <c r="C43" i="3"/>
  <c r="K42" i="3"/>
  <c r="J40" i="3"/>
  <c r="I40" i="3"/>
  <c r="H40" i="3"/>
  <c r="G40" i="3"/>
  <c r="F40" i="3"/>
  <c r="E40" i="3"/>
  <c r="D40" i="3"/>
  <c r="C40" i="3"/>
  <c r="K38" i="3"/>
  <c r="K31" i="3"/>
  <c r="J29" i="3"/>
  <c r="I29" i="3"/>
  <c r="H29" i="3"/>
  <c r="G29" i="3"/>
  <c r="F29" i="3"/>
  <c r="D29" i="3"/>
  <c r="C29" i="3"/>
  <c r="K27" i="3"/>
  <c r="J18" i="3"/>
  <c r="I18" i="3"/>
  <c r="H18" i="3"/>
  <c r="G18" i="3"/>
  <c r="F18" i="3"/>
  <c r="E18" i="3"/>
  <c r="D18" i="3"/>
  <c r="C18" i="3"/>
  <c r="K16" i="3"/>
  <c r="J7" i="3"/>
  <c r="I7" i="3"/>
  <c r="H7" i="3"/>
  <c r="G7" i="3"/>
  <c r="F7" i="3"/>
  <c r="E7" i="3"/>
  <c r="D7" i="3"/>
  <c r="C7" i="3"/>
  <c r="K5" i="3"/>
  <c r="K134" i="6" l="1"/>
  <c r="I40" i="9"/>
  <c r="I41" i="9" s="1"/>
  <c r="I18" i="9"/>
  <c r="I20" i="9" s="1"/>
  <c r="I21" i="9" s="1"/>
  <c r="I36" i="9" s="1"/>
  <c r="I39" i="9" s="1"/>
  <c r="K68" i="6"/>
  <c r="H40" i="9"/>
  <c r="H41" i="9" s="1"/>
  <c r="H18" i="9"/>
  <c r="H20" i="9" s="1"/>
  <c r="H21" i="9" s="1"/>
  <c r="H36" i="9" s="1"/>
  <c r="H39" i="9" s="1"/>
  <c r="I133" i="6"/>
  <c r="I134" i="6"/>
  <c r="G40" i="9"/>
  <c r="G41" i="9" s="1"/>
  <c r="G18" i="9"/>
  <c r="G20" i="9" s="1"/>
  <c r="G21" i="9" s="1"/>
  <c r="G36" i="9" s="1"/>
  <c r="G39" i="9" s="1"/>
  <c r="I68" i="6"/>
  <c r="F18" i="9"/>
  <c r="F20" i="9" s="1"/>
  <c r="F21" i="9" s="1"/>
  <c r="F36" i="9" s="1"/>
  <c r="F39" i="9" s="1"/>
  <c r="G134" i="6"/>
  <c r="E18" i="9"/>
  <c r="E20" i="9" s="1"/>
  <c r="E21" i="9" s="1"/>
  <c r="E36" i="9" s="1"/>
  <c r="E39" i="9" s="1"/>
  <c r="G68" i="6"/>
  <c r="D40" i="9"/>
  <c r="D41" i="9" s="1"/>
  <c r="F134" i="6"/>
  <c r="D18" i="9"/>
  <c r="D20" i="9" s="1"/>
  <c r="D21" i="9" s="1"/>
  <c r="D36" i="9" s="1"/>
  <c r="D39" i="9" s="1"/>
  <c r="E134" i="6"/>
  <c r="C40" i="9"/>
  <c r="C41" i="9" s="1"/>
  <c r="C18" i="9"/>
  <c r="C20" i="9" s="1"/>
  <c r="C21" i="9" s="1"/>
  <c r="C36" i="9" s="1"/>
  <c r="C39" i="9" s="1"/>
  <c r="E68" i="6"/>
  <c r="D68" i="6"/>
  <c r="J38" i="9"/>
  <c r="J37" i="9"/>
  <c r="E194" i="7"/>
  <c r="E195" i="7" s="1"/>
  <c r="E196" i="7" s="1"/>
  <c r="E197" i="7" s="1"/>
  <c r="J17" i="9"/>
  <c r="J10" i="9"/>
  <c r="J7" i="9"/>
  <c r="J5" i="9"/>
  <c r="D129" i="6"/>
  <c r="D131" i="6" s="1"/>
  <c r="F92" i="6"/>
  <c r="F94" i="6" s="1"/>
  <c r="D90" i="6"/>
  <c r="D92" i="6" s="1"/>
  <c r="D94" i="6" s="1"/>
  <c r="G52" i="6"/>
  <c r="G54" i="6" s="1"/>
  <c r="D50" i="6"/>
  <c r="D52" i="6" s="1"/>
  <c r="D54" i="6" s="1"/>
  <c r="G41" i="6"/>
  <c r="D11" i="6"/>
  <c r="D13" i="6" s="1"/>
  <c r="D15" i="6" s="1"/>
  <c r="E63" i="5"/>
  <c r="E66" i="5" s="1"/>
  <c r="E60" i="5"/>
  <c r="E54" i="5"/>
  <c r="E48" i="5"/>
  <c r="F39" i="5"/>
  <c r="F42" i="5" s="1"/>
  <c r="G39" i="5" s="1"/>
  <c r="G42" i="5" s="1"/>
  <c r="E32" i="5"/>
  <c r="E35" i="5" s="1"/>
  <c r="E26" i="5"/>
  <c r="E29" i="5" s="1"/>
  <c r="E17" i="5"/>
  <c r="C20" i="3"/>
  <c r="E11" i="5"/>
  <c r="C9" i="3"/>
  <c r="K10" i="4"/>
  <c r="C33" i="3"/>
  <c r="C35" i="3" s="1"/>
  <c r="C44" i="3"/>
  <c r="C46" i="3" s="1"/>
  <c r="C45" i="3"/>
  <c r="D43" i="3" s="1"/>
  <c r="K22" i="4"/>
  <c r="K31" i="4"/>
  <c r="K17" i="4"/>
  <c r="K18" i="3"/>
  <c r="K40" i="3"/>
  <c r="E23" i="5"/>
  <c r="K38" i="4"/>
  <c r="K24" i="4"/>
  <c r="K8" i="4"/>
  <c r="K7" i="3"/>
  <c r="C19" i="8"/>
  <c r="C18" i="8"/>
  <c r="C20" i="8" s="1"/>
  <c r="K29" i="3"/>
  <c r="C56" i="3"/>
  <c r="K36" i="4"/>
  <c r="K15" i="4"/>
  <c r="K51" i="3"/>
  <c r="D133" i="6" l="1"/>
  <c r="D134" i="6"/>
  <c r="B4" i="10"/>
  <c r="B11" i="10" s="1"/>
  <c r="E207" i="7"/>
  <c r="E208" i="7" s="1"/>
  <c r="E209" i="7" s="1"/>
  <c r="E210" i="7" s="1"/>
  <c r="E181" i="7"/>
  <c r="E182" i="7" s="1"/>
  <c r="E183" i="7" s="1"/>
  <c r="E184" i="7" s="1"/>
  <c r="E168" i="7"/>
  <c r="E169" i="7" s="1"/>
  <c r="E170" i="7" s="1"/>
  <c r="E171" i="7" s="1"/>
  <c r="E155" i="7"/>
  <c r="E156" i="7" s="1"/>
  <c r="E157" i="7" s="1"/>
  <c r="E158" i="7" s="1"/>
  <c r="E142" i="7"/>
  <c r="E143" i="7" s="1"/>
  <c r="E144" i="7" s="1"/>
  <c r="E145" i="7" s="1"/>
  <c r="E129" i="7"/>
  <c r="E130" i="7" s="1"/>
  <c r="E131" i="7" s="1"/>
  <c r="E132" i="7" s="1"/>
  <c r="E116" i="7"/>
  <c r="E117" i="7" s="1"/>
  <c r="E118" i="7" s="1"/>
  <c r="E119" i="7" s="1"/>
  <c r="E87" i="7"/>
  <c r="E88" i="7" s="1"/>
  <c r="E89" i="7" s="1"/>
  <c r="E90" i="7" s="1"/>
  <c r="E74" i="7"/>
  <c r="E75" i="7" s="1"/>
  <c r="E76" i="7" s="1"/>
  <c r="E77" i="7" s="1"/>
  <c r="E48" i="7"/>
  <c r="E49" i="7" s="1"/>
  <c r="E50" i="7" s="1"/>
  <c r="E51" i="7" s="1"/>
  <c r="E22" i="7"/>
  <c r="E23" i="7" s="1"/>
  <c r="E24" i="7" s="1"/>
  <c r="E25" i="7" s="1"/>
  <c r="E9" i="7"/>
  <c r="E10" i="7" s="1"/>
  <c r="E11" i="7" s="1"/>
  <c r="E12" i="7" s="1"/>
  <c r="J12" i="9"/>
  <c r="J11" i="9"/>
  <c r="F63" i="5"/>
  <c r="F66" i="5" s="1"/>
  <c r="F57" i="5"/>
  <c r="F60" i="5" s="1"/>
  <c r="F51" i="5"/>
  <c r="F54" i="5" s="1"/>
  <c r="F45" i="5"/>
  <c r="F48" i="5" s="1"/>
  <c r="G45" i="5" s="1"/>
  <c r="G48" i="5" s="1"/>
  <c r="H45" i="5" s="1"/>
  <c r="H48" i="5" s="1"/>
  <c r="H39" i="5"/>
  <c r="H42" i="5" s="1"/>
  <c r="F32" i="5"/>
  <c r="F35" i="5" s="1"/>
  <c r="G32" i="5" s="1"/>
  <c r="G35" i="5" s="1"/>
  <c r="F26" i="5"/>
  <c r="F29" i="5" s="1"/>
  <c r="G26" i="5" s="1"/>
  <c r="G29" i="5" s="1"/>
  <c r="F20" i="5"/>
  <c r="F23" i="5" s="1"/>
  <c r="F14" i="5"/>
  <c r="F17" i="5" s="1"/>
  <c r="F8" i="5"/>
  <c r="F11" i="5" s="1"/>
  <c r="C21" i="3"/>
  <c r="C22" i="3" s="1"/>
  <c r="K20" i="3"/>
  <c r="K9" i="3"/>
  <c r="C10" i="3"/>
  <c r="C34" i="3"/>
  <c r="D44" i="3"/>
  <c r="D46" i="3" s="1"/>
  <c r="D54" i="3"/>
  <c r="D32" i="3"/>
  <c r="B40" i="9" l="1"/>
  <c r="B18" i="9"/>
  <c r="F129" i="7"/>
  <c r="F130" i="7" s="1"/>
  <c r="F131" i="7" s="1"/>
  <c r="F132" i="7" s="1"/>
  <c r="F116" i="7"/>
  <c r="F117" i="7" s="1"/>
  <c r="F118" i="7" s="1"/>
  <c r="F119" i="7" s="1"/>
  <c r="E100" i="7"/>
  <c r="E101" i="7" s="1"/>
  <c r="E102" i="7" s="1"/>
  <c r="E61" i="7"/>
  <c r="E35" i="7"/>
  <c r="F22" i="7"/>
  <c r="F23" i="7" s="1"/>
  <c r="F24" i="7" s="1"/>
  <c r="F25" i="7" s="1"/>
  <c r="F9" i="7"/>
  <c r="F10" i="7" s="1"/>
  <c r="F11" i="7" s="1"/>
  <c r="F12" i="7" s="1"/>
  <c r="J35" i="9"/>
  <c r="G63" i="5"/>
  <c r="G66" i="5" s="1"/>
  <c r="H63" i="5" s="1"/>
  <c r="H66" i="5" s="1"/>
  <c r="G57" i="5"/>
  <c r="G60" i="5" s="1"/>
  <c r="H57" i="5" s="1"/>
  <c r="H60" i="5" s="1"/>
  <c r="G51" i="5"/>
  <c r="G54" i="5" s="1"/>
  <c r="H51" i="5" s="1"/>
  <c r="H54" i="5" s="1"/>
  <c r="I45" i="5"/>
  <c r="I48" i="5" s="1"/>
  <c r="I39" i="5"/>
  <c r="I42" i="5" s="1"/>
  <c r="H32" i="5"/>
  <c r="H35" i="5" s="1"/>
  <c r="H26" i="5"/>
  <c r="H29" i="5" s="1"/>
  <c r="G20" i="5"/>
  <c r="G23" i="5" s="1"/>
  <c r="G14" i="5"/>
  <c r="G17" i="5" s="1"/>
  <c r="G8" i="5"/>
  <c r="G11" i="5" s="1"/>
  <c r="C24" i="3"/>
  <c r="D19" i="3" s="1"/>
  <c r="D21" i="3" s="1"/>
  <c r="D22" i="3" s="1"/>
  <c r="C23" i="3"/>
  <c r="C11" i="3"/>
  <c r="C12" i="3" s="1"/>
  <c r="D55" i="3"/>
  <c r="D33" i="3"/>
  <c r="D45" i="3"/>
  <c r="B20" i="9" l="1"/>
  <c r="J18" i="9"/>
  <c r="J40" i="9"/>
  <c r="B41" i="9"/>
  <c r="J41" i="9" s="1"/>
  <c r="F207" i="7"/>
  <c r="F208" i="7" s="1"/>
  <c r="F209" i="7" s="1"/>
  <c r="F210" i="7" s="1"/>
  <c r="F194" i="7"/>
  <c r="F195" i="7" s="1"/>
  <c r="F196" i="7" s="1"/>
  <c r="F197" i="7" s="1"/>
  <c r="F168" i="7"/>
  <c r="F169" i="7" s="1"/>
  <c r="F170" i="7" s="1"/>
  <c r="F171" i="7" s="1"/>
  <c r="F155" i="7"/>
  <c r="F156" i="7" s="1"/>
  <c r="F157" i="7" s="1"/>
  <c r="F158" i="7" s="1"/>
  <c r="F142" i="7"/>
  <c r="F143" i="7" s="1"/>
  <c r="F144" i="7" s="1"/>
  <c r="F145" i="7" s="1"/>
  <c r="E103" i="7"/>
  <c r="F100" i="7"/>
  <c r="F101" i="7" s="1"/>
  <c r="F102" i="7" s="1"/>
  <c r="F103" i="7" s="1"/>
  <c r="F87" i="7"/>
  <c r="F88" i="7" s="1"/>
  <c r="F89" i="7" s="1"/>
  <c r="F90" i="7" s="1"/>
  <c r="F74" i="7"/>
  <c r="F75" i="7" s="1"/>
  <c r="F76" i="7" s="1"/>
  <c r="F77" i="7" s="1"/>
  <c r="E62" i="7"/>
  <c r="E36" i="7"/>
  <c r="I63" i="5"/>
  <c r="I66" i="5" s="1"/>
  <c r="I57" i="5"/>
  <c r="I60" i="5" s="1"/>
  <c r="I51" i="5"/>
  <c r="I54" i="5" s="1"/>
  <c r="J45" i="5"/>
  <c r="J48" i="5" s="1"/>
  <c r="J39" i="5"/>
  <c r="J42" i="5" s="1"/>
  <c r="I32" i="5"/>
  <c r="I35" i="5" s="1"/>
  <c r="I26" i="5"/>
  <c r="I29" i="5" s="1"/>
  <c r="H20" i="5"/>
  <c r="H23" i="5" s="1"/>
  <c r="H14" i="5"/>
  <c r="H17" i="5" s="1"/>
  <c r="H8" i="5"/>
  <c r="H11" i="5" s="1"/>
  <c r="C13" i="3"/>
  <c r="D8" i="3" s="1"/>
  <c r="D10" i="3" s="1"/>
  <c r="D11" i="3" s="1"/>
  <c r="D12" i="3" s="1"/>
  <c r="D56" i="3"/>
  <c r="D23" i="3"/>
  <c r="D34" i="3"/>
  <c r="E43" i="3"/>
  <c r="D24" i="3"/>
  <c r="E19" i="3" s="1"/>
  <c r="D35" i="3"/>
  <c r="D57" i="3"/>
  <c r="B21" i="9" l="1"/>
  <c r="J20" i="9"/>
  <c r="F181" i="7"/>
  <c r="F182" i="7" s="1"/>
  <c r="E63" i="7"/>
  <c r="E64" i="7" s="1"/>
  <c r="F48" i="7"/>
  <c r="F49" i="7" s="1"/>
  <c r="E37" i="7"/>
  <c r="E38" i="7" s="1"/>
  <c r="J63" i="5"/>
  <c r="J66" i="5" s="1"/>
  <c r="J57" i="5"/>
  <c r="J60" i="5" s="1"/>
  <c r="J51" i="5"/>
  <c r="J54" i="5" s="1"/>
  <c r="K45" i="5"/>
  <c r="K48" i="5" s="1"/>
  <c r="K39" i="5"/>
  <c r="K42" i="5" s="1"/>
  <c r="J32" i="5"/>
  <c r="J35" i="5" s="1"/>
  <c r="J26" i="5"/>
  <c r="J29" i="5" s="1"/>
  <c r="I20" i="5"/>
  <c r="I23" i="5" s="1"/>
  <c r="I14" i="5"/>
  <c r="I17" i="5" s="1"/>
  <c r="I8" i="5"/>
  <c r="I11" i="5" s="1"/>
  <c r="D13" i="3"/>
  <c r="E8" i="3" s="1"/>
  <c r="E10" i="3" s="1"/>
  <c r="E11" i="3" s="1"/>
  <c r="E54" i="3"/>
  <c r="E44" i="3"/>
  <c r="E21" i="3"/>
  <c r="E32" i="3"/>
  <c r="B36" i="9" l="1"/>
  <c r="J21" i="9"/>
  <c r="G207" i="7"/>
  <c r="G208" i="7" s="1"/>
  <c r="G209" i="7" s="1"/>
  <c r="G210" i="7" s="1"/>
  <c r="F183" i="7"/>
  <c r="F184" i="7" s="1"/>
  <c r="G168" i="7"/>
  <c r="G169" i="7" s="1"/>
  <c r="G170" i="7" s="1"/>
  <c r="G171" i="7" s="1"/>
  <c r="G142" i="7"/>
  <c r="G143" i="7" s="1"/>
  <c r="G144" i="7" s="1"/>
  <c r="G145" i="7" s="1"/>
  <c r="G87" i="7"/>
  <c r="G88" i="7" s="1"/>
  <c r="G89" i="7" s="1"/>
  <c r="G90" i="7" s="1"/>
  <c r="G74" i="7"/>
  <c r="G75" i="7" s="1"/>
  <c r="G76" i="7" s="1"/>
  <c r="G77" i="7" s="1"/>
  <c r="F50" i="7"/>
  <c r="F51" i="7" s="1"/>
  <c r="K63" i="5"/>
  <c r="K66" i="5" s="1"/>
  <c r="K57" i="5"/>
  <c r="K60" i="5" s="1"/>
  <c r="K51" i="5"/>
  <c r="K54" i="5" s="1"/>
  <c r="K32" i="5"/>
  <c r="K35" i="5" s="1"/>
  <c r="K26" i="5"/>
  <c r="K29" i="5" s="1"/>
  <c r="J20" i="5"/>
  <c r="J23" i="5" s="1"/>
  <c r="J14" i="5"/>
  <c r="J17" i="5" s="1"/>
  <c r="J8" i="5"/>
  <c r="J11" i="5" s="1"/>
  <c r="E22" i="3"/>
  <c r="E24" i="3" s="1"/>
  <c r="F19" i="3" s="1"/>
  <c r="E12" i="3"/>
  <c r="E55" i="3"/>
  <c r="E33" i="3"/>
  <c r="E45" i="3"/>
  <c r="E46" i="3"/>
  <c r="E13" i="3"/>
  <c r="F8" i="3" s="1"/>
  <c r="B39" i="9" l="1"/>
  <c r="J39" i="9" s="1"/>
  <c r="J36" i="9"/>
  <c r="G194" i="7"/>
  <c r="G195" i="7" s="1"/>
  <c r="G196" i="7" s="1"/>
  <c r="G197" i="7" s="1"/>
  <c r="G155" i="7"/>
  <c r="G156" i="7" s="1"/>
  <c r="G157" i="7" s="1"/>
  <c r="G158" i="7" s="1"/>
  <c r="G129" i="7"/>
  <c r="G130" i="7" s="1"/>
  <c r="G131" i="7" s="1"/>
  <c r="G132" i="7" s="1"/>
  <c r="G116" i="7"/>
  <c r="G117" i="7" s="1"/>
  <c r="G118" i="7" s="1"/>
  <c r="G119" i="7" s="1"/>
  <c r="F61" i="7"/>
  <c r="F62" i="7" s="1"/>
  <c r="F63" i="7" s="1"/>
  <c r="F64" i="7" s="1"/>
  <c r="G48" i="7"/>
  <c r="G49" i="7" s="1"/>
  <c r="G50" i="7" s="1"/>
  <c r="F35" i="7"/>
  <c r="G22" i="7"/>
  <c r="G23" i="7" s="1"/>
  <c r="G24" i="7" s="1"/>
  <c r="G25" i="7" s="1"/>
  <c r="G9" i="7"/>
  <c r="G10" i="7" s="1"/>
  <c r="G11" i="7" s="1"/>
  <c r="G12" i="7" s="1"/>
  <c r="K20" i="5"/>
  <c r="K23" i="5" s="1"/>
  <c r="K14" i="5"/>
  <c r="K17" i="5" s="1"/>
  <c r="K8" i="5"/>
  <c r="K11" i="5" s="1"/>
  <c r="E34" i="3"/>
  <c r="F43" i="3"/>
  <c r="E35" i="3"/>
  <c r="F10" i="3"/>
  <c r="E23" i="3"/>
  <c r="E56" i="3"/>
  <c r="E57" i="3"/>
  <c r="H207" i="7" l="1"/>
  <c r="H208" i="7" s="1"/>
  <c r="H209" i="7" s="1"/>
  <c r="H210" i="7" s="1"/>
  <c r="G181" i="7"/>
  <c r="G182" i="7" s="1"/>
  <c r="G183" i="7" s="1"/>
  <c r="G184" i="7" s="1"/>
  <c r="G100" i="7"/>
  <c r="G101" i="7" s="1"/>
  <c r="G102" i="7" s="1"/>
  <c r="G51" i="7"/>
  <c r="F36" i="7"/>
  <c r="F37" i="7" s="1"/>
  <c r="F11" i="3"/>
  <c r="F54" i="3"/>
  <c r="F44" i="3"/>
  <c r="F46" i="3" s="1"/>
  <c r="F21" i="3"/>
  <c r="F32" i="3"/>
  <c r="H181" i="7" l="1"/>
  <c r="H182" i="7" s="1"/>
  <c r="H183" i="7" s="1"/>
  <c r="H168" i="7"/>
  <c r="H142" i="7"/>
  <c r="H143" i="7" s="1"/>
  <c r="H144" i="7" s="1"/>
  <c r="H145" i="7" s="1"/>
  <c r="G103" i="7"/>
  <c r="G61" i="7"/>
  <c r="H48" i="7"/>
  <c r="F38" i="7"/>
  <c r="F33" i="3"/>
  <c r="F12" i="3"/>
  <c r="F55" i="3"/>
  <c r="F57" i="3" s="1"/>
  <c r="F22" i="3"/>
  <c r="F45" i="3"/>
  <c r="F13" i="3"/>
  <c r="G8" i="3" s="1"/>
  <c r="H194" i="7" l="1"/>
  <c r="H195" i="7" s="1"/>
  <c r="H196" i="7" s="1"/>
  <c r="H197" i="7" s="1"/>
  <c r="H184" i="7"/>
  <c r="H169" i="7"/>
  <c r="H155" i="7"/>
  <c r="H156" i="7" s="1"/>
  <c r="H157" i="7" s="1"/>
  <c r="H158" i="7" s="1"/>
  <c r="H100" i="7"/>
  <c r="H101" i="7" s="1"/>
  <c r="H102" i="7" s="1"/>
  <c r="H103" i="7" s="1"/>
  <c r="H87" i="7"/>
  <c r="H74" i="7"/>
  <c r="H75" i="7" s="1"/>
  <c r="H76" i="7" s="1"/>
  <c r="G62" i="7"/>
  <c r="G63" i="7" s="1"/>
  <c r="H49" i="7"/>
  <c r="G35" i="7"/>
  <c r="G36" i="7" s="1"/>
  <c r="G37" i="7" s="1"/>
  <c r="G38" i="7" s="1"/>
  <c r="G43" i="3"/>
  <c r="F56" i="3"/>
  <c r="F23" i="3"/>
  <c r="G10" i="3"/>
  <c r="F34" i="3"/>
  <c r="F24" i="3"/>
  <c r="G19" i="3" s="1"/>
  <c r="F35" i="3"/>
  <c r="I181" i="7" l="1"/>
  <c r="I182" i="7" s="1"/>
  <c r="H170" i="7"/>
  <c r="H171" i="7" s="1"/>
  <c r="H129" i="7"/>
  <c r="H130" i="7" s="1"/>
  <c r="H131" i="7" s="1"/>
  <c r="H132" i="7" s="1"/>
  <c r="H116" i="7"/>
  <c r="H117" i="7" s="1"/>
  <c r="H118" i="7" s="1"/>
  <c r="H119" i="7" s="1"/>
  <c r="I100" i="7"/>
  <c r="I101" i="7" s="1"/>
  <c r="I102" i="7" s="1"/>
  <c r="I103" i="7" s="1"/>
  <c r="H88" i="7"/>
  <c r="H77" i="7"/>
  <c r="G64" i="7"/>
  <c r="H50" i="7"/>
  <c r="H51" i="7" s="1"/>
  <c r="H22" i="7"/>
  <c r="H23" i="7" s="1"/>
  <c r="H24" i="7" s="1"/>
  <c r="H25" i="7" s="1"/>
  <c r="H9" i="7"/>
  <c r="H10" i="7" s="1"/>
  <c r="H11" i="7" s="1"/>
  <c r="H12" i="7" s="1"/>
  <c r="G32" i="3"/>
  <c r="G11" i="3"/>
  <c r="G21" i="3"/>
  <c r="G54" i="3"/>
  <c r="G44" i="3"/>
  <c r="I207" i="7" l="1"/>
  <c r="I208" i="7" s="1"/>
  <c r="I194" i="7"/>
  <c r="I195" i="7" s="1"/>
  <c r="I196" i="7" s="1"/>
  <c r="I197" i="7" s="1"/>
  <c r="I183" i="7"/>
  <c r="I184" i="7" s="1"/>
  <c r="I168" i="7"/>
  <c r="I169" i="7" s="1"/>
  <c r="I142" i="7"/>
  <c r="I143" i="7" s="1"/>
  <c r="I144" i="7" s="1"/>
  <c r="I145" i="7" s="1"/>
  <c r="H89" i="7"/>
  <c r="H90" i="7" s="1"/>
  <c r="I74" i="7"/>
  <c r="H61" i="7"/>
  <c r="H62" i="7"/>
  <c r="H63" i="7" s="1"/>
  <c r="I48" i="7"/>
  <c r="I49" i="7" s="1"/>
  <c r="H35" i="7"/>
  <c r="G22" i="3"/>
  <c r="G12" i="3"/>
  <c r="G55" i="3"/>
  <c r="G56" i="3" s="1"/>
  <c r="G57" i="3"/>
  <c r="G45" i="3"/>
  <c r="H43" i="3" s="1"/>
  <c r="G46" i="3"/>
  <c r="G13" i="3"/>
  <c r="H8" i="3" s="1"/>
  <c r="G33" i="3"/>
  <c r="G34" i="3" s="1"/>
  <c r="I209" i="7" l="1"/>
  <c r="I210" i="7" s="1"/>
  <c r="I170" i="7"/>
  <c r="I171" i="7" s="1"/>
  <c r="I75" i="7"/>
  <c r="H64" i="7"/>
  <c r="I61" i="7"/>
  <c r="I50" i="7"/>
  <c r="I51" i="7" s="1"/>
  <c r="H36" i="7"/>
  <c r="G35" i="3"/>
  <c r="H32" i="3"/>
  <c r="G23" i="3"/>
  <c r="H44" i="3"/>
  <c r="H45" i="3" s="1"/>
  <c r="I43" i="3" s="1"/>
  <c r="H54" i="3"/>
  <c r="H10" i="3"/>
  <c r="G24" i="3"/>
  <c r="H19" i="3" s="1"/>
  <c r="J207" i="7" l="1"/>
  <c r="J208" i="7" s="1"/>
  <c r="J209" i="7" s="1"/>
  <c r="J194" i="7"/>
  <c r="J195" i="7" s="1"/>
  <c r="J196" i="7" s="1"/>
  <c r="J197" i="7" s="1"/>
  <c r="J181" i="7"/>
  <c r="J182" i="7" s="1"/>
  <c r="J183" i="7"/>
  <c r="J184" i="7" s="1"/>
  <c r="I155" i="7"/>
  <c r="J142" i="7"/>
  <c r="J143" i="7" s="1"/>
  <c r="J144" i="7" s="1"/>
  <c r="J145" i="7" s="1"/>
  <c r="J100" i="7"/>
  <c r="J101" i="7" s="1"/>
  <c r="J102" i="7" s="1"/>
  <c r="J103" i="7" s="1"/>
  <c r="I87" i="7"/>
  <c r="I88" i="7" s="1"/>
  <c r="I89" i="7" s="1"/>
  <c r="I76" i="7"/>
  <c r="I77" i="7" s="1"/>
  <c r="I62" i="7"/>
  <c r="I63" i="7" s="1"/>
  <c r="H37" i="7"/>
  <c r="H38" i="7" s="1"/>
  <c r="H46" i="3"/>
  <c r="H11" i="3"/>
  <c r="H12" i="3" s="1"/>
  <c r="H33" i="3"/>
  <c r="H34" i="3" s="1"/>
  <c r="I32" i="3" s="1"/>
  <c r="H21" i="3"/>
  <c r="H55" i="3"/>
  <c r="H56" i="3" s="1"/>
  <c r="I54" i="3" s="1"/>
  <c r="I44" i="3"/>
  <c r="I45" i="3" s="1"/>
  <c r="J43" i="3" s="1"/>
  <c r="J210" i="7" l="1"/>
  <c r="J168" i="7"/>
  <c r="J169" i="7" s="1"/>
  <c r="I156" i="7"/>
  <c r="I129" i="7"/>
  <c r="I130" i="7" s="1"/>
  <c r="I131" i="7" s="1"/>
  <c r="I132" i="7" s="1"/>
  <c r="I116" i="7"/>
  <c r="I117" i="7" s="1"/>
  <c r="I118" i="7" s="1"/>
  <c r="I119" i="7" s="1"/>
  <c r="I90" i="7"/>
  <c r="J87" i="7" s="1"/>
  <c r="J88" i="7" s="1"/>
  <c r="J89" i="7" s="1"/>
  <c r="J90" i="7" s="1"/>
  <c r="I64" i="7"/>
  <c r="J48" i="7"/>
  <c r="J49" i="7" s="1"/>
  <c r="J50" i="7" s="1"/>
  <c r="I22" i="7"/>
  <c r="I23" i="7" s="1"/>
  <c r="I24" i="7" s="1"/>
  <c r="I25" i="7" s="1"/>
  <c r="I9" i="7"/>
  <c r="I10" i="7" s="1"/>
  <c r="I11" i="7" s="1"/>
  <c r="I12" i="7" s="1"/>
  <c r="H13" i="3"/>
  <c r="I8" i="3" s="1"/>
  <c r="I10" i="3" s="1"/>
  <c r="I11" i="3" s="1"/>
  <c r="I12" i="3" s="1"/>
  <c r="I33" i="3"/>
  <c r="I34" i="3" s="1"/>
  <c r="J32" i="3" s="1"/>
  <c r="H22" i="3"/>
  <c r="H35" i="3"/>
  <c r="I55" i="3"/>
  <c r="I56" i="3" s="1"/>
  <c r="J54" i="3" s="1"/>
  <c r="J44" i="3"/>
  <c r="J46" i="3" s="1"/>
  <c r="I46" i="3"/>
  <c r="H57" i="3"/>
  <c r="K207" i="7" l="1"/>
  <c r="K208" i="7" s="1"/>
  <c r="K181" i="7"/>
  <c r="K182" i="7" s="1"/>
  <c r="J170" i="7"/>
  <c r="J171" i="7" s="1"/>
  <c r="I157" i="7"/>
  <c r="I158" i="7" s="1"/>
  <c r="J74" i="7"/>
  <c r="J75" i="7" s="1"/>
  <c r="J76" i="7" s="1"/>
  <c r="J51" i="7"/>
  <c r="I35" i="7"/>
  <c r="H23" i="3"/>
  <c r="H24" i="3"/>
  <c r="I19" i="3" s="1"/>
  <c r="I13" i="3"/>
  <c r="J8" i="3" s="1"/>
  <c r="J10" i="3" s="1"/>
  <c r="J11" i="3" s="1"/>
  <c r="J13" i="3" s="1"/>
  <c r="J55" i="3"/>
  <c r="I57" i="3"/>
  <c r="J33" i="3"/>
  <c r="J45" i="3"/>
  <c r="K45" i="3" s="1"/>
  <c r="K44" i="3"/>
  <c r="I35" i="3"/>
  <c r="K209" i="7" l="1"/>
  <c r="K210" i="7" s="1"/>
  <c r="K194" i="7"/>
  <c r="K195" i="7" s="1"/>
  <c r="K196" i="7" s="1"/>
  <c r="K197" i="7" s="1"/>
  <c r="K183" i="7"/>
  <c r="K142" i="7"/>
  <c r="K143" i="7" s="1"/>
  <c r="K144" i="7" s="1"/>
  <c r="K145" i="7" s="1"/>
  <c r="K100" i="7"/>
  <c r="K101" i="7" s="1"/>
  <c r="K102" i="7" s="1"/>
  <c r="K103" i="7" s="1"/>
  <c r="J77" i="7"/>
  <c r="K74" i="7" s="1"/>
  <c r="K75" i="7" s="1"/>
  <c r="K76" i="7" s="1"/>
  <c r="K77" i="7" s="1"/>
  <c r="J61" i="7"/>
  <c r="J62" i="7" s="1"/>
  <c r="J63" i="7" s="1"/>
  <c r="J64" i="7" s="1"/>
  <c r="I36" i="7"/>
  <c r="I37" i="7" s="1"/>
  <c r="I21" i="3"/>
  <c r="I22" i="3" s="1"/>
  <c r="I23" i="3" s="1"/>
  <c r="J34" i="3"/>
  <c r="K34" i="3" s="1"/>
  <c r="K33" i="3"/>
  <c r="J35" i="3"/>
  <c r="J56" i="3"/>
  <c r="K56" i="3" s="1"/>
  <c r="K55" i="3"/>
  <c r="J57" i="3"/>
  <c r="J12" i="3"/>
  <c r="K12" i="3" s="1"/>
  <c r="K11" i="3"/>
  <c r="K184" i="7" l="1"/>
  <c r="K168" i="7"/>
  <c r="J155" i="7"/>
  <c r="J156" i="7" s="1"/>
  <c r="J157" i="7" s="1"/>
  <c r="K87" i="7"/>
  <c r="K61" i="7"/>
  <c r="K48" i="7"/>
  <c r="K49" i="7" s="1"/>
  <c r="K50" i="7" s="1"/>
  <c r="K51" i="7" s="1"/>
  <c r="I38" i="7"/>
  <c r="I24" i="3"/>
  <c r="J19" i="3" s="1"/>
  <c r="J21" i="3" s="1"/>
  <c r="J22" i="3" s="1"/>
  <c r="J24" i="3" s="1"/>
  <c r="K169" i="7" l="1"/>
  <c r="J158" i="7"/>
  <c r="J129" i="7"/>
  <c r="J130" i="7" s="1"/>
  <c r="J131" i="7" s="1"/>
  <c r="J132" i="7" s="1"/>
  <c r="J116" i="7"/>
  <c r="J117" i="7" s="1"/>
  <c r="J118" i="7" s="1"/>
  <c r="J119" i="7" s="1"/>
  <c r="K88" i="7"/>
  <c r="K62" i="7"/>
  <c r="J35" i="7"/>
  <c r="J22" i="7"/>
  <c r="J23" i="7" s="1"/>
  <c r="J24" i="7" s="1"/>
  <c r="J25" i="7" s="1"/>
  <c r="J9" i="7"/>
  <c r="J10" i="7" s="1"/>
  <c r="J11" i="7" s="1"/>
  <c r="J12" i="7" s="1"/>
  <c r="J23" i="3"/>
  <c r="K23" i="3" s="1"/>
  <c r="K22" i="3"/>
  <c r="K170" i="7" l="1"/>
  <c r="K171" i="7" s="1"/>
  <c r="K89" i="7"/>
  <c r="K90" i="7" s="1"/>
  <c r="K63" i="7"/>
  <c r="K64" i="7" s="1"/>
  <c r="J36" i="7"/>
  <c r="J37" i="7" s="1"/>
  <c r="K155" i="7" l="1"/>
  <c r="K156" i="7" s="1"/>
  <c r="K157" i="7" s="1"/>
  <c r="K158" i="7" s="1"/>
  <c r="K129" i="7"/>
  <c r="K130" i="7" s="1"/>
  <c r="K131" i="7" s="1"/>
  <c r="K132" i="7" s="1"/>
  <c r="K116" i="7"/>
  <c r="K117" i="7" s="1"/>
  <c r="K118" i="7" s="1"/>
  <c r="K119" i="7" s="1"/>
  <c r="J38" i="7"/>
  <c r="K35" i="7"/>
  <c r="K22" i="7"/>
  <c r="K23" i="7" s="1"/>
  <c r="K24" i="7" s="1"/>
  <c r="K25" i="7" s="1"/>
  <c r="K9" i="7"/>
  <c r="K10" i="7" s="1"/>
  <c r="K11" i="7" s="1"/>
  <c r="K12" i="7" s="1"/>
  <c r="K36" i="7" l="1"/>
  <c r="K37" i="7" l="1"/>
  <c r="K38" i="7" s="1"/>
</calcChain>
</file>

<file path=xl/sharedStrings.xml><?xml version="1.0" encoding="utf-8"?>
<sst xmlns="http://schemas.openxmlformats.org/spreadsheetml/2006/main" count="1057" uniqueCount="268">
  <si>
    <t>MODELO DE DECISIONES - PRODUCTION MANAGER (EXSIM / MEZQUITE)</t>
  </si>
  <si>
    <t>INSTRUCCIONES DE USO:</t>
  </si>
  <si>
    <t>PASO 1: Actualizar inventarios iniciales</t>
  </si>
  <si>
    <t xml:space="preserve">   - Ve a 01_INPUTS_MASTER y pega los inventarios de FG, materiales y assemblies del reporte del simulador</t>
  </si>
  <si>
    <t>PASO 2: Ingresar demanda forecast</t>
  </si>
  <si>
    <t xml:space="preserve">   - Ve a 02_DEMAND y captura la demanda esperada por región y subperiodo (pares: 2,4,6,8)</t>
  </si>
  <si>
    <t>PASO 3: Definir MPS (Master Production Schedule)</t>
  </si>
  <si>
    <t xml:space="preserve">   - Ve a 03_MPS_S5 y ajusta el target de FG final si deseas colchón de inventario</t>
  </si>
  <si>
    <t>PASO 4: Verificar flujo de producción</t>
  </si>
  <si>
    <t xml:space="preserve">   - Ve a 04_FLOW_S1_S5 para ver el plan por sección considerando lead times</t>
  </si>
  <si>
    <t>PASO 5: Verificar capacidad</t>
  </si>
  <si>
    <t xml:space="preserve">   - Ve a 05_CAPACITY para identificar cuellos de botella (máquinas/labor/materiales)</t>
  </si>
  <si>
    <t>PASO 6: Planificar compras (MRP)</t>
  </si>
  <si>
    <t xml:space="preserve">   - Ve a 06_MRP_MATERIALS para calcular los pedidos de Parts A/B y Pieces</t>
  </si>
  <si>
    <t>PASO 7: Verificar espacios y costeo</t>
  </si>
  <si>
    <t xml:space="preserve">   - 07_SPACES: Verifica que tienes suficientes módulos</t>
  </si>
  <si>
    <t xml:space="preserve">   - 08_COSTING: Revisa el costo unitario estimado</t>
  </si>
  <si>
    <t xml:space="preserve">   - 09_CHECKS: Panel de alertas - debe mostrar 'Plan Factible: Sí'</t>
  </si>
  <si>
    <t>PASO 8: Exportar decisiones</t>
  </si>
  <si>
    <t xml:space="preserve">   - Ve a 10_DECISIONS_UPLOAD para obtener los valores a cargar en el simulador</t>
  </si>
  <si>
    <t>--------------------------------------------------------------------------------</t>
  </si>
  <si>
    <t>DEFINICIONES DE INPUTS (celdas amarillas):</t>
  </si>
  <si>
    <t>- INPUTS_MASTER: Todos los parámetros del modelo (máquinas, costos, batch sizes, etc.)</t>
  </si>
  <si>
    <t>- Los valores en AZUL son inputs editables</t>
  </si>
  <si>
    <t>- Los valores en NEGRO son fórmulas calculadas</t>
  </si>
  <si>
    <t>- Los valores en VERDE son referencias a otras hojas</t>
  </si>
  <si>
    <t>IMPORTANTE:</t>
  </si>
  <si>
    <t>- La demanda se 'vende' solo en subperiodos PARES (2, 4, 6, 8)</t>
  </si>
  <si>
    <t>- Lead time por sección = 1 subperiodo</t>
  </si>
  <si>
    <t>- Overtime = +20% capacidad</t>
  </si>
  <si>
    <t>- Indirect labor = 50% de (salarios + overtime)</t>
  </si>
  <si>
    <t>TODO: Campos marcados con 'TODO' deben actualizarse del reporte del simulador</t>
  </si>
  <si>
    <t>PARÁMETROS MAESTROS DEL MODELO</t>
  </si>
  <si>
    <t>SUBPERIODOS</t>
  </si>
  <si>
    <t>Subperiodo</t>
  </si>
  <si>
    <t>1</t>
  </si>
  <si>
    <t>2</t>
  </si>
  <si>
    <t>3</t>
  </si>
  <si>
    <t>4</t>
  </si>
  <si>
    <t>5</t>
  </si>
  <si>
    <t>6</t>
  </si>
  <si>
    <t>7</t>
  </si>
  <si>
    <t>8</t>
  </si>
  <si>
    <t>Es subperiodo de venta?</t>
  </si>
  <si>
    <t>PLANTAS / REGIONES</t>
  </si>
  <si>
    <t>Región</t>
  </si>
  <si>
    <t>Tiene Planta?</t>
  </si>
  <si>
    <t>Módulos Planta</t>
  </si>
  <si>
    <t>Módulos Almacén</t>
  </si>
  <si>
    <t>Salario Quincena</t>
  </si>
  <si>
    <t>Center</t>
  </si>
  <si>
    <t>West</t>
  </si>
  <si>
    <t>North</t>
  </si>
  <si>
    <t>East</t>
  </si>
  <si>
    <t>South</t>
  </si>
  <si>
    <t>MÁQUINAS</t>
  </si>
  <si>
    <t>Tipo</t>
  </si>
  <si>
    <t>Capacidad/Quinc</t>
  </si>
  <si>
    <t>Espacios</t>
  </si>
  <si>
    <t>kW</t>
  </si>
  <si>
    <t>Costo</t>
  </si>
  <si>
    <t>Vida Útil</t>
  </si>
  <si>
    <t>Workers/Máq</t>
  </si>
  <si>
    <t>Center Qty</t>
  </si>
  <si>
    <t>West Qty</t>
  </si>
  <si>
    <t>Sección</t>
  </si>
  <si>
    <t>M1</t>
  </si>
  <si>
    <t>S1</t>
  </si>
  <si>
    <t>M2</t>
  </si>
  <si>
    <t>S2</t>
  </si>
  <si>
    <t>M3-alpha</t>
  </si>
  <si>
    <t>S3</t>
  </si>
  <si>
    <t>M3-beta</t>
  </si>
  <si>
    <t>M4-S3</t>
  </si>
  <si>
    <t>M4-S4</t>
  </si>
  <si>
    <t>S4</t>
  </si>
  <si>
    <t>M4-S5</t>
  </si>
  <si>
    <t>S5</t>
  </si>
  <si>
    <t>Crews-S5</t>
  </si>
  <si>
    <t>LABOR</t>
  </si>
  <si>
    <t>Salario mínimo/quincena</t>
  </si>
  <si>
    <t>Overtime cost/worker/quinc</t>
  </si>
  <si>
    <t>Hiring cost/worker</t>
  </si>
  <si>
    <t>Layoff cost/worker</t>
  </si>
  <si>
    <t>Indirect labor %</t>
  </si>
  <si>
    <t>ENERGÍA</t>
  </si>
  <si>
    <t>Costo fijo $/kW instalado/periodo</t>
  </si>
  <si>
    <t>Costo variable $/kWh</t>
  </si>
  <si>
    <t>Horas/subperiodo</t>
  </si>
  <si>
    <t>MATERIALES - PIECES (Batch, inicio periodo)</t>
  </si>
  <si>
    <t>Piece</t>
  </si>
  <si>
    <t>Batch Size</t>
  </si>
  <si>
    <t>Costo/Batch</t>
  </si>
  <si>
    <t>Consumo/Electroclean</t>
  </si>
  <si>
    <t>Inv Inicial Center</t>
  </si>
  <si>
    <t>Inv Inicial West</t>
  </si>
  <si>
    <t>Piece 1</t>
  </si>
  <si>
    <t>Piece 2</t>
  </si>
  <si>
    <t>Piece 3</t>
  </si>
  <si>
    <t>Piece 4</t>
  </si>
  <si>
    <t>Piece 5</t>
  </si>
  <si>
    <t>Piece 6</t>
  </si>
  <si>
    <t>MATERIALES - PARTS A/B (Batch, cualquier subperiodo)</t>
  </si>
  <si>
    <t>Part</t>
  </si>
  <si>
    <t>Precio Supp A</t>
  </si>
  <si>
    <t>Precio Supp B</t>
  </si>
  <si>
    <t>Precio Supp C</t>
  </si>
  <si>
    <t>Ordering Cost</t>
  </si>
  <si>
    <t>Holding Cost/unit</t>
  </si>
  <si>
    <t>Consumo/EC</t>
  </si>
  <si>
    <t>Part A</t>
  </si>
  <si>
    <t>Part B</t>
  </si>
  <si>
    <t>ASSEMBLIES - Holding Costs</t>
  </si>
  <si>
    <t>Assembly</t>
  </si>
  <si>
    <t>Holding Cost/unit/quinc</t>
  </si>
  <si>
    <t>Assembly A</t>
  </si>
  <si>
    <t>Assembly B</t>
  </si>
  <si>
    <t>Assembly C</t>
  </si>
  <si>
    <t>Assembly D</t>
  </si>
  <si>
    <t>ESPACIOS</t>
  </si>
  <si>
    <t>Espacios por módulo</t>
  </si>
  <si>
    <t>Costo módulo planta</t>
  </si>
  <si>
    <t>Costo leasing emergencia/módulo</t>
  </si>
  <si>
    <t>Costo admin/módulo/periodo</t>
  </si>
  <si>
    <t>FINISHED GOODS - INVENTARIOS INICIALES</t>
  </si>
  <si>
    <t>FG Inicial</t>
  </si>
  <si>
    <t>Capacidad Almacén</t>
  </si>
  <si>
    <t>DEMANDA Y VENTAS POR REGIÓN Y SUBPERIODO</t>
  </si>
  <si>
    <t>Concepto</t>
  </si>
  <si>
    <t>S6</t>
  </si>
  <si>
    <t>S7</t>
  </si>
  <si>
    <t>S8</t>
  </si>
  <si>
    <t>TOTAL</t>
  </si>
  <si>
    <t>Demanda Forecast</t>
  </si>
  <si>
    <t>Es Subperiodo Venta?</t>
  </si>
  <si>
    <t>Demanda Real</t>
  </si>
  <si>
    <t>Recepciones (prod+envíos)</t>
  </si>
  <si>
    <t>FG Disponible</t>
  </si>
  <si>
    <t>Ventas Posibles</t>
  </si>
  <si>
    <t>Ventas Perdidas</t>
  </si>
  <si>
    <t>FG Final</t>
  </si>
  <si>
    <t>MASTER PRODUCTION SCHEDULE - SECCIÓN 5 (Electroclean)</t>
  </si>
  <si>
    <t>Target FG Final (colchón)</t>
  </si>
  <si>
    <t>Demanda (de 02_DEMAND)</t>
  </si>
  <si>
    <t>Target FG Final</t>
  </si>
  <si>
    <t>Req_S5 = Demanda + Target - FG Inicial</t>
  </si>
  <si>
    <t>Plan Producción S5</t>
  </si>
  <si>
    <t>FLUJO DE PRODUCCIÓN POR SECCIÓN (WIP) - BACK-SCHEDULING</t>
  </si>
  <si>
    <t>Lead time = 1 subperiodo por sección. Plan_S4 alimenta S5, Plan_S3 alimenta S4, etc.</t>
  </si>
  <si>
    <t>Planta</t>
  </si>
  <si>
    <t>Plan Producción</t>
  </si>
  <si>
    <t>Inv Inicial</t>
  </si>
  <si>
    <t>Producido</t>
  </si>
  <si>
    <t>Consumido</t>
  </si>
  <si>
    <t>Inv Final</t>
  </si>
  <si>
    <t>ANÁLISIS DE CAPACIDAD POR PLANTA, SECCIÓN Y SUBPERIODO</t>
  </si>
  <si>
    <t># Máquinas</t>
  </si>
  <si>
    <t>Capacidad/Máquina</t>
  </si>
  <si>
    <t>Capacidad Máquinas</t>
  </si>
  <si>
    <t># Workers</t>
  </si>
  <si>
    <t>Workers/Máquina req</t>
  </si>
  <si>
    <t>Capacidad Labor</t>
  </si>
  <si>
    <t>Capacidad Base (MIN)</t>
  </si>
  <si>
    <t>Overtime (0/1)</t>
  </si>
  <si>
    <t>Capacidad c/Overtime</t>
  </si>
  <si>
    <t>Producción Real</t>
  </si>
  <si>
    <t>Bottleneck</t>
  </si>
  <si>
    <t>MRP - PLANIFICACIÓN DE MATERIALES (Parts A/B y Pieces 1-6)</t>
  </si>
  <si>
    <t>Material</t>
  </si>
  <si>
    <t>S0</t>
  </si>
  <si>
    <t>Producción Plan</t>
  </si>
  <si>
    <t>Req Bruto</t>
  </si>
  <si>
    <t>Req Neto</t>
  </si>
  <si>
    <t>Lotes a Pedir</t>
  </si>
  <si>
    <t>Pedido (lotes*batch)</t>
  </si>
  <si>
    <t>Holding Cost</t>
  </si>
  <si>
    <t>ANÁLISIS DE ESPACIOS Y MÓDULOS</t>
  </si>
  <si>
    <t>Valor</t>
  </si>
  <si>
    <t>M1 qty</t>
  </si>
  <si>
    <t>M1 espacios/maq</t>
  </si>
  <si>
    <t>M2 qty</t>
  </si>
  <si>
    <t>M2 espacios/maq</t>
  </si>
  <si>
    <t>M3a qty</t>
  </si>
  <si>
    <t>M3a espacios/maq</t>
  </si>
  <si>
    <t>M3b qty</t>
  </si>
  <si>
    <t>M3b espacios/maq</t>
  </si>
  <si>
    <t>M4 qty total</t>
  </si>
  <si>
    <t>M4 espacios/maq</t>
  </si>
  <si>
    <t>Espacios Usados</t>
  </si>
  <si>
    <t>Módulos Actuales</t>
  </si>
  <si>
    <t>Espacios Disponibles</t>
  </si>
  <si>
    <t>Faltante</t>
  </si>
  <si>
    <t>Módulos Requeridos</t>
  </si>
  <si>
    <t>ALERTA</t>
  </si>
  <si>
    <t>ANÁLISIS DE COSTOS DE PRODUCCIÓN</t>
  </si>
  <si>
    <t>TOTAL PERIODO</t>
  </si>
  <si>
    <t>Salario/worker/quinc</t>
  </si>
  <si>
    <t>Total Salarios</t>
  </si>
  <si>
    <t># Workers Overtime</t>
  </si>
  <si>
    <t>Overtime cost/worker</t>
  </si>
  <si>
    <t>Total Overtime</t>
  </si>
  <si>
    <t>Total Labor</t>
  </si>
  <si>
    <t>Indirect Labor (50%)</t>
  </si>
  <si>
    <t>kW instalados</t>
  </si>
  <si>
    <t>Costo fijo ($/kW/periodo)</t>
  </si>
  <si>
    <t>Total Costo Fijo</t>
  </si>
  <si>
    <t>kWh consumidos</t>
  </si>
  <si>
    <t>Costo variable ($/kWh)</t>
  </si>
  <si>
    <t>Total Costo Variable</t>
  </si>
  <si>
    <t>Total Energía</t>
  </si>
  <si>
    <t>MATERIALES</t>
  </si>
  <si>
    <t>Costo Part A</t>
  </si>
  <si>
    <t>Costo Part B</t>
  </si>
  <si>
    <t>Costo Pieces</t>
  </si>
  <si>
    <t>Total Materiales</t>
  </si>
  <si>
    <t>ORDERING + HOLDING</t>
  </si>
  <si>
    <t>Total Ordering+Holding</t>
  </si>
  <si>
    <t>RESUMEN</t>
  </si>
  <si>
    <t>Total Labor + Indirect</t>
  </si>
  <si>
    <t>COSTO TOTAL PRODUCCIÓN</t>
  </si>
  <si>
    <t>Unidades Producidas S5</t>
  </si>
  <si>
    <t>COSTO UNITARIO</t>
  </si>
  <si>
    <t>PANEL DE ALERTAS Y VALIDACIÓN</t>
  </si>
  <si>
    <t>Verificación</t>
  </si>
  <si>
    <t>Estado</t>
  </si>
  <si>
    <t>Detalle</t>
  </si>
  <si>
    <t>Plan &gt; Capacidad en alguna sección/subperiodo</t>
  </si>
  <si>
    <t>Verificar 05_CAPACITY</t>
  </si>
  <si>
    <t>Inventario negativo de materiales</t>
  </si>
  <si>
    <t>Verificar 06_MRP_MATERIALS</t>
  </si>
  <si>
    <t>Inventario negativo de assemblies</t>
  </si>
  <si>
    <t>Verificar 04_FLOW_S1_S5</t>
  </si>
  <si>
    <t>Espacios insuficientes</t>
  </si>
  <si>
    <t>Verificar 07_SPACES</t>
  </si>
  <si>
    <t>Ventas perdidas en 2/4/6/8</t>
  </si>
  <si>
    <t>Verificar 02_DEMAND</t>
  </si>
  <si>
    <t>PLAN FACTIBLE:</t>
  </si>
  <si>
    <t>DECISIONES PARA CARGAR AL SIMULADOR</t>
  </si>
  <si>
    <t>COMPRA DE MÁQUINAS</t>
  </si>
  <si>
    <t>Tipo Máquina</t>
  </si>
  <si>
    <t>Periodo Compra</t>
  </si>
  <si>
    <t>Cantidad</t>
  </si>
  <si>
    <t>WORKERS POR PLANTA/SECCIÓN</t>
  </si>
  <si>
    <t>S1 (M1)</t>
  </si>
  <si>
    <t>S2 (M2)</t>
  </si>
  <si>
    <t>S3 (M3a)</t>
  </si>
  <si>
    <t>S3 (M4)</t>
  </si>
  <si>
    <t>S4 (M4)</t>
  </si>
  <si>
    <t>S5 (M4)</t>
  </si>
  <si>
    <t>S5 (Crews)</t>
  </si>
  <si>
    <t>OVERTIME POR PLANTA/SECCIÓN/SUBPERIODO</t>
  </si>
  <si>
    <t>PRODUCCIÓN POR PLANTA/SECCIÓN/SUBPERIODO</t>
  </si>
  <si>
    <t>PARTS INV INITIAL</t>
  </si>
  <si>
    <t>SUPPLIER SETUP</t>
  </si>
  <si>
    <t>Plant</t>
  </si>
  <si>
    <t>Supp Part A</t>
  </si>
  <si>
    <t>Supp Part B</t>
  </si>
  <si>
    <t>Discount %</t>
  </si>
  <si>
    <t>Pay Terms</t>
  </si>
  <si>
    <t>Risk B</t>
  </si>
  <si>
    <t>A</t>
  </si>
  <si>
    <t>PLANT: CENTER</t>
  </si>
  <si>
    <t>PLANT: WEST</t>
  </si>
  <si>
    <t>PAYMENTS CENTER</t>
  </si>
  <si>
    <t>Part A Payment</t>
  </si>
  <si>
    <t>Part B Payment</t>
  </si>
  <si>
    <t>Total Payment</t>
  </si>
  <si>
    <t>PAYMENTS 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</si>
</sst>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charset val="1"/>
    </font>
    <font>
      <b/>
      <sz val="16"/>
      <name val="Cambria"/>
      <charset val="1"/>
    </font>
    <font>
      <b/>
      <sz val="11"/>
      <color rgb="FF4472C4"/>
      <name val="Cambria"/>
      <charset val="1"/>
    </font>
    <font>
      <b/>
      <sz val="14"/>
      <name val="Cambria"/>
      <charset val="1"/>
    </font>
    <font>
      <b/>
      <sz val="11"/>
      <color rgb="FFFFFFFF"/>
      <name val="Cambria"/>
      <charset val="1"/>
    </font>
    <font>
      <sz val="11"/>
      <color rgb="FF000000"/>
      <name val="Cambria"/>
      <charset val="1"/>
    </font>
    <font>
      <b/>
      <sz val="11"/>
      <color rgb="FF0000FF"/>
      <name val="Cambria"/>
      <charset val="1"/>
    </font>
    <font>
      <b/>
      <sz val="11"/>
      <name val="Cambria"/>
      <charset val="1"/>
    </font>
    <font>
      <sz val="11"/>
      <color rgb="FF008000"/>
      <name val="Cambria"/>
      <charset val="1"/>
    </font>
    <font>
      <b/>
      <sz val="12"/>
      <name val="Cambria"/>
      <charset val="1"/>
    </font>
  </fonts>
  <fills count="5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  <fill>
      <patternFill patternType="solid">
        <fgColor rgb="FFFFFF00"/>
        <bgColor rgb="FFFFFF00"/>
      </patternFill>
    </fill>
    <fill>
      <patternFill patternType="solid">
        <fgColor rgb="FFD9E1F2"/>
        <bgColor rgb="FFCCFF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7" fillId="4" borderId="0" xfId="0" applyFont="1" applyFill="1"/>
    <xf numFmtId="0" fontId="4" fillId="2" borderId="1" xfId="0" applyFont="1" applyFill="1" applyBorder="1" applyAlignment="1">
      <alignment horizontal="center" vertical="center" wrapText="1"/>
    </xf>
    <xf numFmtId="0" fontId="3" fillId="0" borderId="0" xfId="0" applyFont="1"/>
    <xf numFmtId="0" fontId="1" fillId="0" borderId="0" xfId="0" applyFont="1"/>
    <xf numFmtId="0" fontId="2" fillId="0" borderId="0" xfId="0" applyFont="1"/>
    <xf numFmtId="0" fontId="5" fillId="0" borderId="1" xfId="0" applyFont="1" applyBorder="1"/>
    <xf numFmtId="0" fontId="6" fillId="3" borderId="1" xfId="0" applyFont="1" applyFill="1" applyBorder="1"/>
    <xf numFmtId="0" fontId="8" fillId="0" borderId="1" xfId="0" applyFont="1" applyBorder="1"/>
    <xf numFmtId="0" fontId="3" fillId="3" borderId="0" xfId="0" applyFont="1" applyFill="1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7" fillId="4" borderId="0" xfId="0" applyFont="1" applyFill="1"/>
    <xf numFmtId="0" fontId="9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5"/>
  <sheetViews>
    <sheetView tabSelected="1" zoomScaleNormal="100" workbookViewId="0"/>
  </sheetViews>
  <sheetFormatPr baseColWidth="10" defaultColWidth="8.6640625" defaultRowHeight="14.4" x14ac:dyDescent="0.3"/>
  <cols>
    <col min="1" max="1" width="100" customWidth="1"/>
  </cols>
  <sheetData>
    <row r="1" spans="1:1" ht="19.5" customHeight="1" x14ac:dyDescent="0.35">
      <c r="A1" s="4" t="s">
        <v>0</v>
      </c>
    </row>
    <row r="3" spans="1:1" ht="15" customHeight="1" x14ac:dyDescent="0.3">
      <c r="A3" t="s">
        <v>1</v>
      </c>
    </row>
    <row r="5" spans="1:1" ht="15" customHeight="1" x14ac:dyDescent="0.3">
      <c r="A5" s="5" t="s">
        <v>2</v>
      </c>
    </row>
    <row r="6" spans="1:1" ht="15" customHeight="1" x14ac:dyDescent="0.3">
      <c r="A6" t="s">
        <v>3</v>
      </c>
    </row>
    <row r="8" spans="1:1" ht="15" customHeight="1" x14ac:dyDescent="0.3">
      <c r="A8" s="5" t="s">
        <v>4</v>
      </c>
    </row>
    <row r="9" spans="1:1" ht="15" customHeight="1" x14ac:dyDescent="0.3">
      <c r="A9" t="s">
        <v>5</v>
      </c>
    </row>
    <row r="11" spans="1:1" ht="15" customHeight="1" x14ac:dyDescent="0.3">
      <c r="A11" s="5" t="s">
        <v>6</v>
      </c>
    </row>
    <row r="12" spans="1:1" ht="15" customHeight="1" x14ac:dyDescent="0.3">
      <c r="A12" t="s">
        <v>7</v>
      </c>
    </row>
    <row r="14" spans="1:1" ht="15" customHeight="1" x14ac:dyDescent="0.3">
      <c r="A14" s="5" t="s">
        <v>8</v>
      </c>
    </row>
    <row r="15" spans="1:1" ht="15" customHeight="1" x14ac:dyDescent="0.3">
      <c r="A15" t="s">
        <v>9</v>
      </c>
    </row>
    <row r="17" spans="1:1" ht="15" customHeight="1" x14ac:dyDescent="0.3">
      <c r="A17" s="5" t="s">
        <v>10</v>
      </c>
    </row>
    <row r="18" spans="1:1" ht="15" customHeight="1" x14ac:dyDescent="0.3">
      <c r="A18" t="s">
        <v>11</v>
      </c>
    </row>
    <row r="20" spans="1:1" ht="15" customHeight="1" x14ac:dyDescent="0.3">
      <c r="A20" s="5" t="s">
        <v>12</v>
      </c>
    </row>
    <row r="21" spans="1:1" ht="15" customHeight="1" x14ac:dyDescent="0.3">
      <c r="A21" t="s">
        <v>13</v>
      </c>
    </row>
    <row r="23" spans="1:1" ht="15" customHeight="1" x14ac:dyDescent="0.3">
      <c r="A23" s="5" t="s">
        <v>14</v>
      </c>
    </row>
    <row r="24" spans="1:1" ht="15" customHeight="1" x14ac:dyDescent="0.3">
      <c r="A24" t="s">
        <v>15</v>
      </c>
    </row>
    <row r="25" spans="1:1" ht="15" customHeight="1" x14ac:dyDescent="0.3">
      <c r="A25" t="s">
        <v>16</v>
      </c>
    </row>
    <row r="26" spans="1:1" ht="15" customHeight="1" x14ac:dyDescent="0.3">
      <c r="A26" t="s">
        <v>17</v>
      </c>
    </row>
    <row r="28" spans="1:1" ht="15" customHeight="1" x14ac:dyDescent="0.3">
      <c r="A28" s="5" t="s">
        <v>18</v>
      </c>
    </row>
    <row r="29" spans="1:1" ht="15" customHeight="1" x14ac:dyDescent="0.3">
      <c r="A29" t="s">
        <v>19</v>
      </c>
    </row>
    <row r="31" spans="1:1" ht="15" customHeight="1" x14ac:dyDescent="0.3">
      <c r="A31" t="s">
        <v>20</v>
      </c>
    </row>
    <row r="32" spans="1:1" ht="15" customHeight="1" x14ac:dyDescent="0.3">
      <c r="A32" t="s">
        <v>21</v>
      </c>
    </row>
    <row r="34" spans="1:1" ht="15" customHeight="1" x14ac:dyDescent="0.3">
      <c r="A34" t="s">
        <v>22</v>
      </c>
    </row>
    <row r="35" spans="1:1" ht="15" customHeight="1" x14ac:dyDescent="0.3">
      <c r="A35" t="s">
        <v>23</v>
      </c>
    </row>
    <row r="36" spans="1:1" ht="15" customHeight="1" x14ac:dyDescent="0.3">
      <c r="A36" t="s">
        <v>24</v>
      </c>
    </row>
    <row r="37" spans="1:1" ht="15" customHeight="1" x14ac:dyDescent="0.3">
      <c r="A37" t="s">
        <v>25</v>
      </c>
    </row>
    <row r="39" spans="1:1" ht="15" customHeight="1" x14ac:dyDescent="0.3">
      <c r="A39" t="s">
        <v>26</v>
      </c>
    </row>
    <row r="40" spans="1:1" ht="15" customHeight="1" x14ac:dyDescent="0.3">
      <c r="A40" t="s">
        <v>27</v>
      </c>
    </row>
    <row r="41" spans="1:1" ht="15" customHeight="1" x14ac:dyDescent="0.3">
      <c r="A41" t="s">
        <v>28</v>
      </c>
    </row>
    <row r="42" spans="1:1" ht="15" customHeight="1" x14ac:dyDescent="0.3">
      <c r="A42" t="s">
        <v>29</v>
      </c>
    </row>
    <row r="43" spans="1:1" ht="15" customHeight="1" x14ac:dyDescent="0.3">
      <c r="A43" t="s">
        <v>30</v>
      </c>
    </row>
    <row r="45" spans="1:1" ht="15" customHeight="1" x14ac:dyDescent="0.3">
      <c r="A45" t="s">
        <v>31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71"/>
  <sheetViews>
    <sheetView zoomScaleNormal="100" workbookViewId="0"/>
  </sheetViews>
  <sheetFormatPr baseColWidth="10" defaultColWidth="8.6640625" defaultRowHeight="14.4" x14ac:dyDescent="0.3"/>
  <cols>
    <col min="1" max="14" width="18" customWidth="1"/>
  </cols>
  <sheetData>
    <row r="1" spans="1:10" ht="17.25" customHeight="1" x14ac:dyDescent="0.3">
      <c r="A1" s="10" t="s">
        <v>32</v>
      </c>
      <c r="B1" s="10"/>
      <c r="C1" s="10"/>
      <c r="D1" s="10"/>
      <c r="E1" s="10"/>
      <c r="F1" s="10"/>
      <c r="G1" s="10"/>
      <c r="H1" s="10"/>
    </row>
    <row r="3" spans="1:10" ht="15" customHeight="1" x14ac:dyDescent="0.3">
      <c r="A3" s="11" t="s">
        <v>33</v>
      </c>
      <c r="B3" s="11"/>
      <c r="C3" s="11"/>
      <c r="D3" s="11"/>
      <c r="E3" s="11"/>
      <c r="F3" s="11"/>
      <c r="G3" s="11"/>
      <c r="H3" s="11"/>
      <c r="I3" s="11"/>
    </row>
    <row r="4" spans="1:10" ht="15" customHeight="1" x14ac:dyDescent="0.3">
      <c r="A4" s="2" t="s">
        <v>34</v>
      </c>
      <c r="B4" s="2" t="s">
        <v>35</v>
      </c>
      <c r="C4" s="2" t="s">
        <v>36</v>
      </c>
      <c r="D4" s="2" t="s">
        <v>37</v>
      </c>
      <c r="E4" s="2" t="s">
        <v>38</v>
      </c>
      <c r="F4" s="2" t="s">
        <v>39</v>
      </c>
      <c r="G4" s="2" t="s">
        <v>40</v>
      </c>
      <c r="H4" s="2" t="s">
        <v>41</v>
      </c>
      <c r="I4" s="2" t="s">
        <v>42</v>
      </c>
    </row>
    <row r="5" spans="1:10" ht="15" customHeight="1" x14ac:dyDescent="0.3">
      <c r="A5" t="s">
        <v>43</v>
      </c>
      <c r="B5" s="6">
        <v>0</v>
      </c>
      <c r="C5" s="6">
        <v>1</v>
      </c>
      <c r="D5" s="6">
        <v>0</v>
      </c>
      <c r="E5" s="6">
        <v>1</v>
      </c>
      <c r="F5" s="6">
        <v>0</v>
      </c>
      <c r="G5" s="6">
        <v>1</v>
      </c>
      <c r="H5" s="6">
        <v>0</v>
      </c>
      <c r="I5" s="6">
        <v>1</v>
      </c>
    </row>
    <row r="7" spans="1:10" ht="15" customHeight="1" x14ac:dyDescent="0.3">
      <c r="A7" s="11" t="s">
        <v>44</v>
      </c>
      <c r="B7" s="11"/>
      <c r="C7" s="11"/>
      <c r="D7" s="11"/>
      <c r="E7" s="11"/>
    </row>
    <row r="8" spans="1:10" ht="15" customHeight="1" x14ac:dyDescent="0.3">
      <c r="A8" s="2" t="s">
        <v>45</v>
      </c>
      <c r="B8" s="2" t="s">
        <v>46</v>
      </c>
      <c r="C8" s="2" t="s">
        <v>47</v>
      </c>
      <c r="D8" s="2" t="s">
        <v>48</v>
      </c>
      <c r="E8" s="2" t="s">
        <v>49</v>
      </c>
    </row>
    <row r="9" spans="1:10" ht="15" customHeight="1" x14ac:dyDescent="0.3">
      <c r="A9" t="s">
        <v>50</v>
      </c>
      <c r="B9" s="7">
        <v>1</v>
      </c>
      <c r="C9" s="7">
        <v>4</v>
      </c>
      <c r="D9" s="7">
        <v>48</v>
      </c>
      <c r="E9" s="7">
        <v>27.3</v>
      </c>
    </row>
    <row r="10" spans="1:10" ht="15" customHeight="1" x14ac:dyDescent="0.3">
      <c r="A10" t="s">
        <v>51</v>
      </c>
      <c r="B10" s="7">
        <v>1</v>
      </c>
      <c r="C10" s="7">
        <v>2</v>
      </c>
      <c r="D10" s="7">
        <v>25</v>
      </c>
      <c r="E10" s="7">
        <v>27.3</v>
      </c>
    </row>
    <row r="11" spans="1:10" ht="15" customHeight="1" x14ac:dyDescent="0.3">
      <c r="A11" t="s">
        <v>52</v>
      </c>
      <c r="B11" s="7">
        <v>0</v>
      </c>
      <c r="C11" s="7">
        <v>0</v>
      </c>
      <c r="D11" s="7">
        <v>20</v>
      </c>
      <c r="E11" s="7">
        <v>0</v>
      </c>
    </row>
    <row r="12" spans="1:10" ht="15" customHeight="1" x14ac:dyDescent="0.3">
      <c r="A12" t="s">
        <v>53</v>
      </c>
      <c r="B12" s="7">
        <v>0</v>
      </c>
      <c r="C12" s="7">
        <v>0</v>
      </c>
      <c r="D12" s="7">
        <v>0</v>
      </c>
      <c r="E12" s="7">
        <v>0</v>
      </c>
    </row>
    <row r="13" spans="1:10" ht="15" customHeight="1" x14ac:dyDescent="0.3">
      <c r="A13" t="s">
        <v>54</v>
      </c>
      <c r="B13" s="7">
        <v>0</v>
      </c>
      <c r="C13" s="7">
        <v>0</v>
      </c>
      <c r="D13" s="7">
        <v>0</v>
      </c>
      <c r="E13" s="7">
        <v>0</v>
      </c>
    </row>
    <row r="15" spans="1:10" ht="15" customHeight="1" x14ac:dyDescent="0.3">
      <c r="A15" s="11" t="s">
        <v>55</v>
      </c>
      <c r="B15" s="11"/>
      <c r="C15" s="11"/>
      <c r="D15" s="11"/>
      <c r="E15" s="11"/>
      <c r="F15" s="11"/>
      <c r="G15" s="11"/>
      <c r="H15" s="11"/>
      <c r="I15" s="11"/>
      <c r="J15" s="11"/>
    </row>
    <row r="16" spans="1:10" ht="15" customHeight="1" x14ac:dyDescent="0.3">
      <c r="A16" s="2" t="s">
        <v>56</v>
      </c>
      <c r="B16" s="2" t="s">
        <v>57</v>
      </c>
      <c r="C16" s="2" t="s">
        <v>58</v>
      </c>
      <c r="D16" s="2" t="s">
        <v>59</v>
      </c>
      <c r="E16" s="2" t="s">
        <v>60</v>
      </c>
      <c r="F16" s="2" t="s">
        <v>61</v>
      </c>
      <c r="G16" s="2" t="s">
        <v>62</v>
      </c>
      <c r="H16" s="2" t="s">
        <v>63</v>
      </c>
      <c r="I16" s="2" t="s">
        <v>64</v>
      </c>
      <c r="J16" s="2" t="s">
        <v>65</v>
      </c>
    </row>
    <row r="17" spans="1:10" ht="15" customHeight="1" x14ac:dyDescent="0.3">
      <c r="A17" s="6" t="s">
        <v>66</v>
      </c>
      <c r="B17" s="6">
        <v>200</v>
      </c>
      <c r="C17" s="6">
        <v>1</v>
      </c>
      <c r="D17" s="6">
        <v>10</v>
      </c>
      <c r="E17" s="6">
        <v>10600</v>
      </c>
      <c r="F17" s="6">
        <v>10</v>
      </c>
      <c r="G17" s="6">
        <v>1</v>
      </c>
      <c r="H17" s="7">
        <v>7</v>
      </c>
      <c r="I17" s="7">
        <v>3</v>
      </c>
      <c r="J17" s="6" t="s">
        <v>67</v>
      </c>
    </row>
    <row r="18" spans="1:10" ht="15" customHeight="1" x14ac:dyDescent="0.3">
      <c r="A18" s="6" t="s">
        <v>68</v>
      </c>
      <c r="B18" s="6">
        <v>70</v>
      </c>
      <c r="C18" s="6">
        <v>1</v>
      </c>
      <c r="D18" s="6">
        <v>9</v>
      </c>
      <c r="E18" s="6">
        <v>7000</v>
      </c>
      <c r="F18" s="6">
        <v>10</v>
      </c>
      <c r="G18" s="6">
        <v>1</v>
      </c>
      <c r="H18" s="7">
        <v>22</v>
      </c>
      <c r="I18" s="7">
        <v>9</v>
      </c>
      <c r="J18" s="6" t="s">
        <v>69</v>
      </c>
    </row>
    <row r="19" spans="1:10" ht="15" customHeight="1" x14ac:dyDescent="0.3">
      <c r="A19" s="6" t="s">
        <v>70</v>
      </c>
      <c r="B19" s="6">
        <v>450</v>
      </c>
      <c r="C19" s="6">
        <v>5</v>
      </c>
      <c r="D19" s="6">
        <v>15</v>
      </c>
      <c r="E19" s="6">
        <v>88500</v>
      </c>
      <c r="F19" s="6">
        <v>20</v>
      </c>
      <c r="G19" s="6">
        <v>30</v>
      </c>
      <c r="H19" s="7">
        <v>3</v>
      </c>
      <c r="I19" s="7">
        <v>1</v>
      </c>
      <c r="J19" s="6" t="s">
        <v>71</v>
      </c>
    </row>
    <row r="20" spans="1:10" ht="15" customHeight="1" x14ac:dyDescent="0.3">
      <c r="A20" s="6" t="s">
        <v>72</v>
      </c>
      <c r="B20" s="6">
        <v>600</v>
      </c>
      <c r="C20" s="6">
        <v>6</v>
      </c>
      <c r="D20" s="6">
        <v>16</v>
      </c>
      <c r="E20" s="6">
        <v>155400</v>
      </c>
      <c r="F20" s="6">
        <v>20</v>
      </c>
      <c r="G20" s="6">
        <v>6</v>
      </c>
      <c r="H20" s="7">
        <v>0</v>
      </c>
      <c r="I20" s="7">
        <v>0</v>
      </c>
      <c r="J20" s="6" t="s">
        <v>71</v>
      </c>
    </row>
    <row r="21" spans="1:10" ht="15" customHeight="1" x14ac:dyDescent="0.3">
      <c r="A21" s="6" t="s">
        <v>73</v>
      </c>
      <c r="B21" s="6">
        <v>400</v>
      </c>
      <c r="C21" s="6">
        <v>1</v>
      </c>
      <c r="D21" s="6">
        <v>6</v>
      </c>
      <c r="E21" s="6">
        <v>2500</v>
      </c>
      <c r="F21" s="6">
        <v>8</v>
      </c>
      <c r="G21" s="6">
        <v>1</v>
      </c>
      <c r="H21" s="7">
        <v>4</v>
      </c>
      <c r="I21" s="7">
        <v>2</v>
      </c>
      <c r="J21" s="6" t="s">
        <v>71</v>
      </c>
    </row>
    <row r="22" spans="1:10" ht="15" customHeight="1" x14ac:dyDescent="0.3">
      <c r="A22" s="6" t="s">
        <v>74</v>
      </c>
      <c r="B22" s="6">
        <v>150</v>
      </c>
      <c r="C22" s="6">
        <v>1</v>
      </c>
      <c r="D22" s="6">
        <v>6</v>
      </c>
      <c r="E22" s="6">
        <v>2500</v>
      </c>
      <c r="F22" s="6">
        <v>8</v>
      </c>
      <c r="G22" s="6">
        <v>1</v>
      </c>
      <c r="H22" s="7">
        <v>10</v>
      </c>
      <c r="I22" s="7">
        <v>3</v>
      </c>
      <c r="J22" s="6" t="s">
        <v>75</v>
      </c>
    </row>
    <row r="23" spans="1:10" ht="15" customHeight="1" x14ac:dyDescent="0.3">
      <c r="A23" s="6" t="s">
        <v>76</v>
      </c>
      <c r="B23" s="6">
        <v>130</v>
      </c>
      <c r="C23" s="6">
        <v>1</v>
      </c>
      <c r="D23" s="6">
        <v>6</v>
      </c>
      <c r="E23" s="6">
        <v>2500</v>
      </c>
      <c r="F23" s="6">
        <v>8</v>
      </c>
      <c r="G23" s="6">
        <v>1</v>
      </c>
      <c r="H23" s="7">
        <v>11</v>
      </c>
      <c r="I23" s="7">
        <v>3</v>
      </c>
      <c r="J23" s="6" t="s">
        <v>77</v>
      </c>
    </row>
    <row r="24" spans="1:10" ht="15" customHeight="1" x14ac:dyDescent="0.3">
      <c r="A24" s="6" t="s">
        <v>78</v>
      </c>
      <c r="B24" s="6">
        <v>50</v>
      </c>
      <c r="C24" s="6">
        <v>0</v>
      </c>
      <c r="D24" s="6">
        <v>0</v>
      </c>
      <c r="E24" s="6">
        <v>0</v>
      </c>
      <c r="F24" s="6">
        <v>0</v>
      </c>
      <c r="G24" s="6">
        <v>3</v>
      </c>
      <c r="H24" s="7">
        <v>25</v>
      </c>
      <c r="I24" s="7">
        <v>7</v>
      </c>
      <c r="J24" s="6" t="s">
        <v>77</v>
      </c>
    </row>
    <row r="26" spans="1:10" ht="15" customHeight="1" x14ac:dyDescent="0.3">
      <c r="A26" s="11" t="s">
        <v>79</v>
      </c>
      <c r="B26" s="11"/>
      <c r="C26" s="11"/>
      <c r="D26" s="11"/>
    </row>
    <row r="27" spans="1:10" ht="15" customHeight="1" x14ac:dyDescent="0.3">
      <c r="A27" t="s">
        <v>80</v>
      </c>
      <c r="B27" s="7">
        <v>26</v>
      </c>
    </row>
    <row r="28" spans="1:10" ht="15" customHeight="1" x14ac:dyDescent="0.3">
      <c r="A28" t="s">
        <v>81</v>
      </c>
      <c r="B28" s="7">
        <v>12</v>
      </c>
    </row>
    <row r="29" spans="1:10" ht="15" customHeight="1" x14ac:dyDescent="0.3">
      <c r="A29" t="s">
        <v>82</v>
      </c>
      <c r="B29" s="7">
        <v>240</v>
      </c>
    </row>
    <row r="30" spans="1:10" ht="15" customHeight="1" x14ac:dyDescent="0.3">
      <c r="A30" t="s">
        <v>83</v>
      </c>
      <c r="B30" s="7">
        <v>220</v>
      </c>
    </row>
    <row r="31" spans="1:10" ht="15" customHeight="1" x14ac:dyDescent="0.3">
      <c r="A31" t="s">
        <v>84</v>
      </c>
      <c r="B31" s="7">
        <v>0.5</v>
      </c>
    </row>
    <row r="33" spans="1:14" ht="15" customHeight="1" x14ac:dyDescent="0.3">
      <c r="A33" s="11" t="s">
        <v>85</v>
      </c>
      <c r="B33" s="11"/>
      <c r="C33" s="11"/>
      <c r="D33" s="11"/>
    </row>
    <row r="34" spans="1:14" ht="15" customHeight="1" x14ac:dyDescent="0.3">
      <c r="A34" t="s">
        <v>86</v>
      </c>
      <c r="B34" s="7">
        <v>10</v>
      </c>
    </row>
    <row r="35" spans="1:14" ht="15" customHeight="1" x14ac:dyDescent="0.3">
      <c r="A35" t="s">
        <v>87</v>
      </c>
      <c r="B35" s="7">
        <v>0.06</v>
      </c>
    </row>
    <row r="36" spans="1:14" ht="15" customHeight="1" x14ac:dyDescent="0.3">
      <c r="A36" t="s">
        <v>88</v>
      </c>
      <c r="B36" s="7">
        <v>80</v>
      </c>
    </row>
    <row r="38" spans="1:14" ht="15" customHeight="1" x14ac:dyDescent="0.3">
      <c r="A38" s="11" t="s">
        <v>89</v>
      </c>
      <c r="B38" s="11"/>
      <c r="C38" s="11"/>
      <c r="D38" s="11"/>
      <c r="E38" s="11"/>
      <c r="F38" s="11"/>
    </row>
    <row r="39" spans="1:14" ht="27.75" customHeight="1" x14ac:dyDescent="0.3">
      <c r="A39" s="2" t="s">
        <v>90</v>
      </c>
      <c r="B39" s="2" t="s">
        <v>91</v>
      </c>
      <c r="C39" s="2" t="s">
        <v>92</v>
      </c>
      <c r="D39" s="2" t="s">
        <v>93</v>
      </c>
      <c r="E39" s="2" t="s">
        <v>94</v>
      </c>
      <c r="F39" s="2" t="s">
        <v>95</v>
      </c>
    </row>
    <row r="40" spans="1:14" ht="15" customHeight="1" x14ac:dyDescent="0.3">
      <c r="A40" s="6" t="s">
        <v>96</v>
      </c>
      <c r="B40" s="6">
        <v>1</v>
      </c>
      <c r="C40" s="6">
        <v>60</v>
      </c>
      <c r="D40" s="6">
        <v>0.01</v>
      </c>
      <c r="E40" s="7">
        <v>94</v>
      </c>
      <c r="F40" s="7">
        <v>36</v>
      </c>
    </row>
    <row r="41" spans="1:14" ht="15" customHeight="1" x14ac:dyDescent="0.3">
      <c r="A41" s="6" t="s">
        <v>97</v>
      </c>
      <c r="B41" s="6">
        <v>100</v>
      </c>
      <c r="C41" s="6">
        <v>7</v>
      </c>
      <c r="D41" s="6">
        <v>8</v>
      </c>
      <c r="E41" s="7">
        <v>3844</v>
      </c>
      <c r="F41" s="7">
        <v>1424</v>
      </c>
    </row>
    <row r="42" spans="1:14" ht="15" customHeight="1" x14ac:dyDescent="0.3">
      <c r="A42" s="6" t="s">
        <v>98</v>
      </c>
      <c r="B42" s="6">
        <v>30</v>
      </c>
      <c r="C42" s="6">
        <v>36</v>
      </c>
      <c r="D42" s="6">
        <v>0.3</v>
      </c>
      <c r="E42" s="7">
        <v>3125</v>
      </c>
      <c r="F42" s="7">
        <v>1208</v>
      </c>
    </row>
    <row r="43" spans="1:14" ht="15" customHeight="1" x14ac:dyDescent="0.3">
      <c r="A43" s="6" t="s">
        <v>99</v>
      </c>
      <c r="B43" s="6">
        <v>60</v>
      </c>
      <c r="C43" s="6">
        <v>24</v>
      </c>
      <c r="D43" s="6">
        <v>0.6</v>
      </c>
      <c r="E43" s="7">
        <v>6131</v>
      </c>
      <c r="F43" s="7">
        <v>2356</v>
      </c>
    </row>
    <row r="44" spans="1:14" ht="15" customHeight="1" x14ac:dyDescent="0.3">
      <c r="A44" s="6" t="s">
        <v>100</v>
      </c>
      <c r="B44" s="6">
        <v>100</v>
      </c>
      <c r="C44" s="6">
        <v>30</v>
      </c>
      <c r="D44" s="6">
        <v>2</v>
      </c>
      <c r="E44" s="7">
        <v>16736</v>
      </c>
      <c r="F44" s="7">
        <v>6456</v>
      </c>
    </row>
    <row r="45" spans="1:14" ht="15" customHeight="1" x14ac:dyDescent="0.3">
      <c r="A45" s="6" t="s">
        <v>101</v>
      </c>
      <c r="B45" s="6">
        <v>150</v>
      </c>
      <c r="C45" s="6">
        <v>28</v>
      </c>
      <c r="D45" s="6">
        <v>0.75</v>
      </c>
      <c r="E45" s="7">
        <v>4439</v>
      </c>
      <c r="F45" s="7">
        <v>1596</v>
      </c>
    </row>
    <row r="47" spans="1:14" ht="15" customHeight="1" x14ac:dyDescent="0.3">
      <c r="A47" s="11" t="s">
        <v>102</v>
      </c>
      <c r="B47" s="11"/>
      <c r="C47" s="11"/>
      <c r="D47" s="11"/>
      <c r="E47" s="11"/>
      <c r="F47" s="11"/>
      <c r="G47" s="11"/>
      <c r="H47" s="11"/>
      <c r="L47" t="s">
        <v>252</v>
      </c>
    </row>
    <row r="48" spans="1:14" ht="15" customHeight="1" x14ac:dyDescent="0.3">
      <c r="A48" s="2" t="s">
        <v>103</v>
      </c>
      <c r="B48" s="2" t="s">
        <v>91</v>
      </c>
      <c r="C48" s="2" t="s">
        <v>104</v>
      </c>
      <c r="D48" s="2" t="s">
        <v>105</v>
      </c>
      <c r="E48" s="2" t="s">
        <v>106</v>
      </c>
      <c r="F48" s="2" t="s">
        <v>107</v>
      </c>
      <c r="G48" s="2" t="s">
        <v>108</v>
      </c>
      <c r="H48" s="2" t="s">
        <v>109</v>
      </c>
      <c r="L48" t="s">
        <v>103</v>
      </c>
      <c r="M48" t="s">
        <v>50</v>
      </c>
      <c r="N48" t="s">
        <v>51</v>
      </c>
    </row>
    <row r="49" spans="1:17" ht="15" customHeight="1" x14ac:dyDescent="0.3">
      <c r="A49" s="6" t="s">
        <v>110</v>
      </c>
      <c r="B49" s="6">
        <v>30</v>
      </c>
      <c r="C49" s="6">
        <v>125</v>
      </c>
      <c r="D49" s="6">
        <v>100</v>
      </c>
      <c r="E49" s="6">
        <v>140</v>
      </c>
      <c r="F49" s="6">
        <v>2300</v>
      </c>
      <c r="G49" s="6">
        <v>0.3</v>
      </c>
      <c r="H49" s="6">
        <v>1</v>
      </c>
      <c r="L49" t="s">
        <v>110</v>
      </c>
      <c r="M49">
        <v>0</v>
      </c>
      <c r="N49">
        <v>0</v>
      </c>
    </row>
    <row r="50" spans="1:17" ht="15" customHeight="1" x14ac:dyDescent="0.3">
      <c r="A50" s="6" t="s">
        <v>111</v>
      </c>
      <c r="B50" s="6">
        <v>12</v>
      </c>
      <c r="C50" s="6">
        <v>330</v>
      </c>
      <c r="D50" s="6">
        <v>264</v>
      </c>
      <c r="E50" s="6">
        <v>370</v>
      </c>
      <c r="F50" s="6">
        <v>6000</v>
      </c>
      <c r="G50" s="6">
        <v>4.5</v>
      </c>
      <c r="H50" s="6">
        <v>0.2</v>
      </c>
      <c r="L50" t="s">
        <v>111</v>
      </c>
      <c r="M50">
        <v>0</v>
      </c>
      <c r="N50">
        <v>0</v>
      </c>
    </row>
    <row r="52" spans="1:17" ht="15" customHeight="1" x14ac:dyDescent="0.3">
      <c r="A52" s="11" t="s">
        <v>112</v>
      </c>
      <c r="B52" s="11"/>
      <c r="C52" s="11"/>
      <c r="D52" s="11"/>
      <c r="L52" t="s">
        <v>253</v>
      </c>
    </row>
    <row r="53" spans="1:17" ht="27.75" customHeight="1" x14ac:dyDescent="0.3">
      <c r="A53" s="2" t="s">
        <v>113</v>
      </c>
      <c r="B53" s="2" t="s">
        <v>114</v>
      </c>
      <c r="C53" s="2" t="s">
        <v>94</v>
      </c>
      <c r="D53" s="2" t="s">
        <v>95</v>
      </c>
      <c r="L53" t="s">
        <v>254</v>
      </c>
      <c r="M53" t="s">
        <v>255</v>
      </c>
      <c r="N53" t="s">
        <v>256</v>
      </c>
      <c r="O53" t="s">
        <v>257</v>
      </c>
      <c r="P53" t="s">
        <v>258</v>
      </c>
      <c r="Q53" t="s">
        <v>259</v>
      </c>
    </row>
    <row r="54" spans="1:17" ht="15" customHeight="1" x14ac:dyDescent="0.3">
      <c r="A54" s="6" t="s">
        <v>115</v>
      </c>
      <c r="B54" s="6">
        <v>0.2</v>
      </c>
      <c r="C54" s="7">
        <v>7432</v>
      </c>
      <c r="D54" s="7">
        <v>3622</v>
      </c>
      <c r="L54" t="s">
        <v>50</v>
      </c>
      <c r="M54" t="s">
        <v>260</v>
      </c>
      <c r="N54" t="s">
        <v>260</v>
      </c>
      <c r="O54">
        <v>0</v>
      </c>
      <c r="P54">
        <v>1</v>
      </c>
      <c r="Q54">
        <v>0.2</v>
      </c>
    </row>
    <row r="55" spans="1:17" ht="15" customHeight="1" x14ac:dyDescent="0.3">
      <c r="A55" s="6" t="s">
        <v>116</v>
      </c>
      <c r="B55" s="6">
        <v>0.4</v>
      </c>
      <c r="C55" s="7">
        <v>6528</v>
      </c>
      <c r="D55" s="7">
        <v>0</v>
      </c>
      <c r="L55" t="s">
        <v>51</v>
      </c>
      <c r="M55" t="s">
        <v>260</v>
      </c>
      <c r="N55" t="s">
        <v>260</v>
      </c>
      <c r="O55">
        <v>0</v>
      </c>
      <c r="P55">
        <v>1</v>
      </c>
      <c r="Q55">
        <v>0.2</v>
      </c>
    </row>
    <row r="56" spans="1:17" ht="15" customHeight="1" x14ac:dyDescent="0.3">
      <c r="A56" s="6" t="s">
        <v>117</v>
      </c>
      <c r="B56" s="6">
        <v>0.6</v>
      </c>
      <c r="C56" s="7">
        <v>6682</v>
      </c>
      <c r="D56" s="7">
        <v>0</v>
      </c>
    </row>
    <row r="57" spans="1:17" ht="15" customHeight="1" x14ac:dyDescent="0.3">
      <c r="A57" s="6" t="s">
        <v>118</v>
      </c>
      <c r="B57" s="6">
        <v>0.2</v>
      </c>
      <c r="C57" s="7">
        <v>0</v>
      </c>
      <c r="D57" s="7">
        <v>0</v>
      </c>
    </row>
    <row r="59" spans="1:17" ht="15" customHeight="1" x14ac:dyDescent="0.3">
      <c r="A59" s="11" t="s">
        <v>119</v>
      </c>
      <c r="B59" s="11"/>
      <c r="C59" s="11"/>
    </row>
    <row r="60" spans="1:17" ht="15" customHeight="1" x14ac:dyDescent="0.3">
      <c r="A60" t="s">
        <v>120</v>
      </c>
      <c r="B60" s="7">
        <v>18</v>
      </c>
    </row>
    <row r="61" spans="1:17" ht="15" customHeight="1" x14ac:dyDescent="0.3">
      <c r="A61" t="s">
        <v>121</v>
      </c>
      <c r="B61" s="7">
        <v>50000</v>
      </c>
    </row>
    <row r="62" spans="1:17" ht="15" customHeight="1" x14ac:dyDescent="0.3">
      <c r="A62" t="s">
        <v>122</v>
      </c>
      <c r="B62" s="7">
        <v>75000</v>
      </c>
    </row>
    <row r="63" spans="1:17" ht="15" customHeight="1" x14ac:dyDescent="0.3">
      <c r="A63" t="s">
        <v>123</v>
      </c>
      <c r="B63" s="7">
        <v>10000</v>
      </c>
    </row>
    <row r="65" spans="1:3" ht="15" customHeight="1" x14ac:dyDescent="0.3">
      <c r="A65" s="11" t="s">
        <v>124</v>
      </c>
      <c r="B65" s="11"/>
      <c r="C65" s="11"/>
    </row>
    <row r="66" spans="1:3" ht="27.75" customHeight="1" x14ac:dyDescent="0.3">
      <c r="A66" s="2" t="s">
        <v>45</v>
      </c>
      <c r="B66" s="2" t="s">
        <v>125</v>
      </c>
      <c r="C66" s="2" t="s">
        <v>126</v>
      </c>
    </row>
    <row r="67" spans="1:3" ht="15" customHeight="1" x14ac:dyDescent="0.3">
      <c r="A67" s="6" t="s">
        <v>50</v>
      </c>
      <c r="B67" s="7">
        <v>1737</v>
      </c>
      <c r="C67" s="7">
        <v>4800</v>
      </c>
    </row>
    <row r="68" spans="1:3" ht="15" customHeight="1" x14ac:dyDescent="0.3">
      <c r="A68" s="6" t="s">
        <v>51</v>
      </c>
      <c r="B68" s="7">
        <v>1299</v>
      </c>
      <c r="C68" s="7">
        <v>2500</v>
      </c>
    </row>
    <row r="69" spans="1:3" ht="15" customHeight="1" x14ac:dyDescent="0.3">
      <c r="A69" s="6" t="s">
        <v>52</v>
      </c>
      <c r="B69" s="7">
        <v>0</v>
      </c>
      <c r="C69" s="7">
        <v>2000</v>
      </c>
    </row>
    <row r="70" spans="1:3" ht="15" customHeight="1" x14ac:dyDescent="0.3">
      <c r="A70" s="6" t="s">
        <v>53</v>
      </c>
      <c r="B70" s="7">
        <v>0</v>
      </c>
      <c r="C70" s="7">
        <v>0</v>
      </c>
    </row>
    <row r="71" spans="1:3" ht="15" customHeight="1" x14ac:dyDescent="0.3">
      <c r="A71" s="6" t="s">
        <v>54</v>
      </c>
      <c r="B71" s="7">
        <v>0</v>
      </c>
      <c r="C71" s="7">
        <v>0</v>
      </c>
    </row>
  </sheetData>
  <mergeCells count="11">
    <mergeCell ref="A65:C65"/>
    <mergeCell ref="A33:D33"/>
    <mergeCell ref="A38:F38"/>
    <mergeCell ref="A47:H47"/>
    <mergeCell ref="A52:D52"/>
    <mergeCell ref="A59:C59"/>
    <mergeCell ref="A1:H1"/>
    <mergeCell ref="A3:I3"/>
    <mergeCell ref="A7:E7"/>
    <mergeCell ref="A15:J15"/>
    <mergeCell ref="A26:D26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57"/>
  <sheetViews>
    <sheetView zoomScaleNormal="100" workbookViewId="0"/>
  </sheetViews>
  <sheetFormatPr baseColWidth="10" defaultColWidth="8.6640625" defaultRowHeight="14.4" x14ac:dyDescent="0.3"/>
  <cols>
    <col min="1" max="1" width="10" customWidth="1"/>
    <col min="2" max="2" width="25" customWidth="1"/>
    <col min="3" max="11" width="12" customWidth="1"/>
  </cols>
  <sheetData>
    <row r="1" spans="1:11" ht="17.25" customHeight="1" x14ac:dyDescent="0.3">
      <c r="A1" s="10" t="s">
        <v>127</v>
      </c>
      <c r="B1" s="10"/>
      <c r="C1" s="10"/>
      <c r="D1" s="10"/>
      <c r="E1" s="10"/>
      <c r="F1" s="10"/>
      <c r="G1" s="10"/>
      <c r="H1" s="10"/>
      <c r="I1" s="10"/>
      <c r="J1" s="10"/>
    </row>
    <row r="3" spans="1:11" ht="15" customHeight="1" x14ac:dyDescent="0.3">
      <c r="A3" s="2" t="s">
        <v>45</v>
      </c>
      <c r="B3" s="2" t="s">
        <v>128</v>
      </c>
      <c r="C3" s="2" t="s">
        <v>67</v>
      </c>
      <c r="D3" s="2" t="s">
        <v>69</v>
      </c>
      <c r="E3" s="2" t="s">
        <v>71</v>
      </c>
      <c r="F3" s="2" t="s">
        <v>75</v>
      </c>
      <c r="G3" s="2" t="s">
        <v>77</v>
      </c>
      <c r="H3" s="2" t="s">
        <v>129</v>
      </c>
      <c r="I3" s="2" t="s">
        <v>130</v>
      </c>
      <c r="J3" s="2" t="s">
        <v>131</v>
      </c>
      <c r="K3" s="2" t="s">
        <v>132</v>
      </c>
    </row>
    <row r="4" spans="1:11" ht="15" customHeight="1" x14ac:dyDescent="0.3">
      <c r="A4" s="12" t="s">
        <v>50</v>
      </c>
      <c r="B4" s="12"/>
      <c r="C4" s="12"/>
      <c r="D4" s="12"/>
      <c r="E4" s="12"/>
      <c r="F4" s="12"/>
      <c r="G4" s="12"/>
      <c r="H4" s="12"/>
      <c r="I4" s="12"/>
      <c r="J4" s="12"/>
      <c r="K4" s="12"/>
    </row>
    <row r="5" spans="1:11" ht="15" customHeight="1" x14ac:dyDescent="0.3">
      <c r="B5" t="s">
        <v>133</v>
      </c>
      <c r="C5" s="6">
        <v>0</v>
      </c>
      <c r="D5" s="7">
        <v>1000</v>
      </c>
      <c r="E5" s="6">
        <v>0</v>
      </c>
      <c r="F5" s="7">
        <v>1000</v>
      </c>
      <c r="G5" s="6">
        <v>0</v>
      </c>
      <c r="H5" s="7">
        <v>1000</v>
      </c>
      <c r="I5" s="6">
        <v>0</v>
      </c>
      <c r="J5" s="7">
        <v>1000</v>
      </c>
      <c r="K5" s="6">
        <f>SUM(C5:J5)</f>
        <v>4000</v>
      </c>
    </row>
    <row r="6" spans="1:11" ht="15" customHeight="1" x14ac:dyDescent="0.3">
      <c r="B6" t="s">
        <v>134</v>
      </c>
      <c r="C6" s="6">
        <f>'01_INPUTS_MASTER'!B5</f>
        <v>0</v>
      </c>
      <c r="D6" s="6">
        <f>'01_INPUTS_MASTER'!C5</f>
        <v>1</v>
      </c>
      <c r="E6" s="6">
        <f>'01_INPUTS_MASTER'!D5</f>
        <v>0</v>
      </c>
      <c r="F6" s="6">
        <f>'01_INPUTS_MASTER'!E5</f>
        <v>1</v>
      </c>
      <c r="G6" s="6">
        <f>'01_INPUTS_MASTER'!F5</f>
        <v>0</v>
      </c>
      <c r="H6" s="6">
        <f>'01_INPUTS_MASTER'!G5</f>
        <v>1</v>
      </c>
      <c r="I6" s="6">
        <f>'01_INPUTS_MASTER'!H5</f>
        <v>0</v>
      </c>
      <c r="J6" s="6">
        <f>'01_INPUTS_MASTER'!I5</f>
        <v>1</v>
      </c>
    </row>
    <row r="7" spans="1:11" ht="15" customHeight="1" x14ac:dyDescent="0.3">
      <c r="B7" t="s">
        <v>135</v>
      </c>
      <c r="C7" s="6">
        <f t="shared" ref="C7:J7" si="0">IF(C6=1,C5,0)</f>
        <v>0</v>
      </c>
      <c r="D7" s="6">
        <f t="shared" si="0"/>
        <v>1000</v>
      </c>
      <c r="E7" s="6">
        <f t="shared" si="0"/>
        <v>0</v>
      </c>
      <c r="F7" s="6">
        <f t="shared" si="0"/>
        <v>1000</v>
      </c>
      <c r="G7" s="6">
        <f t="shared" si="0"/>
        <v>0</v>
      </c>
      <c r="H7" s="6">
        <f t="shared" si="0"/>
        <v>1000</v>
      </c>
      <c r="I7" s="6">
        <f t="shared" si="0"/>
        <v>0</v>
      </c>
      <c r="J7" s="6">
        <f t="shared" si="0"/>
        <v>1000</v>
      </c>
      <c r="K7" s="6">
        <f>SUM(C7:J7)</f>
        <v>4000</v>
      </c>
    </row>
    <row r="8" spans="1:11" ht="15" customHeight="1" x14ac:dyDescent="0.3">
      <c r="B8" t="s">
        <v>125</v>
      </c>
      <c r="C8" s="7">
        <f>'01_INPUTS_MASTER'!B67</f>
        <v>1737</v>
      </c>
      <c r="D8" s="8">
        <f t="shared" ref="D8:J8" si="1">C13</f>
        <v>1737</v>
      </c>
      <c r="E8" s="8">
        <f t="shared" si="1"/>
        <v>1737</v>
      </c>
      <c r="F8" s="8">
        <f t="shared" si="1"/>
        <v>1737</v>
      </c>
      <c r="G8" s="8">
        <f t="shared" si="1"/>
        <v>1737</v>
      </c>
      <c r="H8" s="8">
        <f t="shared" si="1"/>
        <v>1737</v>
      </c>
      <c r="I8" s="8">
        <f t="shared" si="1"/>
        <v>1737</v>
      </c>
      <c r="J8" s="8">
        <f t="shared" si="1"/>
        <v>1737</v>
      </c>
    </row>
    <row r="9" spans="1:11" ht="15" customHeight="1" x14ac:dyDescent="0.3">
      <c r="B9" t="s">
        <v>136</v>
      </c>
      <c r="C9" s="7">
        <f>'04_FLOW_S1_S5'!D9</f>
        <v>0</v>
      </c>
      <c r="D9" s="7">
        <f>'04_FLOW_S1_S5'!E9</f>
        <v>1000</v>
      </c>
      <c r="E9" s="7">
        <f>'04_FLOW_S1_S5'!F9</f>
        <v>0</v>
      </c>
      <c r="F9" s="7">
        <f>'04_FLOW_S1_S5'!G9</f>
        <v>1000</v>
      </c>
      <c r="G9" s="7">
        <f>'04_FLOW_S1_S5'!H9</f>
        <v>0</v>
      </c>
      <c r="H9" s="7">
        <f>'04_FLOW_S1_S5'!I9</f>
        <v>1000</v>
      </c>
      <c r="I9" s="7">
        <f>'04_FLOW_S1_S5'!J9</f>
        <v>0</v>
      </c>
      <c r="J9" s="7">
        <f>'04_FLOW_S1_S5'!K9</f>
        <v>1000</v>
      </c>
      <c r="K9" s="6">
        <f>SUM(C9:J9)</f>
        <v>4000</v>
      </c>
    </row>
    <row r="10" spans="1:11" ht="15" customHeight="1" x14ac:dyDescent="0.3">
      <c r="B10" t="s">
        <v>137</v>
      </c>
      <c r="C10" s="6">
        <f t="shared" ref="C10:J10" si="2">C8+C9</f>
        <v>1737</v>
      </c>
      <c r="D10" s="6">
        <f t="shared" si="2"/>
        <v>2737</v>
      </c>
      <c r="E10" s="6">
        <f t="shared" si="2"/>
        <v>1737</v>
      </c>
      <c r="F10" s="6">
        <f t="shared" si="2"/>
        <v>2737</v>
      </c>
      <c r="G10" s="6">
        <f t="shared" si="2"/>
        <v>1737</v>
      </c>
      <c r="H10" s="6">
        <f t="shared" si="2"/>
        <v>2737</v>
      </c>
      <c r="I10" s="6">
        <f t="shared" si="2"/>
        <v>1737</v>
      </c>
      <c r="J10" s="6">
        <f t="shared" si="2"/>
        <v>2737</v>
      </c>
    </row>
    <row r="11" spans="1:11" ht="15" customHeight="1" x14ac:dyDescent="0.3">
      <c r="B11" t="s">
        <v>138</v>
      </c>
      <c r="C11" s="6">
        <f t="shared" ref="C11:J11" si="3">MIN(C7,C10)</f>
        <v>0</v>
      </c>
      <c r="D11" s="6">
        <f t="shared" si="3"/>
        <v>1000</v>
      </c>
      <c r="E11" s="6">
        <f t="shared" si="3"/>
        <v>0</v>
      </c>
      <c r="F11" s="6">
        <f t="shared" si="3"/>
        <v>1000</v>
      </c>
      <c r="G11" s="6">
        <f t="shared" si="3"/>
        <v>0</v>
      </c>
      <c r="H11" s="6">
        <f t="shared" si="3"/>
        <v>1000</v>
      </c>
      <c r="I11" s="6">
        <f t="shared" si="3"/>
        <v>0</v>
      </c>
      <c r="J11" s="6">
        <f t="shared" si="3"/>
        <v>1000</v>
      </c>
      <c r="K11" s="6">
        <f>SUM(C11:J11)</f>
        <v>4000</v>
      </c>
    </row>
    <row r="12" spans="1:11" ht="15" customHeight="1" x14ac:dyDescent="0.3">
      <c r="B12" t="s">
        <v>139</v>
      </c>
      <c r="C12" s="6">
        <f t="shared" ref="C12:J12" si="4">MAX(0,C7-C11)</f>
        <v>0</v>
      </c>
      <c r="D12" s="6">
        <f t="shared" si="4"/>
        <v>0</v>
      </c>
      <c r="E12" s="6">
        <f t="shared" si="4"/>
        <v>0</v>
      </c>
      <c r="F12" s="6">
        <f t="shared" si="4"/>
        <v>0</v>
      </c>
      <c r="G12" s="6">
        <f t="shared" si="4"/>
        <v>0</v>
      </c>
      <c r="H12" s="6">
        <f t="shared" si="4"/>
        <v>0</v>
      </c>
      <c r="I12" s="6">
        <f t="shared" si="4"/>
        <v>0</v>
      </c>
      <c r="J12" s="6">
        <f t="shared" si="4"/>
        <v>0</v>
      </c>
      <c r="K12" s="6">
        <f>SUM(C12:J12)</f>
        <v>0</v>
      </c>
    </row>
    <row r="13" spans="1:11" ht="15" customHeight="1" x14ac:dyDescent="0.3">
      <c r="B13" t="s">
        <v>140</v>
      </c>
      <c r="C13" s="6">
        <f t="shared" ref="C13:J13" si="5">C10-C11</f>
        <v>1737</v>
      </c>
      <c r="D13" s="6">
        <f t="shared" si="5"/>
        <v>1737</v>
      </c>
      <c r="E13" s="6">
        <f t="shared" si="5"/>
        <v>1737</v>
      </c>
      <c r="F13" s="6">
        <f t="shared" si="5"/>
        <v>1737</v>
      </c>
      <c r="G13" s="6">
        <f t="shared" si="5"/>
        <v>1737</v>
      </c>
      <c r="H13" s="6">
        <f t="shared" si="5"/>
        <v>1737</v>
      </c>
      <c r="I13" s="6">
        <f t="shared" si="5"/>
        <v>1737</v>
      </c>
      <c r="J13" s="6">
        <f t="shared" si="5"/>
        <v>1737</v>
      </c>
    </row>
    <row r="15" spans="1:11" ht="15" customHeight="1" x14ac:dyDescent="0.3">
      <c r="A15" s="12" t="s">
        <v>51</v>
      </c>
      <c r="B15" s="12"/>
      <c r="C15" s="12"/>
      <c r="D15" s="12"/>
      <c r="E15" s="12"/>
      <c r="F15" s="12"/>
      <c r="G15" s="12"/>
      <c r="H15" s="12"/>
      <c r="I15" s="12"/>
      <c r="J15" s="12"/>
      <c r="K15" s="12"/>
    </row>
    <row r="16" spans="1:11" ht="15" customHeight="1" x14ac:dyDescent="0.3">
      <c r="B16" t="s">
        <v>133</v>
      </c>
      <c r="C16" s="6">
        <v>0</v>
      </c>
      <c r="D16" s="7">
        <v>1000</v>
      </c>
      <c r="E16" s="6">
        <v>0</v>
      </c>
      <c r="F16" s="7">
        <v>1000</v>
      </c>
      <c r="G16" s="6">
        <v>0</v>
      </c>
      <c r="H16" s="7">
        <v>1000</v>
      </c>
      <c r="I16" s="6">
        <v>0</v>
      </c>
      <c r="J16" s="7">
        <v>1000</v>
      </c>
      <c r="K16" s="6">
        <f>SUM(C16:J16)</f>
        <v>4000</v>
      </c>
    </row>
    <row r="17" spans="1:11" ht="15" customHeight="1" x14ac:dyDescent="0.3">
      <c r="B17" t="s">
        <v>134</v>
      </c>
      <c r="C17" s="6">
        <f>'01_INPUTS_MASTER'!B5</f>
        <v>0</v>
      </c>
      <c r="D17" s="6">
        <f>'01_INPUTS_MASTER'!C5</f>
        <v>1</v>
      </c>
      <c r="E17" s="6">
        <f>'01_INPUTS_MASTER'!D5</f>
        <v>0</v>
      </c>
      <c r="F17" s="6">
        <f>'01_INPUTS_MASTER'!E5</f>
        <v>1</v>
      </c>
      <c r="G17" s="6">
        <f>'01_INPUTS_MASTER'!F5</f>
        <v>0</v>
      </c>
      <c r="H17" s="6">
        <f>'01_INPUTS_MASTER'!G5</f>
        <v>1</v>
      </c>
      <c r="I17" s="6">
        <f>'01_INPUTS_MASTER'!H5</f>
        <v>0</v>
      </c>
      <c r="J17" s="6">
        <f>'01_INPUTS_MASTER'!I5</f>
        <v>1</v>
      </c>
    </row>
    <row r="18" spans="1:11" ht="15" customHeight="1" x14ac:dyDescent="0.3">
      <c r="B18" t="s">
        <v>135</v>
      </c>
      <c r="C18" s="6">
        <f t="shared" ref="C18:J18" si="6">IF(C17=1,C16,0)</f>
        <v>0</v>
      </c>
      <c r="D18" s="6">
        <f t="shared" si="6"/>
        <v>1000</v>
      </c>
      <c r="E18" s="6">
        <f t="shared" si="6"/>
        <v>0</v>
      </c>
      <c r="F18" s="6">
        <f t="shared" si="6"/>
        <v>1000</v>
      </c>
      <c r="G18" s="6">
        <f t="shared" si="6"/>
        <v>0</v>
      </c>
      <c r="H18" s="6">
        <f t="shared" si="6"/>
        <v>1000</v>
      </c>
      <c r="I18" s="6">
        <f t="shared" si="6"/>
        <v>0</v>
      </c>
      <c r="J18" s="6">
        <f t="shared" si="6"/>
        <v>1000</v>
      </c>
      <c r="K18" s="6">
        <f>SUM(C18:J18)</f>
        <v>4000</v>
      </c>
    </row>
    <row r="19" spans="1:11" ht="15" customHeight="1" x14ac:dyDescent="0.3">
      <c r="B19" t="s">
        <v>125</v>
      </c>
      <c r="C19" s="7">
        <f>'01_INPUTS_MASTER'!B68</f>
        <v>1299</v>
      </c>
      <c r="D19" s="8">
        <f t="shared" ref="D19:J19" si="7">C24</f>
        <v>1299</v>
      </c>
      <c r="E19" s="8">
        <f t="shared" si="7"/>
        <v>1299</v>
      </c>
      <c r="F19" s="8">
        <f t="shared" si="7"/>
        <v>1299</v>
      </c>
      <c r="G19" s="8">
        <f t="shared" si="7"/>
        <v>1299</v>
      </c>
      <c r="H19" s="8">
        <f t="shared" si="7"/>
        <v>1299</v>
      </c>
      <c r="I19" s="8">
        <f t="shared" si="7"/>
        <v>1299</v>
      </c>
      <c r="J19" s="8">
        <f t="shared" si="7"/>
        <v>1299</v>
      </c>
    </row>
    <row r="20" spans="1:11" ht="15" customHeight="1" x14ac:dyDescent="0.3">
      <c r="B20" t="s">
        <v>136</v>
      </c>
      <c r="C20" s="7">
        <f>'04_FLOW_S1_S5'!D40</f>
        <v>0</v>
      </c>
      <c r="D20" s="7">
        <f>'04_FLOW_S1_S5'!E40</f>
        <v>1000</v>
      </c>
      <c r="E20" s="7">
        <f>'04_FLOW_S1_S5'!F40</f>
        <v>0</v>
      </c>
      <c r="F20" s="7">
        <f>'04_FLOW_S1_S5'!G40</f>
        <v>1000</v>
      </c>
      <c r="G20" s="7">
        <f>'04_FLOW_S1_S5'!H40</f>
        <v>0</v>
      </c>
      <c r="H20" s="7">
        <f>'04_FLOW_S1_S5'!I40</f>
        <v>1000</v>
      </c>
      <c r="I20" s="7">
        <f>'04_FLOW_S1_S5'!J40</f>
        <v>0</v>
      </c>
      <c r="J20" s="7">
        <f>'04_FLOW_S1_S5'!K40</f>
        <v>1000</v>
      </c>
      <c r="K20" s="6">
        <f>SUM(C20:J20)</f>
        <v>4000</v>
      </c>
    </row>
    <row r="21" spans="1:11" ht="15" customHeight="1" x14ac:dyDescent="0.3">
      <c r="B21" t="s">
        <v>137</v>
      </c>
      <c r="C21" s="6">
        <f t="shared" ref="C21:J21" si="8">C19+C20</f>
        <v>1299</v>
      </c>
      <c r="D21" s="6">
        <f t="shared" si="8"/>
        <v>2299</v>
      </c>
      <c r="E21" s="6">
        <f t="shared" si="8"/>
        <v>1299</v>
      </c>
      <c r="F21" s="6">
        <f t="shared" si="8"/>
        <v>2299</v>
      </c>
      <c r="G21" s="6">
        <f t="shared" si="8"/>
        <v>1299</v>
      </c>
      <c r="H21" s="6">
        <f t="shared" si="8"/>
        <v>2299</v>
      </c>
      <c r="I21" s="6">
        <f t="shared" si="8"/>
        <v>1299</v>
      </c>
      <c r="J21" s="6">
        <f t="shared" si="8"/>
        <v>2299</v>
      </c>
    </row>
    <row r="22" spans="1:11" ht="15" customHeight="1" x14ac:dyDescent="0.3">
      <c r="B22" t="s">
        <v>138</v>
      </c>
      <c r="C22" s="6">
        <f t="shared" ref="C22:J22" si="9">MIN(C18,C21)</f>
        <v>0</v>
      </c>
      <c r="D22" s="6">
        <f t="shared" si="9"/>
        <v>1000</v>
      </c>
      <c r="E22" s="6">
        <f t="shared" si="9"/>
        <v>0</v>
      </c>
      <c r="F22" s="6">
        <f t="shared" si="9"/>
        <v>1000</v>
      </c>
      <c r="G22" s="6">
        <f t="shared" si="9"/>
        <v>0</v>
      </c>
      <c r="H22" s="6">
        <f t="shared" si="9"/>
        <v>1000</v>
      </c>
      <c r="I22" s="6">
        <f t="shared" si="9"/>
        <v>0</v>
      </c>
      <c r="J22" s="6">
        <f t="shared" si="9"/>
        <v>1000</v>
      </c>
      <c r="K22" s="6">
        <f>SUM(C22:J22)</f>
        <v>4000</v>
      </c>
    </row>
    <row r="23" spans="1:11" ht="15" customHeight="1" x14ac:dyDescent="0.3">
      <c r="B23" t="s">
        <v>139</v>
      </c>
      <c r="C23" s="6">
        <f t="shared" ref="C23:J23" si="10">MAX(0,C18-C22)</f>
        <v>0</v>
      </c>
      <c r="D23" s="6">
        <f t="shared" si="10"/>
        <v>0</v>
      </c>
      <c r="E23" s="6">
        <f t="shared" si="10"/>
        <v>0</v>
      </c>
      <c r="F23" s="6">
        <f t="shared" si="10"/>
        <v>0</v>
      </c>
      <c r="G23" s="6">
        <f t="shared" si="10"/>
        <v>0</v>
      </c>
      <c r="H23" s="6">
        <f t="shared" si="10"/>
        <v>0</v>
      </c>
      <c r="I23" s="6">
        <f t="shared" si="10"/>
        <v>0</v>
      </c>
      <c r="J23" s="6">
        <f t="shared" si="10"/>
        <v>0</v>
      </c>
      <c r="K23" s="6">
        <f>SUM(C23:J23)</f>
        <v>0</v>
      </c>
    </row>
    <row r="24" spans="1:11" ht="15" customHeight="1" x14ac:dyDescent="0.3">
      <c r="B24" t="s">
        <v>140</v>
      </c>
      <c r="C24" s="6">
        <f t="shared" ref="C24:J24" si="11">C21-C22</f>
        <v>1299</v>
      </c>
      <c r="D24" s="6">
        <f t="shared" si="11"/>
        <v>1299</v>
      </c>
      <c r="E24" s="6">
        <f t="shared" si="11"/>
        <v>1299</v>
      </c>
      <c r="F24" s="6">
        <f t="shared" si="11"/>
        <v>1299</v>
      </c>
      <c r="G24" s="6">
        <f t="shared" si="11"/>
        <v>1299</v>
      </c>
      <c r="H24" s="6">
        <f t="shared" si="11"/>
        <v>1299</v>
      </c>
      <c r="I24" s="6">
        <f t="shared" si="11"/>
        <v>1299</v>
      </c>
      <c r="J24" s="6">
        <f t="shared" si="11"/>
        <v>1299</v>
      </c>
    </row>
    <row r="26" spans="1:11" ht="15" customHeight="1" x14ac:dyDescent="0.3">
      <c r="A26" s="12" t="s">
        <v>52</v>
      </c>
      <c r="B26" s="12"/>
      <c r="C26" s="12"/>
      <c r="D26" s="12"/>
      <c r="E26" s="12"/>
      <c r="F26" s="12"/>
      <c r="G26" s="12"/>
      <c r="H26" s="12"/>
      <c r="I26" s="12"/>
      <c r="J26" s="12"/>
      <c r="K26" s="12"/>
    </row>
    <row r="27" spans="1:11" ht="15" customHeight="1" x14ac:dyDescent="0.3">
      <c r="B27" t="s">
        <v>133</v>
      </c>
      <c r="C27" s="6">
        <v>0</v>
      </c>
      <c r="D27" s="7">
        <v>1000</v>
      </c>
      <c r="E27" s="6">
        <v>0</v>
      </c>
      <c r="F27" s="7">
        <v>1000</v>
      </c>
      <c r="G27" s="6">
        <v>0</v>
      </c>
      <c r="H27" s="7">
        <v>1000</v>
      </c>
      <c r="I27" s="6">
        <v>0</v>
      </c>
      <c r="J27" s="7">
        <v>1000</v>
      </c>
      <c r="K27" s="6">
        <f>SUM(C27:J27)</f>
        <v>4000</v>
      </c>
    </row>
    <row r="28" spans="1:11" ht="15" customHeight="1" x14ac:dyDescent="0.3">
      <c r="B28" t="s">
        <v>134</v>
      </c>
      <c r="C28" s="6">
        <f>'01_INPUTS_MASTER'!B5</f>
        <v>0</v>
      </c>
      <c r="D28" s="6">
        <f>'01_INPUTS_MASTER'!C5</f>
        <v>1</v>
      </c>
      <c r="E28" s="6">
        <f>'01_INPUTS_MASTER'!D5</f>
        <v>0</v>
      </c>
      <c r="F28" s="6">
        <f>'01_INPUTS_MASTER'!E5</f>
        <v>1</v>
      </c>
      <c r="G28" s="6">
        <f>'01_INPUTS_MASTER'!F5</f>
        <v>0</v>
      </c>
      <c r="H28" s="6">
        <f>'01_INPUTS_MASTER'!G5</f>
        <v>1</v>
      </c>
      <c r="I28" s="6">
        <f>'01_INPUTS_MASTER'!H5</f>
        <v>0</v>
      </c>
      <c r="J28" s="6">
        <f>'01_INPUTS_MASTER'!I5</f>
        <v>1</v>
      </c>
    </row>
    <row r="29" spans="1:11" ht="15" customHeight="1" x14ac:dyDescent="0.3">
      <c r="B29" t="s">
        <v>135</v>
      </c>
      <c r="C29" s="6">
        <f t="shared" ref="C29:J29" si="12">IF(C28=1,C27,0)</f>
        <v>0</v>
      </c>
      <c r="D29" s="6">
        <f t="shared" si="12"/>
        <v>1000</v>
      </c>
      <c r="E29" s="6">
        <f t="shared" si="12"/>
        <v>0</v>
      </c>
      <c r="F29" s="6">
        <f t="shared" si="12"/>
        <v>1000</v>
      </c>
      <c r="G29" s="6">
        <f t="shared" si="12"/>
        <v>0</v>
      </c>
      <c r="H29" s="6">
        <f t="shared" si="12"/>
        <v>1000</v>
      </c>
      <c r="I29" s="6">
        <f t="shared" si="12"/>
        <v>0</v>
      </c>
      <c r="J29" s="6">
        <f t="shared" si="12"/>
        <v>1000</v>
      </c>
      <c r="K29" s="6">
        <f>SUM(C29:J29)</f>
        <v>4000</v>
      </c>
    </row>
    <row r="30" spans="1:11" ht="15" customHeight="1" x14ac:dyDescent="0.3">
      <c r="B30" t="s">
        <v>125</v>
      </c>
      <c r="C30" s="7">
        <f>'01_INPUTS_MASTER'!B69</f>
        <v>0</v>
      </c>
      <c r="D30" s="8">
        <f t="shared" ref="D30:J30" si="13">C35</f>
        <v>0</v>
      </c>
      <c r="E30" s="8">
        <f t="shared" si="13"/>
        <v>0</v>
      </c>
      <c r="F30" s="8">
        <f t="shared" si="13"/>
        <v>0</v>
      </c>
      <c r="G30" s="8">
        <f t="shared" si="13"/>
        <v>0</v>
      </c>
      <c r="H30" s="8">
        <f t="shared" si="13"/>
        <v>0</v>
      </c>
      <c r="I30" s="8">
        <f t="shared" si="13"/>
        <v>0</v>
      </c>
      <c r="J30" s="8">
        <f t="shared" si="13"/>
        <v>0</v>
      </c>
    </row>
    <row r="31" spans="1:11" ht="15" customHeight="1" x14ac:dyDescent="0.3">
      <c r="B31" t="s">
        <v>136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6">
        <f>SUM(C31:J31)</f>
        <v>0</v>
      </c>
    </row>
    <row r="32" spans="1:11" ht="15" customHeight="1" x14ac:dyDescent="0.3">
      <c r="B32" t="s">
        <v>137</v>
      </c>
      <c r="C32" s="6">
        <f t="shared" ref="C32:J32" si="14">C30+C31</f>
        <v>0</v>
      </c>
      <c r="D32" s="6">
        <f t="shared" si="14"/>
        <v>0</v>
      </c>
      <c r="E32" s="6">
        <f t="shared" si="14"/>
        <v>0</v>
      </c>
      <c r="F32" s="6">
        <f t="shared" si="14"/>
        <v>0</v>
      </c>
      <c r="G32" s="6">
        <f t="shared" si="14"/>
        <v>0</v>
      </c>
      <c r="H32" s="6">
        <f t="shared" si="14"/>
        <v>0</v>
      </c>
      <c r="I32" s="6">
        <f t="shared" si="14"/>
        <v>0</v>
      </c>
      <c r="J32" s="6">
        <f t="shared" si="14"/>
        <v>0</v>
      </c>
    </row>
    <row r="33" spans="1:11" ht="15" customHeight="1" x14ac:dyDescent="0.3">
      <c r="B33" t="s">
        <v>138</v>
      </c>
      <c r="C33" s="6">
        <f t="shared" ref="C33:J33" si="15">MIN(C29,C32)</f>
        <v>0</v>
      </c>
      <c r="D33" s="6">
        <f t="shared" si="15"/>
        <v>0</v>
      </c>
      <c r="E33" s="6">
        <f t="shared" si="15"/>
        <v>0</v>
      </c>
      <c r="F33" s="6">
        <f t="shared" si="15"/>
        <v>0</v>
      </c>
      <c r="G33" s="6">
        <f t="shared" si="15"/>
        <v>0</v>
      </c>
      <c r="H33" s="6">
        <f t="shared" si="15"/>
        <v>0</v>
      </c>
      <c r="I33" s="6">
        <f t="shared" si="15"/>
        <v>0</v>
      </c>
      <c r="J33" s="6">
        <f t="shared" si="15"/>
        <v>0</v>
      </c>
      <c r="K33" s="6">
        <f>SUM(C33:J33)</f>
        <v>0</v>
      </c>
    </row>
    <row r="34" spans="1:11" ht="15" customHeight="1" x14ac:dyDescent="0.3">
      <c r="B34" t="s">
        <v>139</v>
      </c>
      <c r="C34" s="6">
        <f t="shared" ref="C34:J34" si="16">MAX(0,C29-C33)</f>
        <v>0</v>
      </c>
      <c r="D34" s="6">
        <f t="shared" si="16"/>
        <v>1000</v>
      </c>
      <c r="E34" s="6">
        <f t="shared" si="16"/>
        <v>0</v>
      </c>
      <c r="F34" s="6">
        <f t="shared" si="16"/>
        <v>1000</v>
      </c>
      <c r="G34" s="6">
        <f t="shared" si="16"/>
        <v>0</v>
      </c>
      <c r="H34" s="6">
        <f t="shared" si="16"/>
        <v>1000</v>
      </c>
      <c r="I34" s="6">
        <f t="shared" si="16"/>
        <v>0</v>
      </c>
      <c r="J34" s="6">
        <f t="shared" si="16"/>
        <v>1000</v>
      </c>
      <c r="K34" s="6">
        <f>SUM(C34:J34)</f>
        <v>4000</v>
      </c>
    </row>
    <row r="35" spans="1:11" ht="15" customHeight="1" x14ac:dyDescent="0.3">
      <c r="B35" t="s">
        <v>140</v>
      </c>
      <c r="C35" s="6">
        <f t="shared" ref="C35:J35" si="17">C32-C33</f>
        <v>0</v>
      </c>
      <c r="D35" s="6">
        <f t="shared" si="17"/>
        <v>0</v>
      </c>
      <c r="E35" s="6">
        <f t="shared" si="17"/>
        <v>0</v>
      </c>
      <c r="F35" s="6">
        <f t="shared" si="17"/>
        <v>0</v>
      </c>
      <c r="G35" s="6">
        <f t="shared" si="17"/>
        <v>0</v>
      </c>
      <c r="H35" s="6">
        <f t="shared" si="17"/>
        <v>0</v>
      </c>
      <c r="I35" s="6">
        <f t="shared" si="17"/>
        <v>0</v>
      </c>
      <c r="J35" s="6">
        <f t="shared" si="17"/>
        <v>0</v>
      </c>
    </row>
    <row r="37" spans="1:11" ht="15" customHeight="1" x14ac:dyDescent="0.3">
      <c r="A37" s="12" t="s">
        <v>53</v>
      </c>
      <c r="B37" s="12"/>
      <c r="C37" s="12"/>
      <c r="D37" s="12"/>
      <c r="E37" s="12"/>
      <c r="F37" s="12"/>
      <c r="G37" s="12"/>
      <c r="H37" s="12"/>
      <c r="I37" s="12"/>
      <c r="J37" s="12"/>
      <c r="K37" s="12"/>
    </row>
    <row r="38" spans="1:11" ht="15" customHeight="1" x14ac:dyDescent="0.3">
      <c r="B38" t="s">
        <v>133</v>
      </c>
      <c r="C38" s="6">
        <v>0</v>
      </c>
      <c r="D38" s="7">
        <v>1000</v>
      </c>
      <c r="E38" s="6">
        <v>0</v>
      </c>
      <c r="F38" s="7">
        <v>1000</v>
      </c>
      <c r="G38" s="6">
        <v>0</v>
      </c>
      <c r="H38" s="7">
        <v>1000</v>
      </c>
      <c r="I38" s="6">
        <v>0</v>
      </c>
      <c r="J38" s="7">
        <v>1000</v>
      </c>
      <c r="K38" s="6">
        <f>SUM(C38:J38)</f>
        <v>4000</v>
      </c>
    </row>
    <row r="39" spans="1:11" ht="15" customHeight="1" x14ac:dyDescent="0.3">
      <c r="B39" t="s">
        <v>134</v>
      </c>
      <c r="C39" s="6">
        <f>'01_INPUTS_MASTER'!B5</f>
        <v>0</v>
      </c>
      <c r="D39" s="6">
        <f>'01_INPUTS_MASTER'!C5</f>
        <v>1</v>
      </c>
      <c r="E39" s="6">
        <f>'01_INPUTS_MASTER'!D5</f>
        <v>0</v>
      </c>
      <c r="F39" s="6">
        <f>'01_INPUTS_MASTER'!E5</f>
        <v>1</v>
      </c>
      <c r="G39" s="6">
        <f>'01_INPUTS_MASTER'!F5</f>
        <v>0</v>
      </c>
      <c r="H39" s="6">
        <f>'01_INPUTS_MASTER'!G5</f>
        <v>1</v>
      </c>
      <c r="I39" s="6">
        <f>'01_INPUTS_MASTER'!H5</f>
        <v>0</v>
      </c>
      <c r="J39" s="6">
        <f>'01_INPUTS_MASTER'!I5</f>
        <v>1</v>
      </c>
    </row>
    <row r="40" spans="1:11" ht="15" customHeight="1" x14ac:dyDescent="0.3">
      <c r="B40" t="s">
        <v>135</v>
      </c>
      <c r="C40" s="6">
        <f t="shared" ref="C40:J40" si="18">IF(C39=1,C38,0)</f>
        <v>0</v>
      </c>
      <c r="D40" s="6">
        <f t="shared" si="18"/>
        <v>1000</v>
      </c>
      <c r="E40" s="6">
        <f t="shared" si="18"/>
        <v>0</v>
      </c>
      <c r="F40" s="6">
        <f t="shared" si="18"/>
        <v>1000</v>
      </c>
      <c r="G40" s="6">
        <f t="shared" si="18"/>
        <v>0</v>
      </c>
      <c r="H40" s="6">
        <f t="shared" si="18"/>
        <v>1000</v>
      </c>
      <c r="I40" s="6">
        <f t="shared" si="18"/>
        <v>0</v>
      </c>
      <c r="J40" s="6">
        <f t="shared" si="18"/>
        <v>1000</v>
      </c>
      <c r="K40" s="6">
        <f>SUM(C40:J40)</f>
        <v>4000</v>
      </c>
    </row>
    <row r="41" spans="1:11" ht="15" customHeight="1" x14ac:dyDescent="0.3">
      <c r="B41" t="s">
        <v>125</v>
      </c>
      <c r="C41" s="7">
        <f>'01_INPUTS_MASTER'!B70</f>
        <v>0</v>
      </c>
      <c r="D41" s="8">
        <f t="shared" ref="D41:J41" si="19">C46</f>
        <v>0</v>
      </c>
      <c r="E41" s="8">
        <f t="shared" si="19"/>
        <v>0</v>
      </c>
      <c r="F41" s="8">
        <f t="shared" si="19"/>
        <v>0</v>
      </c>
      <c r="G41" s="8">
        <f t="shared" si="19"/>
        <v>0</v>
      </c>
      <c r="H41" s="8">
        <f t="shared" si="19"/>
        <v>0</v>
      </c>
      <c r="I41" s="8">
        <f t="shared" si="19"/>
        <v>0</v>
      </c>
      <c r="J41" s="8">
        <f t="shared" si="19"/>
        <v>0</v>
      </c>
    </row>
    <row r="42" spans="1:11" ht="15" customHeight="1" x14ac:dyDescent="0.3">
      <c r="B42" t="s">
        <v>136</v>
      </c>
      <c r="C42" s="7">
        <v>0</v>
      </c>
      <c r="D42" s="7">
        <v>0</v>
      </c>
      <c r="E42" s="7">
        <v>0</v>
      </c>
      <c r="F42" s="7">
        <v>0</v>
      </c>
      <c r="G42" s="7">
        <v>0</v>
      </c>
      <c r="H42" s="7">
        <v>0</v>
      </c>
      <c r="I42" s="7">
        <v>0</v>
      </c>
      <c r="J42" s="7">
        <v>0</v>
      </c>
      <c r="K42" s="6">
        <f>SUM(C42:J42)</f>
        <v>0</v>
      </c>
    </row>
    <row r="43" spans="1:11" ht="15" customHeight="1" x14ac:dyDescent="0.3">
      <c r="B43" t="s">
        <v>137</v>
      </c>
      <c r="C43" s="6">
        <f t="shared" ref="C43:J43" si="20">C41+C42</f>
        <v>0</v>
      </c>
      <c r="D43" s="6">
        <f t="shared" si="20"/>
        <v>0</v>
      </c>
      <c r="E43" s="6">
        <f t="shared" si="20"/>
        <v>0</v>
      </c>
      <c r="F43" s="6">
        <f t="shared" si="20"/>
        <v>0</v>
      </c>
      <c r="G43" s="6">
        <f t="shared" si="20"/>
        <v>0</v>
      </c>
      <c r="H43" s="6">
        <f t="shared" si="20"/>
        <v>0</v>
      </c>
      <c r="I43" s="6">
        <f t="shared" si="20"/>
        <v>0</v>
      </c>
      <c r="J43" s="6">
        <f t="shared" si="20"/>
        <v>0</v>
      </c>
    </row>
    <row r="44" spans="1:11" ht="15" customHeight="1" x14ac:dyDescent="0.3">
      <c r="B44" t="s">
        <v>138</v>
      </c>
      <c r="C44" s="6">
        <f t="shared" ref="C44:J44" si="21">MIN(C40,C43)</f>
        <v>0</v>
      </c>
      <c r="D44" s="6">
        <f t="shared" si="21"/>
        <v>0</v>
      </c>
      <c r="E44" s="6">
        <f t="shared" si="21"/>
        <v>0</v>
      </c>
      <c r="F44" s="6">
        <f t="shared" si="21"/>
        <v>0</v>
      </c>
      <c r="G44" s="6">
        <f t="shared" si="21"/>
        <v>0</v>
      </c>
      <c r="H44" s="6">
        <f t="shared" si="21"/>
        <v>0</v>
      </c>
      <c r="I44" s="6">
        <f t="shared" si="21"/>
        <v>0</v>
      </c>
      <c r="J44" s="6">
        <f t="shared" si="21"/>
        <v>0</v>
      </c>
      <c r="K44" s="6">
        <f>SUM(C44:J44)</f>
        <v>0</v>
      </c>
    </row>
    <row r="45" spans="1:11" ht="15" customHeight="1" x14ac:dyDescent="0.3">
      <c r="B45" t="s">
        <v>139</v>
      </c>
      <c r="C45" s="6">
        <f t="shared" ref="C45:J45" si="22">MAX(0,C40-C44)</f>
        <v>0</v>
      </c>
      <c r="D45" s="6">
        <f t="shared" si="22"/>
        <v>1000</v>
      </c>
      <c r="E45" s="6">
        <f t="shared" si="22"/>
        <v>0</v>
      </c>
      <c r="F45" s="6">
        <f t="shared" si="22"/>
        <v>1000</v>
      </c>
      <c r="G45" s="6">
        <f t="shared" si="22"/>
        <v>0</v>
      </c>
      <c r="H45" s="6">
        <f t="shared" si="22"/>
        <v>1000</v>
      </c>
      <c r="I45" s="6">
        <f t="shared" si="22"/>
        <v>0</v>
      </c>
      <c r="J45" s="6">
        <f t="shared" si="22"/>
        <v>1000</v>
      </c>
      <c r="K45" s="6">
        <f>SUM(C45:J45)</f>
        <v>4000</v>
      </c>
    </row>
    <row r="46" spans="1:11" ht="15" customHeight="1" x14ac:dyDescent="0.3">
      <c r="B46" t="s">
        <v>140</v>
      </c>
      <c r="C46" s="6">
        <f t="shared" ref="C46:J46" si="23">C43-C44</f>
        <v>0</v>
      </c>
      <c r="D46" s="6">
        <f t="shared" si="23"/>
        <v>0</v>
      </c>
      <c r="E46" s="6">
        <f t="shared" si="23"/>
        <v>0</v>
      </c>
      <c r="F46" s="6">
        <f t="shared" si="23"/>
        <v>0</v>
      </c>
      <c r="G46" s="6">
        <f t="shared" si="23"/>
        <v>0</v>
      </c>
      <c r="H46" s="6">
        <f t="shared" si="23"/>
        <v>0</v>
      </c>
      <c r="I46" s="6">
        <f t="shared" si="23"/>
        <v>0</v>
      </c>
      <c r="J46" s="6">
        <f t="shared" si="23"/>
        <v>0</v>
      </c>
    </row>
    <row r="48" spans="1:11" ht="15" customHeight="1" x14ac:dyDescent="0.3">
      <c r="A48" s="12" t="s">
        <v>54</v>
      </c>
      <c r="B48" s="12"/>
      <c r="C48" s="12"/>
      <c r="D48" s="12"/>
      <c r="E48" s="12"/>
      <c r="F48" s="12"/>
      <c r="G48" s="12"/>
      <c r="H48" s="12"/>
      <c r="I48" s="12"/>
      <c r="J48" s="12"/>
      <c r="K48" s="12"/>
    </row>
    <row r="49" spans="2:11" ht="15" customHeight="1" x14ac:dyDescent="0.3">
      <c r="B49" t="s">
        <v>133</v>
      </c>
      <c r="C49" s="6">
        <v>0</v>
      </c>
      <c r="D49" s="7">
        <v>1000</v>
      </c>
      <c r="E49" s="6">
        <v>0</v>
      </c>
      <c r="F49" s="7">
        <v>1000</v>
      </c>
      <c r="G49" s="6">
        <v>0</v>
      </c>
      <c r="H49" s="7">
        <v>1000</v>
      </c>
      <c r="I49" s="6">
        <v>0</v>
      </c>
      <c r="J49" s="7">
        <v>1000</v>
      </c>
      <c r="K49" s="6">
        <f>SUM(C49:J49)</f>
        <v>4000</v>
      </c>
    </row>
    <row r="50" spans="2:11" ht="15" customHeight="1" x14ac:dyDescent="0.3">
      <c r="B50" t="s">
        <v>134</v>
      </c>
      <c r="C50" s="6">
        <f>'01_INPUTS_MASTER'!B5</f>
        <v>0</v>
      </c>
      <c r="D50" s="6">
        <f>'01_INPUTS_MASTER'!C5</f>
        <v>1</v>
      </c>
      <c r="E50" s="6">
        <f>'01_INPUTS_MASTER'!D5</f>
        <v>0</v>
      </c>
      <c r="F50" s="6">
        <f>'01_INPUTS_MASTER'!E5</f>
        <v>1</v>
      </c>
      <c r="G50" s="6">
        <f>'01_INPUTS_MASTER'!F5</f>
        <v>0</v>
      </c>
      <c r="H50" s="6">
        <f>'01_INPUTS_MASTER'!G5</f>
        <v>1</v>
      </c>
      <c r="I50" s="6">
        <f>'01_INPUTS_MASTER'!H5</f>
        <v>0</v>
      </c>
      <c r="J50" s="6">
        <f>'01_INPUTS_MASTER'!I5</f>
        <v>1</v>
      </c>
    </row>
    <row r="51" spans="2:11" ht="15" customHeight="1" x14ac:dyDescent="0.3">
      <c r="B51" t="s">
        <v>135</v>
      </c>
      <c r="C51" s="6">
        <f t="shared" ref="C51:J51" si="24">IF(C50=1,C49,0)</f>
        <v>0</v>
      </c>
      <c r="D51" s="6">
        <f t="shared" si="24"/>
        <v>1000</v>
      </c>
      <c r="E51" s="6">
        <f t="shared" si="24"/>
        <v>0</v>
      </c>
      <c r="F51" s="6">
        <f t="shared" si="24"/>
        <v>1000</v>
      </c>
      <c r="G51" s="6">
        <f t="shared" si="24"/>
        <v>0</v>
      </c>
      <c r="H51" s="6">
        <f t="shared" si="24"/>
        <v>1000</v>
      </c>
      <c r="I51" s="6">
        <f t="shared" si="24"/>
        <v>0</v>
      </c>
      <c r="J51" s="6">
        <f t="shared" si="24"/>
        <v>1000</v>
      </c>
      <c r="K51" s="6">
        <f>SUM(C51:J51)</f>
        <v>4000</v>
      </c>
    </row>
    <row r="52" spans="2:11" ht="15" customHeight="1" x14ac:dyDescent="0.3">
      <c r="B52" t="s">
        <v>125</v>
      </c>
      <c r="C52" s="7">
        <f>'01_INPUTS_MASTER'!B71</f>
        <v>0</v>
      </c>
      <c r="D52" s="8">
        <f t="shared" ref="D52:J52" si="25">C57</f>
        <v>0</v>
      </c>
      <c r="E52" s="8">
        <f t="shared" si="25"/>
        <v>0</v>
      </c>
      <c r="F52" s="8">
        <f t="shared" si="25"/>
        <v>0</v>
      </c>
      <c r="G52" s="8">
        <f t="shared" si="25"/>
        <v>0</v>
      </c>
      <c r="H52" s="8">
        <f t="shared" si="25"/>
        <v>0</v>
      </c>
      <c r="I52" s="8">
        <f t="shared" si="25"/>
        <v>0</v>
      </c>
      <c r="J52" s="8">
        <f t="shared" si="25"/>
        <v>0</v>
      </c>
    </row>
    <row r="53" spans="2:11" ht="15" customHeight="1" x14ac:dyDescent="0.3">
      <c r="B53" t="s">
        <v>136</v>
      </c>
      <c r="C53" s="7">
        <v>0</v>
      </c>
      <c r="D53" s="7">
        <v>0</v>
      </c>
      <c r="E53" s="7">
        <v>0</v>
      </c>
      <c r="F53" s="7">
        <v>0</v>
      </c>
      <c r="G53" s="7">
        <v>0</v>
      </c>
      <c r="H53" s="7">
        <v>0</v>
      </c>
      <c r="I53" s="7">
        <v>0</v>
      </c>
      <c r="J53" s="7">
        <v>0</v>
      </c>
      <c r="K53" s="6">
        <f>SUM(C53:J53)</f>
        <v>0</v>
      </c>
    </row>
    <row r="54" spans="2:11" ht="15" customHeight="1" x14ac:dyDescent="0.3">
      <c r="B54" t="s">
        <v>137</v>
      </c>
      <c r="C54" s="6">
        <f t="shared" ref="C54:J54" si="26">C52+C53</f>
        <v>0</v>
      </c>
      <c r="D54" s="6">
        <f t="shared" si="26"/>
        <v>0</v>
      </c>
      <c r="E54" s="6">
        <f t="shared" si="26"/>
        <v>0</v>
      </c>
      <c r="F54" s="6">
        <f t="shared" si="26"/>
        <v>0</v>
      </c>
      <c r="G54" s="6">
        <f t="shared" si="26"/>
        <v>0</v>
      </c>
      <c r="H54" s="6">
        <f t="shared" si="26"/>
        <v>0</v>
      </c>
      <c r="I54" s="6">
        <f t="shared" si="26"/>
        <v>0</v>
      </c>
      <c r="J54" s="6">
        <f t="shared" si="26"/>
        <v>0</v>
      </c>
    </row>
    <row r="55" spans="2:11" ht="15" customHeight="1" x14ac:dyDescent="0.3">
      <c r="B55" t="s">
        <v>138</v>
      </c>
      <c r="C55" s="6">
        <f t="shared" ref="C55:J55" si="27">MIN(C51,C54)</f>
        <v>0</v>
      </c>
      <c r="D55" s="6">
        <f t="shared" si="27"/>
        <v>0</v>
      </c>
      <c r="E55" s="6">
        <f t="shared" si="27"/>
        <v>0</v>
      </c>
      <c r="F55" s="6">
        <f t="shared" si="27"/>
        <v>0</v>
      </c>
      <c r="G55" s="6">
        <f t="shared" si="27"/>
        <v>0</v>
      </c>
      <c r="H55" s="6">
        <f t="shared" si="27"/>
        <v>0</v>
      </c>
      <c r="I55" s="6">
        <f t="shared" si="27"/>
        <v>0</v>
      </c>
      <c r="J55" s="6">
        <f t="shared" si="27"/>
        <v>0</v>
      </c>
      <c r="K55" s="6">
        <f>SUM(C55:J55)</f>
        <v>0</v>
      </c>
    </row>
    <row r="56" spans="2:11" ht="15" customHeight="1" x14ac:dyDescent="0.3">
      <c r="B56" t="s">
        <v>139</v>
      </c>
      <c r="C56" s="6">
        <f t="shared" ref="C56:J56" si="28">MAX(0,C51-C55)</f>
        <v>0</v>
      </c>
      <c r="D56" s="6">
        <f t="shared" si="28"/>
        <v>1000</v>
      </c>
      <c r="E56" s="6">
        <f t="shared" si="28"/>
        <v>0</v>
      </c>
      <c r="F56" s="6">
        <f t="shared" si="28"/>
        <v>1000</v>
      </c>
      <c r="G56" s="6">
        <f t="shared" si="28"/>
        <v>0</v>
      </c>
      <c r="H56" s="6">
        <f t="shared" si="28"/>
        <v>1000</v>
      </c>
      <c r="I56" s="6">
        <f t="shared" si="28"/>
        <v>0</v>
      </c>
      <c r="J56" s="6">
        <f t="shared" si="28"/>
        <v>1000</v>
      </c>
      <c r="K56" s="6">
        <f>SUM(C56:J56)</f>
        <v>4000</v>
      </c>
    </row>
    <row r="57" spans="2:11" ht="15" customHeight="1" x14ac:dyDescent="0.3">
      <c r="B57" t="s">
        <v>140</v>
      </c>
      <c r="C57" s="6">
        <f t="shared" ref="C57:J57" si="29">C54-C55</f>
        <v>0</v>
      </c>
      <c r="D57" s="6">
        <f t="shared" si="29"/>
        <v>0</v>
      </c>
      <c r="E57" s="6">
        <f t="shared" si="29"/>
        <v>0</v>
      </c>
      <c r="F57" s="6">
        <f t="shared" si="29"/>
        <v>0</v>
      </c>
      <c r="G57" s="6">
        <f t="shared" si="29"/>
        <v>0</v>
      </c>
      <c r="H57" s="6">
        <f t="shared" si="29"/>
        <v>0</v>
      </c>
      <c r="I57" s="6">
        <f t="shared" si="29"/>
        <v>0</v>
      </c>
      <c r="J57" s="6">
        <f t="shared" si="29"/>
        <v>0</v>
      </c>
    </row>
  </sheetData>
  <mergeCells count="6">
    <mergeCell ref="A48:K48"/>
    <mergeCell ref="A1:J1"/>
    <mergeCell ref="A4:K4"/>
    <mergeCell ref="A15:K15"/>
    <mergeCell ref="A26:K26"/>
    <mergeCell ref="A37:K37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39"/>
  <sheetViews>
    <sheetView zoomScaleNormal="100" workbookViewId="0"/>
  </sheetViews>
  <sheetFormatPr baseColWidth="10" defaultColWidth="8.6640625" defaultRowHeight="14.4" x14ac:dyDescent="0.3"/>
  <cols>
    <col min="1" max="1" width="10" customWidth="1"/>
    <col min="2" max="2" width="35" customWidth="1"/>
    <col min="3" max="11" width="12" customWidth="1"/>
  </cols>
  <sheetData>
    <row r="1" spans="1:11" ht="17.25" customHeight="1" x14ac:dyDescent="0.3">
      <c r="A1" s="10" t="s">
        <v>141</v>
      </c>
      <c r="B1" s="10"/>
      <c r="C1" s="10"/>
      <c r="D1" s="10"/>
      <c r="E1" s="10"/>
      <c r="F1" s="10"/>
      <c r="G1" s="10"/>
      <c r="H1" s="10"/>
      <c r="I1" s="10"/>
      <c r="J1" s="10"/>
      <c r="K1" s="10"/>
    </row>
    <row r="3" spans="1:11" ht="15" customHeight="1" x14ac:dyDescent="0.3">
      <c r="A3" t="s">
        <v>142</v>
      </c>
      <c r="B3" s="7">
        <v>0</v>
      </c>
    </row>
    <row r="5" spans="1:11" ht="15" customHeight="1" x14ac:dyDescent="0.3">
      <c r="A5" s="2" t="s">
        <v>45</v>
      </c>
      <c r="B5" s="2" t="s">
        <v>128</v>
      </c>
      <c r="C5" s="2" t="s">
        <v>67</v>
      </c>
      <c r="D5" s="2" t="s">
        <v>69</v>
      </c>
      <c r="E5" s="2" t="s">
        <v>71</v>
      </c>
      <c r="F5" s="2" t="s">
        <v>75</v>
      </c>
      <c r="G5" s="2" t="s">
        <v>77</v>
      </c>
      <c r="H5" s="2" t="s">
        <v>129</v>
      </c>
      <c r="I5" s="2" t="s">
        <v>130</v>
      </c>
      <c r="J5" s="2" t="s">
        <v>131</v>
      </c>
      <c r="K5" s="2" t="s">
        <v>132</v>
      </c>
    </row>
    <row r="6" spans="1:11" ht="15" customHeight="1" x14ac:dyDescent="0.3">
      <c r="A6" s="12" t="s">
        <v>50</v>
      </c>
      <c r="B6" s="12"/>
      <c r="C6" s="12"/>
      <c r="D6" s="12"/>
      <c r="E6" s="12"/>
      <c r="F6" s="12"/>
      <c r="G6" s="12"/>
      <c r="H6" s="12"/>
      <c r="I6" s="12"/>
      <c r="J6" s="12"/>
      <c r="K6" s="12"/>
    </row>
    <row r="7" spans="1:11" ht="15" customHeight="1" x14ac:dyDescent="0.3">
      <c r="B7" t="s">
        <v>143</v>
      </c>
      <c r="C7" s="8">
        <f>'02_DEMAND'!C7</f>
        <v>0</v>
      </c>
      <c r="D7" s="8">
        <f>'02_DEMAND'!D7</f>
        <v>1000</v>
      </c>
      <c r="E7" s="8">
        <f>'02_DEMAND'!E7</f>
        <v>0</v>
      </c>
      <c r="F7" s="8">
        <f>'02_DEMAND'!F7</f>
        <v>1000</v>
      </c>
      <c r="G7" s="8">
        <f>'02_DEMAND'!G7</f>
        <v>0</v>
      </c>
      <c r="H7" s="8">
        <f>'02_DEMAND'!H7</f>
        <v>1000</v>
      </c>
      <c r="I7" s="8">
        <f>'02_DEMAND'!I7</f>
        <v>0</v>
      </c>
      <c r="J7" s="8">
        <f>'02_DEMAND'!J7</f>
        <v>1000</v>
      </c>
      <c r="K7" s="6">
        <f>SUM(C7:J7)</f>
        <v>4000</v>
      </c>
    </row>
    <row r="8" spans="1:11" ht="15" customHeight="1" x14ac:dyDescent="0.3">
      <c r="B8" t="s">
        <v>144</v>
      </c>
      <c r="C8" s="8">
        <f t="shared" ref="C8:J8" si="0">$B$3</f>
        <v>0</v>
      </c>
      <c r="D8" s="8">
        <f t="shared" si="0"/>
        <v>0</v>
      </c>
      <c r="E8" s="8">
        <f t="shared" si="0"/>
        <v>0</v>
      </c>
      <c r="F8" s="8">
        <f t="shared" si="0"/>
        <v>0</v>
      </c>
      <c r="G8" s="8">
        <f t="shared" si="0"/>
        <v>0</v>
      </c>
      <c r="H8" s="8">
        <f t="shared" si="0"/>
        <v>0</v>
      </c>
      <c r="I8" s="8">
        <f t="shared" si="0"/>
        <v>0</v>
      </c>
      <c r="J8" s="8">
        <f t="shared" si="0"/>
        <v>0</v>
      </c>
      <c r="K8" s="6">
        <f>SUM(C8:J8)</f>
        <v>0</v>
      </c>
    </row>
    <row r="9" spans="1:11" ht="15" customHeight="1" x14ac:dyDescent="0.3">
      <c r="B9" t="s">
        <v>125</v>
      </c>
      <c r="C9" s="8">
        <f>'01_INPUTS_MASTER'!B67</f>
        <v>1737</v>
      </c>
      <c r="D9" s="8">
        <f t="shared" ref="D9:J9" si="1">C8</f>
        <v>0</v>
      </c>
      <c r="E9" s="8">
        <f t="shared" si="1"/>
        <v>0</v>
      </c>
      <c r="F9" s="8">
        <f t="shared" si="1"/>
        <v>0</v>
      </c>
      <c r="G9" s="8">
        <f t="shared" si="1"/>
        <v>0</v>
      </c>
      <c r="H9" s="8">
        <f t="shared" si="1"/>
        <v>0</v>
      </c>
      <c r="I9" s="8">
        <f t="shared" si="1"/>
        <v>0</v>
      </c>
      <c r="J9" s="8">
        <f t="shared" si="1"/>
        <v>0</v>
      </c>
      <c r="K9" s="6">
        <f>SUM(C9:J9)</f>
        <v>1737</v>
      </c>
    </row>
    <row r="10" spans="1:11" ht="15" customHeight="1" x14ac:dyDescent="0.3">
      <c r="B10" t="s">
        <v>145</v>
      </c>
      <c r="C10" s="6">
        <f t="shared" ref="C10:J10" si="2">MAX(0,C7+C8-C9)</f>
        <v>0</v>
      </c>
      <c r="D10" s="6">
        <f t="shared" si="2"/>
        <v>1000</v>
      </c>
      <c r="E10" s="6">
        <f t="shared" si="2"/>
        <v>0</v>
      </c>
      <c r="F10" s="6">
        <f t="shared" si="2"/>
        <v>1000</v>
      </c>
      <c r="G10" s="6">
        <f t="shared" si="2"/>
        <v>0</v>
      </c>
      <c r="H10" s="6">
        <f t="shared" si="2"/>
        <v>1000</v>
      </c>
      <c r="I10" s="6">
        <f t="shared" si="2"/>
        <v>0</v>
      </c>
      <c r="J10" s="6">
        <f t="shared" si="2"/>
        <v>1000</v>
      </c>
      <c r="K10" s="6">
        <f>SUM(C10:J10)</f>
        <v>4000</v>
      </c>
    </row>
    <row r="11" spans="1:11" ht="15" customHeight="1" x14ac:dyDescent="0.3">
      <c r="B11" t="s">
        <v>146</v>
      </c>
      <c r="C11" s="7">
        <f t="shared" ref="C11:J11" si="3">C10</f>
        <v>0</v>
      </c>
      <c r="D11" s="7">
        <f t="shared" si="3"/>
        <v>1000</v>
      </c>
      <c r="E11" s="7">
        <f t="shared" si="3"/>
        <v>0</v>
      </c>
      <c r="F11" s="7">
        <f t="shared" si="3"/>
        <v>1000</v>
      </c>
      <c r="G11" s="7">
        <f t="shared" si="3"/>
        <v>0</v>
      </c>
      <c r="H11" s="7">
        <f t="shared" si="3"/>
        <v>1000</v>
      </c>
      <c r="I11" s="7">
        <f t="shared" si="3"/>
        <v>0</v>
      </c>
      <c r="J11" s="7">
        <f t="shared" si="3"/>
        <v>1000</v>
      </c>
      <c r="K11" s="6">
        <f>SUM(C11:J11)</f>
        <v>4000</v>
      </c>
    </row>
    <row r="13" spans="1:11" ht="15" customHeight="1" x14ac:dyDescent="0.3">
      <c r="A13" s="12" t="s">
        <v>51</v>
      </c>
      <c r="B13" s="12"/>
      <c r="C13" s="12"/>
      <c r="D13" s="12"/>
      <c r="E13" s="12"/>
      <c r="F13" s="12"/>
      <c r="G13" s="12"/>
      <c r="H13" s="12"/>
      <c r="I13" s="12"/>
      <c r="J13" s="12"/>
      <c r="K13" s="12"/>
    </row>
    <row r="14" spans="1:11" ht="15" customHeight="1" x14ac:dyDescent="0.3">
      <c r="B14" t="s">
        <v>143</v>
      </c>
      <c r="C14" s="8">
        <f>'02_DEMAND'!C18</f>
        <v>0</v>
      </c>
      <c r="D14" s="8">
        <f>'02_DEMAND'!D18</f>
        <v>1000</v>
      </c>
      <c r="E14" s="8">
        <f>'02_DEMAND'!E18</f>
        <v>0</v>
      </c>
      <c r="F14" s="8">
        <f>'02_DEMAND'!F18</f>
        <v>1000</v>
      </c>
      <c r="G14" s="8">
        <f>'02_DEMAND'!G18</f>
        <v>0</v>
      </c>
      <c r="H14" s="8">
        <f>'02_DEMAND'!H18</f>
        <v>1000</v>
      </c>
      <c r="I14" s="8">
        <f>'02_DEMAND'!I18</f>
        <v>0</v>
      </c>
      <c r="J14" s="8">
        <f>'02_DEMAND'!J18</f>
        <v>1000</v>
      </c>
      <c r="K14" s="6">
        <f>SUM(C14:J14)</f>
        <v>4000</v>
      </c>
    </row>
    <row r="15" spans="1:11" ht="15" customHeight="1" x14ac:dyDescent="0.3">
      <c r="B15" t="s">
        <v>144</v>
      </c>
      <c r="C15" s="8">
        <f t="shared" ref="C15:J15" si="4">$B$3</f>
        <v>0</v>
      </c>
      <c r="D15" s="8">
        <f t="shared" si="4"/>
        <v>0</v>
      </c>
      <c r="E15" s="8">
        <f t="shared" si="4"/>
        <v>0</v>
      </c>
      <c r="F15" s="8">
        <f t="shared" si="4"/>
        <v>0</v>
      </c>
      <c r="G15" s="8">
        <f t="shared" si="4"/>
        <v>0</v>
      </c>
      <c r="H15" s="8">
        <f t="shared" si="4"/>
        <v>0</v>
      </c>
      <c r="I15" s="8">
        <f t="shared" si="4"/>
        <v>0</v>
      </c>
      <c r="J15" s="8">
        <f t="shared" si="4"/>
        <v>0</v>
      </c>
      <c r="K15" s="6">
        <f>SUM(C15:J15)</f>
        <v>0</v>
      </c>
    </row>
    <row r="16" spans="1:11" ht="15" customHeight="1" x14ac:dyDescent="0.3">
      <c r="B16" t="s">
        <v>125</v>
      </c>
      <c r="C16" s="8">
        <f>'01_INPUTS_MASTER'!B68</f>
        <v>1299</v>
      </c>
      <c r="D16" s="8">
        <f t="shared" ref="D16:J16" si="5">C15</f>
        <v>0</v>
      </c>
      <c r="E16" s="8">
        <f t="shared" si="5"/>
        <v>0</v>
      </c>
      <c r="F16" s="8">
        <f t="shared" si="5"/>
        <v>0</v>
      </c>
      <c r="G16" s="8">
        <f t="shared" si="5"/>
        <v>0</v>
      </c>
      <c r="H16" s="8">
        <f t="shared" si="5"/>
        <v>0</v>
      </c>
      <c r="I16" s="8">
        <f t="shared" si="5"/>
        <v>0</v>
      </c>
      <c r="J16" s="8">
        <f t="shared" si="5"/>
        <v>0</v>
      </c>
      <c r="K16" s="6">
        <f>SUM(C16:J16)</f>
        <v>1299</v>
      </c>
    </row>
    <row r="17" spans="1:11" ht="15" customHeight="1" x14ac:dyDescent="0.3">
      <c r="B17" t="s">
        <v>145</v>
      </c>
      <c r="C17" s="6">
        <f t="shared" ref="C17:J17" si="6">MAX(0,C14+C15-C16)</f>
        <v>0</v>
      </c>
      <c r="D17" s="6">
        <f t="shared" si="6"/>
        <v>1000</v>
      </c>
      <c r="E17" s="6">
        <f t="shared" si="6"/>
        <v>0</v>
      </c>
      <c r="F17" s="6">
        <f t="shared" si="6"/>
        <v>1000</v>
      </c>
      <c r="G17" s="6">
        <f t="shared" si="6"/>
        <v>0</v>
      </c>
      <c r="H17" s="6">
        <f t="shared" si="6"/>
        <v>1000</v>
      </c>
      <c r="I17" s="6">
        <f t="shared" si="6"/>
        <v>0</v>
      </c>
      <c r="J17" s="6">
        <f t="shared" si="6"/>
        <v>1000</v>
      </c>
      <c r="K17" s="6">
        <f>SUM(C17:J17)</f>
        <v>4000</v>
      </c>
    </row>
    <row r="18" spans="1:11" ht="15" customHeight="1" x14ac:dyDescent="0.3">
      <c r="B18" t="s">
        <v>146</v>
      </c>
      <c r="C18" s="7">
        <f t="shared" ref="C18:J18" si="7">C17</f>
        <v>0</v>
      </c>
      <c r="D18" s="7">
        <f t="shared" si="7"/>
        <v>1000</v>
      </c>
      <c r="E18" s="7">
        <f t="shared" si="7"/>
        <v>0</v>
      </c>
      <c r="F18" s="7">
        <f t="shared" si="7"/>
        <v>1000</v>
      </c>
      <c r="G18" s="7">
        <f t="shared" si="7"/>
        <v>0</v>
      </c>
      <c r="H18" s="7">
        <f t="shared" si="7"/>
        <v>1000</v>
      </c>
      <c r="I18" s="7">
        <f t="shared" si="7"/>
        <v>0</v>
      </c>
      <c r="J18" s="7">
        <f t="shared" si="7"/>
        <v>1000</v>
      </c>
      <c r="K18" s="6">
        <f>SUM(C18:J18)</f>
        <v>4000</v>
      </c>
    </row>
    <row r="20" spans="1:11" ht="15" customHeight="1" x14ac:dyDescent="0.3">
      <c r="A20" s="12" t="s">
        <v>52</v>
      </c>
      <c r="B20" s="12"/>
      <c r="C20" s="12"/>
      <c r="D20" s="12"/>
      <c r="E20" s="12"/>
      <c r="F20" s="12"/>
      <c r="G20" s="12"/>
      <c r="H20" s="12"/>
      <c r="I20" s="12"/>
      <c r="J20" s="12"/>
      <c r="K20" s="12"/>
    </row>
    <row r="21" spans="1:11" ht="15" customHeight="1" x14ac:dyDescent="0.3">
      <c r="B21" t="s">
        <v>143</v>
      </c>
      <c r="C21" s="8">
        <f>'02_DEMAND'!C29</f>
        <v>0</v>
      </c>
      <c r="D21" s="8">
        <f>'02_DEMAND'!D29</f>
        <v>1000</v>
      </c>
      <c r="E21" s="8">
        <f>'02_DEMAND'!E29</f>
        <v>0</v>
      </c>
      <c r="F21" s="8">
        <f>'02_DEMAND'!F29</f>
        <v>1000</v>
      </c>
      <c r="G21" s="8">
        <f>'02_DEMAND'!G29</f>
        <v>0</v>
      </c>
      <c r="H21" s="8">
        <f>'02_DEMAND'!H29</f>
        <v>1000</v>
      </c>
      <c r="I21" s="8">
        <f>'02_DEMAND'!I29</f>
        <v>0</v>
      </c>
      <c r="J21" s="8">
        <f>'02_DEMAND'!J29</f>
        <v>1000</v>
      </c>
      <c r="K21" s="6">
        <f>SUM(C21:J21)</f>
        <v>4000</v>
      </c>
    </row>
    <row r="22" spans="1:11" ht="15" customHeight="1" x14ac:dyDescent="0.3">
      <c r="B22" t="s">
        <v>144</v>
      </c>
      <c r="C22" s="8">
        <f t="shared" ref="C22:J22" si="8">$B$3</f>
        <v>0</v>
      </c>
      <c r="D22" s="8">
        <f t="shared" si="8"/>
        <v>0</v>
      </c>
      <c r="E22" s="8">
        <f t="shared" si="8"/>
        <v>0</v>
      </c>
      <c r="F22" s="8">
        <f t="shared" si="8"/>
        <v>0</v>
      </c>
      <c r="G22" s="8">
        <f t="shared" si="8"/>
        <v>0</v>
      </c>
      <c r="H22" s="8">
        <f t="shared" si="8"/>
        <v>0</v>
      </c>
      <c r="I22" s="8">
        <f t="shared" si="8"/>
        <v>0</v>
      </c>
      <c r="J22" s="8">
        <f t="shared" si="8"/>
        <v>0</v>
      </c>
      <c r="K22" s="6">
        <f>SUM(C22:J22)</f>
        <v>0</v>
      </c>
    </row>
    <row r="23" spans="1:11" ht="15" customHeight="1" x14ac:dyDescent="0.3">
      <c r="B23" t="s">
        <v>125</v>
      </c>
      <c r="C23" s="8">
        <f>'01_INPUTS_MASTER'!B69</f>
        <v>0</v>
      </c>
      <c r="D23" s="8">
        <f t="shared" ref="D23:J23" si="9">C22</f>
        <v>0</v>
      </c>
      <c r="E23" s="8">
        <f t="shared" si="9"/>
        <v>0</v>
      </c>
      <c r="F23" s="8">
        <f t="shared" si="9"/>
        <v>0</v>
      </c>
      <c r="G23" s="8">
        <f t="shared" si="9"/>
        <v>0</v>
      </c>
      <c r="H23" s="8">
        <f t="shared" si="9"/>
        <v>0</v>
      </c>
      <c r="I23" s="8">
        <f t="shared" si="9"/>
        <v>0</v>
      </c>
      <c r="J23" s="8">
        <f t="shared" si="9"/>
        <v>0</v>
      </c>
      <c r="K23" s="6">
        <f>SUM(C23:J23)</f>
        <v>0</v>
      </c>
    </row>
    <row r="24" spans="1:11" ht="15" customHeight="1" x14ac:dyDescent="0.3">
      <c r="B24" t="s">
        <v>145</v>
      </c>
      <c r="C24" s="6">
        <f t="shared" ref="C24:J24" si="10">MAX(0,C21+C22-C23)</f>
        <v>0</v>
      </c>
      <c r="D24" s="6">
        <f t="shared" si="10"/>
        <v>1000</v>
      </c>
      <c r="E24" s="6">
        <f t="shared" si="10"/>
        <v>0</v>
      </c>
      <c r="F24" s="6">
        <f t="shared" si="10"/>
        <v>1000</v>
      </c>
      <c r="G24" s="6">
        <f t="shared" si="10"/>
        <v>0</v>
      </c>
      <c r="H24" s="6">
        <f t="shared" si="10"/>
        <v>1000</v>
      </c>
      <c r="I24" s="6">
        <f t="shared" si="10"/>
        <v>0</v>
      </c>
      <c r="J24" s="6">
        <f t="shared" si="10"/>
        <v>1000</v>
      </c>
      <c r="K24" s="6">
        <f>SUM(C24:J24)</f>
        <v>4000</v>
      </c>
    </row>
    <row r="25" spans="1:11" ht="15" customHeight="1" x14ac:dyDescent="0.3">
      <c r="B25" t="s">
        <v>146</v>
      </c>
      <c r="C25" s="7">
        <f t="shared" ref="C25:J25" si="11">C24</f>
        <v>0</v>
      </c>
      <c r="D25" s="7">
        <f t="shared" si="11"/>
        <v>1000</v>
      </c>
      <c r="E25" s="7">
        <f t="shared" si="11"/>
        <v>0</v>
      </c>
      <c r="F25" s="7">
        <f t="shared" si="11"/>
        <v>1000</v>
      </c>
      <c r="G25" s="7">
        <f t="shared" si="11"/>
        <v>0</v>
      </c>
      <c r="H25" s="7">
        <f t="shared" si="11"/>
        <v>1000</v>
      </c>
      <c r="I25" s="7">
        <f t="shared" si="11"/>
        <v>0</v>
      </c>
      <c r="J25" s="7">
        <f t="shared" si="11"/>
        <v>1000</v>
      </c>
      <c r="K25" s="6">
        <f>SUM(C25:J25)</f>
        <v>4000</v>
      </c>
    </row>
    <row r="27" spans="1:11" ht="15" customHeight="1" x14ac:dyDescent="0.3">
      <c r="A27" s="12" t="s">
        <v>53</v>
      </c>
      <c r="B27" s="12"/>
      <c r="C27" s="12"/>
      <c r="D27" s="12"/>
      <c r="E27" s="12"/>
      <c r="F27" s="12"/>
      <c r="G27" s="12"/>
      <c r="H27" s="12"/>
      <c r="I27" s="12"/>
      <c r="J27" s="12"/>
      <c r="K27" s="12"/>
    </row>
    <row r="28" spans="1:11" ht="15" customHeight="1" x14ac:dyDescent="0.3">
      <c r="B28" t="s">
        <v>143</v>
      </c>
      <c r="C28" s="8">
        <f>'02_DEMAND'!C40</f>
        <v>0</v>
      </c>
      <c r="D28" s="8">
        <f>'02_DEMAND'!D40</f>
        <v>1000</v>
      </c>
      <c r="E28" s="8">
        <f>'02_DEMAND'!E40</f>
        <v>0</v>
      </c>
      <c r="F28" s="8">
        <f>'02_DEMAND'!F40</f>
        <v>1000</v>
      </c>
      <c r="G28" s="8">
        <f>'02_DEMAND'!G40</f>
        <v>0</v>
      </c>
      <c r="H28" s="8">
        <f>'02_DEMAND'!H40</f>
        <v>1000</v>
      </c>
      <c r="I28" s="8">
        <f>'02_DEMAND'!I40</f>
        <v>0</v>
      </c>
      <c r="J28" s="8">
        <f>'02_DEMAND'!J40</f>
        <v>1000</v>
      </c>
      <c r="K28" s="6">
        <f>SUM(C28:J28)</f>
        <v>4000</v>
      </c>
    </row>
    <row r="29" spans="1:11" ht="15" customHeight="1" x14ac:dyDescent="0.3">
      <c r="B29" t="s">
        <v>144</v>
      </c>
      <c r="C29" s="8">
        <f t="shared" ref="C29:J29" si="12">$B$3</f>
        <v>0</v>
      </c>
      <c r="D29" s="8">
        <f t="shared" si="12"/>
        <v>0</v>
      </c>
      <c r="E29" s="8">
        <f t="shared" si="12"/>
        <v>0</v>
      </c>
      <c r="F29" s="8">
        <f t="shared" si="12"/>
        <v>0</v>
      </c>
      <c r="G29" s="8">
        <f t="shared" si="12"/>
        <v>0</v>
      </c>
      <c r="H29" s="8">
        <f t="shared" si="12"/>
        <v>0</v>
      </c>
      <c r="I29" s="8">
        <f t="shared" si="12"/>
        <v>0</v>
      </c>
      <c r="J29" s="8">
        <f t="shared" si="12"/>
        <v>0</v>
      </c>
      <c r="K29" s="6">
        <f>SUM(C29:J29)</f>
        <v>0</v>
      </c>
    </row>
    <row r="30" spans="1:11" ht="15" customHeight="1" x14ac:dyDescent="0.3">
      <c r="B30" t="s">
        <v>125</v>
      </c>
      <c r="C30" s="8">
        <f>'01_INPUTS_MASTER'!B70</f>
        <v>0</v>
      </c>
      <c r="D30" s="8">
        <f t="shared" ref="D30:J30" si="13">C29</f>
        <v>0</v>
      </c>
      <c r="E30" s="8">
        <f t="shared" si="13"/>
        <v>0</v>
      </c>
      <c r="F30" s="8">
        <f t="shared" si="13"/>
        <v>0</v>
      </c>
      <c r="G30" s="8">
        <f t="shared" si="13"/>
        <v>0</v>
      </c>
      <c r="H30" s="8">
        <f t="shared" si="13"/>
        <v>0</v>
      </c>
      <c r="I30" s="8">
        <f t="shared" si="13"/>
        <v>0</v>
      </c>
      <c r="J30" s="8">
        <f t="shared" si="13"/>
        <v>0</v>
      </c>
      <c r="K30" s="6">
        <f>SUM(C30:J30)</f>
        <v>0</v>
      </c>
    </row>
    <row r="31" spans="1:11" ht="15" customHeight="1" x14ac:dyDescent="0.3">
      <c r="B31" t="s">
        <v>145</v>
      </c>
      <c r="C31" s="6">
        <f t="shared" ref="C31:J31" si="14">MAX(0,C28+C29-C30)</f>
        <v>0</v>
      </c>
      <c r="D31" s="6">
        <f t="shared" si="14"/>
        <v>1000</v>
      </c>
      <c r="E31" s="6">
        <f t="shared" si="14"/>
        <v>0</v>
      </c>
      <c r="F31" s="6">
        <f t="shared" si="14"/>
        <v>1000</v>
      </c>
      <c r="G31" s="6">
        <f t="shared" si="14"/>
        <v>0</v>
      </c>
      <c r="H31" s="6">
        <f t="shared" si="14"/>
        <v>1000</v>
      </c>
      <c r="I31" s="6">
        <f t="shared" si="14"/>
        <v>0</v>
      </c>
      <c r="J31" s="6">
        <f t="shared" si="14"/>
        <v>1000</v>
      </c>
      <c r="K31" s="6">
        <f>SUM(C31:J31)</f>
        <v>4000</v>
      </c>
    </row>
    <row r="32" spans="1:11" ht="15" customHeight="1" x14ac:dyDescent="0.3">
      <c r="B32" t="s">
        <v>146</v>
      </c>
      <c r="C32" s="7">
        <f t="shared" ref="C32:J32" si="15">C31</f>
        <v>0</v>
      </c>
      <c r="D32" s="7">
        <f t="shared" si="15"/>
        <v>1000</v>
      </c>
      <c r="E32" s="7">
        <f t="shared" si="15"/>
        <v>0</v>
      </c>
      <c r="F32" s="7">
        <f t="shared" si="15"/>
        <v>1000</v>
      </c>
      <c r="G32" s="7">
        <f t="shared" si="15"/>
        <v>0</v>
      </c>
      <c r="H32" s="7">
        <f t="shared" si="15"/>
        <v>1000</v>
      </c>
      <c r="I32" s="7">
        <f t="shared" si="15"/>
        <v>0</v>
      </c>
      <c r="J32" s="7">
        <f t="shared" si="15"/>
        <v>1000</v>
      </c>
      <c r="K32" s="6">
        <f>SUM(C32:J32)</f>
        <v>4000</v>
      </c>
    </row>
    <row r="34" spans="1:11" ht="15" customHeight="1" x14ac:dyDescent="0.3">
      <c r="A34" s="12" t="s">
        <v>54</v>
      </c>
      <c r="B34" s="12"/>
      <c r="C34" s="12"/>
      <c r="D34" s="12"/>
      <c r="E34" s="12"/>
      <c r="F34" s="12"/>
      <c r="G34" s="12"/>
      <c r="H34" s="12"/>
      <c r="I34" s="12"/>
      <c r="J34" s="12"/>
      <c r="K34" s="12"/>
    </row>
    <row r="35" spans="1:11" ht="15" customHeight="1" x14ac:dyDescent="0.3">
      <c r="B35" t="s">
        <v>143</v>
      </c>
      <c r="C35" s="8">
        <f>'02_DEMAND'!C51</f>
        <v>0</v>
      </c>
      <c r="D35" s="8">
        <f>'02_DEMAND'!D51</f>
        <v>1000</v>
      </c>
      <c r="E35" s="8">
        <f>'02_DEMAND'!E51</f>
        <v>0</v>
      </c>
      <c r="F35" s="8">
        <f>'02_DEMAND'!F51</f>
        <v>1000</v>
      </c>
      <c r="G35" s="8">
        <f>'02_DEMAND'!G51</f>
        <v>0</v>
      </c>
      <c r="H35" s="8">
        <f>'02_DEMAND'!H51</f>
        <v>1000</v>
      </c>
      <c r="I35" s="8">
        <f>'02_DEMAND'!I51</f>
        <v>0</v>
      </c>
      <c r="J35" s="8">
        <f>'02_DEMAND'!J51</f>
        <v>1000</v>
      </c>
      <c r="K35" s="6">
        <f>SUM(C35:J35)</f>
        <v>4000</v>
      </c>
    </row>
    <row r="36" spans="1:11" ht="15" customHeight="1" x14ac:dyDescent="0.3">
      <c r="B36" t="s">
        <v>144</v>
      </c>
      <c r="C36" s="8">
        <f t="shared" ref="C36:J36" si="16">$B$3</f>
        <v>0</v>
      </c>
      <c r="D36" s="8">
        <f t="shared" si="16"/>
        <v>0</v>
      </c>
      <c r="E36" s="8">
        <f t="shared" si="16"/>
        <v>0</v>
      </c>
      <c r="F36" s="8">
        <f t="shared" si="16"/>
        <v>0</v>
      </c>
      <c r="G36" s="8">
        <f t="shared" si="16"/>
        <v>0</v>
      </c>
      <c r="H36" s="8">
        <f t="shared" si="16"/>
        <v>0</v>
      </c>
      <c r="I36" s="8">
        <f t="shared" si="16"/>
        <v>0</v>
      </c>
      <c r="J36" s="8">
        <f t="shared" si="16"/>
        <v>0</v>
      </c>
      <c r="K36" s="6">
        <f>SUM(C36:J36)</f>
        <v>0</v>
      </c>
    </row>
    <row r="37" spans="1:11" ht="15" customHeight="1" x14ac:dyDescent="0.3">
      <c r="B37" t="s">
        <v>125</v>
      </c>
      <c r="C37" s="8">
        <f>'01_INPUTS_MASTER'!B71</f>
        <v>0</v>
      </c>
      <c r="D37" s="8">
        <f t="shared" ref="D37:J37" si="17">C36</f>
        <v>0</v>
      </c>
      <c r="E37" s="8">
        <f t="shared" si="17"/>
        <v>0</v>
      </c>
      <c r="F37" s="8">
        <f t="shared" si="17"/>
        <v>0</v>
      </c>
      <c r="G37" s="8">
        <f t="shared" si="17"/>
        <v>0</v>
      </c>
      <c r="H37" s="8">
        <f t="shared" si="17"/>
        <v>0</v>
      </c>
      <c r="I37" s="8">
        <f t="shared" si="17"/>
        <v>0</v>
      </c>
      <c r="J37" s="8">
        <f t="shared" si="17"/>
        <v>0</v>
      </c>
      <c r="K37" s="6">
        <f>SUM(C37:J37)</f>
        <v>0</v>
      </c>
    </row>
    <row r="38" spans="1:11" ht="15" customHeight="1" x14ac:dyDescent="0.3">
      <c r="B38" t="s">
        <v>145</v>
      </c>
      <c r="C38" s="6">
        <f t="shared" ref="C38:J38" si="18">MAX(0,C35+C36-C37)</f>
        <v>0</v>
      </c>
      <c r="D38" s="6">
        <f t="shared" si="18"/>
        <v>1000</v>
      </c>
      <c r="E38" s="6">
        <f t="shared" si="18"/>
        <v>0</v>
      </c>
      <c r="F38" s="6">
        <f t="shared" si="18"/>
        <v>1000</v>
      </c>
      <c r="G38" s="6">
        <f t="shared" si="18"/>
        <v>0</v>
      </c>
      <c r="H38" s="6">
        <f t="shared" si="18"/>
        <v>1000</v>
      </c>
      <c r="I38" s="6">
        <f t="shared" si="18"/>
        <v>0</v>
      </c>
      <c r="J38" s="6">
        <f t="shared" si="18"/>
        <v>1000</v>
      </c>
      <c r="K38" s="6">
        <f>SUM(C38:J38)</f>
        <v>4000</v>
      </c>
    </row>
    <row r="39" spans="1:11" ht="15" customHeight="1" x14ac:dyDescent="0.3">
      <c r="B39" t="s">
        <v>146</v>
      </c>
      <c r="C39" s="7">
        <f t="shared" ref="C39:J39" si="19">C38</f>
        <v>0</v>
      </c>
      <c r="D39" s="7">
        <f t="shared" si="19"/>
        <v>1000</v>
      </c>
      <c r="E39" s="7">
        <f t="shared" si="19"/>
        <v>0</v>
      </c>
      <c r="F39" s="7">
        <f t="shared" si="19"/>
        <v>1000</v>
      </c>
      <c r="G39" s="7">
        <f t="shared" si="19"/>
        <v>0</v>
      </c>
      <c r="H39" s="7">
        <f t="shared" si="19"/>
        <v>1000</v>
      </c>
      <c r="I39" s="7">
        <f t="shared" si="19"/>
        <v>0</v>
      </c>
      <c r="J39" s="7">
        <f t="shared" si="19"/>
        <v>1000</v>
      </c>
      <c r="K39" s="6">
        <f>SUM(C39:J39)</f>
        <v>4000</v>
      </c>
    </row>
  </sheetData>
  <mergeCells count="6">
    <mergeCell ref="A34:K34"/>
    <mergeCell ref="A1:K1"/>
    <mergeCell ref="A6:K6"/>
    <mergeCell ref="A13:K13"/>
    <mergeCell ref="A20:K20"/>
    <mergeCell ref="A27:K27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66"/>
  <sheetViews>
    <sheetView zoomScaleNormal="100" workbookViewId="0"/>
  </sheetViews>
  <sheetFormatPr baseColWidth="10" defaultColWidth="8.6640625" defaultRowHeight="14.4" x14ac:dyDescent="0.3"/>
  <cols>
    <col min="1" max="2" width="10" customWidth="1"/>
    <col min="3" max="3" width="20" customWidth="1"/>
    <col min="4" max="11" width="12" customWidth="1"/>
  </cols>
  <sheetData>
    <row r="1" spans="1:11" ht="17.25" customHeight="1" x14ac:dyDescent="0.3">
      <c r="A1" s="10" t="s">
        <v>147</v>
      </c>
      <c r="B1" s="10"/>
      <c r="C1" s="10"/>
      <c r="D1" s="10"/>
      <c r="E1" s="10"/>
      <c r="F1" s="10"/>
      <c r="G1" s="10"/>
      <c r="H1" s="10"/>
      <c r="I1" s="10"/>
      <c r="J1" s="10"/>
      <c r="K1" s="10"/>
    </row>
    <row r="3" spans="1:11" ht="15" customHeight="1" x14ac:dyDescent="0.3">
      <c r="A3" t="s">
        <v>148</v>
      </c>
    </row>
    <row r="5" spans="1:11" ht="15" customHeight="1" x14ac:dyDescent="0.3">
      <c r="A5" s="2" t="s">
        <v>149</v>
      </c>
      <c r="B5" s="2" t="s">
        <v>65</v>
      </c>
      <c r="C5" s="2" t="s">
        <v>128</v>
      </c>
      <c r="D5" s="2" t="s">
        <v>67</v>
      </c>
      <c r="E5" s="2" t="s">
        <v>69</v>
      </c>
      <c r="F5" s="2" t="s">
        <v>71</v>
      </c>
      <c r="G5" s="2" t="s">
        <v>75</v>
      </c>
      <c r="H5" s="2" t="s">
        <v>77</v>
      </c>
      <c r="I5" s="2" t="s">
        <v>129</v>
      </c>
      <c r="J5" s="2" t="s">
        <v>130</v>
      </c>
      <c r="K5" s="2" t="s">
        <v>131</v>
      </c>
    </row>
    <row r="6" spans="1:11" ht="15" customHeight="1" x14ac:dyDescent="0.3">
      <c r="A6" s="13" t="s">
        <v>50</v>
      </c>
      <c r="B6" s="13"/>
      <c r="C6" s="13"/>
      <c r="D6" s="13"/>
      <c r="E6" s="13"/>
      <c r="F6" s="13"/>
      <c r="G6" s="13"/>
      <c r="H6" s="13"/>
      <c r="I6" s="13"/>
      <c r="J6" s="13"/>
      <c r="K6" s="13"/>
    </row>
    <row r="7" spans="1:11" ht="15" customHeight="1" x14ac:dyDescent="0.3">
      <c r="B7" t="s">
        <v>77</v>
      </c>
      <c r="C7" t="s">
        <v>150</v>
      </c>
      <c r="D7" s="7">
        <f>'03_MPS_S5'!C11</f>
        <v>0</v>
      </c>
      <c r="E7" s="7">
        <f>'03_MPS_S5'!D11</f>
        <v>1000</v>
      </c>
      <c r="F7" s="7">
        <f>'03_MPS_S5'!E11</f>
        <v>0</v>
      </c>
      <c r="G7" s="7">
        <f>'03_MPS_S5'!F11</f>
        <v>1000</v>
      </c>
      <c r="H7" s="7">
        <f>'03_MPS_S5'!G11</f>
        <v>0</v>
      </c>
      <c r="I7" s="7">
        <f>'03_MPS_S5'!H11</f>
        <v>1000</v>
      </c>
      <c r="J7" s="7">
        <f>'03_MPS_S5'!I11</f>
        <v>0</v>
      </c>
      <c r="K7" s="7">
        <f>'03_MPS_S5'!J11</f>
        <v>1000</v>
      </c>
    </row>
    <row r="8" spans="1:11" ht="15" customHeight="1" x14ac:dyDescent="0.3">
      <c r="B8" t="s">
        <v>77</v>
      </c>
      <c r="C8" t="s">
        <v>151</v>
      </c>
      <c r="D8" s="7">
        <f>'01_INPUTS_MASTER'!B67</f>
        <v>1737</v>
      </c>
      <c r="E8" s="8">
        <f t="shared" ref="E8:K8" si="0">D11</f>
        <v>1737</v>
      </c>
      <c r="F8" s="8">
        <f t="shared" si="0"/>
        <v>1737</v>
      </c>
      <c r="G8" s="8">
        <f t="shared" si="0"/>
        <v>1737</v>
      </c>
      <c r="H8" s="8">
        <f t="shared" si="0"/>
        <v>1737</v>
      </c>
      <c r="I8" s="8">
        <f t="shared" si="0"/>
        <v>1737</v>
      </c>
      <c r="J8" s="8">
        <f t="shared" si="0"/>
        <v>1737</v>
      </c>
      <c r="K8" s="8">
        <f t="shared" si="0"/>
        <v>1737</v>
      </c>
    </row>
    <row r="9" spans="1:11" ht="15" customHeight="1" x14ac:dyDescent="0.3">
      <c r="B9" t="s">
        <v>77</v>
      </c>
      <c r="C9" t="s">
        <v>152</v>
      </c>
      <c r="D9" s="6">
        <f t="shared" ref="D9:K9" si="1">D7</f>
        <v>0</v>
      </c>
      <c r="E9" s="6">
        <f t="shared" si="1"/>
        <v>1000</v>
      </c>
      <c r="F9" s="6">
        <f t="shared" si="1"/>
        <v>0</v>
      </c>
      <c r="G9" s="6">
        <f t="shared" si="1"/>
        <v>1000</v>
      </c>
      <c r="H9" s="6">
        <f t="shared" si="1"/>
        <v>0</v>
      </c>
      <c r="I9" s="6">
        <f t="shared" si="1"/>
        <v>1000</v>
      </c>
      <c r="J9" s="6">
        <f t="shared" si="1"/>
        <v>0</v>
      </c>
      <c r="K9" s="6">
        <f t="shared" si="1"/>
        <v>1000</v>
      </c>
    </row>
    <row r="10" spans="1:11" ht="15" customHeight="1" x14ac:dyDescent="0.3">
      <c r="B10" t="s">
        <v>77</v>
      </c>
      <c r="C10" t="s">
        <v>153</v>
      </c>
      <c r="D10" s="6">
        <f>'02_DEMAND'!C11</f>
        <v>0</v>
      </c>
      <c r="E10" s="6">
        <f>'02_DEMAND'!D11</f>
        <v>1000</v>
      </c>
      <c r="F10" s="6">
        <f>'02_DEMAND'!E11</f>
        <v>0</v>
      </c>
      <c r="G10" s="6">
        <f>'02_DEMAND'!F11</f>
        <v>1000</v>
      </c>
      <c r="H10" s="6">
        <f>'02_DEMAND'!G11</f>
        <v>0</v>
      </c>
      <c r="I10" s="6">
        <f>'02_DEMAND'!H11</f>
        <v>1000</v>
      </c>
      <c r="J10" s="6">
        <f>'02_DEMAND'!I11</f>
        <v>0</v>
      </c>
      <c r="K10" s="6">
        <f>'02_DEMAND'!J11</f>
        <v>1000</v>
      </c>
    </row>
    <row r="11" spans="1:11" ht="15" customHeight="1" x14ac:dyDescent="0.3">
      <c r="B11" t="s">
        <v>77</v>
      </c>
      <c r="C11" t="s">
        <v>154</v>
      </c>
      <c r="D11" s="6">
        <f t="shared" ref="D11:K11" si="2">D8+D9-D10</f>
        <v>1737</v>
      </c>
      <c r="E11" s="6">
        <f t="shared" si="2"/>
        <v>1737</v>
      </c>
      <c r="F11" s="6">
        <f t="shared" si="2"/>
        <v>1737</v>
      </c>
      <c r="G11" s="6">
        <f t="shared" si="2"/>
        <v>1737</v>
      </c>
      <c r="H11" s="6">
        <f t="shared" si="2"/>
        <v>1737</v>
      </c>
      <c r="I11" s="6">
        <f t="shared" si="2"/>
        <v>1737</v>
      </c>
      <c r="J11" s="6">
        <f t="shared" si="2"/>
        <v>1737</v>
      </c>
      <c r="K11" s="6">
        <f t="shared" si="2"/>
        <v>1737</v>
      </c>
    </row>
    <row r="13" spans="1:11" ht="15" customHeight="1" x14ac:dyDescent="0.3">
      <c r="B13" t="s">
        <v>75</v>
      </c>
      <c r="C13" t="s">
        <v>150</v>
      </c>
      <c r="D13" s="7">
        <f t="shared" ref="D13:J13" si="3">E7</f>
        <v>1000</v>
      </c>
      <c r="E13" s="7">
        <f t="shared" si="3"/>
        <v>0</v>
      </c>
      <c r="F13" s="7">
        <f t="shared" si="3"/>
        <v>1000</v>
      </c>
      <c r="G13" s="7">
        <f t="shared" si="3"/>
        <v>0</v>
      </c>
      <c r="H13" s="7">
        <f t="shared" si="3"/>
        <v>1000</v>
      </c>
      <c r="I13" s="7">
        <f t="shared" si="3"/>
        <v>0</v>
      </c>
      <c r="J13" s="7">
        <f t="shared" si="3"/>
        <v>1000</v>
      </c>
      <c r="K13" s="7">
        <f>0</f>
        <v>0</v>
      </c>
    </row>
    <row r="14" spans="1:11" ht="15" customHeight="1" x14ac:dyDescent="0.3">
      <c r="B14" t="s">
        <v>75</v>
      </c>
      <c r="C14" t="s">
        <v>151</v>
      </c>
      <c r="D14" s="7">
        <f>'01_INPUTS_MASTER'!C57</f>
        <v>0</v>
      </c>
      <c r="E14" s="8">
        <f t="shared" ref="E14:K14" si="4">D17</f>
        <v>0</v>
      </c>
      <c r="F14" s="8">
        <f t="shared" si="4"/>
        <v>0</v>
      </c>
      <c r="G14" s="8">
        <f t="shared" si="4"/>
        <v>0</v>
      </c>
      <c r="H14" s="8">
        <f t="shared" si="4"/>
        <v>0</v>
      </c>
      <c r="I14" s="8">
        <f t="shared" si="4"/>
        <v>0</v>
      </c>
      <c r="J14" s="8">
        <f t="shared" si="4"/>
        <v>0</v>
      </c>
      <c r="K14" s="8">
        <f t="shared" si="4"/>
        <v>0</v>
      </c>
    </row>
    <row r="15" spans="1:11" ht="15" customHeight="1" x14ac:dyDescent="0.3">
      <c r="B15" t="s">
        <v>75</v>
      </c>
      <c r="C15" t="s">
        <v>152</v>
      </c>
      <c r="D15" s="6">
        <f t="shared" ref="D15:K15" si="5">D13</f>
        <v>1000</v>
      </c>
      <c r="E15" s="6">
        <f t="shared" si="5"/>
        <v>0</v>
      </c>
      <c r="F15" s="6">
        <f t="shared" si="5"/>
        <v>1000</v>
      </c>
      <c r="G15" s="6">
        <f t="shared" si="5"/>
        <v>0</v>
      </c>
      <c r="H15" s="6">
        <f t="shared" si="5"/>
        <v>1000</v>
      </c>
      <c r="I15" s="6">
        <f t="shared" si="5"/>
        <v>0</v>
      </c>
      <c r="J15" s="6">
        <f t="shared" si="5"/>
        <v>1000</v>
      </c>
      <c r="K15" s="6">
        <f t="shared" si="5"/>
        <v>0</v>
      </c>
    </row>
    <row r="16" spans="1:11" ht="15" customHeight="1" x14ac:dyDescent="0.3">
      <c r="B16" t="s">
        <v>75</v>
      </c>
      <c r="C16" t="s">
        <v>153</v>
      </c>
      <c r="D16" s="6">
        <f t="shared" ref="D16:J16" si="6">E7</f>
        <v>1000</v>
      </c>
      <c r="E16" s="6">
        <f t="shared" si="6"/>
        <v>0</v>
      </c>
      <c r="F16" s="6">
        <f t="shared" si="6"/>
        <v>1000</v>
      </c>
      <c r="G16" s="6">
        <f t="shared" si="6"/>
        <v>0</v>
      </c>
      <c r="H16" s="6">
        <f t="shared" si="6"/>
        <v>1000</v>
      </c>
      <c r="I16" s="6">
        <f t="shared" si="6"/>
        <v>0</v>
      </c>
      <c r="J16" s="6">
        <f t="shared" si="6"/>
        <v>1000</v>
      </c>
      <c r="K16" s="6">
        <f>0</f>
        <v>0</v>
      </c>
    </row>
    <row r="17" spans="2:11" ht="15" customHeight="1" x14ac:dyDescent="0.3">
      <c r="B17" t="s">
        <v>75</v>
      </c>
      <c r="C17" t="s">
        <v>154</v>
      </c>
      <c r="D17" s="6">
        <f t="shared" ref="D17:K17" si="7">D14+D15-D16</f>
        <v>0</v>
      </c>
      <c r="E17" s="6">
        <f t="shared" si="7"/>
        <v>0</v>
      </c>
      <c r="F17" s="6">
        <f t="shared" si="7"/>
        <v>0</v>
      </c>
      <c r="G17" s="6">
        <f t="shared" si="7"/>
        <v>0</v>
      </c>
      <c r="H17" s="6">
        <f t="shared" si="7"/>
        <v>0</v>
      </c>
      <c r="I17" s="6">
        <f t="shared" si="7"/>
        <v>0</v>
      </c>
      <c r="J17" s="6">
        <f t="shared" si="7"/>
        <v>0</v>
      </c>
      <c r="K17" s="6">
        <f t="shared" si="7"/>
        <v>0</v>
      </c>
    </row>
    <row r="19" spans="2:11" ht="15" customHeight="1" x14ac:dyDescent="0.3">
      <c r="B19" t="s">
        <v>71</v>
      </c>
      <c r="C19" t="s">
        <v>150</v>
      </c>
      <c r="D19" s="7">
        <f t="shared" ref="D19:J19" si="8">E13</f>
        <v>0</v>
      </c>
      <c r="E19" s="7">
        <f t="shared" si="8"/>
        <v>1000</v>
      </c>
      <c r="F19" s="7">
        <f t="shared" si="8"/>
        <v>0</v>
      </c>
      <c r="G19" s="7">
        <f t="shared" si="8"/>
        <v>1000</v>
      </c>
      <c r="H19" s="7">
        <f t="shared" si="8"/>
        <v>0</v>
      </c>
      <c r="I19" s="7">
        <f t="shared" si="8"/>
        <v>1000</v>
      </c>
      <c r="J19" s="7">
        <f t="shared" si="8"/>
        <v>0</v>
      </c>
      <c r="K19" s="7">
        <f>0</f>
        <v>0</v>
      </c>
    </row>
    <row r="20" spans="2:11" ht="15" customHeight="1" x14ac:dyDescent="0.3">
      <c r="B20" t="s">
        <v>71</v>
      </c>
      <c r="C20" t="s">
        <v>151</v>
      </c>
      <c r="D20" s="7">
        <f>'01_INPUTS_MASTER'!C56</f>
        <v>6682</v>
      </c>
      <c r="E20" s="8">
        <f t="shared" ref="E20:K20" si="9">D23</f>
        <v>6682</v>
      </c>
      <c r="F20" s="8">
        <f t="shared" si="9"/>
        <v>6682</v>
      </c>
      <c r="G20" s="8">
        <f t="shared" si="9"/>
        <v>6682</v>
      </c>
      <c r="H20" s="8">
        <f t="shared" si="9"/>
        <v>6682</v>
      </c>
      <c r="I20" s="8">
        <f t="shared" si="9"/>
        <v>6682</v>
      </c>
      <c r="J20" s="8">
        <f t="shared" si="9"/>
        <v>6682</v>
      </c>
      <c r="K20" s="8">
        <f t="shared" si="9"/>
        <v>6682</v>
      </c>
    </row>
    <row r="21" spans="2:11" ht="15" customHeight="1" x14ac:dyDescent="0.3">
      <c r="B21" t="s">
        <v>71</v>
      </c>
      <c r="C21" t="s">
        <v>152</v>
      </c>
      <c r="D21" s="6">
        <f t="shared" ref="D21:K21" si="10">D19</f>
        <v>0</v>
      </c>
      <c r="E21" s="6">
        <f t="shared" si="10"/>
        <v>1000</v>
      </c>
      <c r="F21" s="6">
        <f t="shared" si="10"/>
        <v>0</v>
      </c>
      <c r="G21" s="6">
        <f t="shared" si="10"/>
        <v>1000</v>
      </c>
      <c r="H21" s="6">
        <f t="shared" si="10"/>
        <v>0</v>
      </c>
      <c r="I21" s="6">
        <f t="shared" si="10"/>
        <v>1000</v>
      </c>
      <c r="J21" s="6">
        <f t="shared" si="10"/>
        <v>0</v>
      </c>
      <c r="K21" s="6">
        <f t="shared" si="10"/>
        <v>0</v>
      </c>
    </row>
    <row r="22" spans="2:11" ht="15" customHeight="1" x14ac:dyDescent="0.3">
      <c r="B22" t="s">
        <v>71</v>
      </c>
      <c r="C22" t="s">
        <v>153</v>
      </c>
      <c r="D22" s="6">
        <f t="shared" ref="D22:J22" si="11">E13</f>
        <v>0</v>
      </c>
      <c r="E22" s="6">
        <f t="shared" si="11"/>
        <v>1000</v>
      </c>
      <c r="F22" s="6">
        <f t="shared" si="11"/>
        <v>0</v>
      </c>
      <c r="G22" s="6">
        <f t="shared" si="11"/>
        <v>1000</v>
      </c>
      <c r="H22" s="6">
        <f t="shared" si="11"/>
        <v>0</v>
      </c>
      <c r="I22" s="6">
        <f t="shared" si="11"/>
        <v>1000</v>
      </c>
      <c r="J22" s="6">
        <f t="shared" si="11"/>
        <v>0</v>
      </c>
      <c r="K22" s="6">
        <f>0</f>
        <v>0</v>
      </c>
    </row>
    <row r="23" spans="2:11" ht="15" customHeight="1" x14ac:dyDescent="0.3">
      <c r="B23" t="s">
        <v>71</v>
      </c>
      <c r="C23" t="s">
        <v>154</v>
      </c>
      <c r="D23" s="6">
        <f t="shared" ref="D23:K23" si="12">D20+D21-D22</f>
        <v>6682</v>
      </c>
      <c r="E23" s="6">
        <f t="shared" si="12"/>
        <v>6682</v>
      </c>
      <c r="F23" s="6">
        <f t="shared" si="12"/>
        <v>6682</v>
      </c>
      <c r="G23" s="6">
        <f t="shared" si="12"/>
        <v>6682</v>
      </c>
      <c r="H23" s="6">
        <f t="shared" si="12"/>
        <v>6682</v>
      </c>
      <c r="I23" s="6">
        <f t="shared" si="12"/>
        <v>6682</v>
      </c>
      <c r="J23" s="6">
        <f t="shared" si="12"/>
        <v>6682</v>
      </c>
      <c r="K23" s="6">
        <f t="shared" si="12"/>
        <v>6682</v>
      </c>
    </row>
    <row r="25" spans="2:11" ht="15" customHeight="1" x14ac:dyDescent="0.3">
      <c r="B25" t="s">
        <v>69</v>
      </c>
      <c r="C25" t="s">
        <v>150</v>
      </c>
      <c r="D25" s="7">
        <f t="shared" ref="D25:J25" si="13">E19</f>
        <v>1000</v>
      </c>
      <c r="E25" s="7">
        <f t="shared" si="13"/>
        <v>0</v>
      </c>
      <c r="F25" s="7">
        <f t="shared" si="13"/>
        <v>1000</v>
      </c>
      <c r="G25" s="7">
        <f t="shared" si="13"/>
        <v>0</v>
      </c>
      <c r="H25" s="7">
        <f t="shared" si="13"/>
        <v>1000</v>
      </c>
      <c r="I25" s="7">
        <f t="shared" si="13"/>
        <v>0</v>
      </c>
      <c r="J25" s="7">
        <f t="shared" si="13"/>
        <v>0</v>
      </c>
      <c r="K25" s="7">
        <f>0</f>
        <v>0</v>
      </c>
    </row>
    <row r="26" spans="2:11" ht="15" customHeight="1" x14ac:dyDescent="0.3">
      <c r="B26" t="s">
        <v>69</v>
      </c>
      <c r="C26" t="s">
        <v>151</v>
      </c>
      <c r="D26" s="7">
        <f>'01_INPUTS_MASTER'!C55</f>
        <v>6528</v>
      </c>
      <c r="E26" s="8">
        <f t="shared" ref="E26:K26" si="14">D29</f>
        <v>6528</v>
      </c>
      <c r="F26" s="8">
        <f t="shared" si="14"/>
        <v>6528</v>
      </c>
      <c r="G26" s="8">
        <f t="shared" si="14"/>
        <v>6528</v>
      </c>
      <c r="H26" s="8">
        <f t="shared" si="14"/>
        <v>6528</v>
      </c>
      <c r="I26" s="8">
        <f t="shared" si="14"/>
        <v>6528</v>
      </c>
      <c r="J26" s="8">
        <f t="shared" si="14"/>
        <v>6528</v>
      </c>
      <c r="K26" s="8">
        <f t="shared" si="14"/>
        <v>6528</v>
      </c>
    </row>
    <row r="27" spans="2:11" ht="15" customHeight="1" x14ac:dyDescent="0.3">
      <c r="B27" t="s">
        <v>69</v>
      </c>
      <c r="C27" t="s">
        <v>152</v>
      </c>
      <c r="D27" s="6">
        <f t="shared" ref="D27:K27" si="15">D25</f>
        <v>1000</v>
      </c>
      <c r="E27" s="6">
        <f t="shared" si="15"/>
        <v>0</v>
      </c>
      <c r="F27" s="6">
        <f t="shared" si="15"/>
        <v>1000</v>
      </c>
      <c r="G27" s="6">
        <f t="shared" si="15"/>
        <v>0</v>
      </c>
      <c r="H27" s="6">
        <f t="shared" si="15"/>
        <v>1000</v>
      </c>
      <c r="I27" s="6">
        <f t="shared" si="15"/>
        <v>0</v>
      </c>
      <c r="J27" s="6">
        <f t="shared" si="15"/>
        <v>0</v>
      </c>
      <c r="K27" s="6">
        <f t="shared" si="15"/>
        <v>0</v>
      </c>
    </row>
    <row r="28" spans="2:11" ht="15" customHeight="1" x14ac:dyDescent="0.3">
      <c r="B28" t="s">
        <v>69</v>
      </c>
      <c r="C28" t="s">
        <v>153</v>
      </c>
      <c r="D28" s="6">
        <f t="shared" ref="D28:J28" si="16">E19</f>
        <v>1000</v>
      </c>
      <c r="E28" s="6">
        <f t="shared" si="16"/>
        <v>0</v>
      </c>
      <c r="F28" s="6">
        <f t="shared" si="16"/>
        <v>1000</v>
      </c>
      <c r="G28" s="6">
        <f t="shared" si="16"/>
        <v>0</v>
      </c>
      <c r="H28" s="6">
        <f t="shared" si="16"/>
        <v>1000</v>
      </c>
      <c r="I28" s="6">
        <f t="shared" si="16"/>
        <v>0</v>
      </c>
      <c r="J28" s="6">
        <f t="shared" si="16"/>
        <v>0</v>
      </c>
      <c r="K28" s="6">
        <f>0</f>
        <v>0</v>
      </c>
    </row>
    <row r="29" spans="2:11" ht="15" customHeight="1" x14ac:dyDescent="0.3">
      <c r="B29" t="s">
        <v>69</v>
      </c>
      <c r="C29" t="s">
        <v>154</v>
      </c>
      <c r="D29" s="6">
        <f t="shared" ref="D29:K29" si="17">D26+D27-D28</f>
        <v>6528</v>
      </c>
      <c r="E29" s="6">
        <f t="shared" si="17"/>
        <v>6528</v>
      </c>
      <c r="F29" s="6">
        <f t="shared" si="17"/>
        <v>6528</v>
      </c>
      <c r="G29" s="6">
        <f t="shared" si="17"/>
        <v>6528</v>
      </c>
      <c r="H29" s="6">
        <f t="shared" si="17"/>
        <v>6528</v>
      </c>
      <c r="I29" s="6">
        <f t="shared" si="17"/>
        <v>6528</v>
      </c>
      <c r="J29" s="6">
        <f t="shared" si="17"/>
        <v>6528</v>
      </c>
      <c r="K29" s="6">
        <f t="shared" si="17"/>
        <v>6528</v>
      </c>
    </row>
    <row r="31" spans="2:11" ht="15" customHeight="1" x14ac:dyDescent="0.3">
      <c r="B31" t="s">
        <v>67</v>
      </c>
      <c r="C31" t="s">
        <v>150</v>
      </c>
      <c r="D31" s="7">
        <f t="shared" ref="D31:J31" si="18">E19</f>
        <v>1000</v>
      </c>
      <c r="E31" s="7">
        <f t="shared" si="18"/>
        <v>0</v>
      </c>
      <c r="F31" s="7">
        <f t="shared" si="18"/>
        <v>1000</v>
      </c>
      <c r="G31" s="7">
        <f t="shared" si="18"/>
        <v>0</v>
      </c>
      <c r="H31" s="7">
        <f t="shared" si="18"/>
        <v>1000</v>
      </c>
      <c r="I31" s="7">
        <f t="shared" si="18"/>
        <v>0</v>
      </c>
      <c r="J31" s="7">
        <f t="shared" si="18"/>
        <v>0</v>
      </c>
      <c r="K31" s="7">
        <f>0</f>
        <v>0</v>
      </c>
    </row>
    <row r="32" spans="2:11" ht="15" customHeight="1" x14ac:dyDescent="0.3">
      <c r="B32" t="s">
        <v>67</v>
      </c>
      <c r="C32" t="s">
        <v>151</v>
      </c>
      <c r="D32" s="7">
        <f>'01_INPUTS_MASTER'!C54</f>
        <v>7432</v>
      </c>
      <c r="E32" s="8">
        <f t="shared" ref="E32:K32" si="19">D35</f>
        <v>7432</v>
      </c>
      <c r="F32" s="8">
        <f t="shared" si="19"/>
        <v>7432</v>
      </c>
      <c r="G32" s="8">
        <f t="shared" si="19"/>
        <v>7432</v>
      </c>
      <c r="H32" s="8">
        <f t="shared" si="19"/>
        <v>7432</v>
      </c>
      <c r="I32" s="8">
        <f t="shared" si="19"/>
        <v>7432</v>
      </c>
      <c r="J32" s="8">
        <f t="shared" si="19"/>
        <v>7432</v>
      </c>
      <c r="K32" s="8">
        <f t="shared" si="19"/>
        <v>7432</v>
      </c>
    </row>
    <row r="33" spans="1:11" ht="15" customHeight="1" x14ac:dyDescent="0.3">
      <c r="B33" t="s">
        <v>67</v>
      </c>
      <c r="C33" t="s">
        <v>152</v>
      </c>
      <c r="D33" s="6">
        <f t="shared" ref="D33:K33" si="20">D31</f>
        <v>1000</v>
      </c>
      <c r="E33" s="6">
        <f t="shared" si="20"/>
        <v>0</v>
      </c>
      <c r="F33" s="6">
        <f t="shared" si="20"/>
        <v>1000</v>
      </c>
      <c r="G33" s="6">
        <f t="shared" si="20"/>
        <v>0</v>
      </c>
      <c r="H33" s="6">
        <f t="shared" si="20"/>
        <v>1000</v>
      </c>
      <c r="I33" s="6">
        <f t="shared" si="20"/>
        <v>0</v>
      </c>
      <c r="J33" s="6">
        <f t="shared" si="20"/>
        <v>0</v>
      </c>
      <c r="K33" s="6">
        <f t="shared" si="20"/>
        <v>0</v>
      </c>
    </row>
    <row r="34" spans="1:11" ht="15" customHeight="1" x14ac:dyDescent="0.3">
      <c r="B34" t="s">
        <v>67</v>
      </c>
      <c r="C34" t="s">
        <v>153</v>
      </c>
      <c r="D34" s="6">
        <f t="shared" ref="D34:J34" si="21">E19</f>
        <v>1000</v>
      </c>
      <c r="E34" s="6">
        <f t="shared" si="21"/>
        <v>0</v>
      </c>
      <c r="F34" s="6">
        <f t="shared" si="21"/>
        <v>1000</v>
      </c>
      <c r="G34" s="6">
        <f t="shared" si="21"/>
        <v>0</v>
      </c>
      <c r="H34" s="6">
        <f t="shared" si="21"/>
        <v>1000</v>
      </c>
      <c r="I34" s="6">
        <f t="shared" si="21"/>
        <v>0</v>
      </c>
      <c r="J34" s="6">
        <f t="shared" si="21"/>
        <v>0</v>
      </c>
      <c r="K34" s="6">
        <f>0</f>
        <v>0</v>
      </c>
    </row>
    <row r="35" spans="1:11" ht="15" customHeight="1" x14ac:dyDescent="0.3">
      <c r="B35" t="s">
        <v>67</v>
      </c>
      <c r="C35" t="s">
        <v>154</v>
      </c>
      <c r="D35" s="6">
        <f t="shared" ref="D35:K35" si="22">D32+D33-D34</f>
        <v>7432</v>
      </c>
      <c r="E35" s="6">
        <f t="shared" si="22"/>
        <v>7432</v>
      </c>
      <c r="F35" s="6">
        <f t="shared" si="22"/>
        <v>7432</v>
      </c>
      <c r="G35" s="6">
        <f t="shared" si="22"/>
        <v>7432</v>
      </c>
      <c r="H35" s="6">
        <f t="shared" si="22"/>
        <v>7432</v>
      </c>
      <c r="I35" s="6">
        <f t="shared" si="22"/>
        <v>7432</v>
      </c>
      <c r="J35" s="6">
        <f t="shared" si="22"/>
        <v>7432</v>
      </c>
      <c r="K35" s="6">
        <f t="shared" si="22"/>
        <v>7432</v>
      </c>
    </row>
    <row r="37" spans="1:11" ht="15" customHeight="1" x14ac:dyDescent="0.3">
      <c r="A37" s="13" t="s">
        <v>51</v>
      </c>
      <c r="B37" s="13"/>
      <c r="C37" s="13"/>
      <c r="D37" s="13"/>
      <c r="E37" s="13"/>
      <c r="F37" s="13"/>
      <c r="G37" s="13"/>
      <c r="H37" s="13"/>
      <c r="I37" s="13"/>
      <c r="J37" s="13"/>
      <c r="K37" s="13"/>
    </row>
    <row r="38" spans="1:11" ht="15" customHeight="1" x14ac:dyDescent="0.3">
      <c r="B38" t="s">
        <v>77</v>
      </c>
      <c r="C38" t="s">
        <v>150</v>
      </c>
      <c r="D38" s="7">
        <f>'03_MPS_S5'!C18</f>
        <v>0</v>
      </c>
      <c r="E38" s="7">
        <f>'03_MPS_S5'!D18</f>
        <v>1000</v>
      </c>
      <c r="F38" s="7">
        <f>'03_MPS_S5'!E18</f>
        <v>0</v>
      </c>
      <c r="G38" s="7">
        <f>'03_MPS_S5'!F18</f>
        <v>1000</v>
      </c>
      <c r="H38" s="7">
        <f>'03_MPS_S5'!G18</f>
        <v>0</v>
      </c>
      <c r="I38" s="7">
        <f>'03_MPS_S5'!H18</f>
        <v>1000</v>
      </c>
      <c r="J38" s="7">
        <f>'03_MPS_S5'!I18</f>
        <v>0</v>
      </c>
      <c r="K38" s="7">
        <f>'03_MPS_S5'!J18</f>
        <v>1000</v>
      </c>
    </row>
    <row r="39" spans="1:11" ht="15" customHeight="1" x14ac:dyDescent="0.3">
      <c r="B39" t="s">
        <v>77</v>
      </c>
      <c r="C39" t="s">
        <v>151</v>
      </c>
      <c r="D39" s="7">
        <f>'01_INPUTS_MASTER'!B68</f>
        <v>1299</v>
      </c>
      <c r="E39" s="8">
        <f t="shared" ref="E39:K39" si="23">D42</f>
        <v>1299</v>
      </c>
      <c r="F39" s="8">
        <f t="shared" si="23"/>
        <v>1299</v>
      </c>
      <c r="G39" s="8">
        <f t="shared" si="23"/>
        <v>1299</v>
      </c>
      <c r="H39" s="8">
        <f t="shared" si="23"/>
        <v>1299</v>
      </c>
      <c r="I39" s="8">
        <f t="shared" si="23"/>
        <v>1299</v>
      </c>
      <c r="J39" s="8">
        <f t="shared" si="23"/>
        <v>1299</v>
      </c>
      <c r="K39" s="8">
        <f t="shared" si="23"/>
        <v>1299</v>
      </c>
    </row>
    <row r="40" spans="1:11" ht="15" customHeight="1" x14ac:dyDescent="0.3">
      <c r="B40" t="s">
        <v>77</v>
      </c>
      <c r="C40" t="s">
        <v>152</v>
      </c>
      <c r="D40" s="6">
        <f t="shared" ref="D40:K40" si="24">D38</f>
        <v>0</v>
      </c>
      <c r="E40" s="6">
        <f t="shared" si="24"/>
        <v>1000</v>
      </c>
      <c r="F40" s="6">
        <f t="shared" si="24"/>
        <v>0</v>
      </c>
      <c r="G40" s="6">
        <f t="shared" si="24"/>
        <v>1000</v>
      </c>
      <c r="H40" s="6">
        <f t="shared" si="24"/>
        <v>0</v>
      </c>
      <c r="I40" s="6">
        <f t="shared" si="24"/>
        <v>1000</v>
      </c>
      <c r="J40" s="6">
        <f t="shared" si="24"/>
        <v>0</v>
      </c>
      <c r="K40" s="6">
        <f t="shared" si="24"/>
        <v>1000</v>
      </c>
    </row>
    <row r="41" spans="1:11" ht="15" customHeight="1" x14ac:dyDescent="0.3">
      <c r="B41" t="s">
        <v>77</v>
      </c>
      <c r="C41" t="s">
        <v>153</v>
      </c>
      <c r="D41" s="6">
        <f>'02_DEMAND'!C22</f>
        <v>0</v>
      </c>
      <c r="E41" s="6">
        <f>'02_DEMAND'!D22</f>
        <v>1000</v>
      </c>
      <c r="F41" s="6">
        <f>'02_DEMAND'!E22</f>
        <v>0</v>
      </c>
      <c r="G41" s="6">
        <f>'02_DEMAND'!F22</f>
        <v>1000</v>
      </c>
      <c r="H41" s="6">
        <f>'02_DEMAND'!G22</f>
        <v>0</v>
      </c>
      <c r="I41" s="6">
        <f>'02_DEMAND'!H22</f>
        <v>1000</v>
      </c>
      <c r="J41" s="6">
        <f>'02_DEMAND'!I22</f>
        <v>0</v>
      </c>
      <c r="K41" s="6">
        <f>'02_DEMAND'!J22</f>
        <v>1000</v>
      </c>
    </row>
    <row r="42" spans="1:11" ht="15" customHeight="1" x14ac:dyDescent="0.3">
      <c r="B42" t="s">
        <v>77</v>
      </c>
      <c r="C42" t="s">
        <v>154</v>
      </c>
      <c r="D42" s="6">
        <f t="shared" ref="D42:K42" si="25">D39+D40-D41</f>
        <v>1299</v>
      </c>
      <c r="E42" s="6">
        <f t="shared" si="25"/>
        <v>1299</v>
      </c>
      <c r="F42" s="6">
        <f t="shared" si="25"/>
        <v>1299</v>
      </c>
      <c r="G42" s="6">
        <f t="shared" si="25"/>
        <v>1299</v>
      </c>
      <c r="H42" s="6">
        <f t="shared" si="25"/>
        <v>1299</v>
      </c>
      <c r="I42" s="6">
        <f t="shared" si="25"/>
        <v>1299</v>
      </c>
      <c r="J42" s="6">
        <f t="shared" si="25"/>
        <v>1299</v>
      </c>
      <c r="K42" s="6">
        <f t="shared" si="25"/>
        <v>1299</v>
      </c>
    </row>
    <row r="44" spans="1:11" ht="15" customHeight="1" x14ac:dyDescent="0.3">
      <c r="B44" t="s">
        <v>75</v>
      </c>
      <c r="C44" t="s">
        <v>150</v>
      </c>
      <c r="D44" s="7">
        <f t="shared" ref="D44:J44" si="26">E38</f>
        <v>1000</v>
      </c>
      <c r="E44" s="7">
        <f t="shared" si="26"/>
        <v>0</v>
      </c>
      <c r="F44" s="7">
        <f t="shared" si="26"/>
        <v>1000</v>
      </c>
      <c r="G44" s="7">
        <f t="shared" si="26"/>
        <v>0</v>
      </c>
      <c r="H44" s="7">
        <f t="shared" si="26"/>
        <v>1000</v>
      </c>
      <c r="I44" s="7">
        <f t="shared" si="26"/>
        <v>0</v>
      </c>
      <c r="J44" s="7">
        <f t="shared" si="26"/>
        <v>1000</v>
      </c>
      <c r="K44" s="7">
        <f>0</f>
        <v>0</v>
      </c>
    </row>
    <row r="45" spans="1:11" ht="15" customHeight="1" x14ac:dyDescent="0.3">
      <c r="B45" t="s">
        <v>75</v>
      </c>
      <c r="C45" t="s">
        <v>151</v>
      </c>
      <c r="D45" s="7">
        <f>'01_INPUTS_MASTER'!D57</f>
        <v>0</v>
      </c>
      <c r="E45" s="8">
        <f t="shared" ref="E45:K45" si="27">D48</f>
        <v>0</v>
      </c>
      <c r="F45" s="8">
        <f t="shared" si="27"/>
        <v>0</v>
      </c>
      <c r="G45" s="8">
        <f t="shared" si="27"/>
        <v>0</v>
      </c>
      <c r="H45" s="8">
        <f t="shared" si="27"/>
        <v>0</v>
      </c>
      <c r="I45" s="8">
        <f t="shared" si="27"/>
        <v>0</v>
      </c>
      <c r="J45" s="8">
        <f t="shared" si="27"/>
        <v>0</v>
      </c>
      <c r="K45" s="8">
        <f t="shared" si="27"/>
        <v>0</v>
      </c>
    </row>
    <row r="46" spans="1:11" ht="15" customHeight="1" x14ac:dyDescent="0.3">
      <c r="B46" t="s">
        <v>75</v>
      </c>
      <c r="C46" t="s">
        <v>152</v>
      </c>
      <c r="D46" s="6">
        <f t="shared" ref="D46:K46" si="28">D44</f>
        <v>1000</v>
      </c>
      <c r="E46" s="6">
        <f t="shared" si="28"/>
        <v>0</v>
      </c>
      <c r="F46" s="6">
        <f t="shared" si="28"/>
        <v>1000</v>
      </c>
      <c r="G46" s="6">
        <f t="shared" si="28"/>
        <v>0</v>
      </c>
      <c r="H46" s="6">
        <f t="shared" si="28"/>
        <v>1000</v>
      </c>
      <c r="I46" s="6">
        <f t="shared" si="28"/>
        <v>0</v>
      </c>
      <c r="J46" s="6">
        <f t="shared" si="28"/>
        <v>1000</v>
      </c>
      <c r="K46" s="6">
        <f t="shared" si="28"/>
        <v>0</v>
      </c>
    </row>
    <row r="47" spans="1:11" ht="15" customHeight="1" x14ac:dyDescent="0.3">
      <c r="B47" t="s">
        <v>75</v>
      </c>
      <c r="C47" t="s">
        <v>153</v>
      </c>
      <c r="D47" s="6">
        <f t="shared" ref="D47:J47" si="29">E38</f>
        <v>1000</v>
      </c>
      <c r="E47" s="6">
        <f t="shared" si="29"/>
        <v>0</v>
      </c>
      <c r="F47" s="6">
        <f t="shared" si="29"/>
        <v>1000</v>
      </c>
      <c r="G47" s="6">
        <f t="shared" si="29"/>
        <v>0</v>
      </c>
      <c r="H47" s="6">
        <f t="shared" si="29"/>
        <v>1000</v>
      </c>
      <c r="I47" s="6">
        <f t="shared" si="29"/>
        <v>0</v>
      </c>
      <c r="J47" s="6">
        <f t="shared" si="29"/>
        <v>1000</v>
      </c>
      <c r="K47" s="6">
        <f>0</f>
        <v>0</v>
      </c>
    </row>
    <row r="48" spans="1:11" ht="15" customHeight="1" x14ac:dyDescent="0.3">
      <c r="B48" t="s">
        <v>75</v>
      </c>
      <c r="C48" t="s">
        <v>154</v>
      </c>
      <c r="D48" s="6">
        <f t="shared" ref="D48:K48" si="30">D45+D46-D47</f>
        <v>0</v>
      </c>
      <c r="E48" s="6">
        <f t="shared" si="30"/>
        <v>0</v>
      </c>
      <c r="F48" s="6">
        <f t="shared" si="30"/>
        <v>0</v>
      </c>
      <c r="G48" s="6">
        <f t="shared" si="30"/>
        <v>0</v>
      </c>
      <c r="H48" s="6">
        <f t="shared" si="30"/>
        <v>0</v>
      </c>
      <c r="I48" s="6">
        <f t="shared" si="30"/>
        <v>0</v>
      </c>
      <c r="J48" s="6">
        <f t="shared" si="30"/>
        <v>0</v>
      </c>
      <c r="K48" s="6">
        <f t="shared" si="30"/>
        <v>0</v>
      </c>
    </row>
    <row r="50" spans="2:11" ht="15" customHeight="1" x14ac:dyDescent="0.3">
      <c r="B50" t="s">
        <v>71</v>
      </c>
      <c r="C50" t="s">
        <v>150</v>
      </c>
      <c r="D50" s="7">
        <f t="shared" ref="D50:J50" si="31">E44</f>
        <v>0</v>
      </c>
      <c r="E50" s="7">
        <f t="shared" si="31"/>
        <v>1000</v>
      </c>
      <c r="F50" s="7">
        <f t="shared" si="31"/>
        <v>0</v>
      </c>
      <c r="G50" s="7">
        <f t="shared" si="31"/>
        <v>1000</v>
      </c>
      <c r="H50" s="7">
        <f t="shared" si="31"/>
        <v>0</v>
      </c>
      <c r="I50" s="7">
        <f t="shared" si="31"/>
        <v>1000</v>
      </c>
      <c r="J50" s="7">
        <f t="shared" si="31"/>
        <v>0</v>
      </c>
      <c r="K50" s="7">
        <f>0</f>
        <v>0</v>
      </c>
    </row>
    <row r="51" spans="2:11" ht="15" customHeight="1" x14ac:dyDescent="0.3">
      <c r="B51" t="s">
        <v>71</v>
      </c>
      <c r="C51" t="s">
        <v>151</v>
      </c>
      <c r="D51" s="7">
        <f>'01_INPUTS_MASTER'!D56</f>
        <v>0</v>
      </c>
      <c r="E51" s="8">
        <f t="shared" ref="E51:K51" si="32">D54</f>
        <v>0</v>
      </c>
      <c r="F51" s="8">
        <f t="shared" si="32"/>
        <v>0</v>
      </c>
      <c r="G51" s="8">
        <f t="shared" si="32"/>
        <v>0</v>
      </c>
      <c r="H51" s="8">
        <f t="shared" si="32"/>
        <v>0</v>
      </c>
      <c r="I51" s="8">
        <f t="shared" si="32"/>
        <v>0</v>
      </c>
      <c r="J51" s="8">
        <f t="shared" si="32"/>
        <v>0</v>
      </c>
      <c r="K51" s="8">
        <f t="shared" si="32"/>
        <v>0</v>
      </c>
    </row>
    <row r="52" spans="2:11" ht="15" customHeight="1" x14ac:dyDescent="0.3">
      <c r="B52" t="s">
        <v>71</v>
      </c>
      <c r="C52" t="s">
        <v>152</v>
      </c>
      <c r="D52" s="6">
        <f t="shared" ref="D52:K52" si="33">D50</f>
        <v>0</v>
      </c>
      <c r="E52" s="6">
        <f t="shared" si="33"/>
        <v>1000</v>
      </c>
      <c r="F52" s="6">
        <f t="shared" si="33"/>
        <v>0</v>
      </c>
      <c r="G52" s="6">
        <f t="shared" si="33"/>
        <v>1000</v>
      </c>
      <c r="H52" s="6">
        <f t="shared" si="33"/>
        <v>0</v>
      </c>
      <c r="I52" s="6">
        <f t="shared" si="33"/>
        <v>1000</v>
      </c>
      <c r="J52" s="6">
        <f t="shared" si="33"/>
        <v>0</v>
      </c>
      <c r="K52" s="6">
        <f t="shared" si="33"/>
        <v>0</v>
      </c>
    </row>
    <row r="53" spans="2:11" ht="15" customHeight="1" x14ac:dyDescent="0.3">
      <c r="B53" t="s">
        <v>71</v>
      </c>
      <c r="C53" t="s">
        <v>153</v>
      </c>
      <c r="D53" s="6">
        <f t="shared" ref="D53:J53" si="34">E44</f>
        <v>0</v>
      </c>
      <c r="E53" s="6">
        <f t="shared" si="34"/>
        <v>1000</v>
      </c>
      <c r="F53" s="6">
        <f t="shared" si="34"/>
        <v>0</v>
      </c>
      <c r="G53" s="6">
        <f t="shared" si="34"/>
        <v>1000</v>
      </c>
      <c r="H53" s="6">
        <f t="shared" si="34"/>
        <v>0</v>
      </c>
      <c r="I53" s="6">
        <f t="shared" si="34"/>
        <v>1000</v>
      </c>
      <c r="J53" s="6">
        <f t="shared" si="34"/>
        <v>0</v>
      </c>
      <c r="K53" s="6">
        <f>0</f>
        <v>0</v>
      </c>
    </row>
    <row r="54" spans="2:11" ht="15" customHeight="1" x14ac:dyDescent="0.3">
      <c r="B54" t="s">
        <v>71</v>
      </c>
      <c r="C54" t="s">
        <v>154</v>
      </c>
      <c r="D54" s="6">
        <f t="shared" ref="D54:K54" si="35">D51+D52-D53</f>
        <v>0</v>
      </c>
      <c r="E54" s="6">
        <f t="shared" si="35"/>
        <v>0</v>
      </c>
      <c r="F54" s="6">
        <f t="shared" si="35"/>
        <v>0</v>
      </c>
      <c r="G54" s="6">
        <f t="shared" si="35"/>
        <v>0</v>
      </c>
      <c r="H54" s="6">
        <f t="shared" si="35"/>
        <v>0</v>
      </c>
      <c r="I54" s="6">
        <f t="shared" si="35"/>
        <v>0</v>
      </c>
      <c r="J54" s="6">
        <f t="shared" si="35"/>
        <v>0</v>
      </c>
      <c r="K54" s="6">
        <f t="shared" si="35"/>
        <v>0</v>
      </c>
    </row>
    <row r="56" spans="2:11" ht="15" customHeight="1" x14ac:dyDescent="0.3">
      <c r="B56" t="s">
        <v>69</v>
      </c>
      <c r="C56" t="s">
        <v>150</v>
      </c>
      <c r="D56" s="7">
        <f t="shared" ref="D56:J56" si="36">E50</f>
        <v>1000</v>
      </c>
      <c r="E56" s="7">
        <f t="shared" si="36"/>
        <v>0</v>
      </c>
      <c r="F56" s="7">
        <f t="shared" si="36"/>
        <v>1000</v>
      </c>
      <c r="G56" s="7">
        <f t="shared" si="36"/>
        <v>0</v>
      </c>
      <c r="H56" s="7">
        <f t="shared" si="36"/>
        <v>1000</v>
      </c>
      <c r="I56" s="7">
        <f t="shared" si="36"/>
        <v>0</v>
      </c>
      <c r="J56" s="7">
        <f t="shared" si="36"/>
        <v>0</v>
      </c>
      <c r="K56" s="7">
        <f>0</f>
        <v>0</v>
      </c>
    </row>
    <row r="57" spans="2:11" ht="15" customHeight="1" x14ac:dyDescent="0.3">
      <c r="B57" t="s">
        <v>69</v>
      </c>
      <c r="C57" t="s">
        <v>151</v>
      </c>
      <c r="D57" s="7">
        <f>'01_INPUTS_MASTER'!D55</f>
        <v>0</v>
      </c>
      <c r="E57" s="8">
        <f t="shared" ref="E57:K57" si="37">D60</f>
        <v>0</v>
      </c>
      <c r="F57" s="8">
        <f t="shared" si="37"/>
        <v>0</v>
      </c>
      <c r="G57" s="8">
        <f t="shared" si="37"/>
        <v>0</v>
      </c>
      <c r="H57" s="8">
        <f t="shared" si="37"/>
        <v>0</v>
      </c>
      <c r="I57" s="8">
        <f t="shared" si="37"/>
        <v>0</v>
      </c>
      <c r="J57" s="8">
        <f t="shared" si="37"/>
        <v>0</v>
      </c>
      <c r="K57" s="8">
        <f t="shared" si="37"/>
        <v>0</v>
      </c>
    </row>
    <row r="58" spans="2:11" ht="15" customHeight="1" x14ac:dyDescent="0.3">
      <c r="B58" t="s">
        <v>69</v>
      </c>
      <c r="C58" t="s">
        <v>152</v>
      </c>
      <c r="D58" s="6">
        <f t="shared" ref="D58:K58" si="38">D56</f>
        <v>1000</v>
      </c>
      <c r="E58" s="6">
        <f t="shared" si="38"/>
        <v>0</v>
      </c>
      <c r="F58" s="6">
        <f t="shared" si="38"/>
        <v>1000</v>
      </c>
      <c r="G58" s="6">
        <f t="shared" si="38"/>
        <v>0</v>
      </c>
      <c r="H58" s="6">
        <f t="shared" si="38"/>
        <v>1000</v>
      </c>
      <c r="I58" s="6">
        <f t="shared" si="38"/>
        <v>0</v>
      </c>
      <c r="J58" s="6">
        <f t="shared" si="38"/>
        <v>0</v>
      </c>
      <c r="K58" s="6">
        <f t="shared" si="38"/>
        <v>0</v>
      </c>
    </row>
    <row r="59" spans="2:11" ht="15" customHeight="1" x14ac:dyDescent="0.3">
      <c r="B59" t="s">
        <v>69</v>
      </c>
      <c r="C59" t="s">
        <v>153</v>
      </c>
      <c r="D59" s="6">
        <f t="shared" ref="D59:J59" si="39">E50</f>
        <v>1000</v>
      </c>
      <c r="E59" s="6">
        <f t="shared" si="39"/>
        <v>0</v>
      </c>
      <c r="F59" s="6">
        <f t="shared" si="39"/>
        <v>1000</v>
      </c>
      <c r="G59" s="6">
        <f t="shared" si="39"/>
        <v>0</v>
      </c>
      <c r="H59" s="6">
        <f t="shared" si="39"/>
        <v>1000</v>
      </c>
      <c r="I59" s="6">
        <f t="shared" si="39"/>
        <v>0</v>
      </c>
      <c r="J59" s="6">
        <f t="shared" si="39"/>
        <v>0</v>
      </c>
      <c r="K59" s="6">
        <f>0</f>
        <v>0</v>
      </c>
    </row>
    <row r="60" spans="2:11" ht="15" customHeight="1" x14ac:dyDescent="0.3">
      <c r="B60" t="s">
        <v>69</v>
      </c>
      <c r="C60" t="s">
        <v>154</v>
      </c>
      <c r="D60" s="6">
        <f t="shared" ref="D60:K60" si="40">D57+D58-D59</f>
        <v>0</v>
      </c>
      <c r="E60" s="6">
        <f t="shared" si="40"/>
        <v>0</v>
      </c>
      <c r="F60" s="6">
        <f t="shared" si="40"/>
        <v>0</v>
      </c>
      <c r="G60" s="6">
        <f t="shared" si="40"/>
        <v>0</v>
      </c>
      <c r="H60" s="6">
        <f t="shared" si="40"/>
        <v>0</v>
      </c>
      <c r="I60" s="6">
        <f t="shared" si="40"/>
        <v>0</v>
      </c>
      <c r="J60" s="6">
        <f t="shared" si="40"/>
        <v>0</v>
      </c>
      <c r="K60" s="6">
        <f t="shared" si="40"/>
        <v>0</v>
      </c>
    </row>
    <row r="62" spans="2:11" ht="15" customHeight="1" x14ac:dyDescent="0.3">
      <c r="B62" t="s">
        <v>67</v>
      </c>
      <c r="C62" t="s">
        <v>150</v>
      </c>
      <c r="D62" s="7">
        <f t="shared" ref="D62:J62" si="41">E50</f>
        <v>1000</v>
      </c>
      <c r="E62" s="7">
        <f t="shared" si="41"/>
        <v>0</v>
      </c>
      <c r="F62" s="7">
        <f t="shared" si="41"/>
        <v>1000</v>
      </c>
      <c r="G62" s="7">
        <f t="shared" si="41"/>
        <v>0</v>
      </c>
      <c r="H62" s="7">
        <f t="shared" si="41"/>
        <v>1000</v>
      </c>
      <c r="I62" s="7">
        <f t="shared" si="41"/>
        <v>0</v>
      </c>
      <c r="J62" s="7">
        <f t="shared" si="41"/>
        <v>0</v>
      </c>
      <c r="K62" s="7">
        <f>0</f>
        <v>0</v>
      </c>
    </row>
    <row r="63" spans="2:11" ht="15" customHeight="1" x14ac:dyDescent="0.3">
      <c r="B63" t="s">
        <v>67</v>
      </c>
      <c r="C63" t="s">
        <v>151</v>
      </c>
      <c r="D63" s="7">
        <f>'01_INPUTS_MASTER'!D54</f>
        <v>3622</v>
      </c>
      <c r="E63" s="8">
        <f t="shared" ref="E63:K63" si="42">D66</f>
        <v>3622</v>
      </c>
      <c r="F63" s="8">
        <f t="shared" si="42"/>
        <v>3622</v>
      </c>
      <c r="G63" s="8">
        <f t="shared" si="42"/>
        <v>3622</v>
      </c>
      <c r="H63" s="8">
        <f t="shared" si="42"/>
        <v>3622</v>
      </c>
      <c r="I63" s="8">
        <f t="shared" si="42"/>
        <v>3622</v>
      </c>
      <c r="J63" s="8">
        <f t="shared" si="42"/>
        <v>3622</v>
      </c>
      <c r="K63" s="8">
        <f t="shared" si="42"/>
        <v>3622</v>
      </c>
    </row>
    <row r="64" spans="2:11" ht="15" customHeight="1" x14ac:dyDescent="0.3">
      <c r="B64" t="s">
        <v>67</v>
      </c>
      <c r="C64" t="s">
        <v>152</v>
      </c>
      <c r="D64" s="6">
        <f t="shared" ref="D64:K64" si="43">D62</f>
        <v>1000</v>
      </c>
      <c r="E64" s="6">
        <f t="shared" si="43"/>
        <v>0</v>
      </c>
      <c r="F64" s="6">
        <f t="shared" si="43"/>
        <v>1000</v>
      </c>
      <c r="G64" s="6">
        <f t="shared" si="43"/>
        <v>0</v>
      </c>
      <c r="H64" s="6">
        <f t="shared" si="43"/>
        <v>1000</v>
      </c>
      <c r="I64" s="6">
        <f t="shared" si="43"/>
        <v>0</v>
      </c>
      <c r="J64" s="6">
        <f t="shared" si="43"/>
        <v>0</v>
      </c>
      <c r="K64" s="6">
        <f t="shared" si="43"/>
        <v>0</v>
      </c>
    </row>
    <row r="65" spans="2:11" ht="15" customHeight="1" x14ac:dyDescent="0.3">
      <c r="B65" t="s">
        <v>67</v>
      </c>
      <c r="C65" t="s">
        <v>153</v>
      </c>
      <c r="D65" s="6">
        <f t="shared" ref="D65:J65" si="44">E50</f>
        <v>1000</v>
      </c>
      <c r="E65" s="6">
        <f t="shared" si="44"/>
        <v>0</v>
      </c>
      <c r="F65" s="6">
        <f t="shared" si="44"/>
        <v>1000</v>
      </c>
      <c r="G65" s="6">
        <f t="shared" si="44"/>
        <v>0</v>
      </c>
      <c r="H65" s="6">
        <f t="shared" si="44"/>
        <v>1000</v>
      </c>
      <c r="I65" s="6">
        <f t="shared" si="44"/>
        <v>0</v>
      </c>
      <c r="J65" s="6">
        <f t="shared" si="44"/>
        <v>0</v>
      </c>
      <c r="K65" s="6">
        <f>0</f>
        <v>0</v>
      </c>
    </row>
    <row r="66" spans="2:11" ht="15" customHeight="1" x14ac:dyDescent="0.3">
      <c r="B66" t="s">
        <v>67</v>
      </c>
      <c r="C66" t="s">
        <v>154</v>
      </c>
      <c r="D66" s="6">
        <f t="shared" ref="D66:K66" si="45">D63+D64-D65</f>
        <v>3622</v>
      </c>
      <c r="E66" s="6">
        <f t="shared" si="45"/>
        <v>3622</v>
      </c>
      <c r="F66" s="6">
        <f t="shared" si="45"/>
        <v>3622</v>
      </c>
      <c r="G66" s="6">
        <f t="shared" si="45"/>
        <v>3622</v>
      </c>
      <c r="H66" s="6">
        <f t="shared" si="45"/>
        <v>3622</v>
      </c>
      <c r="I66" s="6">
        <f t="shared" si="45"/>
        <v>3622</v>
      </c>
      <c r="J66" s="6">
        <f t="shared" si="45"/>
        <v>3622</v>
      </c>
      <c r="K66" s="6">
        <f t="shared" si="45"/>
        <v>3622</v>
      </c>
    </row>
  </sheetData>
  <mergeCells count="3">
    <mergeCell ref="A1:K1"/>
    <mergeCell ref="A6:K6"/>
    <mergeCell ref="A37:K37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134"/>
  <sheetViews>
    <sheetView zoomScaleNormal="100" workbookViewId="0"/>
  </sheetViews>
  <sheetFormatPr baseColWidth="10" defaultColWidth="8.6640625" defaultRowHeight="14.4" x14ac:dyDescent="0.3"/>
  <cols>
    <col min="1" max="1" width="10" customWidth="1"/>
    <col min="2" max="2" width="8" customWidth="1"/>
    <col min="3" max="3" width="22" customWidth="1"/>
    <col min="4" max="11" width="12" customWidth="1"/>
  </cols>
  <sheetData>
    <row r="1" spans="1:12" ht="17.25" customHeight="1" x14ac:dyDescent="0.3">
      <c r="A1" s="10" t="s">
        <v>155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</row>
    <row r="3" spans="1:12" ht="15" customHeight="1" x14ac:dyDescent="0.3">
      <c r="A3" s="2" t="s">
        <v>149</v>
      </c>
      <c r="B3" s="2" t="s">
        <v>65</v>
      </c>
      <c r="C3" s="2" t="s">
        <v>128</v>
      </c>
      <c r="D3" s="2" t="s">
        <v>67</v>
      </c>
      <c r="E3" s="2" t="s">
        <v>69</v>
      </c>
      <c r="F3" s="2" t="s">
        <v>71</v>
      </c>
      <c r="G3" s="2" t="s">
        <v>75</v>
      </c>
      <c r="H3" s="2" t="s">
        <v>77</v>
      </c>
      <c r="I3" s="2" t="s">
        <v>129</v>
      </c>
      <c r="J3" s="2" t="s">
        <v>130</v>
      </c>
      <c r="K3" s="2" t="s">
        <v>131</v>
      </c>
    </row>
    <row r="4" spans="1:12" ht="15" customHeight="1" x14ac:dyDescent="0.3">
      <c r="A4" s="12" t="s">
        <v>50</v>
      </c>
      <c r="B4" s="12"/>
      <c r="C4" s="12"/>
      <c r="D4" s="12"/>
      <c r="E4" s="12"/>
      <c r="F4" s="12"/>
      <c r="G4" s="12"/>
      <c r="H4" s="12"/>
      <c r="I4" s="12"/>
      <c r="J4" s="12"/>
      <c r="K4" s="12"/>
    </row>
    <row r="5" spans="1:12" ht="15" customHeight="1" x14ac:dyDescent="0.3">
      <c r="B5" t="s">
        <v>67</v>
      </c>
      <c r="C5" t="s">
        <v>156</v>
      </c>
      <c r="D5" s="7">
        <f>'01_INPUTS_MASTER'!H17</f>
        <v>7</v>
      </c>
      <c r="E5" s="7">
        <v>0</v>
      </c>
      <c r="F5" s="7">
        <v>0</v>
      </c>
      <c r="G5" s="7">
        <v>0</v>
      </c>
      <c r="H5" s="7">
        <v>0</v>
      </c>
      <c r="I5" s="7">
        <v>0</v>
      </c>
      <c r="J5" s="7">
        <v>0</v>
      </c>
      <c r="K5" s="7">
        <v>0</v>
      </c>
    </row>
    <row r="6" spans="1:12" ht="15" customHeight="1" x14ac:dyDescent="0.3">
      <c r="B6" t="s">
        <v>67</v>
      </c>
      <c r="C6" t="s">
        <v>157</v>
      </c>
      <c r="D6" s="8">
        <f>'01_INPUTS_MASTER'!B17</f>
        <v>200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</row>
    <row r="7" spans="1:12" ht="15" customHeight="1" x14ac:dyDescent="0.3">
      <c r="B7" t="s">
        <v>67</v>
      </c>
      <c r="C7" t="s">
        <v>158</v>
      </c>
      <c r="D7" s="6">
        <f t="shared" ref="D7:K7" si="0">D5*D6</f>
        <v>1400</v>
      </c>
      <c r="E7" s="6">
        <f t="shared" si="0"/>
        <v>0</v>
      </c>
      <c r="F7" s="6">
        <f t="shared" si="0"/>
        <v>0</v>
      </c>
      <c r="G7" s="6">
        <f t="shared" si="0"/>
        <v>0</v>
      </c>
      <c r="H7" s="6">
        <f t="shared" si="0"/>
        <v>0</v>
      </c>
      <c r="I7" s="6">
        <f t="shared" si="0"/>
        <v>0</v>
      </c>
      <c r="J7" s="6">
        <f t="shared" si="0"/>
        <v>0</v>
      </c>
      <c r="K7" s="6">
        <f t="shared" si="0"/>
        <v>0</v>
      </c>
    </row>
    <row r="8" spans="1:12" ht="15" customHeight="1" x14ac:dyDescent="0.3">
      <c r="B8" t="s">
        <v>67</v>
      </c>
      <c r="C8" t="s">
        <v>159</v>
      </c>
      <c r="D8" s="7">
        <f>'10_DECISIONS_UPLOAD'!C13</f>
        <v>7</v>
      </c>
      <c r="E8" s="7">
        <v>0</v>
      </c>
      <c r="F8" s="7">
        <v>0</v>
      </c>
      <c r="G8" s="7">
        <v>0</v>
      </c>
      <c r="H8" s="7">
        <v>0</v>
      </c>
      <c r="I8" s="7">
        <v>0</v>
      </c>
      <c r="J8" s="7">
        <v>0</v>
      </c>
      <c r="K8" s="7">
        <v>0</v>
      </c>
    </row>
    <row r="9" spans="1:12" ht="15" customHeight="1" x14ac:dyDescent="0.3">
      <c r="B9" t="s">
        <v>67</v>
      </c>
      <c r="C9" t="s">
        <v>160</v>
      </c>
      <c r="D9" s="8">
        <f>'01_INPUTS_MASTER'!G17</f>
        <v>1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</row>
    <row r="10" spans="1:12" ht="15" customHeight="1" x14ac:dyDescent="0.3">
      <c r="B10" t="s">
        <v>67</v>
      </c>
      <c r="C10" t="s">
        <v>161</v>
      </c>
      <c r="D10" s="6">
        <f t="shared" ref="D10:K10" si="1">IF(D9&gt;0,D8/D9*D6,0)</f>
        <v>1400</v>
      </c>
      <c r="E10" s="6">
        <f t="shared" si="1"/>
        <v>0</v>
      </c>
      <c r="F10" s="6">
        <f t="shared" si="1"/>
        <v>0</v>
      </c>
      <c r="G10" s="6">
        <f t="shared" si="1"/>
        <v>0</v>
      </c>
      <c r="H10" s="6">
        <f t="shared" si="1"/>
        <v>0</v>
      </c>
      <c r="I10" s="6">
        <f t="shared" si="1"/>
        <v>0</v>
      </c>
      <c r="J10" s="6">
        <f t="shared" si="1"/>
        <v>0</v>
      </c>
      <c r="K10" s="6">
        <f t="shared" si="1"/>
        <v>0</v>
      </c>
    </row>
    <row r="11" spans="1:12" ht="15" customHeight="1" x14ac:dyDescent="0.3">
      <c r="B11" t="s">
        <v>67</v>
      </c>
      <c r="C11" t="s">
        <v>162</v>
      </c>
      <c r="D11" s="6">
        <f t="shared" ref="D11:K11" si="2">MIN(D7,D10)</f>
        <v>1400</v>
      </c>
      <c r="E11" s="6">
        <f t="shared" si="2"/>
        <v>0</v>
      </c>
      <c r="F11" s="6">
        <f t="shared" si="2"/>
        <v>0</v>
      </c>
      <c r="G11" s="6">
        <f t="shared" si="2"/>
        <v>0</v>
      </c>
      <c r="H11" s="6">
        <f t="shared" si="2"/>
        <v>0</v>
      </c>
      <c r="I11" s="6">
        <f t="shared" si="2"/>
        <v>0</v>
      </c>
      <c r="J11" s="6">
        <f t="shared" si="2"/>
        <v>0</v>
      </c>
      <c r="K11" s="6">
        <f t="shared" si="2"/>
        <v>0</v>
      </c>
    </row>
    <row r="12" spans="1:12" ht="15" customHeight="1" x14ac:dyDescent="0.3">
      <c r="B12" t="s">
        <v>67</v>
      </c>
      <c r="C12" t="s">
        <v>163</v>
      </c>
      <c r="D12" s="7">
        <f>'10_DECISIONS_UPLOAD'!C30</f>
        <v>0</v>
      </c>
      <c r="E12" s="7">
        <f>'10_DECISIONS_UPLOAD'!D30</f>
        <v>0</v>
      </c>
      <c r="F12" s="7">
        <f>'10_DECISIONS_UPLOAD'!E30</f>
        <v>0</v>
      </c>
      <c r="G12" s="7">
        <f>'10_DECISIONS_UPLOAD'!F30</f>
        <v>0</v>
      </c>
      <c r="H12" s="7">
        <f>'10_DECISIONS_UPLOAD'!G30</f>
        <v>0</v>
      </c>
      <c r="I12" s="7">
        <f>'10_DECISIONS_UPLOAD'!H30</f>
        <v>0</v>
      </c>
      <c r="J12" s="7">
        <f>'10_DECISIONS_UPLOAD'!I30</f>
        <v>0</v>
      </c>
      <c r="K12" s="7">
        <f>'10_DECISIONS_UPLOAD'!J30</f>
        <v>0</v>
      </c>
    </row>
    <row r="13" spans="1:12" ht="15" customHeight="1" x14ac:dyDescent="0.3">
      <c r="B13" t="s">
        <v>67</v>
      </c>
      <c r="C13" t="s">
        <v>164</v>
      </c>
      <c r="D13" s="6">
        <f t="shared" ref="D13:K13" si="3">D11*(1+0.2*D12)</f>
        <v>1400</v>
      </c>
      <c r="E13" s="6">
        <f t="shared" si="3"/>
        <v>0</v>
      </c>
      <c r="F13" s="6">
        <f t="shared" si="3"/>
        <v>0</v>
      </c>
      <c r="G13" s="6">
        <f t="shared" si="3"/>
        <v>0</v>
      </c>
      <c r="H13" s="6">
        <f t="shared" si="3"/>
        <v>0</v>
      </c>
      <c r="I13" s="6">
        <f t="shared" si="3"/>
        <v>0</v>
      </c>
      <c r="J13" s="6">
        <f t="shared" si="3"/>
        <v>0</v>
      </c>
      <c r="K13" s="6">
        <f t="shared" si="3"/>
        <v>0</v>
      </c>
    </row>
    <row r="14" spans="1:12" ht="15" customHeight="1" x14ac:dyDescent="0.3">
      <c r="B14" t="s">
        <v>67</v>
      </c>
      <c r="C14" t="s">
        <v>150</v>
      </c>
      <c r="D14" s="8">
        <f>'04_FLOW_S1_S5'!D31</f>
        <v>1000</v>
      </c>
      <c r="E14" s="8">
        <f>'04_FLOW_S1_S5'!E31</f>
        <v>0</v>
      </c>
      <c r="F14" s="8">
        <f>'04_FLOW_S1_S5'!F31</f>
        <v>1000</v>
      </c>
      <c r="G14" s="8">
        <f>'04_FLOW_S1_S5'!G31</f>
        <v>0</v>
      </c>
      <c r="H14" s="8">
        <f>'04_FLOW_S1_S5'!H31</f>
        <v>1000</v>
      </c>
      <c r="I14" s="8">
        <f>'04_FLOW_S1_S5'!I31</f>
        <v>0</v>
      </c>
      <c r="J14" s="8">
        <f>'04_FLOW_S1_S5'!J31</f>
        <v>0</v>
      </c>
      <c r="K14" s="8">
        <f>'04_FLOW_S1_S5'!K31</f>
        <v>0</v>
      </c>
    </row>
    <row r="15" spans="1:12" ht="15" customHeight="1" x14ac:dyDescent="0.3">
      <c r="B15" t="s">
        <v>67</v>
      </c>
      <c r="C15" t="s">
        <v>165</v>
      </c>
      <c r="D15" s="6">
        <f t="shared" ref="D15:K15" si="4">MIN(D13,D14)</f>
        <v>1000</v>
      </c>
      <c r="E15" s="6">
        <f t="shared" si="4"/>
        <v>0</v>
      </c>
      <c r="F15" s="6">
        <f t="shared" si="4"/>
        <v>0</v>
      </c>
      <c r="G15" s="6">
        <f t="shared" si="4"/>
        <v>0</v>
      </c>
      <c r="H15" s="6">
        <f t="shared" si="4"/>
        <v>0</v>
      </c>
      <c r="I15" s="6">
        <f t="shared" si="4"/>
        <v>0</v>
      </c>
      <c r="J15" s="6">
        <f t="shared" si="4"/>
        <v>0</v>
      </c>
      <c r="K15" s="6">
        <f t="shared" si="4"/>
        <v>0</v>
      </c>
    </row>
    <row r="16" spans="1:12" ht="15" customHeight="1" x14ac:dyDescent="0.3">
      <c r="B16" t="s">
        <v>67</v>
      </c>
      <c r="C16" t="s">
        <v>166</v>
      </c>
      <c r="D16" s="6" t="str">
        <f t="shared" ref="D16:K16" si="5">IF(D14&gt;D13,"CAPACITY","OK")</f>
        <v>OK</v>
      </c>
      <c r="E16" s="6" t="str">
        <f t="shared" si="5"/>
        <v>OK</v>
      </c>
      <c r="F16" s="6" t="str">
        <f t="shared" si="5"/>
        <v>CAPACITY</v>
      </c>
      <c r="G16" s="6" t="str">
        <f t="shared" si="5"/>
        <v>OK</v>
      </c>
      <c r="H16" s="6" t="str">
        <f t="shared" si="5"/>
        <v>CAPACITY</v>
      </c>
      <c r="I16" s="6" t="str">
        <f t="shared" si="5"/>
        <v>OK</v>
      </c>
      <c r="J16" s="6" t="str">
        <f t="shared" si="5"/>
        <v>OK</v>
      </c>
      <c r="K16" s="6" t="str">
        <f t="shared" si="5"/>
        <v>OK</v>
      </c>
    </row>
    <row r="18" spans="2:11" ht="15" customHeight="1" x14ac:dyDescent="0.3">
      <c r="B18" t="s">
        <v>69</v>
      </c>
      <c r="C18" t="s">
        <v>156</v>
      </c>
      <c r="D18" s="7">
        <f>'01_INPUTS_MASTER'!H18</f>
        <v>22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</row>
    <row r="19" spans="2:11" ht="15" customHeight="1" x14ac:dyDescent="0.3">
      <c r="B19" t="s">
        <v>69</v>
      </c>
      <c r="C19" t="s">
        <v>157</v>
      </c>
      <c r="D19" s="8">
        <f>'01_INPUTS_MASTER'!B18</f>
        <v>70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</row>
    <row r="20" spans="2:11" ht="15" customHeight="1" x14ac:dyDescent="0.3">
      <c r="B20" t="s">
        <v>69</v>
      </c>
      <c r="C20" t="s">
        <v>158</v>
      </c>
      <c r="D20" s="6">
        <f t="shared" ref="D20:K20" si="6">D18*D19</f>
        <v>1540</v>
      </c>
      <c r="E20" s="6">
        <f t="shared" si="6"/>
        <v>0</v>
      </c>
      <c r="F20" s="6">
        <f t="shared" si="6"/>
        <v>0</v>
      </c>
      <c r="G20" s="6">
        <f t="shared" si="6"/>
        <v>0</v>
      </c>
      <c r="H20" s="6">
        <f t="shared" si="6"/>
        <v>0</v>
      </c>
      <c r="I20" s="6">
        <f t="shared" si="6"/>
        <v>0</v>
      </c>
      <c r="J20" s="6">
        <f t="shared" si="6"/>
        <v>0</v>
      </c>
      <c r="K20" s="6">
        <f t="shared" si="6"/>
        <v>0</v>
      </c>
    </row>
    <row r="21" spans="2:11" ht="15" customHeight="1" x14ac:dyDescent="0.3">
      <c r="B21" t="s">
        <v>69</v>
      </c>
      <c r="C21" t="s">
        <v>159</v>
      </c>
      <c r="D21" s="7">
        <f>'10_DECISIONS_UPLOAD'!C14</f>
        <v>22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</row>
    <row r="22" spans="2:11" ht="15" customHeight="1" x14ac:dyDescent="0.3">
      <c r="B22" t="s">
        <v>69</v>
      </c>
      <c r="C22" t="s">
        <v>160</v>
      </c>
      <c r="D22" s="8">
        <f>'01_INPUTS_MASTER'!G18</f>
        <v>1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</row>
    <row r="23" spans="2:11" ht="15" customHeight="1" x14ac:dyDescent="0.3">
      <c r="B23" t="s">
        <v>69</v>
      </c>
      <c r="C23" t="s">
        <v>161</v>
      </c>
      <c r="D23" s="6">
        <f t="shared" ref="D23:K23" si="7">IF(D22&gt;0,D21/D22*D19,0)</f>
        <v>1540</v>
      </c>
      <c r="E23" s="6">
        <f t="shared" si="7"/>
        <v>0</v>
      </c>
      <c r="F23" s="6">
        <f t="shared" si="7"/>
        <v>0</v>
      </c>
      <c r="G23" s="6">
        <f t="shared" si="7"/>
        <v>0</v>
      </c>
      <c r="H23" s="6">
        <f t="shared" si="7"/>
        <v>0</v>
      </c>
      <c r="I23" s="6">
        <f t="shared" si="7"/>
        <v>0</v>
      </c>
      <c r="J23" s="6">
        <f t="shared" si="7"/>
        <v>0</v>
      </c>
      <c r="K23" s="6">
        <f t="shared" si="7"/>
        <v>0</v>
      </c>
    </row>
    <row r="24" spans="2:11" ht="15" customHeight="1" x14ac:dyDescent="0.3">
      <c r="B24" t="s">
        <v>69</v>
      </c>
      <c r="C24" t="s">
        <v>162</v>
      </c>
      <c r="D24" s="6">
        <f t="shared" ref="D24:K24" si="8">MIN(D20,D23)</f>
        <v>1540</v>
      </c>
      <c r="E24" s="6">
        <f t="shared" si="8"/>
        <v>0</v>
      </c>
      <c r="F24" s="6">
        <f t="shared" si="8"/>
        <v>0</v>
      </c>
      <c r="G24" s="6">
        <f t="shared" si="8"/>
        <v>0</v>
      </c>
      <c r="H24" s="6">
        <f t="shared" si="8"/>
        <v>0</v>
      </c>
      <c r="I24" s="6">
        <f t="shared" si="8"/>
        <v>0</v>
      </c>
      <c r="J24" s="6">
        <f t="shared" si="8"/>
        <v>0</v>
      </c>
      <c r="K24" s="6">
        <f t="shared" si="8"/>
        <v>0</v>
      </c>
    </row>
    <row r="25" spans="2:11" ht="15" customHeight="1" x14ac:dyDescent="0.3">
      <c r="B25" t="s">
        <v>69</v>
      </c>
      <c r="C25" t="s">
        <v>163</v>
      </c>
      <c r="D25" s="7">
        <f>'10_DECISIONS_UPLOAD'!C31</f>
        <v>0</v>
      </c>
      <c r="E25" s="7">
        <f>'10_DECISIONS_UPLOAD'!D31</f>
        <v>0</v>
      </c>
      <c r="F25" s="7">
        <f>'10_DECISIONS_UPLOAD'!E31</f>
        <v>0</v>
      </c>
      <c r="G25" s="7">
        <f>'10_DECISIONS_UPLOAD'!F31</f>
        <v>0</v>
      </c>
      <c r="H25" s="7">
        <f>'10_DECISIONS_UPLOAD'!G31</f>
        <v>0</v>
      </c>
      <c r="I25" s="7">
        <f>'10_DECISIONS_UPLOAD'!H31</f>
        <v>0</v>
      </c>
      <c r="J25" s="7">
        <f>'10_DECISIONS_UPLOAD'!I31</f>
        <v>0</v>
      </c>
      <c r="K25" s="7">
        <f>'10_DECISIONS_UPLOAD'!J31</f>
        <v>0</v>
      </c>
    </row>
    <row r="26" spans="2:11" ht="15" customHeight="1" x14ac:dyDescent="0.3">
      <c r="B26" t="s">
        <v>69</v>
      </c>
      <c r="C26" t="s">
        <v>164</v>
      </c>
      <c r="D26" s="6">
        <f t="shared" ref="D26:K26" si="9">D24*(1+0.2*D25)</f>
        <v>1540</v>
      </c>
      <c r="E26" s="6">
        <f t="shared" si="9"/>
        <v>0</v>
      </c>
      <c r="F26" s="6">
        <f t="shared" si="9"/>
        <v>0</v>
      </c>
      <c r="G26" s="6">
        <f t="shared" si="9"/>
        <v>0</v>
      </c>
      <c r="H26" s="6">
        <f t="shared" si="9"/>
        <v>0</v>
      </c>
      <c r="I26" s="6">
        <f t="shared" si="9"/>
        <v>0</v>
      </c>
      <c r="J26" s="6">
        <f t="shared" si="9"/>
        <v>0</v>
      </c>
      <c r="K26" s="6">
        <f t="shared" si="9"/>
        <v>0</v>
      </c>
    </row>
    <row r="27" spans="2:11" ht="15" customHeight="1" x14ac:dyDescent="0.3">
      <c r="B27" t="s">
        <v>69</v>
      </c>
      <c r="C27" t="s">
        <v>150</v>
      </c>
      <c r="D27" s="8">
        <f>'04_FLOW_S1_S5'!D25</f>
        <v>1000</v>
      </c>
      <c r="E27" s="8">
        <f>'04_FLOW_S1_S5'!E25</f>
        <v>0</v>
      </c>
      <c r="F27" s="8">
        <f>'04_FLOW_S1_S5'!F25</f>
        <v>1000</v>
      </c>
      <c r="G27" s="8">
        <f>'04_FLOW_S1_S5'!G25</f>
        <v>0</v>
      </c>
      <c r="H27" s="8">
        <f>'04_FLOW_S1_S5'!H25</f>
        <v>1000</v>
      </c>
      <c r="I27" s="8">
        <f>'04_FLOW_S1_S5'!I25</f>
        <v>0</v>
      </c>
      <c r="J27" s="8">
        <f>'04_FLOW_S1_S5'!J25</f>
        <v>0</v>
      </c>
      <c r="K27" s="8">
        <f>'04_FLOW_S1_S5'!K25</f>
        <v>0</v>
      </c>
    </row>
    <row r="28" spans="2:11" ht="15" customHeight="1" x14ac:dyDescent="0.3">
      <c r="B28" t="s">
        <v>69</v>
      </c>
      <c r="C28" t="s">
        <v>165</v>
      </c>
      <c r="D28" s="6">
        <f t="shared" ref="D28:K28" si="10">MIN(D26,D27)</f>
        <v>1000</v>
      </c>
      <c r="E28" s="6">
        <f t="shared" si="10"/>
        <v>0</v>
      </c>
      <c r="F28" s="6">
        <f t="shared" si="10"/>
        <v>0</v>
      </c>
      <c r="G28" s="6">
        <f t="shared" si="10"/>
        <v>0</v>
      </c>
      <c r="H28" s="6">
        <f t="shared" si="10"/>
        <v>0</v>
      </c>
      <c r="I28" s="6">
        <f t="shared" si="10"/>
        <v>0</v>
      </c>
      <c r="J28" s="6">
        <f t="shared" si="10"/>
        <v>0</v>
      </c>
      <c r="K28" s="6">
        <f t="shared" si="10"/>
        <v>0</v>
      </c>
    </row>
    <row r="29" spans="2:11" ht="15" customHeight="1" x14ac:dyDescent="0.3">
      <c r="B29" t="s">
        <v>69</v>
      </c>
      <c r="C29" t="s">
        <v>166</v>
      </c>
      <c r="D29" s="6" t="str">
        <f t="shared" ref="D29:K29" si="11">IF(D27&gt;D26,"CAPACITY","OK")</f>
        <v>OK</v>
      </c>
      <c r="E29" s="6" t="str">
        <f t="shared" si="11"/>
        <v>OK</v>
      </c>
      <c r="F29" s="6" t="str">
        <f t="shared" si="11"/>
        <v>CAPACITY</v>
      </c>
      <c r="G29" s="6" t="str">
        <f t="shared" si="11"/>
        <v>OK</v>
      </c>
      <c r="H29" s="6" t="str">
        <f t="shared" si="11"/>
        <v>CAPACITY</v>
      </c>
      <c r="I29" s="6" t="str">
        <f t="shared" si="11"/>
        <v>OK</v>
      </c>
      <c r="J29" s="6" t="str">
        <f t="shared" si="11"/>
        <v>OK</v>
      </c>
      <c r="K29" s="6" t="str">
        <f t="shared" si="11"/>
        <v>OK</v>
      </c>
    </row>
    <row r="31" spans="2:11" ht="15" customHeight="1" x14ac:dyDescent="0.3">
      <c r="B31" t="s">
        <v>71</v>
      </c>
      <c r="C31" t="s">
        <v>156</v>
      </c>
      <c r="D31" s="7">
        <f>'01_INPUTS_MASTER'!H19+'01_INPUTS_MASTER'!H20</f>
        <v>3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</row>
    <row r="32" spans="2:11" ht="15" customHeight="1" x14ac:dyDescent="0.3">
      <c r="B32" t="s">
        <v>71</v>
      </c>
      <c r="C32" t="s">
        <v>157</v>
      </c>
      <c r="D32" s="8">
        <f>IF(('01_INPUTS_MASTER'!H19+'01_INPUTS_MASTER'!H20)&gt;0,('01_INPUTS_MASTER'!H19*'01_INPUTS_MASTER'!B19+'01_INPUTS_MASTER'!H20*'01_INPUTS_MASTER'!B20)/('01_INPUTS_MASTER'!H19+'01_INPUTS_MASTER'!H20),0)</f>
        <v>450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</row>
    <row r="33" spans="2:11" ht="15" customHeight="1" x14ac:dyDescent="0.3">
      <c r="B33" t="s">
        <v>71</v>
      </c>
      <c r="C33" t="s">
        <v>158</v>
      </c>
      <c r="D33" s="6">
        <f>MIN('01_INPUTS_MASTER'!H19*'01_INPUTS_MASTER'!B19+'01_INPUTS_MASTER'!H20*'01_INPUTS_MASTER'!B20,'01_INPUTS_MASTER'!H21*'01_INPUTS_MASTER'!B21)</f>
        <v>1350</v>
      </c>
      <c r="E33" s="6">
        <f t="shared" ref="E33:K33" si="12">E31*E32</f>
        <v>0</v>
      </c>
      <c r="F33" s="6">
        <f t="shared" si="12"/>
        <v>0</v>
      </c>
      <c r="G33" s="6">
        <f t="shared" si="12"/>
        <v>0</v>
      </c>
      <c r="H33" s="6">
        <f t="shared" si="12"/>
        <v>0</v>
      </c>
      <c r="I33" s="6">
        <f t="shared" si="12"/>
        <v>0</v>
      </c>
      <c r="J33" s="6">
        <f t="shared" si="12"/>
        <v>0</v>
      </c>
      <c r="K33" s="6">
        <f t="shared" si="12"/>
        <v>0</v>
      </c>
    </row>
    <row r="34" spans="2:11" ht="15" customHeight="1" x14ac:dyDescent="0.3">
      <c r="B34" t="s">
        <v>71</v>
      </c>
      <c r="C34" t="s">
        <v>159</v>
      </c>
      <c r="D34" s="7">
        <f>'10_DECISIONS_UPLOAD'!C15</f>
        <v>90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</row>
    <row r="35" spans="2:11" ht="15" customHeight="1" x14ac:dyDescent="0.3">
      <c r="B35" t="s">
        <v>71</v>
      </c>
      <c r="C35" t="s">
        <v>160</v>
      </c>
      <c r="D35" s="8">
        <f>'01_INPUTS_MASTER'!G19</f>
        <v>30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</row>
    <row r="36" spans="2:11" ht="15" customHeight="1" x14ac:dyDescent="0.3">
      <c r="B36" t="s">
        <v>71</v>
      </c>
      <c r="C36" t="s">
        <v>161</v>
      </c>
      <c r="D36" s="6">
        <f t="shared" ref="D36:K36" si="13">IF(D35&gt;0,D34/D35*D32,0)</f>
        <v>1350</v>
      </c>
      <c r="E36" s="6">
        <f t="shared" si="13"/>
        <v>0</v>
      </c>
      <c r="F36" s="6">
        <f t="shared" si="13"/>
        <v>0</v>
      </c>
      <c r="G36" s="6">
        <f t="shared" si="13"/>
        <v>0</v>
      </c>
      <c r="H36" s="6">
        <f t="shared" si="13"/>
        <v>0</v>
      </c>
      <c r="I36" s="6">
        <f t="shared" si="13"/>
        <v>0</v>
      </c>
      <c r="J36" s="6">
        <f t="shared" si="13"/>
        <v>0</v>
      </c>
      <c r="K36" s="6">
        <f t="shared" si="13"/>
        <v>0</v>
      </c>
    </row>
    <row r="37" spans="2:11" ht="15" customHeight="1" x14ac:dyDescent="0.3">
      <c r="B37" t="s">
        <v>71</v>
      </c>
      <c r="C37" t="s">
        <v>162</v>
      </c>
      <c r="D37" s="6">
        <f t="shared" ref="D37:K37" si="14">MIN(D33,D36)</f>
        <v>1350</v>
      </c>
      <c r="E37" s="6">
        <f t="shared" si="14"/>
        <v>0</v>
      </c>
      <c r="F37" s="6">
        <f t="shared" si="14"/>
        <v>0</v>
      </c>
      <c r="G37" s="6">
        <f t="shared" si="14"/>
        <v>0</v>
      </c>
      <c r="H37" s="6">
        <f t="shared" si="14"/>
        <v>0</v>
      </c>
      <c r="I37" s="6">
        <f t="shared" si="14"/>
        <v>0</v>
      </c>
      <c r="J37" s="6">
        <f t="shared" si="14"/>
        <v>0</v>
      </c>
      <c r="K37" s="6">
        <f t="shared" si="14"/>
        <v>0</v>
      </c>
    </row>
    <row r="38" spans="2:11" ht="15" customHeight="1" x14ac:dyDescent="0.3">
      <c r="B38" t="s">
        <v>71</v>
      </c>
      <c r="C38" t="s">
        <v>163</v>
      </c>
      <c r="D38" s="7">
        <f>'10_DECISIONS_UPLOAD'!C32</f>
        <v>0</v>
      </c>
      <c r="E38" s="7">
        <f>'10_DECISIONS_UPLOAD'!D32</f>
        <v>0</v>
      </c>
      <c r="F38" s="7">
        <f>'10_DECISIONS_UPLOAD'!E32</f>
        <v>0</v>
      </c>
      <c r="G38" s="7">
        <f>'10_DECISIONS_UPLOAD'!F32</f>
        <v>0</v>
      </c>
      <c r="H38" s="7">
        <f>'10_DECISIONS_UPLOAD'!G32</f>
        <v>0</v>
      </c>
      <c r="I38" s="7">
        <f>'10_DECISIONS_UPLOAD'!H32</f>
        <v>0</v>
      </c>
      <c r="J38" s="7">
        <f>'10_DECISIONS_UPLOAD'!I32</f>
        <v>0</v>
      </c>
      <c r="K38" s="7">
        <f>'10_DECISIONS_UPLOAD'!J32</f>
        <v>0</v>
      </c>
    </row>
    <row r="39" spans="2:11" ht="15" customHeight="1" x14ac:dyDescent="0.3">
      <c r="B39" t="s">
        <v>71</v>
      </c>
      <c r="C39" t="s">
        <v>164</v>
      </c>
      <c r="D39" s="6">
        <f t="shared" ref="D39:K39" si="15">D37*(1+0.2*D38)</f>
        <v>1350</v>
      </c>
      <c r="E39" s="6">
        <f t="shared" si="15"/>
        <v>0</v>
      </c>
      <c r="F39" s="6">
        <f t="shared" si="15"/>
        <v>0</v>
      </c>
      <c r="G39" s="6">
        <f t="shared" si="15"/>
        <v>0</v>
      </c>
      <c r="H39" s="6">
        <f t="shared" si="15"/>
        <v>0</v>
      </c>
      <c r="I39" s="6">
        <f t="shared" si="15"/>
        <v>0</v>
      </c>
      <c r="J39" s="6">
        <f t="shared" si="15"/>
        <v>0</v>
      </c>
      <c r="K39" s="6">
        <f t="shared" si="15"/>
        <v>0</v>
      </c>
    </row>
    <row r="40" spans="2:11" ht="15" customHeight="1" x14ac:dyDescent="0.3">
      <c r="B40" t="s">
        <v>71</v>
      </c>
      <c r="C40" t="s">
        <v>150</v>
      </c>
      <c r="D40" s="8">
        <f>'04_FLOW_S1_S5'!D19</f>
        <v>0</v>
      </c>
      <c r="E40" s="8">
        <f>'04_FLOW_S1_S5'!E19</f>
        <v>1000</v>
      </c>
      <c r="F40" s="8">
        <f>'04_FLOW_S1_S5'!F19</f>
        <v>0</v>
      </c>
      <c r="G40" s="8">
        <f>'04_FLOW_S1_S5'!G19</f>
        <v>1000</v>
      </c>
      <c r="H40" s="8">
        <f>'04_FLOW_S1_S5'!H19</f>
        <v>0</v>
      </c>
      <c r="I40" s="8">
        <f>'04_FLOW_S1_S5'!I19</f>
        <v>1000</v>
      </c>
      <c r="J40" s="8">
        <f>'04_FLOW_S1_S5'!J19</f>
        <v>0</v>
      </c>
      <c r="K40" s="8">
        <f>'04_FLOW_S1_S5'!K19</f>
        <v>0</v>
      </c>
    </row>
    <row r="41" spans="2:11" ht="15" customHeight="1" x14ac:dyDescent="0.3">
      <c r="B41" t="s">
        <v>71</v>
      </c>
      <c r="C41" t="s">
        <v>165</v>
      </c>
      <c r="D41" s="6">
        <f t="shared" ref="D41:K41" si="16">MIN(D39,D40)</f>
        <v>0</v>
      </c>
      <c r="E41" s="6">
        <f t="shared" si="16"/>
        <v>0</v>
      </c>
      <c r="F41" s="6">
        <f t="shared" si="16"/>
        <v>0</v>
      </c>
      <c r="G41" s="6">
        <f t="shared" si="16"/>
        <v>0</v>
      </c>
      <c r="H41" s="6">
        <f t="shared" si="16"/>
        <v>0</v>
      </c>
      <c r="I41" s="6">
        <f t="shared" si="16"/>
        <v>0</v>
      </c>
      <c r="J41" s="6">
        <f t="shared" si="16"/>
        <v>0</v>
      </c>
      <c r="K41" s="6">
        <f t="shared" si="16"/>
        <v>0</v>
      </c>
    </row>
    <row r="42" spans="2:11" ht="15" customHeight="1" x14ac:dyDescent="0.3">
      <c r="B42" t="s">
        <v>71</v>
      </c>
      <c r="C42" t="s">
        <v>166</v>
      </c>
      <c r="D42" s="6" t="str">
        <f t="shared" ref="D42:K42" si="17">IF(D40&gt;D39,"CAPACITY","OK")</f>
        <v>OK</v>
      </c>
      <c r="E42" s="6" t="str">
        <f t="shared" si="17"/>
        <v>CAPACITY</v>
      </c>
      <c r="F42" s="6" t="str">
        <f t="shared" si="17"/>
        <v>OK</v>
      </c>
      <c r="G42" s="6" t="str">
        <f t="shared" si="17"/>
        <v>CAPACITY</v>
      </c>
      <c r="H42" s="6" t="str">
        <f t="shared" si="17"/>
        <v>OK</v>
      </c>
      <c r="I42" s="6" t="str">
        <f t="shared" si="17"/>
        <v>CAPACITY</v>
      </c>
      <c r="J42" s="6" t="str">
        <f t="shared" si="17"/>
        <v>OK</v>
      </c>
      <c r="K42" s="6" t="str">
        <f t="shared" si="17"/>
        <v>OK</v>
      </c>
    </row>
    <row r="44" spans="2:11" ht="15" customHeight="1" x14ac:dyDescent="0.3">
      <c r="B44" t="s">
        <v>75</v>
      </c>
      <c r="C44" t="s">
        <v>156</v>
      </c>
      <c r="D44" s="7">
        <f>'01_INPUTS_MASTER'!H22</f>
        <v>10</v>
      </c>
      <c r="E44" s="7">
        <v>0</v>
      </c>
      <c r="F44" s="7">
        <v>0</v>
      </c>
      <c r="G44" s="7">
        <v>0</v>
      </c>
      <c r="H44" s="7">
        <v>0</v>
      </c>
      <c r="I44" s="7">
        <v>0</v>
      </c>
      <c r="J44" s="7">
        <v>0</v>
      </c>
      <c r="K44" s="7">
        <v>0</v>
      </c>
    </row>
    <row r="45" spans="2:11" ht="15" customHeight="1" x14ac:dyDescent="0.3">
      <c r="B45" t="s">
        <v>75</v>
      </c>
      <c r="C45" t="s">
        <v>157</v>
      </c>
      <c r="D45" s="8">
        <f>'01_INPUTS_MASTER'!B22</f>
        <v>150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</row>
    <row r="46" spans="2:11" ht="15" customHeight="1" x14ac:dyDescent="0.3">
      <c r="B46" t="s">
        <v>75</v>
      </c>
      <c r="C46" t="s">
        <v>158</v>
      </c>
      <c r="D46" s="6">
        <f t="shared" ref="D46:K46" si="18">D44*D45</f>
        <v>1500</v>
      </c>
      <c r="E46" s="6">
        <f t="shared" si="18"/>
        <v>0</v>
      </c>
      <c r="F46" s="6">
        <f t="shared" si="18"/>
        <v>0</v>
      </c>
      <c r="G46" s="6">
        <f t="shared" si="18"/>
        <v>0</v>
      </c>
      <c r="H46" s="6">
        <f t="shared" si="18"/>
        <v>0</v>
      </c>
      <c r="I46" s="6">
        <f t="shared" si="18"/>
        <v>0</v>
      </c>
      <c r="J46" s="6">
        <f t="shared" si="18"/>
        <v>0</v>
      </c>
      <c r="K46" s="6">
        <f t="shared" si="18"/>
        <v>0</v>
      </c>
    </row>
    <row r="47" spans="2:11" ht="15" customHeight="1" x14ac:dyDescent="0.3">
      <c r="B47" t="s">
        <v>75</v>
      </c>
      <c r="C47" t="s">
        <v>159</v>
      </c>
      <c r="D47" s="7">
        <f>'10_DECISIONS_UPLOAD'!C17</f>
        <v>10</v>
      </c>
      <c r="E47" s="7">
        <v>0</v>
      </c>
      <c r="F47" s="7">
        <v>0</v>
      </c>
      <c r="G47" s="7">
        <v>0</v>
      </c>
      <c r="H47" s="7">
        <v>0</v>
      </c>
      <c r="I47" s="7">
        <v>0</v>
      </c>
      <c r="J47" s="7">
        <v>0</v>
      </c>
      <c r="K47" s="7">
        <v>0</v>
      </c>
    </row>
    <row r="48" spans="2:11" ht="15" customHeight="1" x14ac:dyDescent="0.3">
      <c r="B48" t="s">
        <v>75</v>
      </c>
      <c r="C48" t="s">
        <v>160</v>
      </c>
      <c r="D48" s="8">
        <f>'01_INPUTS_MASTER'!G22</f>
        <v>1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</row>
    <row r="49" spans="2:11" ht="15" customHeight="1" x14ac:dyDescent="0.3">
      <c r="B49" t="s">
        <v>75</v>
      </c>
      <c r="C49" t="s">
        <v>161</v>
      </c>
      <c r="D49" s="6">
        <f t="shared" ref="D49:K49" si="19">IF(D48&gt;0,D47/D48*D45,0)</f>
        <v>1500</v>
      </c>
      <c r="E49" s="6">
        <f t="shared" si="19"/>
        <v>0</v>
      </c>
      <c r="F49" s="6">
        <f t="shared" si="19"/>
        <v>0</v>
      </c>
      <c r="G49" s="6">
        <f t="shared" si="19"/>
        <v>0</v>
      </c>
      <c r="H49" s="6">
        <f t="shared" si="19"/>
        <v>0</v>
      </c>
      <c r="I49" s="6">
        <f t="shared" si="19"/>
        <v>0</v>
      </c>
      <c r="J49" s="6">
        <f t="shared" si="19"/>
        <v>0</v>
      </c>
      <c r="K49" s="6">
        <f t="shared" si="19"/>
        <v>0</v>
      </c>
    </row>
    <row r="50" spans="2:11" ht="15" customHeight="1" x14ac:dyDescent="0.3">
      <c r="B50" t="s">
        <v>75</v>
      </c>
      <c r="C50" t="s">
        <v>162</v>
      </c>
      <c r="D50" s="6">
        <f t="shared" ref="D50:K50" si="20">MIN(D46,D49)</f>
        <v>1500</v>
      </c>
      <c r="E50" s="6">
        <f t="shared" si="20"/>
        <v>0</v>
      </c>
      <c r="F50" s="6">
        <f t="shared" si="20"/>
        <v>0</v>
      </c>
      <c r="G50" s="6">
        <f t="shared" si="20"/>
        <v>0</v>
      </c>
      <c r="H50" s="6">
        <f t="shared" si="20"/>
        <v>0</v>
      </c>
      <c r="I50" s="6">
        <f t="shared" si="20"/>
        <v>0</v>
      </c>
      <c r="J50" s="6">
        <f t="shared" si="20"/>
        <v>0</v>
      </c>
      <c r="K50" s="6">
        <f t="shared" si="20"/>
        <v>0</v>
      </c>
    </row>
    <row r="51" spans="2:11" ht="15" customHeight="1" x14ac:dyDescent="0.3">
      <c r="B51" t="s">
        <v>75</v>
      </c>
      <c r="C51" t="s">
        <v>163</v>
      </c>
      <c r="D51" s="7">
        <f>'10_DECISIONS_UPLOAD'!C33</f>
        <v>0</v>
      </c>
      <c r="E51" s="7">
        <f>'10_DECISIONS_UPLOAD'!D33</f>
        <v>0</v>
      </c>
      <c r="F51" s="7">
        <f>'10_DECISIONS_UPLOAD'!E33</f>
        <v>0</v>
      </c>
      <c r="G51" s="7">
        <f>'10_DECISIONS_UPLOAD'!F33</f>
        <v>0</v>
      </c>
      <c r="H51" s="7">
        <f>'10_DECISIONS_UPLOAD'!G33</f>
        <v>0</v>
      </c>
      <c r="I51" s="7">
        <f>'10_DECISIONS_UPLOAD'!H33</f>
        <v>0</v>
      </c>
      <c r="J51" s="7">
        <f>'10_DECISIONS_UPLOAD'!I33</f>
        <v>0</v>
      </c>
      <c r="K51" s="7">
        <f>'10_DECISIONS_UPLOAD'!J33</f>
        <v>0</v>
      </c>
    </row>
    <row r="52" spans="2:11" ht="15" customHeight="1" x14ac:dyDescent="0.3">
      <c r="B52" t="s">
        <v>75</v>
      </c>
      <c r="C52" t="s">
        <v>164</v>
      </c>
      <c r="D52" s="6">
        <f t="shared" ref="D52:K52" si="21">D50*(1+0.2*D51)</f>
        <v>1500</v>
      </c>
      <c r="E52" s="6">
        <f t="shared" si="21"/>
        <v>0</v>
      </c>
      <c r="F52" s="6">
        <f t="shared" si="21"/>
        <v>0</v>
      </c>
      <c r="G52" s="6">
        <f t="shared" si="21"/>
        <v>0</v>
      </c>
      <c r="H52" s="6">
        <f t="shared" si="21"/>
        <v>0</v>
      </c>
      <c r="I52" s="6">
        <f t="shared" si="21"/>
        <v>0</v>
      </c>
      <c r="J52" s="6">
        <f t="shared" si="21"/>
        <v>0</v>
      </c>
      <c r="K52" s="6">
        <f t="shared" si="21"/>
        <v>0</v>
      </c>
    </row>
    <row r="53" spans="2:11" ht="15" customHeight="1" x14ac:dyDescent="0.3">
      <c r="B53" t="s">
        <v>75</v>
      </c>
      <c r="C53" t="s">
        <v>150</v>
      </c>
      <c r="D53" s="8">
        <f>'04_FLOW_S1_S5'!D13</f>
        <v>1000</v>
      </c>
      <c r="E53" s="8">
        <f>'04_FLOW_S1_S5'!E13</f>
        <v>0</v>
      </c>
      <c r="F53" s="8">
        <f>'04_FLOW_S1_S5'!F13</f>
        <v>1000</v>
      </c>
      <c r="G53" s="8">
        <f>'04_FLOW_S1_S5'!G13</f>
        <v>0</v>
      </c>
      <c r="H53" s="8">
        <f>'04_FLOW_S1_S5'!H13</f>
        <v>1000</v>
      </c>
      <c r="I53" s="8">
        <f>'04_FLOW_S1_S5'!I13</f>
        <v>0</v>
      </c>
      <c r="J53" s="8">
        <f>'04_FLOW_S1_S5'!J13</f>
        <v>1000</v>
      </c>
      <c r="K53" s="8">
        <f>'04_FLOW_S1_S5'!K13</f>
        <v>0</v>
      </c>
    </row>
    <row r="54" spans="2:11" ht="15" customHeight="1" x14ac:dyDescent="0.3">
      <c r="B54" t="s">
        <v>75</v>
      </c>
      <c r="C54" t="s">
        <v>165</v>
      </c>
      <c r="D54" s="6">
        <f t="shared" ref="D54:K54" si="22">MIN(D52,D53)</f>
        <v>1000</v>
      </c>
      <c r="E54" s="6">
        <f t="shared" si="22"/>
        <v>0</v>
      </c>
      <c r="F54" s="6">
        <f t="shared" si="22"/>
        <v>0</v>
      </c>
      <c r="G54" s="6">
        <f t="shared" si="22"/>
        <v>0</v>
      </c>
      <c r="H54" s="6">
        <f t="shared" si="22"/>
        <v>0</v>
      </c>
      <c r="I54" s="6">
        <f t="shared" si="22"/>
        <v>0</v>
      </c>
      <c r="J54" s="6">
        <f t="shared" si="22"/>
        <v>0</v>
      </c>
      <c r="K54" s="6">
        <f t="shared" si="22"/>
        <v>0</v>
      </c>
    </row>
    <row r="55" spans="2:11" ht="15" customHeight="1" x14ac:dyDescent="0.3">
      <c r="B55" t="s">
        <v>75</v>
      </c>
      <c r="C55" t="s">
        <v>166</v>
      </c>
      <c r="D55" s="6" t="str">
        <f t="shared" ref="D55:K55" si="23">IF(D53&gt;D52,"CAPACITY","OK")</f>
        <v>OK</v>
      </c>
      <c r="E55" s="6" t="str">
        <f t="shared" si="23"/>
        <v>OK</v>
      </c>
      <c r="F55" s="6" t="str">
        <f t="shared" si="23"/>
        <v>CAPACITY</v>
      </c>
      <c r="G55" s="6" t="str">
        <f t="shared" si="23"/>
        <v>OK</v>
      </c>
      <c r="H55" s="6" t="str">
        <f t="shared" si="23"/>
        <v>CAPACITY</v>
      </c>
      <c r="I55" s="6" t="str">
        <f t="shared" si="23"/>
        <v>OK</v>
      </c>
      <c r="J55" s="6" t="str">
        <f t="shared" si="23"/>
        <v>CAPACITY</v>
      </c>
      <c r="K55" s="6" t="str">
        <f t="shared" si="23"/>
        <v>OK</v>
      </c>
    </row>
    <row r="57" spans="2:11" ht="15" customHeight="1" x14ac:dyDescent="0.3">
      <c r="B57" t="s">
        <v>77</v>
      </c>
      <c r="C57" t="s">
        <v>156</v>
      </c>
      <c r="D57" s="7">
        <f>'01_INPUTS_MASTER'!H23</f>
        <v>11</v>
      </c>
      <c r="E57" s="7">
        <v>0</v>
      </c>
      <c r="F57" s="7">
        <v>0</v>
      </c>
      <c r="G57" s="7">
        <v>0</v>
      </c>
      <c r="H57" s="7">
        <v>0</v>
      </c>
      <c r="I57" s="7">
        <v>0</v>
      </c>
      <c r="J57" s="7">
        <v>0</v>
      </c>
      <c r="K57" s="7">
        <v>0</v>
      </c>
    </row>
    <row r="58" spans="2:11" ht="15" customHeight="1" x14ac:dyDescent="0.3">
      <c r="B58" t="s">
        <v>77</v>
      </c>
      <c r="C58" t="s">
        <v>157</v>
      </c>
      <c r="D58" s="8">
        <f>'01_INPUTS_MASTER'!B23</f>
        <v>130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</row>
    <row r="59" spans="2:11" ht="15" customHeight="1" x14ac:dyDescent="0.3">
      <c r="B59" t="s">
        <v>77</v>
      </c>
      <c r="C59" t="s">
        <v>158</v>
      </c>
      <c r="D59" s="6">
        <f t="shared" ref="D59:K59" si="24">D57*D58</f>
        <v>1430</v>
      </c>
      <c r="E59" s="6">
        <f t="shared" si="24"/>
        <v>0</v>
      </c>
      <c r="F59" s="6">
        <f t="shared" si="24"/>
        <v>0</v>
      </c>
      <c r="G59" s="6">
        <f t="shared" si="24"/>
        <v>0</v>
      </c>
      <c r="H59" s="6">
        <f t="shared" si="24"/>
        <v>0</v>
      </c>
      <c r="I59" s="6">
        <f t="shared" si="24"/>
        <v>0</v>
      </c>
      <c r="J59" s="6">
        <f t="shared" si="24"/>
        <v>0</v>
      </c>
      <c r="K59" s="6">
        <f t="shared" si="24"/>
        <v>0</v>
      </c>
    </row>
    <row r="60" spans="2:11" ht="15" customHeight="1" x14ac:dyDescent="0.3">
      <c r="B60" t="s">
        <v>77</v>
      </c>
      <c r="C60" t="s">
        <v>159</v>
      </c>
      <c r="D60" s="7">
        <f>'10_DECISIONS_UPLOAD'!C19</f>
        <v>75</v>
      </c>
      <c r="E60" s="7">
        <v>0</v>
      </c>
      <c r="F60" s="7">
        <v>0</v>
      </c>
      <c r="G60" s="7">
        <v>0</v>
      </c>
      <c r="H60" s="7">
        <v>0</v>
      </c>
      <c r="I60" s="7">
        <v>0</v>
      </c>
      <c r="J60" s="7">
        <v>0</v>
      </c>
      <c r="K60" s="7">
        <v>0</v>
      </c>
    </row>
    <row r="61" spans="2:11" ht="15" customHeight="1" x14ac:dyDescent="0.3">
      <c r="B61" t="s">
        <v>77</v>
      </c>
      <c r="C61" t="s">
        <v>160</v>
      </c>
      <c r="D61" s="8">
        <f>'01_INPUTS_MASTER'!G24</f>
        <v>3</v>
      </c>
      <c r="E61" s="8">
        <v>0</v>
      </c>
      <c r="F61" s="8">
        <v>0</v>
      </c>
      <c r="G61" s="8">
        <v>0</v>
      </c>
      <c r="H61" s="8">
        <v>0</v>
      </c>
      <c r="I61" s="8">
        <v>0</v>
      </c>
      <c r="J61" s="8">
        <v>0</v>
      </c>
      <c r="K61" s="8">
        <v>0</v>
      </c>
    </row>
    <row r="62" spans="2:11" ht="15" customHeight="1" x14ac:dyDescent="0.3">
      <c r="B62" t="s">
        <v>77</v>
      </c>
      <c r="C62" t="s">
        <v>161</v>
      </c>
      <c r="D62" s="6">
        <f>IF(D61&gt;0,D60/D61*'01_INPUTS_MASTER'!B24,0)</f>
        <v>1250</v>
      </c>
      <c r="E62" s="6">
        <f>IF(E61&gt;0,E60/E61*'01_INPUTS_MASTER'!B24,0)</f>
        <v>0</v>
      </c>
      <c r="F62" s="6">
        <f>IF(F61&gt;0,F60/F61*'01_INPUTS_MASTER'!B24,0)</f>
        <v>0</v>
      </c>
      <c r="G62" s="6">
        <f>IF(G61&gt;0,G60/G61*'01_INPUTS_MASTER'!B24,0)</f>
        <v>0</v>
      </c>
      <c r="H62" s="6">
        <f>IF(H61&gt;0,H60/H61*'01_INPUTS_MASTER'!B24,0)</f>
        <v>0</v>
      </c>
      <c r="I62" s="6">
        <f>IF(I61&gt;0,I60/I61*'01_INPUTS_MASTER'!B24,0)</f>
        <v>0</v>
      </c>
      <c r="J62" s="6">
        <f>IF(J61&gt;0,J60/J61*'01_INPUTS_MASTER'!B24,0)</f>
        <v>0</v>
      </c>
      <c r="K62" s="6">
        <f>IF(K61&gt;0,K60/K61*'01_INPUTS_MASTER'!B24,0)</f>
        <v>0</v>
      </c>
    </row>
    <row r="63" spans="2:11" ht="15" customHeight="1" x14ac:dyDescent="0.3">
      <c r="B63" t="s">
        <v>77</v>
      </c>
      <c r="C63" t="s">
        <v>162</v>
      </c>
      <c r="D63" s="6">
        <f t="shared" ref="D63:K63" si="25">MIN(D59,D62)</f>
        <v>1250</v>
      </c>
      <c r="E63" s="6">
        <f t="shared" si="25"/>
        <v>0</v>
      </c>
      <c r="F63" s="6">
        <f t="shared" si="25"/>
        <v>0</v>
      </c>
      <c r="G63" s="6">
        <f t="shared" si="25"/>
        <v>0</v>
      </c>
      <c r="H63" s="6">
        <f t="shared" si="25"/>
        <v>0</v>
      </c>
      <c r="I63" s="6">
        <f t="shared" si="25"/>
        <v>0</v>
      </c>
      <c r="J63" s="6">
        <f t="shared" si="25"/>
        <v>0</v>
      </c>
      <c r="K63" s="6">
        <f t="shared" si="25"/>
        <v>0</v>
      </c>
    </row>
    <row r="64" spans="2:11" ht="15" customHeight="1" x14ac:dyDescent="0.3">
      <c r="B64" t="s">
        <v>77</v>
      </c>
      <c r="C64" t="s">
        <v>163</v>
      </c>
      <c r="D64" s="7">
        <f>'10_DECISIONS_UPLOAD'!C34</f>
        <v>0</v>
      </c>
      <c r="E64" s="7">
        <f>'10_DECISIONS_UPLOAD'!D34</f>
        <v>0</v>
      </c>
      <c r="F64" s="7">
        <f>'10_DECISIONS_UPLOAD'!E34</f>
        <v>0</v>
      </c>
      <c r="G64" s="7">
        <f>'10_DECISIONS_UPLOAD'!F34</f>
        <v>0</v>
      </c>
      <c r="H64" s="7">
        <f>'10_DECISIONS_UPLOAD'!G34</f>
        <v>0</v>
      </c>
      <c r="I64" s="7">
        <f>'10_DECISIONS_UPLOAD'!H34</f>
        <v>0</v>
      </c>
      <c r="J64" s="7">
        <f>'10_DECISIONS_UPLOAD'!I34</f>
        <v>0</v>
      </c>
      <c r="K64" s="7">
        <f>'10_DECISIONS_UPLOAD'!J34</f>
        <v>0</v>
      </c>
    </row>
    <row r="65" spans="1:11" ht="15" customHeight="1" x14ac:dyDescent="0.3">
      <c r="B65" t="s">
        <v>77</v>
      </c>
      <c r="C65" t="s">
        <v>164</v>
      </c>
      <c r="D65" s="6">
        <f t="shared" ref="D65:K65" si="26">D63*(1+0.2*D64)</f>
        <v>1250</v>
      </c>
      <c r="E65" s="6">
        <f t="shared" si="26"/>
        <v>0</v>
      </c>
      <c r="F65" s="6">
        <f t="shared" si="26"/>
        <v>0</v>
      </c>
      <c r="G65" s="6">
        <f t="shared" si="26"/>
        <v>0</v>
      </c>
      <c r="H65" s="6">
        <f t="shared" si="26"/>
        <v>0</v>
      </c>
      <c r="I65" s="6">
        <f t="shared" si="26"/>
        <v>0</v>
      </c>
      <c r="J65" s="6">
        <f t="shared" si="26"/>
        <v>0</v>
      </c>
      <c r="K65" s="6">
        <f t="shared" si="26"/>
        <v>0</v>
      </c>
    </row>
    <row r="66" spans="1:11" ht="15" customHeight="1" x14ac:dyDescent="0.3">
      <c r="B66" t="s">
        <v>77</v>
      </c>
      <c r="C66" t="s">
        <v>150</v>
      </c>
      <c r="D66" s="8">
        <f>'04_FLOW_S1_S5'!D7</f>
        <v>0</v>
      </c>
      <c r="E66" s="8">
        <f>'04_FLOW_S1_S5'!E7</f>
        <v>1000</v>
      </c>
      <c r="F66" s="8">
        <f>'04_FLOW_S1_S5'!F7</f>
        <v>0</v>
      </c>
      <c r="G66" s="8">
        <f>'04_FLOW_S1_S5'!G7</f>
        <v>1000</v>
      </c>
      <c r="H66" s="8">
        <f>'04_FLOW_S1_S5'!H7</f>
        <v>0</v>
      </c>
      <c r="I66" s="8">
        <f>'04_FLOW_S1_S5'!I7</f>
        <v>1000</v>
      </c>
      <c r="J66" s="8">
        <f>'04_FLOW_S1_S5'!J7</f>
        <v>0</v>
      </c>
      <c r="K66" s="8">
        <f>'04_FLOW_S1_S5'!K7</f>
        <v>1000</v>
      </c>
    </row>
    <row r="67" spans="1:11" ht="15" customHeight="1" x14ac:dyDescent="0.3">
      <c r="B67" t="s">
        <v>77</v>
      </c>
      <c r="C67" t="s">
        <v>165</v>
      </c>
      <c r="D67" s="6">
        <f t="shared" ref="D67:K67" si="27">MIN(D65,D66)</f>
        <v>0</v>
      </c>
      <c r="E67" s="6">
        <f t="shared" si="27"/>
        <v>0</v>
      </c>
      <c r="F67" s="6">
        <f t="shared" si="27"/>
        <v>0</v>
      </c>
      <c r="G67" s="6">
        <f t="shared" si="27"/>
        <v>0</v>
      </c>
      <c r="H67" s="6">
        <f t="shared" si="27"/>
        <v>0</v>
      </c>
      <c r="I67" s="6">
        <f t="shared" si="27"/>
        <v>0</v>
      </c>
      <c r="J67" s="6">
        <f t="shared" si="27"/>
        <v>0</v>
      </c>
      <c r="K67" s="6">
        <f t="shared" si="27"/>
        <v>0</v>
      </c>
    </row>
    <row r="68" spans="1:11" ht="15" customHeight="1" x14ac:dyDescent="0.3">
      <c r="B68" t="s">
        <v>77</v>
      </c>
      <c r="C68" t="s">
        <v>166</v>
      </c>
      <c r="D68" s="6" t="str">
        <f t="shared" ref="D68:K68" si="28">IF(D66&gt;D65,"CAPACITY","OK")</f>
        <v>OK</v>
      </c>
      <c r="E68" s="6" t="str">
        <f t="shared" si="28"/>
        <v>CAPACITY</v>
      </c>
      <c r="F68" s="6" t="str">
        <f t="shared" si="28"/>
        <v>OK</v>
      </c>
      <c r="G68" s="6" t="str">
        <f t="shared" si="28"/>
        <v>CAPACITY</v>
      </c>
      <c r="H68" s="6" t="str">
        <f t="shared" si="28"/>
        <v>OK</v>
      </c>
      <c r="I68" s="6" t="str">
        <f t="shared" si="28"/>
        <v>CAPACITY</v>
      </c>
      <c r="J68" s="6" t="str">
        <f t="shared" si="28"/>
        <v>OK</v>
      </c>
      <c r="K68" s="6" t="str">
        <f t="shared" si="28"/>
        <v>CAPACITY</v>
      </c>
    </row>
    <row r="70" spans="1:11" ht="15" customHeight="1" x14ac:dyDescent="0.3">
      <c r="A70" s="12" t="s">
        <v>51</v>
      </c>
      <c r="B70" s="12"/>
      <c r="C70" s="12"/>
      <c r="D70" s="12"/>
      <c r="E70" s="12"/>
      <c r="F70" s="12"/>
      <c r="G70" s="12"/>
      <c r="H70" s="12"/>
      <c r="I70" s="12"/>
      <c r="J70" s="12"/>
      <c r="K70" s="12"/>
    </row>
    <row r="71" spans="1:11" ht="15" customHeight="1" x14ac:dyDescent="0.3">
      <c r="B71" t="s">
        <v>67</v>
      </c>
      <c r="C71" t="s">
        <v>156</v>
      </c>
      <c r="D71" s="7">
        <f>'01_INPUTS_MASTER'!I17</f>
        <v>3</v>
      </c>
      <c r="E71" s="7">
        <v>0</v>
      </c>
      <c r="F71" s="7">
        <v>0</v>
      </c>
      <c r="G71" s="7">
        <v>0</v>
      </c>
      <c r="H71" s="7">
        <v>0</v>
      </c>
      <c r="I71" s="7">
        <v>0</v>
      </c>
      <c r="J71" s="7">
        <v>0</v>
      </c>
      <c r="K71" s="7">
        <v>0</v>
      </c>
    </row>
    <row r="72" spans="1:11" ht="15" customHeight="1" x14ac:dyDescent="0.3">
      <c r="B72" t="s">
        <v>67</v>
      </c>
      <c r="C72" t="s">
        <v>157</v>
      </c>
      <c r="D72" s="8">
        <f>'01_INPUTS_MASTER'!B17</f>
        <v>200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</row>
    <row r="73" spans="1:11" ht="15" customHeight="1" x14ac:dyDescent="0.3">
      <c r="B73" t="s">
        <v>67</v>
      </c>
      <c r="C73" t="s">
        <v>158</v>
      </c>
      <c r="D73" s="6">
        <f t="shared" ref="D73:K73" si="29">D71*D72</f>
        <v>600</v>
      </c>
      <c r="E73" s="6">
        <f t="shared" si="29"/>
        <v>0</v>
      </c>
      <c r="F73" s="6">
        <f t="shared" si="29"/>
        <v>0</v>
      </c>
      <c r="G73" s="6">
        <f t="shared" si="29"/>
        <v>0</v>
      </c>
      <c r="H73" s="6">
        <f t="shared" si="29"/>
        <v>0</v>
      </c>
      <c r="I73" s="6">
        <f t="shared" si="29"/>
        <v>0</v>
      </c>
      <c r="J73" s="6">
        <f t="shared" si="29"/>
        <v>0</v>
      </c>
      <c r="K73" s="6">
        <f t="shared" si="29"/>
        <v>0</v>
      </c>
    </row>
    <row r="74" spans="1:11" ht="15" customHeight="1" x14ac:dyDescent="0.3">
      <c r="B74" t="s">
        <v>67</v>
      </c>
      <c r="C74" t="s">
        <v>159</v>
      </c>
      <c r="D74" s="7">
        <f>'10_DECISIONS_UPLOAD'!C20</f>
        <v>3</v>
      </c>
      <c r="E74" s="7">
        <v>0</v>
      </c>
      <c r="F74" s="7">
        <v>0</v>
      </c>
      <c r="G74" s="7">
        <v>0</v>
      </c>
      <c r="H74" s="7">
        <v>0</v>
      </c>
      <c r="I74" s="7">
        <v>0</v>
      </c>
      <c r="J74" s="7">
        <v>0</v>
      </c>
      <c r="K74" s="7">
        <v>0</v>
      </c>
    </row>
    <row r="75" spans="1:11" ht="15" customHeight="1" x14ac:dyDescent="0.3">
      <c r="B75" t="s">
        <v>67</v>
      </c>
      <c r="C75" t="s">
        <v>160</v>
      </c>
      <c r="D75" s="8">
        <f>'01_INPUTS_MASTER'!G17</f>
        <v>1</v>
      </c>
      <c r="E75" s="8">
        <v>0</v>
      </c>
      <c r="F75" s="8">
        <v>0</v>
      </c>
      <c r="G75" s="8">
        <v>0</v>
      </c>
      <c r="H75" s="8">
        <v>0</v>
      </c>
      <c r="I75" s="8">
        <v>0</v>
      </c>
      <c r="J75" s="8">
        <v>0</v>
      </c>
      <c r="K75" s="8">
        <v>0</v>
      </c>
    </row>
    <row r="76" spans="1:11" ht="15" customHeight="1" x14ac:dyDescent="0.3">
      <c r="B76" t="s">
        <v>67</v>
      </c>
      <c r="C76" t="s">
        <v>161</v>
      </c>
      <c r="D76" s="6">
        <f t="shared" ref="D76:K76" si="30">IF(D75&gt;0,D74/D75*D72,0)</f>
        <v>600</v>
      </c>
      <c r="E76" s="6">
        <f t="shared" si="30"/>
        <v>0</v>
      </c>
      <c r="F76" s="6">
        <f t="shared" si="30"/>
        <v>0</v>
      </c>
      <c r="G76" s="6">
        <f t="shared" si="30"/>
        <v>0</v>
      </c>
      <c r="H76" s="6">
        <f t="shared" si="30"/>
        <v>0</v>
      </c>
      <c r="I76" s="6">
        <f t="shared" si="30"/>
        <v>0</v>
      </c>
      <c r="J76" s="6">
        <f t="shared" si="30"/>
        <v>0</v>
      </c>
      <c r="K76" s="6">
        <f t="shared" si="30"/>
        <v>0</v>
      </c>
    </row>
    <row r="77" spans="1:11" ht="15" customHeight="1" x14ac:dyDescent="0.3">
      <c r="B77" t="s">
        <v>67</v>
      </c>
      <c r="C77" t="s">
        <v>162</v>
      </c>
      <c r="D77" s="6">
        <f t="shared" ref="D77:K77" si="31">MIN(D73,D76)</f>
        <v>600</v>
      </c>
      <c r="E77" s="6">
        <f t="shared" si="31"/>
        <v>0</v>
      </c>
      <c r="F77" s="6">
        <f t="shared" si="31"/>
        <v>0</v>
      </c>
      <c r="G77" s="6">
        <f t="shared" si="31"/>
        <v>0</v>
      </c>
      <c r="H77" s="6">
        <f t="shared" si="31"/>
        <v>0</v>
      </c>
      <c r="I77" s="6">
        <f t="shared" si="31"/>
        <v>0</v>
      </c>
      <c r="J77" s="6">
        <f t="shared" si="31"/>
        <v>0</v>
      </c>
      <c r="K77" s="6">
        <f t="shared" si="31"/>
        <v>0</v>
      </c>
    </row>
    <row r="78" spans="1:11" ht="15" customHeight="1" x14ac:dyDescent="0.3">
      <c r="B78" t="s">
        <v>67</v>
      </c>
      <c r="C78" t="s">
        <v>163</v>
      </c>
      <c r="D78" s="7">
        <f>'10_DECISIONS_UPLOAD'!C35</f>
        <v>0</v>
      </c>
      <c r="E78" s="7">
        <f>'10_DECISIONS_UPLOAD'!D35</f>
        <v>0</v>
      </c>
      <c r="F78" s="7">
        <f>'10_DECISIONS_UPLOAD'!E35</f>
        <v>0</v>
      </c>
      <c r="G78" s="7">
        <f>'10_DECISIONS_UPLOAD'!F35</f>
        <v>0</v>
      </c>
      <c r="H78" s="7">
        <f>'10_DECISIONS_UPLOAD'!G35</f>
        <v>0</v>
      </c>
      <c r="I78" s="7">
        <f>'10_DECISIONS_UPLOAD'!H35</f>
        <v>0</v>
      </c>
      <c r="J78" s="7">
        <f>'10_DECISIONS_UPLOAD'!I35</f>
        <v>0</v>
      </c>
      <c r="K78" s="7">
        <f>'10_DECISIONS_UPLOAD'!J35</f>
        <v>0</v>
      </c>
    </row>
    <row r="79" spans="1:11" ht="15" customHeight="1" x14ac:dyDescent="0.3">
      <c r="B79" t="s">
        <v>67</v>
      </c>
      <c r="C79" t="s">
        <v>164</v>
      </c>
      <c r="D79" s="6">
        <f t="shared" ref="D79:K79" si="32">D77*(1+0.2*D78)</f>
        <v>600</v>
      </c>
      <c r="E79" s="6">
        <f t="shared" si="32"/>
        <v>0</v>
      </c>
      <c r="F79" s="6">
        <f t="shared" si="32"/>
        <v>0</v>
      </c>
      <c r="G79" s="6">
        <f t="shared" si="32"/>
        <v>0</v>
      </c>
      <c r="H79" s="6">
        <f t="shared" si="32"/>
        <v>0</v>
      </c>
      <c r="I79" s="6">
        <f t="shared" si="32"/>
        <v>0</v>
      </c>
      <c r="J79" s="6">
        <f t="shared" si="32"/>
        <v>0</v>
      </c>
      <c r="K79" s="6">
        <f t="shared" si="32"/>
        <v>0</v>
      </c>
    </row>
    <row r="80" spans="1:11" ht="15" customHeight="1" x14ac:dyDescent="0.3">
      <c r="B80" t="s">
        <v>67</v>
      </c>
      <c r="C80" t="s">
        <v>150</v>
      </c>
      <c r="D80" s="8">
        <f>'04_FLOW_S1_S5'!D62</f>
        <v>1000</v>
      </c>
      <c r="E80" s="8">
        <f>'04_FLOW_S1_S5'!E62</f>
        <v>0</v>
      </c>
      <c r="F80" s="8">
        <f>'04_FLOW_S1_S5'!F62</f>
        <v>1000</v>
      </c>
      <c r="G80" s="8">
        <f>'04_FLOW_S1_S5'!G62</f>
        <v>0</v>
      </c>
      <c r="H80" s="8">
        <f>'04_FLOW_S1_S5'!H62</f>
        <v>1000</v>
      </c>
      <c r="I80" s="8">
        <f>'04_FLOW_S1_S5'!I62</f>
        <v>0</v>
      </c>
      <c r="J80" s="8">
        <f>'04_FLOW_S1_S5'!J62</f>
        <v>0</v>
      </c>
      <c r="K80" s="8">
        <f>'04_FLOW_S1_S5'!K62</f>
        <v>0</v>
      </c>
    </row>
    <row r="81" spans="2:11" ht="15" customHeight="1" x14ac:dyDescent="0.3">
      <c r="B81" t="s">
        <v>67</v>
      </c>
      <c r="C81" t="s">
        <v>165</v>
      </c>
      <c r="D81" s="6">
        <f t="shared" ref="D81:K81" si="33">MIN(D79,D80)</f>
        <v>600</v>
      </c>
      <c r="E81" s="6">
        <f t="shared" si="33"/>
        <v>0</v>
      </c>
      <c r="F81" s="6">
        <f t="shared" si="33"/>
        <v>0</v>
      </c>
      <c r="G81" s="6">
        <f t="shared" si="33"/>
        <v>0</v>
      </c>
      <c r="H81" s="6">
        <f t="shared" si="33"/>
        <v>0</v>
      </c>
      <c r="I81" s="6">
        <f t="shared" si="33"/>
        <v>0</v>
      </c>
      <c r="J81" s="6">
        <f t="shared" si="33"/>
        <v>0</v>
      </c>
      <c r="K81" s="6">
        <f t="shared" si="33"/>
        <v>0</v>
      </c>
    </row>
    <row r="82" spans="2:11" ht="15" customHeight="1" x14ac:dyDescent="0.3">
      <c r="B82" t="s">
        <v>67</v>
      </c>
      <c r="C82" t="s">
        <v>166</v>
      </c>
      <c r="D82" s="6" t="str">
        <f t="shared" ref="D82:K82" si="34">IF(D80&gt;D79,"CAPACITY","OK")</f>
        <v>CAPACITY</v>
      </c>
      <c r="E82" s="6" t="str">
        <f t="shared" si="34"/>
        <v>OK</v>
      </c>
      <c r="F82" s="6" t="str">
        <f t="shared" si="34"/>
        <v>CAPACITY</v>
      </c>
      <c r="G82" s="6" t="str">
        <f t="shared" si="34"/>
        <v>OK</v>
      </c>
      <c r="H82" s="6" t="str">
        <f t="shared" si="34"/>
        <v>CAPACITY</v>
      </c>
      <c r="I82" s="6" t="str">
        <f t="shared" si="34"/>
        <v>OK</v>
      </c>
      <c r="J82" s="6" t="str">
        <f t="shared" si="34"/>
        <v>OK</v>
      </c>
      <c r="K82" s="6" t="str">
        <f t="shared" si="34"/>
        <v>OK</v>
      </c>
    </row>
    <row r="84" spans="2:11" ht="15" customHeight="1" x14ac:dyDescent="0.3">
      <c r="B84" t="s">
        <v>69</v>
      </c>
      <c r="C84" t="s">
        <v>156</v>
      </c>
      <c r="D84" s="7">
        <f>'01_INPUTS_MASTER'!I18</f>
        <v>9</v>
      </c>
      <c r="E84" s="7">
        <v>0</v>
      </c>
      <c r="F84" s="7">
        <v>0</v>
      </c>
      <c r="G84" s="7">
        <v>0</v>
      </c>
      <c r="H84" s="7">
        <v>0</v>
      </c>
      <c r="I84" s="7">
        <v>0</v>
      </c>
      <c r="J84" s="7">
        <v>0</v>
      </c>
      <c r="K84" s="7">
        <v>0</v>
      </c>
    </row>
    <row r="85" spans="2:11" ht="15" customHeight="1" x14ac:dyDescent="0.3">
      <c r="B85" t="s">
        <v>69</v>
      </c>
      <c r="C85" t="s">
        <v>157</v>
      </c>
      <c r="D85" s="8">
        <f>'01_INPUTS_MASTER'!B18</f>
        <v>70</v>
      </c>
      <c r="E85" s="8">
        <v>0</v>
      </c>
      <c r="F85" s="8">
        <v>0</v>
      </c>
      <c r="G85" s="8">
        <v>0</v>
      </c>
      <c r="H85" s="8">
        <v>0</v>
      </c>
      <c r="I85" s="8">
        <v>0</v>
      </c>
      <c r="J85" s="8">
        <v>0</v>
      </c>
      <c r="K85" s="8">
        <v>0</v>
      </c>
    </row>
    <row r="86" spans="2:11" ht="15" customHeight="1" x14ac:dyDescent="0.3">
      <c r="B86" t="s">
        <v>69</v>
      </c>
      <c r="C86" t="s">
        <v>158</v>
      </c>
      <c r="D86" s="6">
        <f t="shared" ref="D86:K86" si="35">D84*D85</f>
        <v>630</v>
      </c>
      <c r="E86" s="6">
        <f t="shared" si="35"/>
        <v>0</v>
      </c>
      <c r="F86" s="6">
        <f t="shared" si="35"/>
        <v>0</v>
      </c>
      <c r="G86" s="6">
        <f t="shared" si="35"/>
        <v>0</v>
      </c>
      <c r="H86" s="6">
        <f t="shared" si="35"/>
        <v>0</v>
      </c>
      <c r="I86" s="6">
        <f t="shared" si="35"/>
        <v>0</v>
      </c>
      <c r="J86" s="6">
        <f t="shared" si="35"/>
        <v>0</v>
      </c>
      <c r="K86" s="6">
        <f t="shared" si="35"/>
        <v>0</v>
      </c>
    </row>
    <row r="87" spans="2:11" ht="15" customHeight="1" x14ac:dyDescent="0.3">
      <c r="B87" t="s">
        <v>69</v>
      </c>
      <c r="C87" t="s">
        <v>159</v>
      </c>
      <c r="D87" s="7">
        <f>'10_DECISIONS_UPLOAD'!C21</f>
        <v>9</v>
      </c>
      <c r="E87" s="7">
        <v>0</v>
      </c>
      <c r="F87" s="7">
        <v>0</v>
      </c>
      <c r="G87" s="7">
        <v>0</v>
      </c>
      <c r="H87" s="7">
        <v>0</v>
      </c>
      <c r="I87" s="7">
        <v>0</v>
      </c>
      <c r="J87" s="7">
        <v>0</v>
      </c>
      <c r="K87" s="7">
        <v>0</v>
      </c>
    </row>
    <row r="88" spans="2:11" ht="15" customHeight="1" x14ac:dyDescent="0.3">
      <c r="B88" t="s">
        <v>69</v>
      </c>
      <c r="C88" t="s">
        <v>160</v>
      </c>
      <c r="D88" s="8">
        <f>'01_INPUTS_MASTER'!G18</f>
        <v>1</v>
      </c>
      <c r="E88" s="8">
        <v>0</v>
      </c>
      <c r="F88" s="8">
        <v>0</v>
      </c>
      <c r="G88" s="8">
        <v>0</v>
      </c>
      <c r="H88" s="8">
        <v>0</v>
      </c>
      <c r="I88" s="8">
        <v>0</v>
      </c>
      <c r="J88" s="8">
        <v>0</v>
      </c>
      <c r="K88" s="8">
        <v>0</v>
      </c>
    </row>
    <row r="89" spans="2:11" ht="15" customHeight="1" x14ac:dyDescent="0.3">
      <c r="B89" t="s">
        <v>69</v>
      </c>
      <c r="C89" t="s">
        <v>161</v>
      </c>
      <c r="D89" s="6">
        <f t="shared" ref="D89:K89" si="36">IF(D88&gt;0,D87/D88*D85,0)</f>
        <v>630</v>
      </c>
      <c r="E89" s="6">
        <f t="shared" si="36"/>
        <v>0</v>
      </c>
      <c r="F89" s="6">
        <f t="shared" si="36"/>
        <v>0</v>
      </c>
      <c r="G89" s="6">
        <f t="shared" si="36"/>
        <v>0</v>
      </c>
      <c r="H89" s="6">
        <f t="shared" si="36"/>
        <v>0</v>
      </c>
      <c r="I89" s="6">
        <f t="shared" si="36"/>
        <v>0</v>
      </c>
      <c r="J89" s="6">
        <f t="shared" si="36"/>
        <v>0</v>
      </c>
      <c r="K89" s="6">
        <f t="shared" si="36"/>
        <v>0</v>
      </c>
    </row>
    <row r="90" spans="2:11" ht="15" customHeight="1" x14ac:dyDescent="0.3">
      <c r="B90" t="s">
        <v>69</v>
      </c>
      <c r="C90" t="s">
        <v>162</v>
      </c>
      <c r="D90" s="6">
        <f t="shared" ref="D90:K90" si="37">MIN(D86,D89)</f>
        <v>630</v>
      </c>
      <c r="E90" s="6">
        <f t="shared" si="37"/>
        <v>0</v>
      </c>
      <c r="F90" s="6">
        <f t="shared" si="37"/>
        <v>0</v>
      </c>
      <c r="G90" s="6">
        <f t="shared" si="37"/>
        <v>0</v>
      </c>
      <c r="H90" s="6">
        <f t="shared" si="37"/>
        <v>0</v>
      </c>
      <c r="I90" s="6">
        <f t="shared" si="37"/>
        <v>0</v>
      </c>
      <c r="J90" s="6">
        <f t="shared" si="37"/>
        <v>0</v>
      </c>
      <c r="K90" s="6">
        <f t="shared" si="37"/>
        <v>0</v>
      </c>
    </row>
    <row r="91" spans="2:11" ht="15" customHeight="1" x14ac:dyDescent="0.3">
      <c r="B91" t="s">
        <v>69</v>
      </c>
      <c r="C91" t="s">
        <v>163</v>
      </c>
      <c r="D91" s="7">
        <f>'10_DECISIONS_UPLOAD'!C36</f>
        <v>0</v>
      </c>
      <c r="E91" s="7">
        <f>'10_DECISIONS_UPLOAD'!D36</f>
        <v>0</v>
      </c>
      <c r="F91" s="7">
        <f>'10_DECISIONS_UPLOAD'!E36</f>
        <v>0</v>
      </c>
      <c r="G91" s="7">
        <f>'10_DECISIONS_UPLOAD'!F36</f>
        <v>0</v>
      </c>
      <c r="H91" s="7">
        <f>'10_DECISIONS_UPLOAD'!G36</f>
        <v>0</v>
      </c>
      <c r="I91" s="7">
        <f>'10_DECISIONS_UPLOAD'!H36</f>
        <v>0</v>
      </c>
      <c r="J91" s="7">
        <f>'10_DECISIONS_UPLOAD'!I36</f>
        <v>0</v>
      </c>
      <c r="K91" s="7">
        <f>'10_DECISIONS_UPLOAD'!J36</f>
        <v>0</v>
      </c>
    </row>
    <row r="92" spans="2:11" ht="15" customHeight="1" x14ac:dyDescent="0.3">
      <c r="B92" t="s">
        <v>69</v>
      </c>
      <c r="C92" t="s">
        <v>164</v>
      </c>
      <c r="D92" s="6">
        <f t="shared" ref="D92:K92" si="38">D90*(1+0.2*D91)</f>
        <v>630</v>
      </c>
      <c r="E92" s="6">
        <f t="shared" si="38"/>
        <v>0</v>
      </c>
      <c r="F92" s="6">
        <f t="shared" si="38"/>
        <v>0</v>
      </c>
      <c r="G92" s="6">
        <f t="shared" si="38"/>
        <v>0</v>
      </c>
      <c r="H92" s="6">
        <f t="shared" si="38"/>
        <v>0</v>
      </c>
      <c r="I92" s="6">
        <f t="shared" si="38"/>
        <v>0</v>
      </c>
      <c r="J92" s="6">
        <f t="shared" si="38"/>
        <v>0</v>
      </c>
      <c r="K92" s="6">
        <f t="shared" si="38"/>
        <v>0</v>
      </c>
    </row>
    <row r="93" spans="2:11" ht="15" customHeight="1" x14ac:dyDescent="0.3">
      <c r="B93" t="s">
        <v>69</v>
      </c>
      <c r="C93" t="s">
        <v>150</v>
      </c>
      <c r="D93" s="8">
        <f>'04_FLOW_S1_S5'!D56</f>
        <v>1000</v>
      </c>
      <c r="E93" s="8">
        <f>'04_FLOW_S1_S5'!E56</f>
        <v>0</v>
      </c>
      <c r="F93" s="8">
        <f>'04_FLOW_S1_S5'!F56</f>
        <v>1000</v>
      </c>
      <c r="G93" s="8">
        <f>'04_FLOW_S1_S5'!G56</f>
        <v>0</v>
      </c>
      <c r="H93" s="8">
        <f>'04_FLOW_S1_S5'!H56</f>
        <v>1000</v>
      </c>
      <c r="I93" s="8">
        <f>'04_FLOW_S1_S5'!I56</f>
        <v>0</v>
      </c>
      <c r="J93" s="8">
        <f>'04_FLOW_S1_S5'!J56</f>
        <v>0</v>
      </c>
      <c r="K93" s="8">
        <f>'04_FLOW_S1_S5'!K56</f>
        <v>0</v>
      </c>
    </row>
    <row r="94" spans="2:11" ht="15" customHeight="1" x14ac:dyDescent="0.3">
      <c r="B94" t="s">
        <v>69</v>
      </c>
      <c r="C94" t="s">
        <v>165</v>
      </c>
      <c r="D94" s="6">
        <f t="shared" ref="D94:K94" si="39">MIN(D92,D93)</f>
        <v>630</v>
      </c>
      <c r="E94" s="6">
        <f t="shared" si="39"/>
        <v>0</v>
      </c>
      <c r="F94" s="6">
        <f t="shared" si="39"/>
        <v>0</v>
      </c>
      <c r="G94" s="6">
        <f t="shared" si="39"/>
        <v>0</v>
      </c>
      <c r="H94" s="6">
        <f t="shared" si="39"/>
        <v>0</v>
      </c>
      <c r="I94" s="6">
        <f t="shared" si="39"/>
        <v>0</v>
      </c>
      <c r="J94" s="6">
        <f t="shared" si="39"/>
        <v>0</v>
      </c>
      <c r="K94" s="6">
        <f t="shared" si="39"/>
        <v>0</v>
      </c>
    </row>
    <row r="95" spans="2:11" ht="15" customHeight="1" x14ac:dyDescent="0.3">
      <c r="B95" t="s">
        <v>69</v>
      </c>
      <c r="C95" t="s">
        <v>166</v>
      </c>
      <c r="D95" s="6" t="str">
        <f t="shared" ref="D95:K95" si="40">IF(D93&gt;D92,"CAPACITY","OK")</f>
        <v>CAPACITY</v>
      </c>
      <c r="E95" s="6" t="str">
        <f t="shared" si="40"/>
        <v>OK</v>
      </c>
      <c r="F95" s="6" t="str">
        <f t="shared" si="40"/>
        <v>CAPACITY</v>
      </c>
      <c r="G95" s="6" t="str">
        <f t="shared" si="40"/>
        <v>OK</v>
      </c>
      <c r="H95" s="6" t="str">
        <f t="shared" si="40"/>
        <v>CAPACITY</v>
      </c>
      <c r="I95" s="6" t="str">
        <f t="shared" si="40"/>
        <v>OK</v>
      </c>
      <c r="J95" s="6" t="str">
        <f t="shared" si="40"/>
        <v>OK</v>
      </c>
      <c r="K95" s="6" t="str">
        <f t="shared" si="40"/>
        <v>OK</v>
      </c>
    </row>
    <row r="97" spans="2:11" ht="15" customHeight="1" x14ac:dyDescent="0.3">
      <c r="B97" t="s">
        <v>71</v>
      </c>
      <c r="C97" t="s">
        <v>156</v>
      </c>
      <c r="D97" s="7">
        <f>'01_INPUTS_MASTER'!I19+'01_INPUTS_MASTER'!I20</f>
        <v>1</v>
      </c>
      <c r="E97" s="7">
        <v>0</v>
      </c>
      <c r="F97" s="7">
        <v>0</v>
      </c>
      <c r="G97" s="7">
        <v>0</v>
      </c>
      <c r="H97" s="7">
        <v>0</v>
      </c>
      <c r="I97" s="7">
        <v>0</v>
      </c>
      <c r="J97" s="7">
        <v>0</v>
      </c>
      <c r="K97" s="7">
        <v>0</v>
      </c>
    </row>
    <row r="98" spans="2:11" ht="15" customHeight="1" x14ac:dyDescent="0.3">
      <c r="B98" t="s">
        <v>71</v>
      </c>
      <c r="C98" t="s">
        <v>157</v>
      </c>
      <c r="D98" s="8">
        <f>IF(('01_INPUTS_MASTER'!I19+'01_INPUTS_MASTER'!I20)&gt;0,('01_INPUTS_MASTER'!I19*'01_INPUTS_MASTER'!B19+'01_INPUTS_MASTER'!I20*'01_INPUTS_MASTER'!B20)/('01_INPUTS_MASTER'!I19+'01_INPUTS_MASTER'!I20),0)</f>
        <v>450</v>
      </c>
      <c r="E98" s="8">
        <v>0</v>
      </c>
      <c r="F98" s="8">
        <v>0</v>
      </c>
      <c r="G98" s="8">
        <v>0</v>
      </c>
      <c r="H98" s="8">
        <v>0</v>
      </c>
      <c r="I98" s="8">
        <v>0</v>
      </c>
      <c r="J98" s="8">
        <v>0</v>
      </c>
      <c r="K98" s="8">
        <v>0</v>
      </c>
    </row>
    <row r="99" spans="2:11" ht="15" customHeight="1" x14ac:dyDescent="0.3">
      <c r="B99" t="s">
        <v>71</v>
      </c>
      <c r="C99" t="s">
        <v>158</v>
      </c>
      <c r="D99" s="6">
        <f>MIN('01_INPUTS_MASTER'!I19*'01_INPUTS_MASTER'!B19+'01_INPUTS_MASTER'!I20*'01_INPUTS_MASTER'!B20,'01_INPUTS_MASTER'!I21*'01_INPUTS_MASTER'!B21)</f>
        <v>450</v>
      </c>
      <c r="E99" s="6">
        <f t="shared" ref="E99:K99" si="41">E97*E98</f>
        <v>0</v>
      </c>
      <c r="F99" s="6">
        <f t="shared" si="41"/>
        <v>0</v>
      </c>
      <c r="G99" s="6">
        <f t="shared" si="41"/>
        <v>0</v>
      </c>
      <c r="H99" s="6">
        <f t="shared" si="41"/>
        <v>0</v>
      </c>
      <c r="I99" s="6">
        <f t="shared" si="41"/>
        <v>0</v>
      </c>
      <c r="J99" s="6">
        <f t="shared" si="41"/>
        <v>0</v>
      </c>
      <c r="K99" s="6">
        <f t="shared" si="41"/>
        <v>0</v>
      </c>
    </row>
    <row r="100" spans="2:11" ht="15" customHeight="1" x14ac:dyDescent="0.3">
      <c r="B100" t="s">
        <v>71</v>
      </c>
      <c r="C100" t="s">
        <v>159</v>
      </c>
      <c r="D100" s="7">
        <f>'10_DECISIONS_UPLOAD'!C22</f>
        <v>30</v>
      </c>
      <c r="E100" s="7">
        <v>0</v>
      </c>
      <c r="F100" s="7">
        <v>0</v>
      </c>
      <c r="G100" s="7">
        <v>0</v>
      </c>
      <c r="H100" s="7">
        <v>0</v>
      </c>
      <c r="I100" s="7">
        <v>0</v>
      </c>
      <c r="J100" s="7">
        <v>0</v>
      </c>
      <c r="K100" s="7">
        <v>0</v>
      </c>
    </row>
    <row r="101" spans="2:11" ht="15" customHeight="1" x14ac:dyDescent="0.3">
      <c r="B101" t="s">
        <v>71</v>
      </c>
      <c r="C101" t="s">
        <v>160</v>
      </c>
      <c r="D101" s="8">
        <f>'01_INPUTS_MASTER'!G19</f>
        <v>30</v>
      </c>
      <c r="E101" s="8">
        <v>0</v>
      </c>
      <c r="F101" s="8">
        <v>0</v>
      </c>
      <c r="G101" s="8">
        <v>0</v>
      </c>
      <c r="H101" s="8">
        <v>0</v>
      </c>
      <c r="I101" s="8">
        <v>0</v>
      </c>
      <c r="J101" s="8">
        <v>0</v>
      </c>
      <c r="K101" s="8">
        <v>0</v>
      </c>
    </row>
    <row r="102" spans="2:11" ht="15" customHeight="1" x14ac:dyDescent="0.3">
      <c r="B102" t="s">
        <v>71</v>
      </c>
      <c r="C102" t="s">
        <v>161</v>
      </c>
      <c r="D102" s="6">
        <f t="shared" ref="D102:K102" si="42">IF(D101&gt;0,D100/D101*D98,0)</f>
        <v>450</v>
      </c>
      <c r="E102" s="6">
        <f t="shared" si="42"/>
        <v>0</v>
      </c>
      <c r="F102" s="6">
        <f t="shared" si="42"/>
        <v>0</v>
      </c>
      <c r="G102" s="6">
        <f t="shared" si="42"/>
        <v>0</v>
      </c>
      <c r="H102" s="6">
        <f t="shared" si="42"/>
        <v>0</v>
      </c>
      <c r="I102" s="6">
        <f t="shared" si="42"/>
        <v>0</v>
      </c>
      <c r="J102" s="6">
        <f t="shared" si="42"/>
        <v>0</v>
      </c>
      <c r="K102" s="6">
        <f t="shared" si="42"/>
        <v>0</v>
      </c>
    </row>
    <row r="103" spans="2:11" ht="15" customHeight="1" x14ac:dyDescent="0.3">
      <c r="B103" t="s">
        <v>71</v>
      </c>
      <c r="C103" t="s">
        <v>162</v>
      </c>
      <c r="D103" s="6">
        <f t="shared" ref="D103:K103" si="43">MIN(D99,D102)</f>
        <v>450</v>
      </c>
      <c r="E103" s="6">
        <f t="shared" si="43"/>
        <v>0</v>
      </c>
      <c r="F103" s="6">
        <f t="shared" si="43"/>
        <v>0</v>
      </c>
      <c r="G103" s="6">
        <f t="shared" si="43"/>
        <v>0</v>
      </c>
      <c r="H103" s="6">
        <f t="shared" si="43"/>
        <v>0</v>
      </c>
      <c r="I103" s="6">
        <f t="shared" si="43"/>
        <v>0</v>
      </c>
      <c r="J103" s="6">
        <f t="shared" si="43"/>
        <v>0</v>
      </c>
      <c r="K103" s="6">
        <f t="shared" si="43"/>
        <v>0</v>
      </c>
    </row>
    <row r="104" spans="2:11" ht="15" customHeight="1" x14ac:dyDescent="0.3">
      <c r="B104" t="s">
        <v>71</v>
      </c>
      <c r="C104" t="s">
        <v>163</v>
      </c>
      <c r="D104" s="7">
        <f>'10_DECISIONS_UPLOAD'!C37</f>
        <v>0</v>
      </c>
      <c r="E104" s="7">
        <f>'10_DECISIONS_UPLOAD'!D37</f>
        <v>0</v>
      </c>
      <c r="F104" s="7">
        <f>'10_DECISIONS_UPLOAD'!E37</f>
        <v>0</v>
      </c>
      <c r="G104" s="7">
        <f>'10_DECISIONS_UPLOAD'!F37</f>
        <v>0</v>
      </c>
      <c r="H104" s="7">
        <f>'10_DECISIONS_UPLOAD'!G37</f>
        <v>0</v>
      </c>
      <c r="I104" s="7">
        <f>'10_DECISIONS_UPLOAD'!H37</f>
        <v>0</v>
      </c>
      <c r="J104" s="7">
        <f>'10_DECISIONS_UPLOAD'!I37</f>
        <v>0</v>
      </c>
      <c r="K104" s="7">
        <f>'10_DECISIONS_UPLOAD'!J37</f>
        <v>0</v>
      </c>
    </row>
    <row r="105" spans="2:11" ht="15" customHeight="1" x14ac:dyDescent="0.3">
      <c r="B105" t="s">
        <v>71</v>
      </c>
      <c r="C105" t="s">
        <v>164</v>
      </c>
      <c r="D105" s="6">
        <f t="shared" ref="D105:K105" si="44">D103*(1+0.2*D104)</f>
        <v>450</v>
      </c>
      <c r="E105" s="6">
        <f t="shared" si="44"/>
        <v>0</v>
      </c>
      <c r="F105" s="6">
        <f t="shared" si="44"/>
        <v>0</v>
      </c>
      <c r="G105" s="6">
        <f t="shared" si="44"/>
        <v>0</v>
      </c>
      <c r="H105" s="6">
        <f t="shared" si="44"/>
        <v>0</v>
      </c>
      <c r="I105" s="6">
        <f t="shared" si="44"/>
        <v>0</v>
      </c>
      <c r="J105" s="6">
        <f t="shared" si="44"/>
        <v>0</v>
      </c>
      <c r="K105" s="6">
        <f t="shared" si="44"/>
        <v>0</v>
      </c>
    </row>
    <row r="106" spans="2:11" ht="15" customHeight="1" x14ac:dyDescent="0.3">
      <c r="B106" t="s">
        <v>71</v>
      </c>
      <c r="C106" t="s">
        <v>150</v>
      </c>
      <c r="D106" s="8">
        <f>'04_FLOW_S1_S5'!D50</f>
        <v>0</v>
      </c>
      <c r="E106" s="8">
        <f>'04_FLOW_S1_S5'!E50</f>
        <v>1000</v>
      </c>
      <c r="F106" s="8">
        <f>'04_FLOW_S1_S5'!F50</f>
        <v>0</v>
      </c>
      <c r="G106" s="8">
        <f>'04_FLOW_S1_S5'!G50</f>
        <v>1000</v>
      </c>
      <c r="H106" s="8">
        <f>'04_FLOW_S1_S5'!H50</f>
        <v>0</v>
      </c>
      <c r="I106" s="8">
        <f>'04_FLOW_S1_S5'!I50</f>
        <v>1000</v>
      </c>
      <c r="J106" s="8">
        <f>'04_FLOW_S1_S5'!J50</f>
        <v>0</v>
      </c>
      <c r="K106" s="8">
        <f>'04_FLOW_S1_S5'!K50</f>
        <v>0</v>
      </c>
    </row>
    <row r="107" spans="2:11" ht="15" customHeight="1" x14ac:dyDescent="0.3">
      <c r="B107" t="s">
        <v>71</v>
      </c>
      <c r="C107" t="s">
        <v>165</v>
      </c>
      <c r="D107" s="6">
        <f t="shared" ref="D107:K107" si="45">MIN(D105,D106)</f>
        <v>0</v>
      </c>
      <c r="E107" s="6">
        <f t="shared" si="45"/>
        <v>0</v>
      </c>
      <c r="F107" s="6">
        <f t="shared" si="45"/>
        <v>0</v>
      </c>
      <c r="G107" s="6">
        <f t="shared" si="45"/>
        <v>0</v>
      </c>
      <c r="H107" s="6">
        <f t="shared" si="45"/>
        <v>0</v>
      </c>
      <c r="I107" s="6">
        <f t="shared" si="45"/>
        <v>0</v>
      </c>
      <c r="J107" s="6">
        <f t="shared" si="45"/>
        <v>0</v>
      </c>
      <c r="K107" s="6">
        <f t="shared" si="45"/>
        <v>0</v>
      </c>
    </row>
    <row r="108" spans="2:11" ht="15" customHeight="1" x14ac:dyDescent="0.3">
      <c r="B108" t="s">
        <v>71</v>
      </c>
      <c r="C108" t="s">
        <v>166</v>
      </c>
      <c r="D108" s="6" t="str">
        <f t="shared" ref="D108:K108" si="46">IF(D106&gt;D105,"CAPACITY","OK")</f>
        <v>OK</v>
      </c>
      <c r="E108" s="6" t="str">
        <f t="shared" si="46"/>
        <v>CAPACITY</v>
      </c>
      <c r="F108" s="6" t="str">
        <f t="shared" si="46"/>
        <v>OK</v>
      </c>
      <c r="G108" s="6" t="str">
        <f t="shared" si="46"/>
        <v>CAPACITY</v>
      </c>
      <c r="H108" s="6" t="str">
        <f t="shared" si="46"/>
        <v>OK</v>
      </c>
      <c r="I108" s="6" t="str">
        <f t="shared" si="46"/>
        <v>CAPACITY</v>
      </c>
      <c r="J108" s="6" t="str">
        <f t="shared" si="46"/>
        <v>OK</v>
      </c>
      <c r="K108" s="6" t="str">
        <f t="shared" si="46"/>
        <v>OK</v>
      </c>
    </row>
    <row r="110" spans="2:11" ht="15" customHeight="1" x14ac:dyDescent="0.3">
      <c r="B110" t="s">
        <v>75</v>
      </c>
      <c r="C110" t="s">
        <v>156</v>
      </c>
      <c r="D110" s="7">
        <f>'01_INPUTS_MASTER'!I22</f>
        <v>3</v>
      </c>
      <c r="E110" s="7">
        <v>0</v>
      </c>
      <c r="F110" s="7">
        <v>0</v>
      </c>
      <c r="G110" s="7">
        <v>0</v>
      </c>
      <c r="H110" s="7">
        <v>0</v>
      </c>
      <c r="I110" s="7">
        <v>0</v>
      </c>
      <c r="J110" s="7">
        <v>0</v>
      </c>
      <c r="K110" s="7">
        <v>0</v>
      </c>
    </row>
    <row r="111" spans="2:11" ht="15" customHeight="1" x14ac:dyDescent="0.3">
      <c r="B111" t="s">
        <v>75</v>
      </c>
      <c r="C111" t="s">
        <v>157</v>
      </c>
      <c r="D111" s="8">
        <f>'01_INPUTS_MASTER'!B22</f>
        <v>150</v>
      </c>
      <c r="E111" s="8">
        <v>0</v>
      </c>
      <c r="F111" s="8">
        <v>0</v>
      </c>
      <c r="G111" s="8">
        <v>0</v>
      </c>
      <c r="H111" s="8">
        <v>0</v>
      </c>
      <c r="I111" s="8">
        <v>0</v>
      </c>
      <c r="J111" s="8">
        <v>0</v>
      </c>
      <c r="K111" s="8">
        <v>0</v>
      </c>
    </row>
    <row r="112" spans="2:11" ht="15" customHeight="1" x14ac:dyDescent="0.3">
      <c r="B112" t="s">
        <v>75</v>
      </c>
      <c r="C112" t="s">
        <v>158</v>
      </c>
      <c r="D112" s="6">
        <f t="shared" ref="D112:K112" si="47">D110*D111</f>
        <v>450</v>
      </c>
      <c r="E112" s="6">
        <f t="shared" si="47"/>
        <v>0</v>
      </c>
      <c r="F112" s="6">
        <f t="shared" si="47"/>
        <v>0</v>
      </c>
      <c r="G112" s="6">
        <f t="shared" si="47"/>
        <v>0</v>
      </c>
      <c r="H112" s="6">
        <f t="shared" si="47"/>
        <v>0</v>
      </c>
      <c r="I112" s="6">
        <f t="shared" si="47"/>
        <v>0</v>
      </c>
      <c r="J112" s="6">
        <f t="shared" si="47"/>
        <v>0</v>
      </c>
      <c r="K112" s="6">
        <f t="shared" si="47"/>
        <v>0</v>
      </c>
    </row>
    <row r="113" spans="2:11" ht="15" customHeight="1" x14ac:dyDescent="0.3">
      <c r="B113" t="s">
        <v>75</v>
      </c>
      <c r="C113" t="s">
        <v>159</v>
      </c>
      <c r="D113" s="7">
        <f>'10_DECISIONS_UPLOAD'!C24</f>
        <v>3</v>
      </c>
      <c r="E113" s="7">
        <v>0</v>
      </c>
      <c r="F113" s="7">
        <v>0</v>
      </c>
      <c r="G113" s="7">
        <v>0</v>
      </c>
      <c r="H113" s="7">
        <v>0</v>
      </c>
      <c r="I113" s="7">
        <v>0</v>
      </c>
      <c r="J113" s="7">
        <v>0</v>
      </c>
      <c r="K113" s="7">
        <v>0</v>
      </c>
    </row>
    <row r="114" spans="2:11" ht="15" customHeight="1" x14ac:dyDescent="0.3">
      <c r="B114" t="s">
        <v>75</v>
      </c>
      <c r="C114" t="s">
        <v>160</v>
      </c>
      <c r="D114" s="8">
        <f>'01_INPUTS_MASTER'!G22</f>
        <v>1</v>
      </c>
      <c r="E114" s="8">
        <v>0</v>
      </c>
      <c r="F114" s="8">
        <v>0</v>
      </c>
      <c r="G114" s="8">
        <v>0</v>
      </c>
      <c r="H114" s="8">
        <v>0</v>
      </c>
      <c r="I114" s="8">
        <v>0</v>
      </c>
      <c r="J114" s="8">
        <v>0</v>
      </c>
      <c r="K114" s="8">
        <v>0</v>
      </c>
    </row>
    <row r="115" spans="2:11" ht="15" customHeight="1" x14ac:dyDescent="0.3">
      <c r="B115" t="s">
        <v>75</v>
      </c>
      <c r="C115" t="s">
        <v>161</v>
      </c>
      <c r="D115" s="6">
        <f t="shared" ref="D115:K115" si="48">IF(D114&gt;0,D113/D114*D111,0)</f>
        <v>450</v>
      </c>
      <c r="E115" s="6">
        <f t="shared" si="48"/>
        <v>0</v>
      </c>
      <c r="F115" s="6">
        <f t="shared" si="48"/>
        <v>0</v>
      </c>
      <c r="G115" s="6">
        <f t="shared" si="48"/>
        <v>0</v>
      </c>
      <c r="H115" s="6">
        <f t="shared" si="48"/>
        <v>0</v>
      </c>
      <c r="I115" s="6">
        <f t="shared" si="48"/>
        <v>0</v>
      </c>
      <c r="J115" s="6">
        <f t="shared" si="48"/>
        <v>0</v>
      </c>
      <c r="K115" s="6">
        <f t="shared" si="48"/>
        <v>0</v>
      </c>
    </row>
    <row r="116" spans="2:11" ht="15" customHeight="1" x14ac:dyDescent="0.3">
      <c r="B116" t="s">
        <v>75</v>
      </c>
      <c r="C116" t="s">
        <v>162</v>
      </c>
      <c r="D116" s="6">
        <f t="shared" ref="D116:K116" si="49">MIN(D112,D115)</f>
        <v>450</v>
      </c>
      <c r="E116" s="6">
        <f t="shared" si="49"/>
        <v>0</v>
      </c>
      <c r="F116" s="6">
        <f t="shared" si="49"/>
        <v>0</v>
      </c>
      <c r="G116" s="6">
        <f t="shared" si="49"/>
        <v>0</v>
      </c>
      <c r="H116" s="6">
        <f t="shared" si="49"/>
        <v>0</v>
      </c>
      <c r="I116" s="6">
        <f t="shared" si="49"/>
        <v>0</v>
      </c>
      <c r="J116" s="6">
        <f t="shared" si="49"/>
        <v>0</v>
      </c>
      <c r="K116" s="6">
        <f t="shared" si="49"/>
        <v>0</v>
      </c>
    </row>
    <row r="117" spans="2:11" ht="15" customHeight="1" x14ac:dyDescent="0.3">
      <c r="B117" t="s">
        <v>75</v>
      </c>
      <c r="C117" t="s">
        <v>163</v>
      </c>
      <c r="D117" s="7">
        <f>'10_DECISIONS_UPLOAD'!C38</f>
        <v>0</v>
      </c>
      <c r="E117" s="7">
        <f>'10_DECISIONS_UPLOAD'!D38</f>
        <v>0</v>
      </c>
      <c r="F117" s="7">
        <f>'10_DECISIONS_UPLOAD'!E38</f>
        <v>0</v>
      </c>
      <c r="G117" s="7">
        <f>'10_DECISIONS_UPLOAD'!F38</f>
        <v>0</v>
      </c>
      <c r="H117" s="7">
        <f>'10_DECISIONS_UPLOAD'!G38</f>
        <v>0</v>
      </c>
      <c r="I117" s="7">
        <f>'10_DECISIONS_UPLOAD'!H38</f>
        <v>0</v>
      </c>
      <c r="J117" s="7">
        <f>'10_DECISIONS_UPLOAD'!I38</f>
        <v>0</v>
      </c>
      <c r="K117" s="7">
        <f>'10_DECISIONS_UPLOAD'!J38</f>
        <v>0</v>
      </c>
    </row>
    <row r="118" spans="2:11" ht="15" customHeight="1" x14ac:dyDescent="0.3">
      <c r="B118" t="s">
        <v>75</v>
      </c>
      <c r="C118" t="s">
        <v>164</v>
      </c>
      <c r="D118" s="6">
        <f t="shared" ref="D118:K118" si="50">D116*(1+0.2*D117)</f>
        <v>450</v>
      </c>
      <c r="E118" s="6">
        <f t="shared" si="50"/>
        <v>0</v>
      </c>
      <c r="F118" s="6">
        <f t="shared" si="50"/>
        <v>0</v>
      </c>
      <c r="G118" s="6">
        <f t="shared" si="50"/>
        <v>0</v>
      </c>
      <c r="H118" s="6">
        <f t="shared" si="50"/>
        <v>0</v>
      </c>
      <c r="I118" s="6">
        <f t="shared" si="50"/>
        <v>0</v>
      </c>
      <c r="J118" s="6">
        <f t="shared" si="50"/>
        <v>0</v>
      </c>
      <c r="K118" s="6">
        <f t="shared" si="50"/>
        <v>0</v>
      </c>
    </row>
    <row r="119" spans="2:11" ht="15" customHeight="1" x14ac:dyDescent="0.3">
      <c r="B119" t="s">
        <v>75</v>
      </c>
      <c r="C119" t="s">
        <v>150</v>
      </c>
      <c r="D119" s="8">
        <f>'04_FLOW_S1_S5'!D44</f>
        <v>1000</v>
      </c>
      <c r="E119" s="8">
        <f>'04_FLOW_S1_S5'!E44</f>
        <v>0</v>
      </c>
      <c r="F119" s="8">
        <f>'04_FLOW_S1_S5'!F44</f>
        <v>1000</v>
      </c>
      <c r="G119" s="8">
        <f>'04_FLOW_S1_S5'!G44</f>
        <v>0</v>
      </c>
      <c r="H119" s="8">
        <f>'04_FLOW_S1_S5'!H44</f>
        <v>1000</v>
      </c>
      <c r="I119" s="8">
        <f>'04_FLOW_S1_S5'!I44</f>
        <v>0</v>
      </c>
      <c r="J119" s="8">
        <f>'04_FLOW_S1_S5'!J44</f>
        <v>1000</v>
      </c>
      <c r="K119" s="8">
        <f>'04_FLOW_S1_S5'!K44</f>
        <v>0</v>
      </c>
    </row>
    <row r="120" spans="2:11" ht="15" customHeight="1" x14ac:dyDescent="0.3">
      <c r="B120" t="s">
        <v>75</v>
      </c>
      <c r="C120" t="s">
        <v>165</v>
      </c>
      <c r="D120" s="6">
        <f t="shared" ref="D120:K120" si="51">MIN(D118,D119)</f>
        <v>450</v>
      </c>
      <c r="E120" s="6">
        <f t="shared" si="51"/>
        <v>0</v>
      </c>
      <c r="F120" s="6">
        <f t="shared" si="51"/>
        <v>0</v>
      </c>
      <c r="G120" s="6">
        <f t="shared" si="51"/>
        <v>0</v>
      </c>
      <c r="H120" s="6">
        <f t="shared" si="51"/>
        <v>0</v>
      </c>
      <c r="I120" s="6">
        <f t="shared" si="51"/>
        <v>0</v>
      </c>
      <c r="J120" s="6">
        <f t="shared" si="51"/>
        <v>0</v>
      </c>
      <c r="K120" s="6">
        <f t="shared" si="51"/>
        <v>0</v>
      </c>
    </row>
    <row r="121" spans="2:11" ht="15" customHeight="1" x14ac:dyDescent="0.3">
      <c r="B121" t="s">
        <v>75</v>
      </c>
      <c r="C121" t="s">
        <v>166</v>
      </c>
      <c r="D121" s="6" t="str">
        <f t="shared" ref="D121:K121" si="52">IF(D119&gt;D118,"CAPACITY","OK")</f>
        <v>CAPACITY</v>
      </c>
      <c r="E121" s="6" t="str">
        <f t="shared" si="52"/>
        <v>OK</v>
      </c>
      <c r="F121" s="6" t="str">
        <f t="shared" si="52"/>
        <v>CAPACITY</v>
      </c>
      <c r="G121" s="6" t="str">
        <f t="shared" si="52"/>
        <v>OK</v>
      </c>
      <c r="H121" s="6" t="str">
        <f t="shared" si="52"/>
        <v>CAPACITY</v>
      </c>
      <c r="I121" s="6" t="str">
        <f t="shared" si="52"/>
        <v>OK</v>
      </c>
      <c r="J121" s="6" t="str">
        <f t="shared" si="52"/>
        <v>CAPACITY</v>
      </c>
      <c r="K121" s="6" t="str">
        <f t="shared" si="52"/>
        <v>OK</v>
      </c>
    </row>
    <row r="123" spans="2:11" ht="15" customHeight="1" x14ac:dyDescent="0.3">
      <c r="B123" t="s">
        <v>77</v>
      </c>
      <c r="C123" t="s">
        <v>156</v>
      </c>
      <c r="D123" s="7">
        <f>'01_INPUTS_MASTER'!I23</f>
        <v>3</v>
      </c>
      <c r="E123" s="7">
        <v>0</v>
      </c>
      <c r="F123" s="7">
        <v>0</v>
      </c>
      <c r="G123" s="7">
        <v>0</v>
      </c>
      <c r="H123" s="7">
        <v>0</v>
      </c>
      <c r="I123" s="7">
        <v>0</v>
      </c>
      <c r="J123" s="7">
        <v>0</v>
      </c>
      <c r="K123" s="7">
        <v>0</v>
      </c>
    </row>
    <row r="124" spans="2:11" ht="15" customHeight="1" x14ac:dyDescent="0.3">
      <c r="B124" t="s">
        <v>77</v>
      </c>
      <c r="C124" t="s">
        <v>157</v>
      </c>
      <c r="D124" s="8">
        <f>'01_INPUTS_MASTER'!B23</f>
        <v>130</v>
      </c>
      <c r="E124" s="8">
        <v>0</v>
      </c>
      <c r="F124" s="8">
        <v>0</v>
      </c>
      <c r="G124" s="8">
        <v>0</v>
      </c>
      <c r="H124" s="8">
        <v>0</v>
      </c>
      <c r="I124" s="8">
        <v>0</v>
      </c>
      <c r="J124" s="8">
        <v>0</v>
      </c>
      <c r="K124" s="8">
        <v>0</v>
      </c>
    </row>
    <row r="125" spans="2:11" ht="15" customHeight="1" x14ac:dyDescent="0.3">
      <c r="B125" t="s">
        <v>77</v>
      </c>
      <c r="C125" t="s">
        <v>158</v>
      </c>
      <c r="D125" s="6">
        <f t="shared" ref="D125:K125" si="53">D123*D124</f>
        <v>390</v>
      </c>
      <c r="E125" s="6">
        <f t="shared" si="53"/>
        <v>0</v>
      </c>
      <c r="F125" s="6">
        <f t="shared" si="53"/>
        <v>0</v>
      </c>
      <c r="G125" s="6">
        <f t="shared" si="53"/>
        <v>0</v>
      </c>
      <c r="H125" s="6">
        <f t="shared" si="53"/>
        <v>0</v>
      </c>
      <c r="I125" s="6">
        <f t="shared" si="53"/>
        <v>0</v>
      </c>
      <c r="J125" s="6">
        <f t="shared" si="53"/>
        <v>0</v>
      </c>
      <c r="K125" s="6">
        <f t="shared" si="53"/>
        <v>0</v>
      </c>
    </row>
    <row r="126" spans="2:11" ht="15" customHeight="1" x14ac:dyDescent="0.3">
      <c r="B126" t="s">
        <v>77</v>
      </c>
      <c r="C126" t="s">
        <v>159</v>
      </c>
      <c r="D126" s="7">
        <f>'10_DECISIONS_UPLOAD'!C26</f>
        <v>21</v>
      </c>
      <c r="E126" s="7">
        <v>0</v>
      </c>
      <c r="F126" s="7">
        <v>0</v>
      </c>
      <c r="G126" s="7">
        <v>0</v>
      </c>
      <c r="H126" s="7">
        <v>0</v>
      </c>
      <c r="I126" s="7">
        <v>0</v>
      </c>
      <c r="J126" s="7">
        <v>0</v>
      </c>
      <c r="K126" s="7">
        <v>0</v>
      </c>
    </row>
    <row r="127" spans="2:11" ht="15" customHeight="1" x14ac:dyDescent="0.3">
      <c r="B127" t="s">
        <v>77</v>
      </c>
      <c r="C127" t="s">
        <v>160</v>
      </c>
      <c r="D127" s="8">
        <f>'01_INPUTS_MASTER'!G24</f>
        <v>3</v>
      </c>
      <c r="E127" s="8">
        <v>0</v>
      </c>
      <c r="F127" s="8">
        <v>0</v>
      </c>
      <c r="G127" s="8">
        <v>0</v>
      </c>
      <c r="H127" s="8">
        <v>0</v>
      </c>
      <c r="I127" s="8">
        <v>0</v>
      </c>
      <c r="J127" s="8">
        <v>0</v>
      </c>
      <c r="K127" s="8">
        <v>0</v>
      </c>
    </row>
    <row r="128" spans="2:11" ht="15" customHeight="1" x14ac:dyDescent="0.3">
      <c r="B128" t="s">
        <v>77</v>
      </c>
      <c r="C128" t="s">
        <v>161</v>
      </c>
      <c r="D128" s="6">
        <f>IF(D127&gt;0,D126/D127*'01_INPUTS_MASTER'!B24,0)</f>
        <v>350</v>
      </c>
      <c r="E128" s="6">
        <f>IF(E127&gt;0,E126/E127*'01_INPUTS_MASTER'!B24,0)</f>
        <v>0</v>
      </c>
      <c r="F128" s="6">
        <f>IF(F127&gt;0,F126/F127*'01_INPUTS_MASTER'!B24,0)</f>
        <v>0</v>
      </c>
      <c r="G128" s="6">
        <f>IF(G127&gt;0,G126/G127*'01_INPUTS_MASTER'!B24,0)</f>
        <v>0</v>
      </c>
      <c r="H128" s="6">
        <f>IF(H127&gt;0,H126/H127*'01_INPUTS_MASTER'!B24,0)</f>
        <v>0</v>
      </c>
      <c r="I128" s="6">
        <f>IF(I127&gt;0,I126/I127*'01_INPUTS_MASTER'!B24,0)</f>
        <v>0</v>
      </c>
      <c r="J128" s="6">
        <f>IF(J127&gt;0,J126/J127*'01_INPUTS_MASTER'!B24,0)</f>
        <v>0</v>
      </c>
      <c r="K128" s="6">
        <f>IF(K127&gt;0,K126/K127*'01_INPUTS_MASTER'!B24,0)</f>
        <v>0</v>
      </c>
    </row>
    <row r="129" spans="2:11" ht="15" customHeight="1" x14ac:dyDescent="0.3">
      <c r="B129" t="s">
        <v>77</v>
      </c>
      <c r="C129" t="s">
        <v>162</v>
      </c>
      <c r="D129" s="6">
        <f t="shared" ref="D129:K129" si="54">MIN(D125,D128)</f>
        <v>350</v>
      </c>
      <c r="E129" s="6">
        <f t="shared" si="54"/>
        <v>0</v>
      </c>
      <c r="F129" s="6">
        <f t="shared" si="54"/>
        <v>0</v>
      </c>
      <c r="G129" s="6">
        <f t="shared" si="54"/>
        <v>0</v>
      </c>
      <c r="H129" s="6">
        <f t="shared" si="54"/>
        <v>0</v>
      </c>
      <c r="I129" s="6">
        <f t="shared" si="54"/>
        <v>0</v>
      </c>
      <c r="J129" s="6">
        <f t="shared" si="54"/>
        <v>0</v>
      </c>
      <c r="K129" s="6">
        <f t="shared" si="54"/>
        <v>0</v>
      </c>
    </row>
    <row r="130" spans="2:11" ht="15" customHeight="1" x14ac:dyDescent="0.3">
      <c r="B130" t="s">
        <v>77</v>
      </c>
      <c r="C130" t="s">
        <v>163</v>
      </c>
      <c r="D130" s="7">
        <f>'10_DECISIONS_UPLOAD'!C39</f>
        <v>0</v>
      </c>
      <c r="E130" s="7">
        <f>'10_DECISIONS_UPLOAD'!D39</f>
        <v>0</v>
      </c>
      <c r="F130" s="7">
        <f>'10_DECISIONS_UPLOAD'!E39</f>
        <v>0</v>
      </c>
      <c r="G130" s="7">
        <f>'10_DECISIONS_UPLOAD'!F39</f>
        <v>0</v>
      </c>
      <c r="H130" s="7">
        <f>'10_DECISIONS_UPLOAD'!G39</f>
        <v>0</v>
      </c>
      <c r="I130" s="7">
        <f>'10_DECISIONS_UPLOAD'!H39</f>
        <v>0</v>
      </c>
      <c r="J130" s="7">
        <f>'10_DECISIONS_UPLOAD'!I39</f>
        <v>0</v>
      </c>
      <c r="K130" s="7">
        <f>'10_DECISIONS_UPLOAD'!J39</f>
        <v>0</v>
      </c>
    </row>
    <row r="131" spans="2:11" ht="15" customHeight="1" x14ac:dyDescent="0.3">
      <c r="B131" t="s">
        <v>77</v>
      </c>
      <c r="C131" t="s">
        <v>164</v>
      </c>
      <c r="D131" s="6">
        <f t="shared" ref="D131:K131" si="55">D129*(1+0.2*D130)</f>
        <v>350</v>
      </c>
      <c r="E131" s="6">
        <f t="shared" si="55"/>
        <v>0</v>
      </c>
      <c r="F131" s="6">
        <f t="shared" si="55"/>
        <v>0</v>
      </c>
      <c r="G131" s="6">
        <f t="shared" si="55"/>
        <v>0</v>
      </c>
      <c r="H131" s="6">
        <f t="shared" si="55"/>
        <v>0</v>
      </c>
      <c r="I131" s="6">
        <f t="shared" si="55"/>
        <v>0</v>
      </c>
      <c r="J131" s="6">
        <f t="shared" si="55"/>
        <v>0</v>
      </c>
      <c r="K131" s="6">
        <f t="shared" si="55"/>
        <v>0</v>
      </c>
    </row>
    <row r="132" spans="2:11" ht="15" customHeight="1" x14ac:dyDescent="0.3">
      <c r="B132" t="s">
        <v>77</v>
      </c>
      <c r="C132" t="s">
        <v>150</v>
      </c>
      <c r="D132" s="8">
        <f>'04_FLOW_S1_S5'!D38</f>
        <v>0</v>
      </c>
      <c r="E132" s="8">
        <f>'04_FLOW_S1_S5'!E38</f>
        <v>1000</v>
      </c>
      <c r="F132" s="8">
        <f>'04_FLOW_S1_S5'!F38</f>
        <v>0</v>
      </c>
      <c r="G132" s="8">
        <f>'04_FLOW_S1_S5'!G38</f>
        <v>1000</v>
      </c>
      <c r="H132" s="8">
        <f>'04_FLOW_S1_S5'!H38</f>
        <v>0</v>
      </c>
      <c r="I132" s="8">
        <f>'04_FLOW_S1_S5'!I38</f>
        <v>1000</v>
      </c>
      <c r="J132" s="8">
        <f>'04_FLOW_S1_S5'!J38</f>
        <v>0</v>
      </c>
      <c r="K132" s="8">
        <f>'04_FLOW_S1_S5'!K38</f>
        <v>1000</v>
      </c>
    </row>
    <row r="133" spans="2:11" ht="15" customHeight="1" x14ac:dyDescent="0.3">
      <c r="B133" t="s">
        <v>77</v>
      </c>
      <c r="C133" t="s">
        <v>165</v>
      </c>
      <c r="D133" s="6">
        <f t="shared" ref="D133:K133" si="56">MIN(D131,D132)</f>
        <v>0</v>
      </c>
      <c r="E133" s="6">
        <f t="shared" si="56"/>
        <v>0</v>
      </c>
      <c r="F133" s="6">
        <f t="shared" si="56"/>
        <v>0</v>
      </c>
      <c r="G133" s="6">
        <f t="shared" si="56"/>
        <v>0</v>
      </c>
      <c r="H133" s="6">
        <f t="shared" si="56"/>
        <v>0</v>
      </c>
      <c r="I133" s="6">
        <f t="shared" si="56"/>
        <v>0</v>
      </c>
      <c r="J133" s="6">
        <f t="shared" si="56"/>
        <v>0</v>
      </c>
      <c r="K133" s="6">
        <f t="shared" si="56"/>
        <v>0</v>
      </c>
    </row>
    <row r="134" spans="2:11" ht="15" customHeight="1" x14ac:dyDescent="0.3">
      <c r="B134" t="s">
        <v>77</v>
      </c>
      <c r="C134" t="s">
        <v>166</v>
      </c>
      <c r="D134" s="6" t="str">
        <f t="shared" ref="D134:K134" si="57">IF(D132&gt;D131,"CAPACITY","OK")</f>
        <v>OK</v>
      </c>
      <c r="E134" s="6" t="str">
        <f t="shared" si="57"/>
        <v>CAPACITY</v>
      </c>
      <c r="F134" s="6" t="str">
        <f t="shared" si="57"/>
        <v>OK</v>
      </c>
      <c r="G134" s="6" t="str">
        <f t="shared" si="57"/>
        <v>CAPACITY</v>
      </c>
      <c r="H134" s="6" t="str">
        <f t="shared" si="57"/>
        <v>OK</v>
      </c>
      <c r="I134" s="6" t="str">
        <f t="shared" si="57"/>
        <v>CAPACITY</v>
      </c>
      <c r="J134" s="6" t="str">
        <f t="shared" si="57"/>
        <v>OK</v>
      </c>
      <c r="K134" s="6" t="str">
        <f t="shared" si="57"/>
        <v>CAPACITY</v>
      </c>
    </row>
  </sheetData>
  <mergeCells count="3">
    <mergeCell ref="A1:L1"/>
    <mergeCell ref="A4:K4"/>
    <mergeCell ref="A70:K70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224"/>
  <sheetViews>
    <sheetView zoomScaleNormal="100" workbookViewId="0"/>
  </sheetViews>
  <sheetFormatPr baseColWidth="10" defaultColWidth="8.6640625" defaultRowHeight="14.4" x14ac:dyDescent="0.3"/>
  <cols>
    <col min="1" max="1" width="12" customWidth="1"/>
    <col min="2" max="2" width="22" customWidth="1"/>
    <col min="3" max="12" width="12" customWidth="1"/>
  </cols>
  <sheetData>
    <row r="1" spans="1:12" ht="17.25" customHeight="1" x14ac:dyDescent="0.3">
      <c r="A1" s="10" t="s">
        <v>167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</row>
    <row r="2" spans="1:12" x14ac:dyDescent="0.3">
      <c r="A2" t="s">
        <v>261</v>
      </c>
    </row>
    <row r="3" spans="1:12" ht="15" customHeight="1" x14ac:dyDescent="0.3">
      <c r="A3" s="2" t="s">
        <v>168</v>
      </c>
      <c r="B3" s="2" t="s">
        <v>128</v>
      </c>
      <c r="C3" s="2" t="s">
        <v>169</v>
      </c>
      <c r="D3" s="2" t="s">
        <v>67</v>
      </c>
      <c r="E3" s="2" t="s">
        <v>69</v>
      </c>
      <c r="F3" s="2" t="s">
        <v>71</v>
      </c>
      <c r="G3" s="2" t="s">
        <v>75</v>
      </c>
      <c r="H3" s="2" t="s">
        <v>77</v>
      </c>
      <c r="I3" s="2" t="s">
        <v>129</v>
      </c>
      <c r="J3" s="2" t="s">
        <v>130</v>
      </c>
      <c r="K3" s="2" t="s">
        <v>131</v>
      </c>
      <c r="L3" s="2" t="s">
        <v>132</v>
      </c>
    </row>
    <row r="4" spans="1:12" ht="15" customHeight="1" x14ac:dyDescent="0.3">
      <c r="A4" s="12" t="s">
        <v>110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</row>
    <row r="5" spans="1:12" ht="15" customHeight="1" x14ac:dyDescent="0.3">
      <c r="B5" t="s">
        <v>91</v>
      </c>
      <c r="C5">
        <f>'01_INPUTS_MASTER'!B49</f>
        <v>30</v>
      </c>
      <c r="D5" s="8">
        <f>'01_INPUTS_MASTER'!B49</f>
        <v>30</v>
      </c>
      <c r="E5" s="8">
        <f>'01_INPUTS_MASTER'!B49</f>
        <v>30</v>
      </c>
      <c r="F5" s="8">
        <f>'01_INPUTS_MASTER'!B49</f>
        <v>30</v>
      </c>
      <c r="G5" s="8">
        <f>'01_INPUTS_MASTER'!B49</f>
        <v>30</v>
      </c>
      <c r="H5" s="8">
        <f>'01_INPUTS_MASTER'!B49</f>
        <v>30</v>
      </c>
      <c r="I5" s="8">
        <f>'01_INPUTS_MASTER'!B49</f>
        <v>30</v>
      </c>
      <c r="J5" s="8">
        <f>'01_INPUTS_MASTER'!B49</f>
        <v>30</v>
      </c>
      <c r="K5" s="8">
        <f>'01_INPUTS_MASTER'!B49</f>
        <v>30</v>
      </c>
    </row>
    <row r="6" spans="1:12" ht="15" customHeight="1" x14ac:dyDescent="0.3">
      <c r="B6" t="s">
        <v>109</v>
      </c>
      <c r="C6">
        <f>'01_INPUTS_MASTER'!H49</f>
        <v>1</v>
      </c>
      <c r="D6" s="8">
        <f>'01_INPUTS_MASTER'!H49</f>
        <v>1</v>
      </c>
      <c r="E6" s="8">
        <f>'01_INPUTS_MASTER'!H49</f>
        <v>1</v>
      </c>
      <c r="F6" s="8">
        <f>'01_INPUTS_MASTER'!H49</f>
        <v>1</v>
      </c>
      <c r="G6" s="8">
        <f>'01_INPUTS_MASTER'!H49</f>
        <v>1</v>
      </c>
      <c r="H6" s="8">
        <f>'01_INPUTS_MASTER'!H49</f>
        <v>1</v>
      </c>
      <c r="I6" s="8">
        <f>'01_INPUTS_MASTER'!H49</f>
        <v>1</v>
      </c>
      <c r="J6" s="8">
        <f>'01_INPUTS_MASTER'!H49</f>
        <v>1</v>
      </c>
      <c r="K6" s="8">
        <f>'01_INPUTS_MASTER'!H49</f>
        <v>1</v>
      </c>
    </row>
    <row r="7" spans="1:12" ht="15" customHeight="1" x14ac:dyDescent="0.3">
      <c r="B7" t="s">
        <v>170</v>
      </c>
      <c r="C7">
        <f>0</f>
        <v>0</v>
      </c>
      <c r="D7" s="8">
        <f>'04_FLOW_S1_S5'!D7</f>
        <v>0</v>
      </c>
      <c r="E7" s="8">
        <f>'04_FLOW_S1_S5'!E7</f>
        <v>1000</v>
      </c>
      <c r="F7" s="8">
        <f>'04_FLOW_S1_S5'!F7</f>
        <v>0</v>
      </c>
      <c r="G7" s="8">
        <f>'04_FLOW_S1_S5'!G7</f>
        <v>1000</v>
      </c>
      <c r="H7" s="8">
        <f>'04_FLOW_S1_S5'!H7</f>
        <v>0</v>
      </c>
      <c r="I7" s="8">
        <f>'04_FLOW_S1_S5'!I7</f>
        <v>1000</v>
      </c>
      <c r="J7" s="8">
        <f>'04_FLOW_S1_S5'!J7</f>
        <v>0</v>
      </c>
      <c r="K7" s="8">
        <f>'04_FLOW_S1_S5'!K7</f>
        <v>1000</v>
      </c>
    </row>
    <row r="8" spans="1:12" ht="15" customHeight="1" x14ac:dyDescent="0.3">
      <c r="B8" t="s">
        <v>171</v>
      </c>
      <c r="C8">
        <f>0</f>
        <v>0</v>
      </c>
      <c r="D8" s="6">
        <f t="shared" ref="D8:K8" si="0">D7*D6</f>
        <v>0</v>
      </c>
      <c r="E8" s="6">
        <f t="shared" si="0"/>
        <v>1000</v>
      </c>
      <c r="F8" s="6">
        <f t="shared" si="0"/>
        <v>0</v>
      </c>
      <c r="G8" s="6">
        <f t="shared" si="0"/>
        <v>1000</v>
      </c>
      <c r="H8" s="6">
        <f t="shared" si="0"/>
        <v>0</v>
      </c>
      <c r="I8" s="6">
        <f t="shared" si="0"/>
        <v>1000</v>
      </c>
      <c r="J8" s="6">
        <f t="shared" si="0"/>
        <v>0</v>
      </c>
      <c r="K8" s="6">
        <f t="shared" si="0"/>
        <v>1000</v>
      </c>
      <c r="L8" s="6">
        <f>SUM(D8:K8)</f>
        <v>4000</v>
      </c>
    </row>
    <row r="9" spans="1:12" ht="15" customHeight="1" x14ac:dyDescent="0.3">
      <c r="B9" t="s">
        <v>151</v>
      </c>
      <c r="C9">
        <f>'01_INPUTS_MASTER'!M49</f>
        <v>0</v>
      </c>
      <c r="D9" s="7">
        <f>C9</f>
        <v>0</v>
      </c>
      <c r="E9" s="8">
        <f t="shared" ref="E9:K9" si="1">D13</f>
        <v>0</v>
      </c>
      <c r="F9" s="8">
        <f t="shared" si="1"/>
        <v>20</v>
      </c>
      <c r="G9" s="8">
        <f t="shared" si="1"/>
        <v>20</v>
      </c>
      <c r="H9" s="8">
        <f t="shared" si="1"/>
        <v>10</v>
      </c>
      <c r="I9" s="8">
        <f t="shared" si="1"/>
        <v>10</v>
      </c>
      <c r="J9" s="8">
        <f t="shared" si="1"/>
        <v>0</v>
      </c>
      <c r="K9" s="8">
        <f t="shared" si="1"/>
        <v>0</v>
      </c>
    </row>
    <row r="10" spans="1:12" ht="15" customHeight="1" x14ac:dyDescent="0.3">
      <c r="B10" t="s">
        <v>172</v>
      </c>
      <c r="C10">
        <f>0</f>
        <v>0</v>
      </c>
      <c r="D10" s="6">
        <f t="shared" ref="D10:K10" si="2">MAX(0,D8-D9)</f>
        <v>0</v>
      </c>
      <c r="E10" s="6">
        <f t="shared" si="2"/>
        <v>1000</v>
      </c>
      <c r="F10" s="6">
        <f t="shared" si="2"/>
        <v>0</v>
      </c>
      <c r="G10" s="6">
        <f t="shared" si="2"/>
        <v>980</v>
      </c>
      <c r="H10" s="6">
        <f t="shared" si="2"/>
        <v>0</v>
      </c>
      <c r="I10" s="6">
        <f t="shared" si="2"/>
        <v>990</v>
      </c>
      <c r="J10" s="6">
        <f t="shared" si="2"/>
        <v>0</v>
      </c>
      <c r="K10" s="6">
        <f t="shared" si="2"/>
        <v>1000</v>
      </c>
    </row>
    <row r="11" spans="1:12" ht="15" customHeight="1" x14ac:dyDescent="0.3">
      <c r="B11" t="s">
        <v>173</v>
      </c>
      <c r="C11">
        <f>0</f>
        <v>0</v>
      </c>
      <c r="D11" s="6">
        <f t="shared" ref="D11:K11" si="3">IF(D5&gt;0,CEILING(D10/D5,1),0)</f>
        <v>0</v>
      </c>
      <c r="E11" s="6">
        <f t="shared" si="3"/>
        <v>34</v>
      </c>
      <c r="F11" s="6">
        <f t="shared" si="3"/>
        <v>0</v>
      </c>
      <c r="G11" s="6">
        <f t="shared" si="3"/>
        <v>33</v>
      </c>
      <c r="H11" s="6">
        <f t="shared" si="3"/>
        <v>0</v>
      </c>
      <c r="I11" s="6">
        <f t="shared" si="3"/>
        <v>33</v>
      </c>
      <c r="J11" s="6">
        <f t="shared" si="3"/>
        <v>0</v>
      </c>
      <c r="K11" s="6">
        <f t="shared" si="3"/>
        <v>34</v>
      </c>
    </row>
    <row r="12" spans="1:12" ht="15" customHeight="1" x14ac:dyDescent="0.3">
      <c r="B12" t="s">
        <v>174</v>
      </c>
      <c r="C12">
        <f>0</f>
        <v>0</v>
      </c>
      <c r="D12" s="6">
        <f t="shared" ref="D12:K12" si="4">D11*D5</f>
        <v>0</v>
      </c>
      <c r="E12" s="6">
        <f t="shared" si="4"/>
        <v>1020</v>
      </c>
      <c r="F12" s="6">
        <f t="shared" si="4"/>
        <v>0</v>
      </c>
      <c r="G12" s="6">
        <f t="shared" si="4"/>
        <v>990</v>
      </c>
      <c r="H12" s="6">
        <f t="shared" si="4"/>
        <v>0</v>
      </c>
      <c r="I12" s="6">
        <f t="shared" si="4"/>
        <v>990</v>
      </c>
      <c r="J12" s="6">
        <f t="shared" si="4"/>
        <v>0</v>
      </c>
      <c r="K12" s="6">
        <f t="shared" si="4"/>
        <v>1020</v>
      </c>
      <c r="L12" s="6">
        <f>SUM(D12:K12)</f>
        <v>4020</v>
      </c>
    </row>
    <row r="13" spans="1:12" ht="15" customHeight="1" x14ac:dyDescent="0.3">
      <c r="B13" t="s">
        <v>154</v>
      </c>
      <c r="C13">
        <f>C9</f>
        <v>0</v>
      </c>
      <c r="D13" s="6">
        <f>D9+D12*(IF('01_INPUTS_MASTER'!M54="B",1-'01_INPUTS_MASTER'!Q54,1))-D8</f>
        <v>0</v>
      </c>
      <c r="E13" s="6">
        <f>E9+E12*(IF('01_INPUTS_MASTER'!M54="B",1-'01_INPUTS_MASTER'!Q54,1))-E8</f>
        <v>20</v>
      </c>
      <c r="F13" s="6">
        <f>F9+F12*(IF('01_INPUTS_MASTER'!M54="B",1-'01_INPUTS_MASTER'!Q54,1))-F8</f>
        <v>20</v>
      </c>
      <c r="G13" s="6">
        <f>G9+G12*(IF('01_INPUTS_MASTER'!M54="B",1-'01_INPUTS_MASTER'!Q54,1))-G8</f>
        <v>10</v>
      </c>
      <c r="H13" s="6">
        <f>H9+H12*(IF('01_INPUTS_MASTER'!M54="B",1-'01_INPUTS_MASTER'!Q54,1))-H8</f>
        <v>10</v>
      </c>
      <c r="I13" s="6">
        <f>I9+I12*(IF('01_INPUTS_MASTER'!M54="B",1-'01_INPUTS_MASTER'!Q54,1))-I8</f>
        <v>0</v>
      </c>
      <c r="J13" s="6">
        <f>J9+J12*(IF('01_INPUTS_MASTER'!M54="B",1-'01_INPUTS_MASTER'!Q54,1))-J8</f>
        <v>0</v>
      </c>
      <c r="K13" s="6">
        <f>K9+K12*(IF('01_INPUTS_MASTER'!M54="B",1-'01_INPUTS_MASTER'!Q54,1))-K8</f>
        <v>20</v>
      </c>
    </row>
    <row r="14" spans="1:12" ht="15" customHeight="1" x14ac:dyDescent="0.3">
      <c r="B14" t="s">
        <v>107</v>
      </c>
      <c r="C14">
        <f>0</f>
        <v>0</v>
      </c>
      <c r="D14" s="6">
        <f>IF(D12&gt;0,'01_INPUTS_MASTER'!F49,0)</f>
        <v>0</v>
      </c>
      <c r="E14" s="6">
        <f>IF(E12&gt;0,'01_INPUTS_MASTER'!F49,0)</f>
        <v>2300</v>
      </c>
      <c r="F14" s="6">
        <f>IF(F12&gt;0,'01_INPUTS_MASTER'!F49,0)</f>
        <v>0</v>
      </c>
      <c r="G14" s="6">
        <f>IF(G12&gt;0,'01_INPUTS_MASTER'!F49,0)</f>
        <v>2300</v>
      </c>
      <c r="H14" s="6">
        <f>IF(H12&gt;0,'01_INPUTS_MASTER'!F49,0)</f>
        <v>0</v>
      </c>
      <c r="I14" s="6">
        <f>IF(I12&gt;0,'01_INPUTS_MASTER'!F49,0)</f>
        <v>2300</v>
      </c>
      <c r="J14" s="6">
        <f>IF(J12&gt;0,'01_INPUTS_MASTER'!F49,0)</f>
        <v>0</v>
      </c>
      <c r="K14" s="6">
        <f>IF(K12&gt;0,'01_INPUTS_MASTER'!F49,0)</f>
        <v>2300</v>
      </c>
      <c r="L14" s="6">
        <f>SUM(D14:K14)</f>
        <v>9200</v>
      </c>
    </row>
    <row r="15" spans="1:12" ht="15" customHeight="1" x14ac:dyDescent="0.3">
      <c r="B15" t="s">
        <v>175</v>
      </c>
      <c r="C15">
        <f>0</f>
        <v>0</v>
      </c>
      <c r="D15" s="6">
        <f>D13*'01_INPUTS_MASTER'!G49</f>
        <v>0</v>
      </c>
      <c r="E15" s="6">
        <f>E13*'01_INPUTS_MASTER'!G49</f>
        <v>6</v>
      </c>
      <c r="F15" s="6">
        <f>F13*'01_INPUTS_MASTER'!G49</f>
        <v>6</v>
      </c>
      <c r="G15" s="6">
        <f>G13*'01_INPUTS_MASTER'!G49</f>
        <v>3</v>
      </c>
      <c r="H15" s="6">
        <f>H13*'01_INPUTS_MASTER'!G49</f>
        <v>3</v>
      </c>
      <c r="I15" s="6">
        <f>I13*'01_INPUTS_MASTER'!G49</f>
        <v>0</v>
      </c>
      <c r="J15" s="6">
        <f>J13*'01_INPUTS_MASTER'!G49</f>
        <v>0</v>
      </c>
      <c r="K15" s="6">
        <f>K13*'01_INPUTS_MASTER'!G49</f>
        <v>6</v>
      </c>
      <c r="L15" s="6">
        <f>SUM(D15:K15)</f>
        <v>24</v>
      </c>
    </row>
    <row r="17" spans="1:12" ht="15" customHeight="1" x14ac:dyDescent="0.3">
      <c r="A17" s="12" t="s">
        <v>111</v>
      </c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</row>
    <row r="18" spans="1:12" ht="15" customHeight="1" x14ac:dyDescent="0.3">
      <c r="B18" t="s">
        <v>91</v>
      </c>
      <c r="C18">
        <f>'01_INPUTS_MASTER'!B50</f>
        <v>12</v>
      </c>
      <c r="D18" s="8">
        <f>'01_INPUTS_MASTER'!B50</f>
        <v>12</v>
      </c>
      <c r="E18" s="8">
        <f>'01_INPUTS_MASTER'!B50</f>
        <v>12</v>
      </c>
      <c r="F18" s="8">
        <f>'01_INPUTS_MASTER'!B50</f>
        <v>12</v>
      </c>
      <c r="G18" s="8">
        <f>'01_INPUTS_MASTER'!B50</f>
        <v>12</v>
      </c>
      <c r="H18" s="8">
        <f>'01_INPUTS_MASTER'!B50</f>
        <v>12</v>
      </c>
      <c r="I18" s="8">
        <f>'01_INPUTS_MASTER'!B50</f>
        <v>12</v>
      </c>
      <c r="J18" s="8">
        <f>'01_INPUTS_MASTER'!B50</f>
        <v>12</v>
      </c>
      <c r="K18" s="8">
        <f>'01_INPUTS_MASTER'!B50</f>
        <v>12</v>
      </c>
    </row>
    <row r="19" spans="1:12" ht="15" customHeight="1" x14ac:dyDescent="0.3">
      <c r="B19" t="s">
        <v>109</v>
      </c>
      <c r="C19">
        <f>'01_INPUTS_MASTER'!H50</f>
        <v>0.2</v>
      </c>
      <c r="D19" s="8">
        <f>'01_INPUTS_MASTER'!H50</f>
        <v>0.2</v>
      </c>
      <c r="E19" s="8">
        <f>'01_INPUTS_MASTER'!H50</f>
        <v>0.2</v>
      </c>
      <c r="F19" s="8">
        <f>'01_INPUTS_MASTER'!H50</f>
        <v>0.2</v>
      </c>
      <c r="G19" s="8">
        <f>'01_INPUTS_MASTER'!H50</f>
        <v>0.2</v>
      </c>
      <c r="H19" s="8">
        <f>'01_INPUTS_MASTER'!H50</f>
        <v>0.2</v>
      </c>
      <c r="I19" s="8">
        <f>'01_INPUTS_MASTER'!H50</f>
        <v>0.2</v>
      </c>
      <c r="J19" s="8">
        <f>'01_INPUTS_MASTER'!H50</f>
        <v>0.2</v>
      </c>
      <c r="K19" s="8">
        <f>'01_INPUTS_MASTER'!H50</f>
        <v>0.2</v>
      </c>
    </row>
    <row r="20" spans="1:12" ht="15" customHeight="1" x14ac:dyDescent="0.3">
      <c r="B20" t="s">
        <v>170</v>
      </c>
      <c r="C20">
        <f>0</f>
        <v>0</v>
      </c>
      <c r="D20" s="8">
        <f>'04_FLOW_S1_S5'!D7</f>
        <v>0</v>
      </c>
      <c r="E20" s="8">
        <f>'04_FLOW_S1_S5'!E7</f>
        <v>1000</v>
      </c>
      <c r="F20" s="8">
        <f>'04_FLOW_S1_S5'!F7</f>
        <v>0</v>
      </c>
      <c r="G20" s="8">
        <f>'04_FLOW_S1_S5'!G7</f>
        <v>1000</v>
      </c>
      <c r="H20" s="8">
        <f>'04_FLOW_S1_S5'!H7</f>
        <v>0</v>
      </c>
      <c r="I20" s="8">
        <f>'04_FLOW_S1_S5'!I7</f>
        <v>1000</v>
      </c>
      <c r="J20" s="8">
        <f>'04_FLOW_S1_S5'!J7</f>
        <v>0</v>
      </c>
      <c r="K20" s="8">
        <f>'04_FLOW_S1_S5'!K7</f>
        <v>1000</v>
      </c>
    </row>
    <row r="21" spans="1:12" ht="15" customHeight="1" x14ac:dyDescent="0.3">
      <c r="B21" t="s">
        <v>171</v>
      </c>
      <c r="C21">
        <f>0</f>
        <v>0</v>
      </c>
      <c r="D21" s="6">
        <f t="shared" ref="D21:K21" si="5">D20*D19</f>
        <v>0</v>
      </c>
      <c r="E21" s="6">
        <f t="shared" si="5"/>
        <v>200</v>
      </c>
      <c r="F21" s="6">
        <f t="shared" si="5"/>
        <v>0</v>
      </c>
      <c r="G21" s="6">
        <f t="shared" si="5"/>
        <v>200</v>
      </c>
      <c r="H21" s="6">
        <f t="shared" si="5"/>
        <v>0</v>
      </c>
      <c r="I21" s="6">
        <f t="shared" si="5"/>
        <v>200</v>
      </c>
      <c r="J21" s="6">
        <f t="shared" si="5"/>
        <v>0</v>
      </c>
      <c r="K21" s="6">
        <f t="shared" si="5"/>
        <v>200</v>
      </c>
      <c r="L21" s="6">
        <f>SUM(D21:K21)</f>
        <v>800</v>
      </c>
    </row>
    <row r="22" spans="1:12" ht="15" customHeight="1" x14ac:dyDescent="0.3">
      <c r="B22" t="s">
        <v>151</v>
      </c>
      <c r="C22">
        <f>'01_INPUTS_MASTER'!M50</f>
        <v>0</v>
      </c>
      <c r="D22" s="7">
        <f>C22</f>
        <v>0</v>
      </c>
      <c r="E22" s="8">
        <f t="shared" ref="E22:K22" si="6">D26</f>
        <v>0</v>
      </c>
      <c r="F22" s="8">
        <f t="shared" si="6"/>
        <v>4</v>
      </c>
      <c r="G22" s="8">
        <f t="shared" si="6"/>
        <v>4</v>
      </c>
      <c r="H22" s="8">
        <f t="shared" si="6"/>
        <v>8</v>
      </c>
      <c r="I22" s="8">
        <f t="shared" si="6"/>
        <v>8</v>
      </c>
      <c r="J22" s="8">
        <f t="shared" si="6"/>
        <v>0</v>
      </c>
      <c r="K22" s="8">
        <f t="shared" si="6"/>
        <v>0</v>
      </c>
    </row>
    <row r="23" spans="1:12" ht="15" customHeight="1" x14ac:dyDescent="0.3">
      <c r="B23" t="s">
        <v>172</v>
      </c>
      <c r="C23">
        <f>0</f>
        <v>0</v>
      </c>
      <c r="D23" s="6">
        <f t="shared" ref="D23:K23" si="7">MAX(0,D21-D22)</f>
        <v>0</v>
      </c>
      <c r="E23" s="6">
        <f t="shared" si="7"/>
        <v>200</v>
      </c>
      <c r="F23" s="6">
        <f t="shared" si="7"/>
        <v>0</v>
      </c>
      <c r="G23" s="6">
        <f t="shared" si="7"/>
        <v>196</v>
      </c>
      <c r="H23" s="6">
        <f t="shared" si="7"/>
        <v>0</v>
      </c>
      <c r="I23" s="6">
        <f t="shared" si="7"/>
        <v>192</v>
      </c>
      <c r="J23" s="6">
        <f t="shared" si="7"/>
        <v>0</v>
      </c>
      <c r="K23" s="6">
        <f t="shared" si="7"/>
        <v>200</v>
      </c>
    </row>
    <row r="24" spans="1:12" ht="15" customHeight="1" x14ac:dyDescent="0.3">
      <c r="B24" t="s">
        <v>173</v>
      </c>
      <c r="C24">
        <f>0</f>
        <v>0</v>
      </c>
      <c r="D24" s="6">
        <f t="shared" ref="D24:K24" si="8">IF(D18&gt;0,CEILING(D23/D18,1),0)</f>
        <v>0</v>
      </c>
      <c r="E24" s="6">
        <f t="shared" si="8"/>
        <v>17</v>
      </c>
      <c r="F24" s="6">
        <f t="shared" si="8"/>
        <v>0</v>
      </c>
      <c r="G24" s="6">
        <f t="shared" si="8"/>
        <v>17</v>
      </c>
      <c r="H24" s="6">
        <f t="shared" si="8"/>
        <v>0</v>
      </c>
      <c r="I24" s="6">
        <f t="shared" si="8"/>
        <v>16</v>
      </c>
      <c r="J24" s="6">
        <f t="shared" si="8"/>
        <v>0</v>
      </c>
      <c r="K24" s="6">
        <f t="shared" si="8"/>
        <v>17</v>
      </c>
    </row>
    <row r="25" spans="1:12" ht="15" customHeight="1" x14ac:dyDescent="0.3">
      <c r="B25" t="s">
        <v>174</v>
      </c>
      <c r="C25">
        <f>0</f>
        <v>0</v>
      </c>
      <c r="D25" s="6">
        <f t="shared" ref="D25:K25" si="9">D24*D18</f>
        <v>0</v>
      </c>
      <c r="E25" s="6">
        <f t="shared" si="9"/>
        <v>204</v>
      </c>
      <c r="F25" s="6">
        <f t="shared" si="9"/>
        <v>0</v>
      </c>
      <c r="G25" s="6">
        <f t="shared" si="9"/>
        <v>204</v>
      </c>
      <c r="H25" s="6">
        <f t="shared" si="9"/>
        <v>0</v>
      </c>
      <c r="I25" s="6">
        <f t="shared" si="9"/>
        <v>192</v>
      </c>
      <c r="J25" s="6">
        <f t="shared" si="9"/>
        <v>0</v>
      </c>
      <c r="K25" s="6">
        <f t="shared" si="9"/>
        <v>204</v>
      </c>
      <c r="L25" s="6">
        <f>SUM(D25:K25)</f>
        <v>804</v>
      </c>
    </row>
    <row r="26" spans="1:12" ht="15" customHeight="1" x14ac:dyDescent="0.3">
      <c r="B26" t="s">
        <v>154</v>
      </c>
      <c r="C26">
        <f>C22</f>
        <v>0</v>
      </c>
      <c r="D26" s="6">
        <f>D22+D25*(IF('01_INPUTS_MASTER'!N54="B",1-'01_INPUTS_MASTER'!Q54,1))-D21</f>
        <v>0</v>
      </c>
      <c r="E26" s="6">
        <f>E22+E25*(IF('01_INPUTS_MASTER'!N54="B",1-'01_INPUTS_MASTER'!Q54,1))-E21</f>
        <v>4</v>
      </c>
      <c r="F26" s="6">
        <f>F22+F25*(IF('01_INPUTS_MASTER'!N54="B",1-'01_INPUTS_MASTER'!Q54,1))-F21</f>
        <v>4</v>
      </c>
      <c r="G26" s="6">
        <f>G22+G25*(IF('01_INPUTS_MASTER'!N54="B",1-'01_INPUTS_MASTER'!Q54,1))-G21</f>
        <v>8</v>
      </c>
      <c r="H26" s="6">
        <f>H22+H25*(IF('01_INPUTS_MASTER'!N54="B",1-'01_INPUTS_MASTER'!Q54,1))-H21</f>
        <v>8</v>
      </c>
      <c r="I26" s="6">
        <f>I22+I25*(IF('01_INPUTS_MASTER'!N54="B",1-'01_INPUTS_MASTER'!Q54,1))-I21</f>
        <v>0</v>
      </c>
      <c r="J26" s="6">
        <f>J22+J25*(IF('01_INPUTS_MASTER'!N54="B",1-'01_INPUTS_MASTER'!Q54,1))-J21</f>
        <v>0</v>
      </c>
      <c r="K26" s="6">
        <f>K22+K25*(IF('01_INPUTS_MASTER'!N54="B",1-'01_INPUTS_MASTER'!Q54,1))-K21</f>
        <v>4</v>
      </c>
    </row>
    <row r="27" spans="1:12" ht="15" customHeight="1" x14ac:dyDescent="0.3">
      <c r="B27" t="s">
        <v>107</v>
      </c>
      <c r="C27">
        <f>0</f>
        <v>0</v>
      </c>
      <c r="D27" s="6">
        <f>IF(D25&gt;0,'01_INPUTS_MASTER'!F50,0)</f>
        <v>0</v>
      </c>
      <c r="E27" s="6">
        <f>IF(E25&gt;0,'01_INPUTS_MASTER'!F50,0)</f>
        <v>6000</v>
      </c>
      <c r="F27" s="6">
        <f>IF(F25&gt;0,'01_INPUTS_MASTER'!F50,0)</f>
        <v>0</v>
      </c>
      <c r="G27" s="6">
        <f>IF(G25&gt;0,'01_INPUTS_MASTER'!F50,0)</f>
        <v>6000</v>
      </c>
      <c r="H27" s="6">
        <f>IF(H25&gt;0,'01_INPUTS_MASTER'!F50,0)</f>
        <v>0</v>
      </c>
      <c r="I27" s="6">
        <f>IF(I25&gt;0,'01_INPUTS_MASTER'!F50,0)</f>
        <v>6000</v>
      </c>
      <c r="J27" s="6">
        <f>IF(J25&gt;0,'01_INPUTS_MASTER'!F50,0)</f>
        <v>0</v>
      </c>
      <c r="K27" s="6">
        <f>IF(K25&gt;0,'01_INPUTS_MASTER'!F50,0)</f>
        <v>6000</v>
      </c>
      <c r="L27" s="6">
        <f>SUM(D27:K27)</f>
        <v>24000</v>
      </c>
    </row>
    <row r="28" spans="1:12" ht="15" customHeight="1" x14ac:dyDescent="0.3">
      <c r="B28" t="s">
        <v>175</v>
      </c>
      <c r="C28">
        <f>0</f>
        <v>0</v>
      </c>
      <c r="D28" s="6">
        <f>D26*'01_INPUTS_MASTER'!G50</f>
        <v>0</v>
      </c>
      <c r="E28" s="6">
        <f>E26*'01_INPUTS_MASTER'!G50</f>
        <v>18</v>
      </c>
      <c r="F28" s="6">
        <f>F26*'01_INPUTS_MASTER'!G50</f>
        <v>18</v>
      </c>
      <c r="G28" s="6">
        <f>G26*'01_INPUTS_MASTER'!G50</f>
        <v>36</v>
      </c>
      <c r="H28" s="6">
        <f>H26*'01_INPUTS_MASTER'!G50</f>
        <v>36</v>
      </c>
      <c r="I28" s="6">
        <f>I26*'01_INPUTS_MASTER'!G50</f>
        <v>0</v>
      </c>
      <c r="J28" s="6">
        <f>J26*'01_INPUTS_MASTER'!G50</f>
        <v>0</v>
      </c>
      <c r="K28" s="6">
        <f>K26*'01_INPUTS_MASTER'!G50</f>
        <v>18</v>
      </c>
      <c r="L28" s="6">
        <f>SUM(D28:K28)</f>
        <v>126</v>
      </c>
    </row>
    <row r="30" spans="1:12" ht="15" customHeight="1" x14ac:dyDescent="0.3">
      <c r="A30" s="12" t="s">
        <v>96</v>
      </c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</row>
    <row r="31" spans="1:12" ht="15" customHeight="1" x14ac:dyDescent="0.3">
      <c r="B31" t="s">
        <v>91</v>
      </c>
      <c r="C31">
        <f>'01_INPUTS_MASTER'!B40</f>
        <v>1</v>
      </c>
      <c r="D31" s="8">
        <f>'01_INPUTS_MASTER'!B40</f>
        <v>1</v>
      </c>
      <c r="E31" s="8">
        <f>'01_INPUTS_MASTER'!B40</f>
        <v>1</v>
      </c>
      <c r="F31" s="8">
        <f>'01_INPUTS_MASTER'!B40</f>
        <v>1</v>
      </c>
      <c r="G31" s="8">
        <f>'01_INPUTS_MASTER'!B40</f>
        <v>1</v>
      </c>
      <c r="H31" s="8">
        <f>'01_INPUTS_MASTER'!B40</f>
        <v>1</v>
      </c>
      <c r="I31" s="8">
        <f>'01_INPUTS_MASTER'!B40</f>
        <v>1</v>
      </c>
      <c r="J31" s="8">
        <f>'01_INPUTS_MASTER'!B40</f>
        <v>1</v>
      </c>
      <c r="K31" s="8">
        <f>'01_INPUTS_MASTER'!B40</f>
        <v>1</v>
      </c>
    </row>
    <row r="32" spans="1:12" ht="15" customHeight="1" x14ac:dyDescent="0.3">
      <c r="B32" t="s">
        <v>109</v>
      </c>
      <c r="C32">
        <f>'01_INPUTS_MASTER'!D40</f>
        <v>0.01</v>
      </c>
      <c r="D32" s="8">
        <f>'01_INPUTS_MASTER'!D40</f>
        <v>0.01</v>
      </c>
      <c r="E32" s="8">
        <f>'01_INPUTS_MASTER'!D40</f>
        <v>0.01</v>
      </c>
      <c r="F32" s="8">
        <f>'01_INPUTS_MASTER'!D40</f>
        <v>0.01</v>
      </c>
      <c r="G32" s="8">
        <f>'01_INPUTS_MASTER'!D40</f>
        <v>0.01</v>
      </c>
      <c r="H32" s="8">
        <f>'01_INPUTS_MASTER'!D40</f>
        <v>0.01</v>
      </c>
      <c r="I32" s="8">
        <f>'01_INPUTS_MASTER'!D40</f>
        <v>0.01</v>
      </c>
      <c r="J32" s="8">
        <f>'01_INPUTS_MASTER'!D40</f>
        <v>0.01</v>
      </c>
      <c r="K32" s="8">
        <f>'01_INPUTS_MASTER'!D40</f>
        <v>0.01</v>
      </c>
    </row>
    <row r="33" spans="1:12" ht="15" customHeight="1" x14ac:dyDescent="0.3">
      <c r="B33" t="s">
        <v>170</v>
      </c>
      <c r="C33">
        <f>0</f>
        <v>0</v>
      </c>
      <c r="D33" s="8">
        <f>'04_FLOW_S1_S5'!D7</f>
        <v>0</v>
      </c>
      <c r="E33" s="8">
        <f>'04_FLOW_S1_S5'!E7</f>
        <v>1000</v>
      </c>
      <c r="F33" s="8">
        <f>'04_FLOW_S1_S5'!F7</f>
        <v>0</v>
      </c>
      <c r="G33" s="8">
        <f>'04_FLOW_S1_S5'!G7</f>
        <v>1000</v>
      </c>
      <c r="H33" s="8">
        <f>'04_FLOW_S1_S5'!H7</f>
        <v>0</v>
      </c>
      <c r="I33" s="8">
        <f>'04_FLOW_S1_S5'!I7</f>
        <v>1000</v>
      </c>
      <c r="J33" s="8">
        <f>'04_FLOW_S1_S5'!J7</f>
        <v>0</v>
      </c>
      <c r="K33" s="8">
        <f>'04_FLOW_S1_S5'!K7</f>
        <v>1000</v>
      </c>
    </row>
    <row r="34" spans="1:12" ht="15" customHeight="1" x14ac:dyDescent="0.3">
      <c r="B34" t="s">
        <v>171</v>
      </c>
      <c r="C34">
        <f>0</f>
        <v>0</v>
      </c>
      <c r="D34" s="6">
        <f t="shared" ref="D34:K34" si="10">D33*D32</f>
        <v>0</v>
      </c>
      <c r="E34" s="6">
        <f t="shared" si="10"/>
        <v>10</v>
      </c>
      <c r="F34" s="6">
        <f t="shared" si="10"/>
        <v>0</v>
      </c>
      <c r="G34" s="6">
        <f t="shared" si="10"/>
        <v>10</v>
      </c>
      <c r="H34" s="6">
        <f t="shared" si="10"/>
        <v>0</v>
      </c>
      <c r="I34" s="6">
        <f t="shared" si="10"/>
        <v>10</v>
      </c>
      <c r="J34" s="6">
        <f t="shared" si="10"/>
        <v>0</v>
      </c>
      <c r="K34" s="6">
        <f t="shared" si="10"/>
        <v>10</v>
      </c>
      <c r="L34" s="6">
        <f>SUM(D34:K34)</f>
        <v>40</v>
      </c>
    </row>
    <row r="35" spans="1:12" ht="15" customHeight="1" x14ac:dyDescent="0.3">
      <c r="B35" t="s">
        <v>151</v>
      </c>
      <c r="C35">
        <f>'01_INPUTS_MASTER'!E40</f>
        <v>94</v>
      </c>
      <c r="D35" s="7">
        <f>C35</f>
        <v>94</v>
      </c>
      <c r="E35" s="8">
        <f t="shared" ref="E35:K35" si="11">D39</f>
        <v>94</v>
      </c>
      <c r="F35" s="8">
        <f t="shared" si="11"/>
        <v>84</v>
      </c>
      <c r="G35" s="8">
        <f t="shared" si="11"/>
        <v>84</v>
      </c>
      <c r="H35" s="8">
        <f t="shared" si="11"/>
        <v>74</v>
      </c>
      <c r="I35" s="8">
        <f t="shared" si="11"/>
        <v>74</v>
      </c>
      <c r="J35" s="8">
        <f t="shared" si="11"/>
        <v>64</v>
      </c>
      <c r="K35" s="8">
        <f t="shared" si="11"/>
        <v>64</v>
      </c>
    </row>
    <row r="36" spans="1:12" ht="15" customHeight="1" x14ac:dyDescent="0.3">
      <c r="B36" t="s">
        <v>172</v>
      </c>
      <c r="C36">
        <f>0</f>
        <v>0</v>
      </c>
      <c r="D36" s="6">
        <f t="shared" ref="D36:K36" si="12">MAX(0,D34-D35)</f>
        <v>0</v>
      </c>
      <c r="E36" s="6">
        <f t="shared" si="12"/>
        <v>0</v>
      </c>
      <c r="F36" s="6">
        <f t="shared" si="12"/>
        <v>0</v>
      </c>
      <c r="G36" s="6">
        <f t="shared" si="12"/>
        <v>0</v>
      </c>
      <c r="H36" s="6">
        <f t="shared" si="12"/>
        <v>0</v>
      </c>
      <c r="I36" s="6">
        <f t="shared" si="12"/>
        <v>0</v>
      </c>
      <c r="J36" s="6">
        <f t="shared" si="12"/>
        <v>0</v>
      </c>
      <c r="K36" s="6">
        <f t="shared" si="12"/>
        <v>0</v>
      </c>
    </row>
    <row r="37" spans="1:12" ht="15" customHeight="1" x14ac:dyDescent="0.3">
      <c r="B37" t="s">
        <v>173</v>
      </c>
      <c r="C37">
        <f>0</f>
        <v>0</v>
      </c>
      <c r="D37">
        <f t="shared" ref="D37:K37" si="13">IF(D31&gt;0,CEILING(D36/D31,1),0)</f>
        <v>0</v>
      </c>
      <c r="E37">
        <f t="shared" si="13"/>
        <v>0</v>
      </c>
      <c r="F37">
        <f t="shared" si="13"/>
        <v>0</v>
      </c>
      <c r="G37">
        <f t="shared" si="13"/>
        <v>0</v>
      </c>
      <c r="H37">
        <f t="shared" si="13"/>
        <v>0</v>
      </c>
      <c r="I37">
        <f t="shared" si="13"/>
        <v>0</v>
      </c>
      <c r="J37">
        <f t="shared" si="13"/>
        <v>0</v>
      </c>
      <c r="K37">
        <f t="shared" si="13"/>
        <v>0</v>
      </c>
    </row>
    <row r="38" spans="1:12" ht="15" customHeight="1" x14ac:dyDescent="0.3">
      <c r="B38" t="s">
        <v>174</v>
      </c>
      <c r="C38" s="7">
        <f>0</f>
        <v>0</v>
      </c>
      <c r="D38">
        <f t="shared" ref="D38:K38" si="14">D37*D31</f>
        <v>0</v>
      </c>
      <c r="E38">
        <f t="shared" si="14"/>
        <v>0</v>
      </c>
      <c r="F38">
        <f t="shared" si="14"/>
        <v>0</v>
      </c>
      <c r="G38">
        <f t="shared" si="14"/>
        <v>0</v>
      </c>
      <c r="H38">
        <f t="shared" si="14"/>
        <v>0</v>
      </c>
      <c r="I38">
        <f t="shared" si="14"/>
        <v>0</v>
      </c>
      <c r="J38">
        <f t="shared" si="14"/>
        <v>0</v>
      </c>
      <c r="K38">
        <f t="shared" si="14"/>
        <v>0</v>
      </c>
      <c r="L38" s="6">
        <f>SUM(D38:K38)</f>
        <v>0</v>
      </c>
    </row>
    <row r="39" spans="1:12" ht="15" customHeight="1" x14ac:dyDescent="0.3">
      <c r="B39" t="s">
        <v>154</v>
      </c>
      <c r="C39">
        <f>C35</f>
        <v>94</v>
      </c>
      <c r="D39" s="6">
        <f t="shared" ref="D39:K39" si="15">D35+D38*(1)-D34</f>
        <v>94</v>
      </c>
      <c r="E39" s="6">
        <f t="shared" si="15"/>
        <v>84</v>
      </c>
      <c r="F39" s="6">
        <f t="shared" si="15"/>
        <v>84</v>
      </c>
      <c r="G39" s="6">
        <f t="shared" si="15"/>
        <v>74</v>
      </c>
      <c r="H39" s="6">
        <f t="shared" si="15"/>
        <v>74</v>
      </c>
      <c r="I39" s="6">
        <f t="shared" si="15"/>
        <v>64</v>
      </c>
      <c r="J39" s="6">
        <f t="shared" si="15"/>
        <v>64</v>
      </c>
      <c r="K39" s="6">
        <f t="shared" si="15"/>
        <v>54</v>
      </c>
    </row>
    <row r="40" spans="1:12" ht="15" customHeight="1" x14ac:dyDescent="0.3">
      <c r="B40" t="s">
        <v>107</v>
      </c>
      <c r="C40">
        <f>0</f>
        <v>0</v>
      </c>
      <c r="D40">
        <f t="shared" ref="D40:K40" si="16">IF(D38&gt;0,0,0)</f>
        <v>0</v>
      </c>
      <c r="E40">
        <f t="shared" si="16"/>
        <v>0</v>
      </c>
      <c r="F40">
        <f t="shared" si="16"/>
        <v>0</v>
      </c>
      <c r="G40">
        <f t="shared" si="16"/>
        <v>0</v>
      </c>
      <c r="H40">
        <f t="shared" si="16"/>
        <v>0</v>
      </c>
      <c r="I40">
        <f t="shared" si="16"/>
        <v>0</v>
      </c>
      <c r="J40">
        <f t="shared" si="16"/>
        <v>0</v>
      </c>
      <c r="K40">
        <f t="shared" si="16"/>
        <v>0</v>
      </c>
      <c r="L40" s="6">
        <f>SUM(D40:K40)</f>
        <v>0</v>
      </c>
    </row>
    <row r="41" spans="1:12" ht="15" customHeight="1" x14ac:dyDescent="0.3">
      <c r="B41" t="s">
        <v>175</v>
      </c>
      <c r="C41">
        <f>0</f>
        <v>0</v>
      </c>
      <c r="D41">
        <f t="shared" ref="D41:K41" si="17">D39*0</f>
        <v>0</v>
      </c>
      <c r="E41">
        <f t="shared" si="17"/>
        <v>0</v>
      </c>
      <c r="F41">
        <f t="shared" si="17"/>
        <v>0</v>
      </c>
      <c r="G41">
        <f t="shared" si="17"/>
        <v>0</v>
      </c>
      <c r="H41">
        <f t="shared" si="17"/>
        <v>0</v>
      </c>
      <c r="I41">
        <f t="shared" si="17"/>
        <v>0</v>
      </c>
      <c r="J41">
        <f t="shared" si="17"/>
        <v>0</v>
      </c>
      <c r="K41">
        <f t="shared" si="17"/>
        <v>0</v>
      </c>
      <c r="L41" s="6">
        <f>SUM(D41:K41)</f>
        <v>0</v>
      </c>
    </row>
    <row r="43" spans="1:12" ht="15" customHeight="1" x14ac:dyDescent="0.3">
      <c r="A43" s="12" t="s">
        <v>97</v>
      </c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</row>
    <row r="44" spans="1:12" ht="15" customHeight="1" x14ac:dyDescent="0.3">
      <c r="B44" t="s">
        <v>91</v>
      </c>
      <c r="C44">
        <f>'01_INPUTS_MASTER'!B41</f>
        <v>100</v>
      </c>
      <c r="D44" s="8">
        <f>'01_INPUTS_MASTER'!B41</f>
        <v>100</v>
      </c>
      <c r="E44" s="8">
        <f>'01_INPUTS_MASTER'!B41</f>
        <v>100</v>
      </c>
      <c r="F44" s="8">
        <f>'01_INPUTS_MASTER'!B41</f>
        <v>100</v>
      </c>
      <c r="G44" s="8">
        <f>'01_INPUTS_MASTER'!B41</f>
        <v>100</v>
      </c>
      <c r="H44" s="8">
        <f>'01_INPUTS_MASTER'!B41</f>
        <v>100</v>
      </c>
      <c r="I44" s="8">
        <f>'01_INPUTS_MASTER'!B41</f>
        <v>100</v>
      </c>
      <c r="J44" s="8">
        <f>'01_INPUTS_MASTER'!B41</f>
        <v>100</v>
      </c>
      <c r="K44" s="8">
        <f>'01_INPUTS_MASTER'!B41</f>
        <v>100</v>
      </c>
    </row>
    <row r="45" spans="1:12" ht="15" customHeight="1" x14ac:dyDescent="0.3">
      <c r="B45" t="s">
        <v>109</v>
      </c>
      <c r="C45">
        <f>'01_INPUTS_MASTER'!D41</f>
        <v>8</v>
      </c>
      <c r="D45" s="8">
        <f>'01_INPUTS_MASTER'!D41</f>
        <v>8</v>
      </c>
      <c r="E45" s="8">
        <f>'01_INPUTS_MASTER'!D41</f>
        <v>8</v>
      </c>
      <c r="F45" s="8">
        <f>'01_INPUTS_MASTER'!D41</f>
        <v>8</v>
      </c>
      <c r="G45" s="8">
        <f>'01_INPUTS_MASTER'!D41</f>
        <v>8</v>
      </c>
      <c r="H45" s="8">
        <f>'01_INPUTS_MASTER'!D41</f>
        <v>8</v>
      </c>
      <c r="I45" s="8">
        <f>'01_INPUTS_MASTER'!D41</f>
        <v>8</v>
      </c>
      <c r="J45" s="8">
        <f>'01_INPUTS_MASTER'!D41</f>
        <v>8</v>
      </c>
      <c r="K45" s="8">
        <f>'01_INPUTS_MASTER'!D41</f>
        <v>8</v>
      </c>
    </row>
    <row r="46" spans="1:12" ht="15" customHeight="1" x14ac:dyDescent="0.3">
      <c r="B46" t="s">
        <v>170</v>
      </c>
      <c r="C46">
        <f>0</f>
        <v>0</v>
      </c>
      <c r="D46" s="8">
        <f>'04_FLOW_S1_S5'!D7</f>
        <v>0</v>
      </c>
      <c r="E46" s="8">
        <f>'04_FLOW_S1_S5'!E7</f>
        <v>1000</v>
      </c>
      <c r="F46" s="8">
        <f>'04_FLOW_S1_S5'!F7</f>
        <v>0</v>
      </c>
      <c r="G46" s="8">
        <f>'04_FLOW_S1_S5'!G7</f>
        <v>1000</v>
      </c>
      <c r="H46" s="8">
        <f>'04_FLOW_S1_S5'!H7</f>
        <v>0</v>
      </c>
      <c r="I46" s="8">
        <f>'04_FLOW_S1_S5'!I7</f>
        <v>1000</v>
      </c>
      <c r="J46" s="8">
        <f>'04_FLOW_S1_S5'!J7</f>
        <v>0</v>
      </c>
      <c r="K46" s="8">
        <f>'04_FLOW_S1_S5'!K7</f>
        <v>1000</v>
      </c>
    </row>
    <row r="47" spans="1:12" ht="15" customHeight="1" x14ac:dyDescent="0.3">
      <c r="B47" t="s">
        <v>171</v>
      </c>
      <c r="C47">
        <f>0</f>
        <v>0</v>
      </c>
      <c r="D47" s="6">
        <f t="shared" ref="D47:K47" si="18">D46*D45</f>
        <v>0</v>
      </c>
      <c r="E47" s="6">
        <f t="shared" si="18"/>
        <v>8000</v>
      </c>
      <c r="F47" s="6">
        <f t="shared" si="18"/>
        <v>0</v>
      </c>
      <c r="G47" s="6">
        <f t="shared" si="18"/>
        <v>8000</v>
      </c>
      <c r="H47" s="6">
        <f t="shared" si="18"/>
        <v>0</v>
      </c>
      <c r="I47" s="6">
        <f t="shared" si="18"/>
        <v>8000</v>
      </c>
      <c r="J47" s="6">
        <f t="shared" si="18"/>
        <v>0</v>
      </c>
      <c r="K47" s="6">
        <f t="shared" si="18"/>
        <v>8000</v>
      </c>
      <c r="L47" s="6">
        <f>SUM(D47:K47)</f>
        <v>32000</v>
      </c>
    </row>
    <row r="48" spans="1:12" ht="15" customHeight="1" x14ac:dyDescent="0.3">
      <c r="B48" t="s">
        <v>151</v>
      </c>
      <c r="C48">
        <f>'01_INPUTS_MASTER'!E41</f>
        <v>3844</v>
      </c>
      <c r="D48" s="7">
        <f>C48</f>
        <v>3844</v>
      </c>
      <c r="E48" s="8">
        <f t="shared" ref="E48:K48" si="19">D52</f>
        <v>3844</v>
      </c>
      <c r="F48" s="8">
        <f t="shared" si="19"/>
        <v>44</v>
      </c>
      <c r="G48" s="8">
        <f t="shared" si="19"/>
        <v>44</v>
      </c>
      <c r="H48" s="8">
        <f t="shared" si="19"/>
        <v>44</v>
      </c>
      <c r="I48" s="8">
        <f t="shared" si="19"/>
        <v>44</v>
      </c>
      <c r="J48" s="8">
        <f t="shared" si="19"/>
        <v>44</v>
      </c>
      <c r="K48" s="8">
        <f t="shared" si="19"/>
        <v>44</v>
      </c>
    </row>
    <row r="49" spans="1:12" ht="15" customHeight="1" x14ac:dyDescent="0.3">
      <c r="B49" t="s">
        <v>172</v>
      </c>
      <c r="C49">
        <f>0</f>
        <v>0</v>
      </c>
      <c r="D49" s="6">
        <f t="shared" ref="D49:K49" si="20">MAX(0,D47-D48)</f>
        <v>0</v>
      </c>
      <c r="E49" s="6">
        <f t="shared" si="20"/>
        <v>4156</v>
      </c>
      <c r="F49" s="6">
        <f t="shared" si="20"/>
        <v>0</v>
      </c>
      <c r="G49" s="6">
        <f t="shared" si="20"/>
        <v>7956</v>
      </c>
      <c r="H49" s="6">
        <f t="shared" si="20"/>
        <v>0</v>
      </c>
      <c r="I49" s="6">
        <f t="shared" si="20"/>
        <v>7956</v>
      </c>
      <c r="J49" s="6">
        <f t="shared" si="20"/>
        <v>0</v>
      </c>
      <c r="K49" s="6">
        <f t="shared" si="20"/>
        <v>7956</v>
      </c>
    </row>
    <row r="50" spans="1:12" ht="15" customHeight="1" x14ac:dyDescent="0.3">
      <c r="B50" t="s">
        <v>173</v>
      </c>
      <c r="C50">
        <f>0</f>
        <v>0</v>
      </c>
      <c r="D50">
        <f t="shared" ref="D50:K50" si="21">IF(D44&gt;0,CEILING(D49/D44,1),0)</f>
        <v>0</v>
      </c>
      <c r="E50">
        <f t="shared" si="21"/>
        <v>42</v>
      </c>
      <c r="F50">
        <f t="shared" si="21"/>
        <v>0</v>
      </c>
      <c r="G50">
        <f t="shared" si="21"/>
        <v>80</v>
      </c>
      <c r="H50">
        <f t="shared" si="21"/>
        <v>0</v>
      </c>
      <c r="I50">
        <f t="shared" si="21"/>
        <v>80</v>
      </c>
      <c r="J50">
        <f t="shared" si="21"/>
        <v>0</v>
      </c>
      <c r="K50">
        <f t="shared" si="21"/>
        <v>80</v>
      </c>
    </row>
    <row r="51" spans="1:12" ht="15" customHeight="1" x14ac:dyDescent="0.3">
      <c r="B51" t="s">
        <v>174</v>
      </c>
      <c r="C51" s="7">
        <f>0</f>
        <v>0</v>
      </c>
      <c r="D51">
        <f t="shared" ref="D51:K51" si="22">D50*D44</f>
        <v>0</v>
      </c>
      <c r="E51">
        <f t="shared" si="22"/>
        <v>4200</v>
      </c>
      <c r="F51">
        <f t="shared" si="22"/>
        <v>0</v>
      </c>
      <c r="G51">
        <f t="shared" si="22"/>
        <v>8000</v>
      </c>
      <c r="H51">
        <f t="shared" si="22"/>
        <v>0</v>
      </c>
      <c r="I51">
        <f t="shared" si="22"/>
        <v>8000</v>
      </c>
      <c r="J51">
        <f t="shared" si="22"/>
        <v>0</v>
      </c>
      <c r="K51">
        <f t="shared" si="22"/>
        <v>8000</v>
      </c>
      <c r="L51" s="6">
        <f>SUM(D51:K51)</f>
        <v>28200</v>
      </c>
    </row>
    <row r="52" spans="1:12" ht="15" customHeight="1" x14ac:dyDescent="0.3">
      <c r="B52" t="s">
        <v>154</v>
      </c>
      <c r="C52">
        <f>C48</f>
        <v>3844</v>
      </c>
      <c r="D52" s="6">
        <f t="shared" ref="D52:K52" si="23">D48+D51*(1)-D47</f>
        <v>3844</v>
      </c>
      <c r="E52" s="6">
        <f t="shared" si="23"/>
        <v>44</v>
      </c>
      <c r="F52" s="6">
        <f t="shared" si="23"/>
        <v>44</v>
      </c>
      <c r="G52" s="6">
        <f t="shared" si="23"/>
        <v>44</v>
      </c>
      <c r="H52" s="6">
        <f t="shared" si="23"/>
        <v>44</v>
      </c>
      <c r="I52" s="6">
        <f t="shared" si="23"/>
        <v>44</v>
      </c>
      <c r="J52" s="6">
        <f t="shared" si="23"/>
        <v>44</v>
      </c>
      <c r="K52" s="6">
        <f t="shared" si="23"/>
        <v>44</v>
      </c>
    </row>
    <row r="53" spans="1:12" ht="15" customHeight="1" x14ac:dyDescent="0.3">
      <c r="B53" t="s">
        <v>107</v>
      </c>
      <c r="C53">
        <f>0</f>
        <v>0</v>
      </c>
      <c r="D53">
        <f t="shared" ref="D53:K53" si="24">IF(D51&gt;0,0,0)</f>
        <v>0</v>
      </c>
      <c r="E53">
        <f t="shared" si="24"/>
        <v>0</v>
      </c>
      <c r="F53">
        <f t="shared" si="24"/>
        <v>0</v>
      </c>
      <c r="G53">
        <f t="shared" si="24"/>
        <v>0</v>
      </c>
      <c r="H53">
        <f t="shared" si="24"/>
        <v>0</v>
      </c>
      <c r="I53">
        <f t="shared" si="24"/>
        <v>0</v>
      </c>
      <c r="J53">
        <f t="shared" si="24"/>
        <v>0</v>
      </c>
      <c r="K53">
        <f t="shared" si="24"/>
        <v>0</v>
      </c>
      <c r="L53" s="6">
        <f>SUM(D53:K53)</f>
        <v>0</v>
      </c>
    </row>
    <row r="54" spans="1:12" ht="15" customHeight="1" x14ac:dyDescent="0.3">
      <c r="B54" t="s">
        <v>175</v>
      </c>
      <c r="C54">
        <f>0</f>
        <v>0</v>
      </c>
      <c r="D54">
        <f t="shared" ref="D54:K54" si="25">D52*0</f>
        <v>0</v>
      </c>
      <c r="E54">
        <f t="shared" si="25"/>
        <v>0</v>
      </c>
      <c r="F54">
        <f t="shared" si="25"/>
        <v>0</v>
      </c>
      <c r="G54">
        <f t="shared" si="25"/>
        <v>0</v>
      </c>
      <c r="H54">
        <f t="shared" si="25"/>
        <v>0</v>
      </c>
      <c r="I54">
        <f t="shared" si="25"/>
        <v>0</v>
      </c>
      <c r="J54">
        <f t="shared" si="25"/>
        <v>0</v>
      </c>
      <c r="K54">
        <f t="shared" si="25"/>
        <v>0</v>
      </c>
      <c r="L54" s="6">
        <f>SUM(D54:K54)</f>
        <v>0</v>
      </c>
    </row>
    <row r="56" spans="1:12" ht="15" customHeight="1" x14ac:dyDescent="0.3">
      <c r="A56" s="12" t="s">
        <v>98</v>
      </c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</row>
    <row r="57" spans="1:12" ht="15" customHeight="1" x14ac:dyDescent="0.3">
      <c r="B57" t="s">
        <v>91</v>
      </c>
      <c r="C57">
        <f>'01_INPUTS_MASTER'!B42</f>
        <v>30</v>
      </c>
      <c r="D57" s="8">
        <f>'01_INPUTS_MASTER'!B42</f>
        <v>30</v>
      </c>
      <c r="E57" s="8">
        <f>'01_INPUTS_MASTER'!B42</f>
        <v>30</v>
      </c>
      <c r="F57" s="8">
        <f>'01_INPUTS_MASTER'!B42</f>
        <v>30</v>
      </c>
      <c r="G57" s="8">
        <f>'01_INPUTS_MASTER'!B42</f>
        <v>30</v>
      </c>
      <c r="H57" s="8">
        <f>'01_INPUTS_MASTER'!B42</f>
        <v>30</v>
      </c>
      <c r="I57" s="8">
        <f>'01_INPUTS_MASTER'!B42</f>
        <v>30</v>
      </c>
      <c r="J57" s="8">
        <f>'01_INPUTS_MASTER'!B42</f>
        <v>30</v>
      </c>
      <c r="K57" s="8">
        <f>'01_INPUTS_MASTER'!B42</f>
        <v>30</v>
      </c>
    </row>
    <row r="58" spans="1:12" ht="15" customHeight="1" x14ac:dyDescent="0.3">
      <c r="B58" t="s">
        <v>109</v>
      </c>
      <c r="C58">
        <f>'01_INPUTS_MASTER'!D42</f>
        <v>0.3</v>
      </c>
      <c r="D58" s="8">
        <f>'01_INPUTS_MASTER'!D42</f>
        <v>0.3</v>
      </c>
      <c r="E58" s="8">
        <f>'01_INPUTS_MASTER'!D42</f>
        <v>0.3</v>
      </c>
      <c r="F58" s="8">
        <f>'01_INPUTS_MASTER'!D42</f>
        <v>0.3</v>
      </c>
      <c r="G58" s="8">
        <f>'01_INPUTS_MASTER'!D42</f>
        <v>0.3</v>
      </c>
      <c r="H58" s="8">
        <f>'01_INPUTS_MASTER'!D42</f>
        <v>0.3</v>
      </c>
      <c r="I58" s="8">
        <f>'01_INPUTS_MASTER'!D42</f>
        <v>0.3</v>
      </c>
      <c r="J58" s="8">
        <f>'01_INPUTS_MASTER'!D42</f>
        <v>0.3</v>
      </c>
      <c r="K58" s="8">
        <f>'01_INPUTS_MASTER'!D42</f>
        <v>0.3</v>
      </c>
    </row>
    <row r="59" spans="1:12" ht="15" customHeight="1" x14ac:dyDescent="0.3">
      <c r="B59" t="s">
        <v>170</v>
      </c>
      <c r="C59">
        <f>0</f>
        <v>0</v>
      </c>
      <c r="D59" s="8">
        <f>'04_FLOW_S1_S5'!D7</f>
        <v>0</v>
      </c>
      <c r="E59" s="8">
        <f>'04_FLOW_S1_S5'!E7</f>
        <v>1000</v>
      </c>
      <c r="F59" s="8">
        <f>'04_FLOW_S1_S5'!F7</f>
        <v>0</v>
      </c>
      <c r="G59" s="8">
        <f>'04_FLOW_S1_S5'!G7</f>
        <v>1000</v>
      </c>
      <c r="H59" s="8">
        <f>'04_FLOW_S1_S5'!H7</f>
        <v>0</v>
      </c>
      <c r="I59" s="8">
        <f>'04_FLOW_S1_S5'!I7</f>
        <v>1000</v>
      </c>
      <c r="J59" s="8">
        <f>'04_FLOW_S1_S5'!J7</f>
        <v>0</v>
      </c>
      <c r="K59" s="8">
        <f>'04_FLOW_S1_S5'!K7</f>
        <v>1000</v>
      </c>
    </row>
    <row r="60" spans="1:12" ht="15" customHeight="1" x14ac:dyDescent="0.3">
      <c r="B60" t="s">
        <v>171</v>
      </c>
      <c r="C60">
        <f>0</f>
        <v>0</v>
      </c>
      <c r="D60" s="6">
        <f t="shared" ref="D60:K60" si="26">D59*D58</f>
        <v>0</v>
      </c>
      <c r="E60" s="6">
        <f t="shared" si="26"/>
        <v>300</v>
      </c>
      <c r="F60" s="6">
        <f t="shared" si="26"/>
        <v>0</v>
      </c>
      <c r="G60" s="6">
        <f t="shared" si="26"/>
        <v>300</v>
      </c>
      <c r="H60" s="6">
        <f t="shared" si="26"/>
        <v>0</v>
      </c>
      <c r="I60" s="6">
        <f t="shared" si="26"/>
        <v>300</v>
      </c>
      <c r="J60" s="6">
        <f t="shared" si="26"/>
        <v>0</v>
      </c>
      <c r="K60" s="6">
        <f t="shared" si="26"/>
        <v>300</v>
      </c>
      <c r="L60" s="6">
        <f>SUM(D60:K60)</f>
        <v>1200</v>
      </c>
    </row>
    <row r="61" spans="1:12" ht="15" customHeight="1" x14ac:dyDescent="0.3">
      <c r="B61" t="s">
        <v>151</v>
      </c>
      <c r="C61">
        <f>'01_INPUTS_MASTER'!E42</f>
        <v>3125</v>
      </c>
      <c r="D61" s="7">
        <f>C61</f>
        <v>3125</v>
      </c>
      <c r="E61" s="8">
        <f t="shared" ref="E61:K61" si="27">D65</f>
        <v>3125</v>
      </c>
      <c r="F61" s="8">
        <f t="shared" si="27"/>
        <v>2825</v>
      </c>
      <c r="G61" s="8">
        <f t="shared" si="27"/>
        <v>2825</v>
      </c>
      <c r="H61" s="8">
        <f t="shared" si="27"/>
        <v>2525</v>
      </c>
      <c r="I61" s="8">
        <f t="shared" si="27"/>
        <v>2525</v>
      </c>
      <c r="J61" s="8">
        <f t="shared" si="27"/>
        <v>2225</v>
      </c>
      <c r="K61" s="8">
        <f t="shared" si="27"/>
        <v>2225</v>
      </c>
    </row>
    <row r="62" spans="1:12" ht="15" customHeight="1" x14ac:dyDescent="0.3">
      <c r="B62" t="s">
        <v>172</v>
      </c>
      <c r="C62">
        <f>0</f>
        <v>0</v>
      </c>
      <c r="D62" s="6">
        <f t="shared" ref="D62:K62" si="28">MAX(0,D60-D61)</f>
        <v>0</v>
      </c>
      <c r="E62" s="6">
        <f t="shared" si="28"/>
        <v>0</v>
      </c>
      <c r="F62" s="6">
        <f t="shared" si="28"/>
        <v>0</v>
      </c>
      <c r="G62" s="6">
        <f t="shared" si="28"/>
        <v>0</v>
      </c>
      <c r="H62" s="6">
        <f t="shared" si="28"/>
        <v>0</v>
      </c>
      <c r="I62" s="6">
        <f t="shared" si="28"/>
        <v>0</v>
      </c>
      <c r="J62" s="6">
        <f t="shared" si="28"/>
        <v>0</v>
      </c>
      <c r="K62" s="6">
        <f t="shared" si="28"/>
        <v>0</v>
      </c>
    </row>
    <row r="63" spans="1:12" ht="15" customHeight="1" x14ac:dyDescent="0.3">
      <c r="B63" t="s">
        <v>173</v>
      </c>
      <c r="C63">
        <f>0</f>
        <v>0</v>
      </c>
      <c r="D63">
        <f t="shared" ref="D63:K63" si="29">IF(D57&gt;0,CEILING(D62/D57,1),0)</f>
        <v>0</v>
      </c>
      <c r="E63">
        <f t="shared" si="29"/>
        <v>0</v>
      </c>
      <c r="F63">
        <f t="shared" si="29"/>
        <v>0</v>
      </c>
      <c r="G63">
        <f t="shared" si="29"/>
        <v>0</v>
      </c>
      <c r="H63">
        <f t="shared" si="29"/>
        <v>0</v>
      </c>
      <c r="I63">
        <f t="shared" si="29"/>
        <v>0</v>
      </c>
      <c r="J63">
        <f t="shared" si="29"/>
        <v>0</v>
      </c>
      <c r="K63">
        <f t="shared" si="29"/>
        <v>0</v>
      </c>
    </row>
    <row r="64" spans="1:12" ht="15" customHeight="1" x14ac:dyDescent="0.3">
      <c r="B64" t="s">
        <v>174</v>
      </c>
      <c r="C64" s="7">
        <f>0</f>
        <v>0</v>
      </c>
      <c r="D64">
        <f t="shared" ref="D64:K64" si="30">D63*D57</f>
        <v>0</v>
      </c>
      <c r="E64">
        <f t="shared" si="30"/>
        <v>0</v>
      </c>
      <c r="F64">
        <f t="shared" si="30"/>
        <v>0</v>
      </c>
      <c r="G64">
        <f t="shared" si="30"/>
        <v>0</v>
      </c>
      <c r="H64">
        <f t="shared" si="30"/>
        <v>0</v>
      </c>
      <c r="I64">
        <f t="shared" si="30"/>
        <v>0</v>
      </c>
      <c r="J64">
        <f t="shared" si="30"/>
        <v>0</v>
      </c>
      <c r="K64">
        <f t="shared" si="30"/>
        <v>0</v>
      </c>
      <c r="L64" s="6">
        <f>SUM(D64:K64)</f>
        <v>0</v>
      </c>
    </row>
    <row r="65" spans="1:12" ht="15" customHeight="1" x14ac:dyDescent="0.3">
      <c r="B65" t="s">
        <v>154</v>
      </c>
      <c r="C65">
        <f>C61</f>
        <v>3125</v>
      </c>
      <c r="D65" s="6">
        <f t="shared" ref="D65:K65" si="31">D61+D64*(1)-D60</f>
        <v>3125</v>
      </c>
      <c r="E65" s="6">
        <f t="shared" si="31"/>
        <v>2825</v>
      </c>
      <c r="F65" s="6">
        <f t="shared" si="31"/>
        <v>2825</v>
      </c>
      <c r="G65" s="6">
        <f t="shared" si="31"/>
        <v>2525</v>
      </c>
      <c r="H65" s="6">
        <f t="shared" si="31"/>
        <v>2525</v>
      </c>
      <c r="I65" s="6">
        <f t="shared" si="31"/>
        <v>2225</v>
      </c>
      <c r="J65" s="6">
        <f t="shared" si="31"/>
        <v>2225</v>
      </c>
      <c r="K65" s="6">
        <f t="shared" si="31"/>
        <v>1925</v>
      </c>
    </row>
    <row r="66" spans="1:12" ht="15" customHeight="1" x14ac:dyDescent="0.3">
      <c r="B66" t="s">
        <v>107</v>
      </c>
      <c r="C66">
        <f>0</f>
        <v>0</v>
      </c>
      <c r="D66">
        <f t="shared" ref="D66:K66" si="32">IF(D64&gt;0,0,0)</f>
        <v>0</v>
      </c>
      <c r="E66">
        <f t="shared" si="32"/>
        <v>0</v>
      </c>
      <c r="F66">
        <f t="shared" si="32"/>
        <v>0</v>
      </c>
      <c r="G66">
        <f t="shared" si="32"/>
        <v>0</v>
      </c>
      <c r="H66">
        <f t="shared" si="32"/>
        <v>0</v>
      </c>
      <c r="I66">
        <f t="shared" si="32"/>
        <v>0</v>
      </c>
      <c r="J66">
        <f t="shared" si="32"/>
        <v>0</v>
      </c>
      <c r="K66">
        <f t="shared" si="32"/>
        <v>0</v>
      </c>
      <c r="L66" s="6">
        <f>SUM(D66:K66)</f>
        <v>0</v>
      </c>
    </row>
    <row r="67" spans="1:12" ht="15" customHeight="1" x14ac:dyDescent="0.3">
      <c r="B67" t="s">
        <v>175</v>
      </c>
      <c r="C67">
        <f>0</f>
        <v>0</v>
      </c>
      <c r="D67">
        <f t="shared" ref="D67:K67" si="33">D65*0</f>
        <v>0</v>
      </c>
      <c r="E67">
        <f t="shared" si="33"/>
        <v>0</v>
      </c>
      <c r="F67">
        <f t="shared" si="33"/>
        <v>0</v>
      </c>
      <c r="G67">
        <f t="shared" si="33"/>
        <v>0</v>
      </c>
      <c r="H67">
        <f t="shared" si="33"/>
        <v>0</v>
      </c>
      <c r="I67">
        <f t="shared" si="33"/>
        <v>0</v>
      </c>
      <c r="J67">
        <f t="shared" si="33"/>
        <v>0</v>
      </c>
      <c r="K67">
        <f t="shared" si="33"/>
        <v>0</v>
      </c>
      <c r="L67" s="6">
        <f>SUM(D67:K67)</f>
        <v>0</v>
      </c>
    </row>
    <row r="69" spans="1:12" ht="15" customHeight="1" x14ac:dyDescent="0.3">
      <c r="A69" s="12" t="s">
        <v>99</v>
      </c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</row>
    <row r="70" spans="1:12" ht="15" customHeight="1" x14ac:dyDescent="0.3">
      <c r="B70" t="s">
        <v>91</v>
      </c>
      <c r="C70">
        <f>'01_INPUTS_MASTER'!B43</f>
        <v>60</v>
      </c>
      <c r="D70" s="8">
        <f>'01_INPUTS_MASTER'!B43</f>
        <v>60</v>
      </c>
      <c r="E70" s="8">
        <f>'01_INPUTS_MASTER'!B43</f>
        <v>60</v>
      </c>
      <c r="F70" s="8">
        <f>'01_INPUTS_MASTER'!B43</f>
        <v>60</v>
      </c>
      <c r="G70" s="8">
        <f>'01_INPUTS_MASTER'!B43</f>
        <v>60</v>
      </c>
      <c r="H70" s="8">
        <f>'01_INPUTS_MASTER'!B43</f>
        <v>60</v>
      </c>
      <c r="I70" s="8">
        <f>'01_INPUTS_MASTER'!B43</f>
        <v>60</v>
      </c>
      <c r="J70" s="8">
        <f>'01_INPUTS_MASTER'!B43</f>
        <v>60</v>
      </c>
      <c r="K70" s="8">
        <f>'01_INPUTS_MASTER'!B43</f>
        <v>60</v>
      </c>
    </row>
    <row r="71" spans="1:12" ht="15" customHeight="1" x14ac:dyDescent="0.3">
      <c r="B71" t="s">
        <v>109</v>
      </c>
      <c r="C71">
        <f>'01_INPUTS_MASTER'!D43</f>
        <v>0.6</v>
      </c>
      <c r="D71" s="8">
        <f>'01_INPUTS_MASTER'!D43</f>
        <v>0.6</v>
      </c>
      <c r="E71" s="8">
        <f>'01_INPUTS_MASTER'!D43</f>
        <v>0.6</v>
      </c>
      <c r="F71" s="8">
        <f>'01_INPUTS_MASTER'!D43</f>
        <v>0.6</v>
      </c>
      <c r="G71" s="8">
        <f>'01_INPUTS_MASTER'!D43</f>
        <v>0.6</v>
      </c>
      <c r="H71" s="8">
        <f>'01_INPUTS_MASTER'!D43</f>
        <v>0.6</v>
      </c>
      <c r="I71" s="8">
        <f>'01_INPUTS_MASTER'!D43</f>
        <v>0.6</v>
      </c>
      <c r="J71" s="8">
        <f>'01_INPUTS_MASTER'!D43</f>
        <v>0.6</v>
      </c>
      <c r="K71" s="8">
        <f>'01_INPUTS_MASTER'!D43</f>
        <v>0.6</v>
      </c>
    </row>
    <row r="72" spans="1:12" ht="15" customHeight="1" x14ac:dyDescent="0.3">
      <c r="B72" t="s">
        <v>170</v>
      </c>
      <c r="C72">
        <f>0</f>
        <v>0</v>
      </c>
      <c r="D72" s="8">
        <f>'04_FLOW_S1_S5'!D7</f>
        <v>0</v>
      </c>
      <c r="E72" s="8">
        <f>'04_FLOW_S1_S5'!E7</f>
        <v>1000</v>
      </c>
      <c r="F72" s="8">
        <f>'04_FLOW_S1_S5'!F7</f>
        <v>0</v>
      </c>
      <c r="G72" s="8">
        <f>'04_FLOW_S1_S5'!G7</f>
        <v>1000</v>
      </c>
      <c r="H72" s="8">
        <f>'04_FLOW_S1_S5'!H7</f>
        <v>0</v>
      </c>
      <c r="I72" s="8">
        <f>'04_FLOW_S1_S5'!I7</f>
        <v>1000</v>
      </c>
      <c r="J72" s="8">
        <f>'04_FLOW_S1_S5'!J7</f>
        <v>0</v>
      </c>
      <c r="K72" s="8">
        <f>'04_FLOW_S1_S5'!K7</f>
        <v>1000</v>
      </c>
    </row>
    <row r="73" spans="1:12" ht="15" customHeight="1" x14ac:dyDescent="0.3">
      <c r="B73" t="s">
        <v>171</v>
      </c>
      <c r="C73">
        <f>0</f>
        <v>0</v>
      </c>
      <c r="D73" s="6">
        <f t="shared" ref="D73:K73" si="34">D72*D71</f>
        <v>0</v>
      </c>
      <c r="E73" s="6">
        <f t="shared" si="34"/>
        <v>600</v>
      </c>
      <c r="F73" s="6">
        <f t="shared" si="34"/>
        <v>0</v>
      </c>
      <c r="G73" s="6">
        <f t="shared" si="34"/>
        <v>600</v>
      </c>
      <c r="H73" s="6">
        <f t="shared" si="34"/>
        <v>0</v>
      </c>
      <c r="I73" s="6">
        <f t="shared" si="34"/>
        <v>600</v>
      </c>
      <c r="J73" s="6">
        <f t="shared" si="34"/>
        <v>0</v>
      </c>
      <c r="K73" s="6">
        <f t="shared" si="34"/>
        <v>600</v>
      </c>
      <c r="L73" s="6">
        <f>SUM(D73:K73)</f>
        <v>2400</v>
      </c>
    </row>
    <row r="74" spans="1:12" ht="15" customHeight="1" x14ac:dyDescent="0.3">
      <c r="B74" t="s">
        <v>151</v>
      </c>
      <c r="C74">
        <f>'01_INPUTS_MASTER'!E43</f>
        <v>6131</v>
      </c>
      <c r="D74" s="7">
        <f>C74</f>
        <v>6131</v>
      </c>
      <c r="E74" s="8">
        <f t="shared" ref="E74:K74" si="35">D78</f>
        <v>6131</v>
      </c>
      <c r="F74" s="8">
        <f t="shared" si="35"/>
        <v>5531</v>
      </c>
      <c r="G74" s="8">
        <f t="shared" si="35"/>
        <v>5531</v>
      </c>
      <c r="H74" s="8">
        <f t="shared" si="35"/>
        <v>4931</v>
      </c>
      <c r="I74" s="8">
        <f t="shared" si="35"/>
        <v>4931</v>
      </c>
      <c r="J74" s="8">
        <f t="shared" si="35"/>
        <v>4331</v>
      </c>
      <c r="K74" s="8">
        <f t="shared" si="35"/>
        <v>4331</v>
      </c>
    </row>
    <row r="75" spans="1:12" ht="15" customHeight="1" x14ac:dyDescent="0.3">
      <c r="B75" t="s">
        <v>172</v>
      </c>
      <c r="C75">
        <f>0</f>
        <v>0</v>
      </c>
      <c r="D75" s="6">
        <f t="shared" ref="D75:K75" si="36">MAX(0,D73-D74)</f>
        <v>0</v>
      </c>
      <c r="E75" s="6">
        <f t="shared" si="36"/>
        <v>0</v>
      </c>
      <c r="F75" s="6">
        <f t="shared" si="36"/>
        <v>0</v>
      </c>
      <c r="G75" s="6">
        <f t="shared" si="36"/>
        <v>0</v>
      </c>
      <c r="H75" s="6">
        <f t="shared" si="36"/>
        <v>0</v>
      </c>
      <c r="I75" s="6">
        <f t="shared" si="36"/>
        <v>0</v>
      </c>
      <c r="J75" s="6">
        <f t="shared" si="36"/>
        <v>0</v>
      </c>
      <c r="K75" s="6">
        <f t="shared" si="36"/>
        <v>0</v>
      </c>
    </row>
    <row r="76" spans="1:12" ht="15" customHeight="1" x14ac:dyDescent="0.3">
      <c r="B76" t="s">
        <v>173</v>
      </c>
      <c r="C76">
        <f>0</f>
        <v>0</v>
      </c>
      <c r="D76">
        <f t="shared" ref="D76:K76" si="37">IF(D70&gt;0,CEILING(D75/D70,1),0)</f>
        <v>0</v>
      </c>
      <c r="E76">
        <f t="shared" si="37"/>
        <v>0</v>
      </c>
      <c r="F76">
        <f t="shared" si="37"/>
        <v>0</v>
      </c>
      <c r="G76">
        <f t="shared" si="37"/>
        <v>0</v>
      </c>
      <c r="H76">
        <f t="shared" si="37"/>
        <v>0</v>
      </c>
      <c r="I76">
        <f t="shared" si="37"/>
        <v>0</v>
      </c>
      <c r="J76">
        <f t="shared" si="37"/>
        <v>0</v>
      </c>
      <c r="K76">
        <f t="shared" si="37"/>
        <v>0</v>
      </c>
    </row>
    <row r="77" spans="1:12" ht="15" customHeight="1" x14ac:dyDescent="0.3">
      <c r="B77" t="s">
        <v>174</v>
      </c>
      <c r="C77" s="7">
        <f>0</f>
        <v>0</v>
      </c>
      <c r="D77">
        <f t="shared" ref="D77:K77" si="38">D76*D70</f>
        <v>0</v>
      </c>
      <c r="E77">
        <f t="shared" si="38"/>
        <v>0</v>
      </c>
      <c r="F77">
        <f t="shared" si="38"/>
        <v>0</v>
      </c>
      <c r="G77">
        <f t="shared" si="38"/>
        <v>0</v>
      </c>
      <c r="H77">
        <f t="shared" si="38"/>
        <v>0</v>
      </c>
      <c r="I77">
        <f t="shared" si="38"/>
        <v>0</v>
      </c>
      <c r="J77">
        <f t="shared" si="38"/>
        <v>0</v>
      </c>
      <c r="K77">
        <f t="shared" si="38"/>
        <v>0</v>
      </c>
      <c r="L77" s="6">
        <f>SUM(D77:K77)</f>
        <v>0</v>
      </c>
    </row>
    <row r="78" spans="1:12" ht="15" customHeight="1" x14ac:dyDescent="0.3">
      <c r="B78" t="s">
        <v>154</v>
      </c>
      <c r="C78">
        <f>C74</f>
        <v>6131</v>
      </c>
      <c r="D78" s="6">
        <f t="shared" ref="D78:K78" si="39">D74+D77*(1)-D73</f>
        <v>6131</v>
      </c>
      <c r="E78" s="6">
        <f t="shared" si="39"/>
        <v>5531</v>
      </c>
      <c r="F78" s="6">
        <f t="shared" si="39"/>
        <v>5531</v>
      </c>
      <c r="G78" s="6">
        <f t="shared" si="39"/>
        <v>4931</v>
      </c>
      <c r="H78" s="6">
        <f t="shared" si="39"/>
        <v>4931</v>
      </c>
      <c r="I78" s="6">
        <f t="shared" si="39"/>
        <v>4331</v>
      </c>
      <c r="J78" s="6">
        <f t="shared" si="39"/>
        <v>4331</v>
      </c>
      <c r="K78" s="6">
        <f t="shared" si="39"/>
        <v>3731</v>
      </c>
    </row>
    <row r="79" spans="1:12" ht="15" customHeight="1" x14ac:dyDescent="0.3">
      <c r="B79" t="s">
        <v>107</v>
      </c>
      <c r="C79">
        <f>0</f>
        <v>0</v>
      </c>
      <c r="D79">
        <f t="shared" ref="D79:K79" si="40">IF(D77&gt;0,0,0)</f>
        <v>0</v>
      </c>
      <c r="E79">
        <f t="shared" si="40"/>
        <v>0</v>
      </c>
      <c r="F79">
        <f t="shared" si="40"/>
        <v>0</v>
      </c>
      <c r="G79">
        <f t="shared" si="40"/>
        <v>0</v>
      </c>
      <c r="H79">
        <f t="shared" si="40"/>
        <v>0</v>
      </c>
      <c r="I79">
        <f t="shared" si="40"/>
        <v>0</v>
      </c>
      <c r="J79">
        <f t="shared" si="40"/>
        <v>0</v>
      </c>
      <c r="K79">
        <f t="shared" si="40"/>
        <v>0</v>
      </c>
      <c r="L79" s="6">
        <f>SUM(D79:K79)</f>
        <v>0</v>
      </c>
    </row>
    <row r="80" spans="1:12" ht="15" customHeight="1" x14ac:dyDescent="0.3">
      <c r="B80" t="s">
        <v>175</v>
      </c>
      <c r="C80">
        <f>0</f>
        <v>0</v>
      </c>
      <c r="D80">
        <f t="shared" ref="D80:K80" si="41">D78*0</f>
        <v>0</v>
      </c>
      <c r="E80">
        <f t="shared" si="41"/>
        <v>0</v>
      </c>
      <c r="F80">
        <f t="shared" si="41"/>
        <v>0</v>
      </c>
      <c r="G80">
        <f t="shared" si="41"/>
        <v>0</v>
      </c>
      <c r="H80">
        <f t="shared" si="41"/>
        <v>0</v>
      </c>
      <c r="I80">
        <f t="shared" si="41"/>
        <v>0</v>
      </c>
      <c r="J80">
        <f t="shared" si="41"/>
        <v>0</v>
      </c>
      <c r="K80">
        <f t="shared" si="41"/>
        <v>0</v>
      </c>
      <c r="L80" s="6">
        <f>SUM(D80:K80)</f>
        <v>0</v>
      </c>
    </row>
    <row r="82" spans="1:12" ht="15" customHeight="1" x14ac:dyDescent="0.3">
      <c r="A82" s="12" t="s">
        <v>100</v>
      </c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</row>
    <row r="83" spans="1:12" ht="15" customHeight="1" x14ac:dyDescent="0.3">
      <c r="B83" t="s">
        <v>91</v>
      </c>
      <c r="C83">
        <f>'01_INPUTS_MASTER'!B44</f>
        <v>100</v>
      </c>
      <c r="D83" s="8">
        <f>'01_INPUTS_MASTER'!B44</f>
        <v>100</v>
      </c>
      <c r="E83" s="8">
        <f>'01_INPUTS_MASTER'!B44</f>
        <v>100</v>
      </c>
      <c r="F83" s="8">
        <f>'01_INPUTS_MASTER'!B44</f>
        <v>100</v>
      </c>
      <c r="G83" s="8">
        <f>'01_INPUTS_MASTER'!B44</f>
        <v>100</v>
      </c>
      <c r="H83" s="8">
        <f>'01_INPUTS_MASTER'!B44</f>
        <v>100</v>
      </c>
      <c r="I83" s="8">
        <f>'01_INPUTS_MASTER'!B44</f>
        <v>100</v>
      </c>
      <c r="J83" s="8">
        <f>'01_INPUTS_MASTER'!B44</f>
        <v>100</v>
      </c>
      <c r="K83" s="8">
        <f>'01_INPUTS_MASTER'!B44</f>
        <v>100</v>
      </c>
    </row>
    <row r="84" spans="1:12" ht="15" customHeight="1" x14ac:dyDescent="0.3">
      <c r="B84" t="s">
        <v>109</v>
      </c>
      <c r="C84">
        <f>'01_INPUTS_MASTER'!D44</f>
        <v>2</v>
      </c>
      <c r="D84" s="8">
        <f>'01_INPUTS_MASTER'!D44</f>
        <v>2</v>
      </c>
      <c r="E84" s="8">
        <f>'01_INPUTS_MASTER'!D44</f>
        <v>2</v>
      </c>
      <c r="F84" s="8">
        <f>'01_INPUTS_MASTER'!D44</f>
        <v>2</v>
      </c>
      <c r="G84" s="8">
        <f>'01_INPUTS_MASTER'!D44</f>
        <v>2</v>
      </c>
      <c r="H84" s="8">
        <f>'01_INPUTS_MASTER'!D44</f>
        <v>2</v>
      </c>
      <c r="I84" s="8">
        <f>'01_INPUTS_MASTER'!D44</f>
        <v>2</v>
      </c>
      <c r="J84" s="8">
        <f>'01_INPUTS_MASTER'!D44</f>
        <v>2</v>
      </c>
      <c r="K84" s="8">
        <f>'01_INPUTS_MASTER'!D44</f>
        <v>2</v>
      </c>
    </row>
    <row r="85" spans="1:12" ht="15" customHeight="1" x14ac:dyDescent="0.3">
      <c r="B85" t="s">
        <v>170</v>
      </c>
      <c r="C85">
        <f>0</f>
        <v>0</v>
      </c>
      <c r="D85" s="8">
        <f>'04_FLOW_S1_S5'!D7</f>
        <v>0</v>
      </c>
      <c r="E85" s="8">
        <f>'04_FLOW_S1_S5'!E7</f>
        <v>1000</v>
      </c>
      <c r="F85" s="8">
        <f>'04_FLOW_S1_S5'!F7</f>
        <v>0</v>
      </c>
      <c r="G85" s="8">
        <f>'04_FLOW_S1_S5'!G7</f>
        <v>1000</v>
      </c>
      <c r="H85" s="8">
        <f>'04_FLOW_S1_S5'!H7</f>
        <v>0</v>
      </c>
      <c r="I85" s="8">
        <f>'04_FLOW_S1_S5'!I7</f>
        <v>1000</v>
      </c>
      <c r="J85" s="8">
        <f>'04_FLOW_S1_S5'!J7</f>
        <v>0</v>
      </c>
      <c r="K85" s="8">
        <f>'04_FLOW_S1_S5'!K7</f>
        <v>1000</v>
      </c>
    </row>
    <row r="86" spans="1:12" ht="15" customHeight="1" x14ac:dyDescent="0.3">
      <c r="B86" t="s">
        <v>171</v>
      </c>
      <c r="C86">
        <f>0</f>
        <v>0</v>
      </c>
      <c r="D86" s="6">
        <f t="shared" ref="D86:K86" si="42">D85*D84</f>
        <v>0</v>
      </c>
      <c r="E86" s="6">
        <f t="shared" si="42"/>
        <v>2000</v>
      </c>
      <c r="F86" s="6">
        <f t="shared" si="42"/>
        <v>0</v>
      </c>
      <c r="G86" s="6">
        <f t="shared" si="42"/>
        <v>2000</v>
      </c>
      <c r="H86" s="6">
        <f t="shared" si="42"/>
        <v>0</v>
      </c>
      <c r="I86" s="6">
        <f t="shared" si="42"/>
        <v>2000</v>
      </c>
      <c r="J86" s="6">
        <f t="shared" si="42"/>
        <v>0</v>
      </c>
      <c r="K86" s="6">
        <f t="shared" si="42"/>
        <v>2000</v>
      </c>
      <c r="L86" s="6">
        <f>SUM(D86:K86)</f>
        <v>8000</v>
      </c>
    </row>
    <row r="87" spans="1:12" ht="15" customHeight="1" x14ac:dyDescent="0.3">
      <c r="B87" t="s">
        <v>151</v>
      </c>
      <c r="C87">
        <f>'01_INPUTS_MASTER'!E44</f>
        <v>16736</v>
      </c>
      <c r="D87" s="7">
        <f>C87</f>
        <v>16736</v>
      </c>
      <c r="E87" s="8">
        <f t="shared" ref="E87:K87" si="43">D91</f>
        <v>16736</v>
      </c>
      <c r="F87" s="8">
        <f t="shared" si="43"/>
        <v>14736</v>
      </c>
      <c r="G87" s="8">
        <f t="shared" si="43"/>
        <v>14736</v>
      </c>
      <c r="H87" s="8">
        <f t="shared" si="43"/>
        <v>12736</v>
      </c>
      <c r="I87" s="8">
        <f t="shared" si="43"/>
        <v>12736</v>
      </c>
      <c r="J87" s="8">
        <f t="shared" si="43"/>
        <v>10736</v>
      </c>
      <c r="K87" s="8">
        <f t="shared" si="43"/>
        <v>10736</v>
      </c>
    </row>
    <row r="88" spans="1:12" ht="15" customHeight="1" x14ac:dyDescent="0.3">
      <c r="B88" t="s">
        <v>172</v>
      </c>
      <c r="C88">
        <f>0</f>
        <v>0</v>
      </c>
      <c r="D88" s="6">
        <f t="shared" ref="D88:K88" si="44">MAX(0,D86-D87)</f>
        <v>0</v>
      </c>
      <c r="E88" s="6">
        <f t="shared" si="44"/>
        <v>0</v>
      </c>
      <c r="F88" s="6">
        <f t="shared" si="44"/>
        <v>0</v>
      </c>
      <c r="G88" s="6">
        <f t="shared" si="44"/>
        <v>0</v>
      </c>
      <c r="H88" s="6">
        <f t="shared" si="44"/>
        <v>0</v>
      </c>
      <c r="I88" s="6">
        <f t="shared" si="44"/>
        <v>0</v>
      </c>
      <c r="J88" s="6">
        <f t="shared" si="44"/>
        <v>0</v>
      </c>
      <c r="K88" s="6">
        <f t="shared" si="44"/>
        <v>0</v>
      </c>
    </row>
    <row r="89" spans="1:12" ht="15" customHeight="1" x14ac:dyDescent="0.3">
      <c r="B89" t="s">
        <v>173</v>
      </c>
      <c r="C89">
        <f>0</f>
        <v>0</v>
      </c>
      <c r="D89">
        <f t="shared" ref="D89:K89" si="45">IF(D83&gt;0,CEILING(D88/D83,1),0)</f>
        <v>0</v>
      </c>
      <c r="E89">
        <f t="shared" si="45"/>
        <v>0</v>
      </c>
      <c r="F89">
        <f t="shared" si="45"/>
        <v>0</v>
      </c>
      <c r="G89">
        <f t="shared" si="45"/>
        <v>0</v>
      </c>
      <c r="H89">
        <f t="shared" si="45"/>
        <v>0</v>
      </c>
      <c r="I89">
        <f t="shared" si="45"/>
        <v>0</v>
      </c>
      <c r="J89">
        <f t="shared" si="45"/>
        <v>0</v>
      </c>
      <c r="K89">
        <f t="shared" si="45"/>
        <v>0</v>
      </c>
    </row>
    <row r="90" spans="1:12" ht="15" customHeight="1" x14ac:dyDescent="0.3">
      <c r="B90" t="s">
        <v>174</v>
      </c>
      <c r="C90" s="7">
        <f>0</f>
        <v>0</v>
      </c>
      <c r="D90">
        <f t="shared" ref="D90:K90" si="46">D89*D83</f>
        <v>0</v>
      </c>
      <c r="E90">
        <f t="shared" si="46"/>
        <v>0</v>
      </c>
      <c r="F90">
        <f t="shared" si="46"/>
        <v>0</v>
      </c>
      <c r="G90">
        <f t="shared" si="46"/>
        <v>0</v>
      </c>
      <c r="H90">
        <f t="shared" si="46"/>
        <v>0</v>
      </c>
      <c r="I90">
        <f t="shared" si="46"/>
        <v>0</v>
      </c>
      <c r="J90">
        <f t="shared" si="46"/>
        <v>0</v>
      </c>
      <c r="K90">
        <f t="shared" si="46"/>
        <v>0</v>
      </c>
      <c r="L90" s="6">
        <f>SUM(D90:K90)</f>
        <v>0</v>
      </c>
    </row>
    <row r="91" spans="1:12" ht="15" customHeight="1" x14ac:dyDescent="0.3">
      <c r="B91" t="s">
        <v>154</v>
      </c>
      <c r="C91">
        <f>C87</f>
        <v>16736</v>
      </c>
      <c r="D91" s="6">
        <f t="shared" ref="D91:K91" si="47">D87+D90*(1)-D86</f>
        <v>16736</v>
      </c>
      <c r="E91" s="6">
        <f t="shared" si="47"/>
        <v>14736</v>
      </c>
      <c r="F91" s="6">
        <f t="shared" si="47"/>
        <v>14736</v>
      </c>
      <c r="G91" s="6">
        <f t="shared" si="47"/>
        <v>12736</v>
      </c>
      <c r="H91" s="6">
        <f t="shared" si="47"/>
        <v>12736</v>
      </c>
      <c r="I91" s="6">
        <f t="shared" si="47"/>
        <v>10736</v>
      </c>
      <c r="J91" s="6">
        <f t="shared" si="47"/>
        <v>10736</v>
      </c>
      <c r="K91" s="6">
        <f t="shared" si="47"/>
        <v>8736</v>
      </c>
    </row>
    <row r="92" spans="1:12" ht="15" customHeight="1" x14ac:dyDescent="0.3">
      <c r="B92" t="s">
        <v>107</v>
      </c>
      <c r="C92">
        <f>0</f>
        <v>0</v>
      </c>
      <c r="D92">
        <f t="shared" ref="D92:K92" si="48">IF(D90&gt;0,0,0)</f>
        <v>0</v>
      </c>
      <c r="E92">
        <f t="shared" si="48"/>
        <v>0</v>
      </c>
      <c r="F92">
        <f t="shared" si="48"/>
        <v>0</v>
      </c>
      <c r="G92">
        <f t="shared" si="48"/>
        <v>0</v>
      </c>
      <c r="H92">
        <f t="shared" si="48"/>
        <v>0</v>
      </c>
      <c r="I92">
        <f t="shared" si="48"/>
        <v>0</v>
      </c>
      <c r="J92">
        <f t="shared" si="48"/>
        <v>0</v>
      </c>
      <c r="K92">
        <f t="shared" si="48"/>
        <v>0</v>
      </c>
      <c r="L92" s="6">
        <f>SUM(D92:K92)</f>
        <v>0</v>
      </c>
    </row>
    <row r="93" spans="1:12" ht="15" customHeight="1" x14ac:dyDescent="0.3">
      <c r="B93" t="s">
        <v>175</v>
      </c>
      <c r="C93">
        <f>0</f>
        <v>0</v>
      </c>
      <c r="D93">
        <f t="shared" ref="D93:K93" si="49">D91*0</f>
        <v>0</v>
      </c>
      <c r="E93">
        <f t="shared" si="49"/>
        <v>0</v>
      </c>
      <c r="F93">
        <f t="shared" si="49"/>
        <v>0</v>
      </c>
      <c r="G93">
        <f t="shared" si="49"/>
        <v>0</v>
      </c>
      <c r="H93">
        <f t="shared" si="49"/>
        <v>0</v>
      </c>
      <c r="I93">
        <f t="shared" si="49"/>
        <v>0</v>
      </c>
      <c r="J93">
        <f t="shared" si="49"/>
        <v>0</v>
      </c>
      <c r="K93">
        <f t="shared" si="49"/>
        <v>0</v>
      </c>
      <c r="L93" s="6">
        <f>SUM(D93:K93)</f>
        <v>0</v>
      </c>
    </row>
    <row r="95" spans="1:12" ht="15" customHeight="1" x14ac:dyDescent="0.3">
      <c r="A95" s="12" t="s">
        <v>101</v>
      </c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</row>
    <row r="96" spans="1:12" ht="15" customHeight="1" x14ac:dyDescent="0.3">
      <c r="B96" t="s">
        <v>91</v>
      </c>
      <c r="C96">
        <f>'01_INPUTS_MASTER'!B45</f>
        <v>150</v>
      </c>
      <c r="D96" s="8">
        <f>'01_INPUTS_MASTER'!B45</f>
        <v>150</v>
      </c>
      <c r="E96" s="8">
        <f>'01_INPUTS_MASTER'!B45</f>
        <v>150</v>
      </c>
      <c r="F96" s="8">
        <f>'01_INPUTS_MASTER'!B45</f>
        <v>150</v>
      </c>
      <c r="G96" s="8">
        <f>'01_INPUTS_MASTER'!B45</f>
        <v>150</v>
      </c>
      <c r="H96" s="8">
        <f>'01_INPUTS_MASTER'!B45</f>
        <v>150</v>
      </c>
      <c r="I96" s="8">
        <f>'01_INPUTS_MASTER'!B45</f>
        <v>150</v>
      </c>
      <c r="J96" s="8">
        <f>'01_INPUTS_MASTER'!B45</f>
        <v>150</v>
      </c>
      <c r="K96" s="8">
        <f>'01_INPUTS_MASTER'!B45</f>
        <v>150</v>
      </c>
    </row>
    <row r="97" spans="1:12" ht="15" customHeight="1" x14ac:dyDescent="0.3">
      <c r="B97" t="s">
        <v>109</v>
      </c>
      <c r="C97">
        <f>'01_INPUTS_MASTER'!D45</f>
        <v>0.75</v>
      </c>
      <c r="D97" s="8">
        <f>'01_INPUTS_MASTER'!D45</f>
        <v>0.75</v>
      </c>
      <c r="E97" s="8">
        <f>'01_INPUTS_MASTER'!D45</f>
        <v>0.75</v>
      </c>
      <c r="F97" s="8">
        <f>'01_INPUTS_MASTER'!D45</f>
        <v>0.75</v>
      </c>
      <c r="G97" s="8">
        <f>'01_INPUTS_MASTER'!D45</f>
        <v>0.75</v>
      </c>
      <c r="H97" s="8">
        <f>'01_INPUTS_MASTER'!D45</f>
        <v>0.75</v>
      </c>
      <c r="I97" s="8">
        <f>'01_INPUTS_MASTER'!D45</f>
        <v>0.75</v>
      </c>
      <c r="J97" s="8">
        <f>'01_INPUTS_MASTER'!D45</f>
        <v>0.75</v>
      </c>
      <c r="K97" s="8">
        <f>'01_INPUTS_MASTER'!D45</f>
        <v>0.75</v>
      </c>
    </row>
    <row r="98" spans="1:12" ht="15" customHeight="1" x14ac:dyDescent="0.3">
      <c r="B98" t="s">
        <v>170</v>
      </c>
      <c r="C98">
        <f>0</f>
        <v>0</v>
      </c>
      <c r="D98" s="8">
        <f>'04_FLOW_S1_S5'!D7</f>
        <v>0</v>
      </c>
      <c r="E98" s="8">
        <f>'04_FLOW_S1_S5'!E7</f>
        <v>1000</v>
      </c>
      <c r="F98" s="8">
        <f>'04_FLOW_S1_S5'!F7</f>
        <v>0</v>
      </c>
      <c r="G98" s="8">
        <f>'04_FLOW_S1_S5'!G7</f>
        <v>1000</v>
      </c>
      <c r="H98" s="8">
        <f>'04_FLOW_S1_S5'!H7</f>
        <v>0</v>
      </c>
      <c r="I98" s="8">
        <f>'04_FLOW_S1_S5'!I7</f>
        <v>1000</v>
      </c>
      <c r="J98" s="8">
        <f>'04_FLOW_S1_S5'!J7</f>
        <v>0</v>
      </c>
      <c r="K98" s="8">
        <f>'04_FLOW_S1_S5'!K7</f>
        <v>1000</v>
      </c>
    </row>
    <row r="99" spans="1:12" ht="15" customHeight="1" x14ac:dyDescent="0.3">
      <c r="B99" t="s">
        <v>171</v>
      </c>
      <c r="C99">
        <f>0</f>
        <v>0</v>
      </c>
      <c r="D99" s="6">
        <f t="shared" ref="D99:K99" si="50">D98*D97</f>
        <v>0</v>
      </c>
      <c r="E99" s="6">
        <f t="shared" si="50"/>
        <v>750</v>
      </c>
      <c r="F99" s="6">
        <f t="shared" si="50"/>
        <v>0</v>
      </c>
      <c r="G99" s="6">
        <f t="shared" si="50"/>
        <v>750</v>
      </c>
      <c r="H99" s="6">
        <f t="shared" si="50"/>
        <v>0</v>
      </c>
      <c r="I99" s="6">
        <f t="shared" si="50"/>
        <v>750</v>
      </c>
      <c r="J99" s="6">
        <f t="shared" si="50"/>
        <v>0</v>
      </c>
      <c r="K99" s="6">
        <f t="shared" si="50"/>
        <v>750</v>
      </c>
      <c r="L99" s="6">
        <f>SUM(D99:K99)</f>
        <v>3000</v>
      </c>
    </row>
    <row r="100" spans="1:12" ht="15" customHeight="1" x14ac:dyDescent="0.3">
      <c r="B100" t="s">
        <v>151</v>
      </c>
      <c r="C100">
        <f>'01_INPUTS_MASTER'!E45</f>
        <v>4439</v>
      </c>
      <c r="D100" s="7">
        <f>C100</f>
        <v>4439</v>
      </c>
      <c r="E100" s="8">
        <f t="shared" ref="E100:K100" si="51">D104</f>
        <v>4439</v>
      </c>
      <c r="F100" s="8">
        <f t="shared" si="51"/>
        <v>3689</v>
      </c>
      <c r="G100" s="8">
        <f t="shared" si="51"/>
        <v>3689</v>
      </c>
      <c r="H100" s="8">
        <f t="shared" si="51"/>
        <v>2939</v>
      </c>
      <c r="I100" s="8">
        <f t="shared" si="51"/>
        <v>2939</v>
      </c>
      <c r="J100" s="8">
        <f t="shared" si="51"/>
        <v>2189</v>
      </c>
      <c r="K100" s="8">
        <f t="shared" si="51"/>
        <v>2189</v>
      </c>
    </row>
    <row r="101" spans="1:12" ht="15" customHeight="1" x14ac:dyDescent="0.3">
      <c r="B101" t="s">
        <v>172</v>
      </c>
      <c r="C101">
        <f>0</f>
        <v>0</v>
      </c>
      <c r="D101" s="6">
        <f t="shared" ref="D101:K101" si="52">MAX(0,D99-D100)</f>
        <v>0</v>
      </c>
      <c r="E101" s="6">
        <f t="shared" si="52"/>
        <v>0</v>
      </c>
      <c r="F101" s="6">
        <f t="shared" si="52"/>
        <v>0</v>
      </c>
      <c r="G101" s="6">
        <f t="shared" si="52"/>
        <v>0</v>
      </c>
      <c r="H101" s="6">
        <f t="shared" si="52"/>
        <v>0</v>
      </c>
      <c r="I101" s="6">
        <f t="shared" si="52"/>
        <v>0</v>
      </c>
      <c r="J101" s="6">
        <f t="shared" si="52"/>
        <v>0</v>
      </c>
      <c r="K101" s="6">
        <f t="shared" si="52"/>
        <v>0</v>
      </c>
    </row>
    <row r="102" spans="1:12" ht="15" customHeight="1" x14ac:dyDescent="0.3">
      <c r="B102" t="s">
        <v>173</v>
      </c>
      <c r="C102">
        <f>0</f>
        <v>0</v>
      </c>
      <c r="D102">
        <f t="shared" ref="D102:K102" si="53">IF(D96&gt;0,CEILING(D101/D96,1),0)</f>
        <v>0</v>
      </c>
      <c r="E102">
        <f t="shared" si="53"/>
        <v>0</v>
      </c>
      <c r="F102">
        <f t="shared" si="53"/>
        <v>0</v>
      </c>
      <c r="G102">
        <f t="shared" si="53"/>
        <v>0</v>
      </c>
      <c r="H102">
        <f t="shared" si="53"/>
        <v>0</v>
      </c>
      <c r="I102">
        <f t="shared" si="53"/>
        <v>0</v>
      </c>
      <c r="J102">
        <f t="shared" si="53"/>
        <v>0</v>
      </c>
      <c r="K102">
        <f t="shared" si="53"/>
        <v>0</v>
      </c>
    </row>
    <row r="103" spans="1:12" ht="15" customHeight="1" x14ac:dyDescent="0.3">
      <c r="B103" t="s">
        <v>174</v>
      </c>
      <c r="C103" s="7">
        <f>0</f>
        <v>0</v>
      </c>
      <c r="D103">
        <f t="shared" ref="D103:K103" si="54">D102*D96</f>
        <v>0</v>
      </c>
      <c r="E103">
        <f t="shared" si="54"/>
        <v>0</v>
      </c>
      <c r="F103">
        <f t="shared" si="54"/>
        <v>0</v>
      </c>
      <c r="G103">
        <f t="shared" si="54"/>
        <v>0</v>
      </c>
      <c r="H103">
        <f t="shared" si="54"/>
        <v>0</v>
      </c>
      <c r="I103">
        <f t="shared" si="54"/>
        <v>0</v>
      </c>
      <c r="J103">
        <f t="shared" si="54"/>
        <v>0</v>
      </c>
      <c r="K103">
        <f t="shared" si="54"/>
        <v>0</v>
      </c>
      <c r="L103" s="6">
        <f>SUM(D103:K103)</f>
        <v>0</v>
      </c>
    </row>
    <row r="104" spans="1:12" ht="15" customHeight="1" x14ac:dyDescent="0.3">
      <c r="B104" t="s">
        <v>154</v>
      </c>
      <c r="C104">
        <f>C100</f>
        <v>4439</v>
      </c>
      <c r="D104" s="6">
        <f t="shared" ref="D104:K104" si="55">D100+D103*(1)-D99</f>
        <v>4439</v>
      </c>
      <c r="E104" s="6">
        <f t="shared" si="55"/>
        <v>3689</v>
      </c>
      <c r="F104" s="6">
        <f t="shared" si="55"/>
        <v>3689</v>
      </c>
      <c r="G104" s="6">
        <f t="shared" si="55"/>
        <v>2939</v>
      </c>
      <c r="H104" s="6">
        <f t="shared" si="55"/>
        <v>2939</v>
      </c>
      <c r="I104" s="6">
        <f t="shared" si="55"/>
        <v>2189</v>
      </c>
      <c r="J104" s="6">
        <f t="shared" si="55"/>
        <v>2189</v>
      </c>
      <c r="K104" s="6">
        <f t="shared" si="55"/>
        <v>1439</v>
      </c>
    </row>
    <row r="105" spans="1:12" ht="15" customHeight="1" x14ac:dyDescent="0.3">
      <c r="B105" t="s">
        <v>107</v>
      </c>
      <c r="C105">
        <f>0</f>
        <v>0</v>
      </c>
      <c r="D105">
        <f t="shared" ref="D105:K105" si="56">IF(D103&gt;0,0,0)</f>
        <v>0</v>
      </c>
      <c r="E105">
        <f t="shared" si="56"/>
        <v>0</v>
      </c>
      <c r="F105">
        <f t="shared" si="56"/>
        <v>0</v>
      </c>
      <c r="G105">
        <f t="shared" si="56"/>
        <v>0</v>
      </c>
      <c r="H105">
        <f t="shared" si="56"/>
        <v>0</v>
      </c>
      <c r="I105">
        <f t="shared" si="56"/>
        <v>0</v>
      </c>
      <c r="J105">
        <f t="shared" si="56"/>
        <v>0</v>
      </c>
      <c r="K105">
        <f t="shared" si="56"/>
        <v>0</v>
      </c>
      <c r="L105" s="6">
        <f>SUM(D105:K105)</f>
        <v>0</v>
      </c>
    </row>
    <row r="106" spans="1:12" ht="15" customHeight="1" x14ac:dyDescent="0.3">
      <c r="B106" t="s">
        <v>175</v>
      </c>
      <c r="C106">
        <f>0</f>
        <v>0</v>
      </c>
      <c r="D106">
        <f t="shared" ref="D106:K106" si="57">D104*0</f>
        <v>0</v>
      </c>
      <c r="E106">
        <f t="shared" si="57"/>
        <v>0</v>
      </c>
      <c r="F106">
        <f t="shared" si="57"/>
        <v>0</v>
      </c>
      <c r="G106">
        <f t="shared" si="57"/>
        <v>0</v>
      </c>
      <c r="H106">
        <f t="shared" si="57"/>
        <v>0</v>
      </c>
      <c r="I106">
        <f t="shared" si="57"/>
        <v>0</v>
      </c>
      <c r="J106">
        <f t="shared" si="57"/>
        <v>0</v>
      </c>
      <c r="K106">
        <f t="shared" si="57"/>
        <v>0</v>
      </c>
      <c r="L106" s="6">
        <f>SUM(D106:K106)</f>
        <v>0</v>
      </c>
    </row>
    <row r="109" spans="1:12" x14ac:dyDescent="0.3">
      <c r="A109" t="s">
        <v>262</v>
      </c>
    </row>
    <row r="110" spans="1:12" x14ac:dyDescent="0.3">
      <c r="A110" s="2" t="s">
        <v>168</v>
      </c>
      <c r="B110" s="2" t="s">
        <v>128</v>
      </c>
      <c r="C110" s="2" t="s">
        <v>169</v>
      </c>
      <c r="D110" s="2" t="s">
        <v>67</v>
      </c>
      <c r="E110" s="2" t="s">
        <v>69</v>
      </c>
      <c r="F110" s="2" t="s">
        <v>71</v>
      </c>
      <c r="G110" s="2" t="s">
        <v>75</v>
      </c>
      <c r="H110" s="2" t="s">
        <v>77</v>
      </c>
      <c r="I110" s="2" t="s">
        <v>129</v>
      </c>
      <c r="J110" s="2" t="s">
        <v>130</v>
      </c>
      <c r="K110" s="2" t="s">
        <v>131</v>
      </c>
      <c r="L110" s="2" t="s">
        <v>132</v>
      </c>
    </row>
    <row r="111" spans="1:12" x14ac:dyDescent="0.3">
      <c r="A111" s="12" t="s">
        <v>110</v>
      </c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</row>
    <row r="112" spans="1:12" x14ac:dyDescent="0.3">
      <c r="B112" t="s">
        <v>91</v>
      </c>
      <c r="C112">
        <f>'01_INPUTS_MASTER'!B49</f>
        <v>30</v>
      </c>
      <c r="D112" s="8">
        <f>'01_INPUTS_MASTER'!B49</f>
        <v>30</v>
      </c>
      <c r="E112" s="8">
        <f>'01_INPUTS_MASTER'!B49</f>
        <v>30</v>
      </c>
      <c r="F112" s="8">
        <f>'01_INPUTS_MASTER'!B49</f>
        <v>30</v>
      </c>
      <c r="G112" s="8">
        <f>'01_INPUTS_MASTER'!B49</f>
        <v>30</v>
      </c>
      <c r="H112" s="8">
        <f>'01_INPUTS_MASTER'!B49</f>
        <v>30</v>
      </c>
      <c r="I112" s="8">
        <f>'01_INPUTS_MASTER'!B49</f>
        <v>30</v>
      </c>
      <c r="J112" s="8">
        <f>'01_INPUTS_MASTER'!B49</f>
        <v>30</v>
      </c>
      <c r="K112" s="8">
        <f>'01_INPUTS_MASTER'!B49</f>
        <v>30</v>
      </c>
    </row>
    <row r="113" spans="1:12" x14ac:dyDescent="0.3">
      <c r="B113" t="s">
        <v>109</v>
      </c>
      <c r="C113">
        <f>'01_INPUTS_MASTER'!H49</f>
        <v>1</v>
      </c>
      <c r="D113" s="8">
        <f>'01_INPUTS_MASTER'!H49</f>
        <v>1</v>
      </c>
      <c r="E113" s="8">
        <f>'01_INPUTS_MASTER'!H49</f>
        <v>1</v>
      </c>
      <c r="F113" s="8">
        <f>'01_INPUTS_MASTER'!H49</f>
        <v>1</v>
      </c>
      <c r="G113" s="8">
        <f>'01_INPUTS_MASTER'!H49</f>
        <v>1</v>
      </c>
      <c r="H113" s="8">
        <f>'01_INPUTS_MASTER'!H49</f>
        <v>1</v>
      </c>
      <c r="I113" s="8">
        <f>'01_INPUTS_MASTER'!H49</f>
        <v>1</v>
      </c>
      <c r="J113" s="8">
        <f>'01_INPUTS_MASTER'!H49</f>
        <v>1</v>
      </c>
      <c r="K113" s="8">
        <f>'01_INPUTS_MASTER'!H49</f>
        <v>1</v>
      </c>
    </row>
    <row r="114" spans="1:12" x14ac:dyDescent="0.3">
      <c r="B114" t="s">
        <v>170</v>
      </c>
      <c r="C114">
        <f>0</f>
        <v>0</v>
      </c>
      <c r="D114" s="8">
        <f>'04_FLOW_S1_S5'!D38</f>
        <v>0</v>
      </c>
      <c r="E114" s="8">
        <f>'04_FLOW_S1_S5'!E38</f>
        <v>1000</v>
      </c>
      <c r="F114" s="8">
        <f>'04_FLOW_S1_S5'!F38</f>
        <v>0</v>
      </c>
      <c r="G114" s="8">
        <f>'04_FLOW_S1_S5'!G38</f>
        <v>1000</v>
      </c>
      <c r="H114" s="8">
        <f>'04_FLOW_S1_S5'!H38</f>
        <v>0</v>
      </c>
      <c r="I114" s="8">
        <f>'04_FLOW_S1_S5'!I38</f>
        <v>1000</v>
      </c>
      <c r="J114" s="8">
        <f>'04_FLOW_S1_S5'!J38</f>
        <v>0</v>
      </c>
      <c r="K114" s="8">
        <f>'04_FLOW_S1_S5'!K38</f>
        <v>1000</v>
      </c>
    </row>
    <row r="115" spans="1:12" x14ac:dyDescent="0.3">
      <c r="B115" t="s">
        <v>171</v>
      </c>
      <c r="C115">
        <f>0</f>
        <v>0</v>
      </c>
      <c r="D115" s="6">
        <f t="shared" ref="D115:K115" si="58">D114*D113</f>
        <v>0</v>
      </c>
      <c r="E115" s="6">
        <f t="shared" si="58"/>
        <v>1000</v>
      </c>
      <c r="F115" s="6">
        <f t="shared" si="58"/>
        <v>0</v>
      </c>
      <c r="G115" s="6">
        <f t="shared" si="58"/>
        <v>1000</v>
      </c>
      <c r="H115" s="6">
        <f t="shared" si="58"/>
        <v>0</v>
      </c>
      <c r="I115" s="6">
        <f t="shared" si="58"/>
        <v>1000</v>
      </c>
      <c r="J115" s="6">
        <f t="shared" si="58"/>
        <v>0</v>
      </c>
      <c r="K115" s="6">
        <f t="shared" si="58"/>
        <v>1000</v>
      </c>
      <c r="L115" s="6">
        <f>SUM(D115:K115)</f>
        <v>4000</v>
      </c>
    </row>
    <row r="116" spans="1:12" x14ac:dyDescent="0.3">
      <c r="B116" t="s">
        <v>151</v>
      </c>
      <c r="C116">
        <f>'01_INPUTS_MASTER'!N49</f>
        <v>0</v>
      </c>
      <c r="D116" s="7">
        <f>C116</f>
        <v>0</v>
      </c>
      <c r="E116" s="8">
        <f t="shared" ref="E116:K116" si="59">D120</f>
        <v>0</v>
      </c>
      <c r="F116" s="8">
        <f t="shared" si="59"/>
        <v>20</v>
      </c>
      <c r="G116" s="8">
        <f t="shared" si="59"/>
        <v>20</v>
      </c>
      <c r="H116" s="8">
        <f t="shared" si="59"/>
        <v>10</v>
      </c>
      <c r="I116" s="8">
        <f t="shared" si="59"/>
        <v>10</v>
      </c>
      <c r="J116" s="8">
        <f t="shared" si="59"/>
        <v>0</v>
      </c>
      <c r="K116" s="8">
        <f t="shared" si="59"/>
        <v>0</v>
      </c>
    </row>
    <row r="117" spans="1:12" x14ac:dyDescent="0.3">
      <c r="B117" t="s">
        <v>172</v>
      </c>
      <c r="C117">
        <f>0</f>
        <v>0</v>
      </c>
      <c r="D117" s="6">
        <f t="shared" ref="D117:K117" si="60">MAX(0,D115-D116)</f>
        <v>0</v>
      </c>
      <c r="E117" s="6">
        <f t="shared" si="60"/>
        <v>1000</v>
      </c>
      <c r="F117" s="6">
        <f t="shared" si="60"/>
        <v>0</v>
      </c>
      <c r="G117" s="6">
        <f t="shared" si="60"/>
        <v>980</v>
      </c>
      <c r="H117" s="6">
        <f t="shared" si="60"/>
        <v>0</v>
      </c>
      <c r="I117" s="6">
        <f t="shared" si="60"/>
        <v>990</v>
      </c>
      <c r="J117" s="6">
        <f t="shared" si="60"/>
        <v>0</v>
      </c>
      <c r="K117" s="6">
        <f t="shared" si="60"/>
        <v>1000</v>
      </c>
    </row>
    <row r="118" spans="1:12" x14ac:dyDescent="0.3">
      <c r="B118" t="s">
        <v>173</v>
      </c>
      <c r="C118">
        <f>0</f>
        <v>0</v>
      </c>
      <c r="D118" s="6">
        <f t="shared" ref="D118:K118" si="61">IF(D112&gt;0,CEILING(D117/D112,1),0)</f>
        <v>0</v>
      </c>
      <c r="E118" s="6">
        <f t="shared" si="61"/>
        <v>34</v>
      </c>
      <c r="F118" s="6">
        <f t="shared" si="61"/>
        <v>0</v>
      </c>
      <c r="G118" s="6">
        <f t="shared" si="61"/>
        <v>33</v>
      </c>
      <c r="H118" s="6">
        <f t="shared" si="61"/>
        <v>0</v>
      </c>
      <c r="I118" s="6">
        <f t="shared" si="61"/>
        <v>33</v>
      </c>
      <c r="J118" s="6">
        <f t="shared" si="61"/>
        <v>0</v>
      </c>
      <c r="K118" s="6">
        <f t="shared" si="61"/>
        <v>34</v>
      </c>
    </row>
    <row r="119" spans="1:12" x14ac:dyDescent="0.3">
      <c r="B119" t="s">
        <v>174</v>
      </c>
      <c r="C119">
        <f>0</f>
        <v>0</v>
      </c>
      <c r="D119" s="6">
        <f t="shared" ref="D119:K119" si="62">D118*D112</f>
        <v>0</v>
      </c>
      <c r="E119" s="6">
        <f t="shared" si="62"/>
        <v>1020</v>
      </c>
      <c r="F119" s="6">
        <f t="shared" si="62"/>
        <v>0</v>
      </c>
      <c r="G119" s="6">
        <f t="shared" si="62"/>
        <v>990</v>
      </c>
      <c r="H119" s="6">
        <f t="shared" si="62"/>
        <v>0</v>
      </c>
      <c r="I119" s="6">
        <f t="shared" si="62"/>
        <v>990</v>
      </c>
      <c r="J119" s="6">
        <f t="shared" si="62"/>
        <v>0</v>
      </c>
      <c r="K119" s="6">
        <f t="shared" si="62"/>
        <v>1020</v>
      </c>
      <c r="L119" s="6">
        <f>SUM(D119:K119)</f>
        <v>4020</v>
      </c>
    </row>
    <row r="120" spans="1:12" x14ac:dyDescent="0.3">
      <c r="B120" t="s">
        <v>154</v>
      </c>
      <c r="C120">
        <f>C116</f>
        <v>0</v>
      </c>
      <c r="D120" s="6">
        <f>D116+D119*(IF('01_INPUTS_MASTER'!M55="B",1-'01_INPUTS_MASTER'!Q55,1))-D115</f>
        <v>0</v>
      </c>
      <c r="E120" s="6">
        <f>E116+E119*(IF('01_INPUTS_MASTER'!M55="B",1-'01_INPUTS_MASTER'!Q55,1))-E115</f>
        <v>20</v>
      </c>
      <c r="F120" s="6">
        <f>F116+F119*(IF('01_INPUTS_MASTER'!M55="B",1-'01_INPUTS_MASTER'!Q55,1))-F115</f>
        <v>20</v>
      </c>
      <c r="G120" s="6">
        <f>G116+G119*(IF('01_INPUTS_MASTER'!M55="B",1-'01_INPUTS_MASTER'!Q55,1))-G115</f>
        <v>10</v>
      </c>
      <c r="H120" s="6">
        <f>H116+H119*(IF('01_INPUTS_MASTER'!M55="B",1-'01_INPUTS_MASTER'!Q55,1))-H115</f>
        <v>10</v>
      </c>
      <c r="I120" s="6">
        <f>I116+I119*(IF('01_INPUTS_MASTER'!M55="B",1-'01_INPUTS_MASTER'!Q55,1))-I115</f>
        <v>0</v>
      </c>
      <c r="J120" s="6">
        <f>J116+J119*(IF('01_INPUTS_MASTER'!M55="B",1-'01_INPUTS_MASTER'!Q55,1))-J115</f>
        <v>0</v>
      </c>
      <c r="K120" s="6">
        <f>K116+K119*(IF('01_INPUTS_MASTER'!M55="B",1-'01_INPUTS_MASTER'!Q55,1))-K115</f>
        <v>20</v>
      </c>
    </row>
    <row r="121" spans="1:12" x14ac:dyDescent="0.3">
      <c r="B121" t="s">
        <v>107</v>
      </c>
      <c r="C121">
        <f>0</f>
        <v>0</v>
      </c>
      <c r="D121" s="6">
        <f>IF(D119&gt;0,'01_INPUTS_MASTER'!F49,0)</f>
        <v>0</v>
      </c>
      <c r="E121" s="6">
        <f>IF(E119&gt;0,'01_INPUTS_MASTER'!F49,0)</f>
        <v>2300</v>
      </c>
      <c r="F121" s="6">
        <f>IF(F119&gt;0,'01_INPUTS_MASTER'!F49,0)</f>
        <v>0</v>
      </c>
      <c r="G121" s="6">
        <f>IF(G119&gt;0,'01_INPUTS_MASTER'!F49,0)</f>
        <v>2300</v>
      </c>
      <c r="H121" s="6">
        <f>IF(H119&gt;0,'01_INPUTS_MASTER'!F49,0)</f>
        <v>0</v>
      </c>
      <c r="I121" s="6">
        <f>IF(I119&gt;0,'01_INPUTS_MASTER'!F49,0)</f>
        <v>2300</v>
      </c>
      <c r="J121" s="6">
        <f>IF(J119&gt;0,'01_INPUTS_MASTER'!F49,0)</f>
        <v>0</v>
      </c>
      <c r="K121" s="6">
        <f>IF(K119&gt;0,'01_INPUTS_MASTER'!F49,0)</f>
        <v>2300</v>
      </c>
      <c r="L121" s="6">
        <f>SUM(D121:K121)</f>
        <v>9200</v>
      </c>
    </row>
    <row r="122" spans="1:12" x14ac:dyDescent="0.3">
      <c r="B122" t="s">
        <v>175</v>
      </c>
      <c r="C122">
        <f>0</f>
        <v>0</v>
      </c>
      <c r="D122" s="6">
        <f>D120*'01_INPUTS_MASTER'!G49</f>
        <v>0</v>
      </c>
      <c r="E122" s="6">
        <f>E120*'01_INPUTS_MASTER'!G49</f>
        <v>6</v>
      </c>
      <c r="F122" s="6">
        <f>F120*'01_INPUTS_MASTER'!G49</f>
        <v>6</v>
      </c>
      <c r="G122" s="6">
        <f>G120*'01_INPUTS_MASTER'!G49</f>
        <v>3</v>
      </c>
      <c r="H122" s="6">
        <f>H120*'01_INPUTS_MASTER'!G49</f>
        <v>3</v>
      </c>
      <c r="I122" s="6">
        <f>I120*'01_INPUTS_MASTER'!G49</f>
        <v>0</v>
      </c>
      <c r="J122" s="6">
        <f>J120*'01_INPUTS_MASTER'!G49</f>
        <v>0</v>
      </c>
      <c r="K122" s="6">
        <f>K120*'01_INPUTS_MASTER'!G49</f>
        <v>6</v>
      </c>
      <c r="L122" s="6">
        <f>SUM(D122:K122)</f>
        <v>24</v>
      </c>
    </row>
    <row r="124" spans="1:12" x14ac:dyDescent="0.3">
      <c r="A124" s="12" t="s">
        <v>111</v>
      </c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</row>
    <row r="125" spans="1:12" x14ac:dyDescent="0.3">
      <c r="B125" t="s">
        <v>91</v>
      </c>
      <c r="C125">
        <f>'01_INPUTS_MASTER'!B50</f>
        <v>12</v>
      </c>
      <c r="D125" s="8">
        <f>'01_INPUTS_MASTER'!B50</f>
        <v>12</v>
      </c>
      <c r="E125" s="8">
        <f>'01_INPUTS_MASTER'!B50</f>
        <v>12</v>
      </c>
      <c r="F125" s="8">
        <f>'01_INPUTS_MASTER'!B50</f>
        <v>12</v>
      </c>
      <c r="G125" s="8">
        <f>'01_INPUTS_MASTER'!B50</f>
        <v>12</v>
      </c>
      <c r="H125" s="8">
        <f>'01_INPUTS_MASTER'!B50</f>
        <v>12</v>
      </c>
      <c r="I125" s="8">
        <f>'01_INPUTS_MASTER'!B50</f>
        <v>12</v>
      </c>
      <c r="J125" s="8">
        <f>'01_INPUTS_MASTER'!B50</f>
        <v>12</v>
      </c>
      <c r="K125" s="8">
        <f>'01_INPUTS_MASTER'!B50</f>
        <v>12</v>
      </c>
    </row>
    <row r="126" spans="1:12" x14ac:dyDescent="0.3">
      <c r="B126" t="s">
        <v>109</v>
      </c>
      <c r="C126">
        <f>'01_INPUTS_MASTER'!H50</f>
        <v>0.2</v>
      </c>
      <c r="D126" s="8">
        <f>'01_INPUTS_MASTER'!H50</f>
        <v>0.2</v>
      </c>
      <c r="E126" s="8">
        <f>'01_INPUTS_MASTER'!H50</f>
        <v>0.2</v>
      </c>
      <c r="F126" s="8">
        <f>'01_INPUTS_MASTER'!H50</f>
        <v>0.2</v>
      </c>
      <c r="G126" s="8">
        <f>'01_INPUTS_MASTER'!H50</f>
        <v>0.2</v>
      </c>
      <c r="H126" s="8">
        <f>'01_INPUTS_MASTER'!H50</f>
        <v>0.2</v>
      </c>
      <c r="I126" s="8">
        <f>'01_INPUTS_MASTER'!H50</f>
        <v>0.2</v>
      </c>
      <c r="J126" s="8">
        <f>'01_INPUTS_MASTER'!H50</f>
        <v>0.2</v>
      </c>
      <c r="K126" s="8">
        <f>'01_INPUTS_MASTER'!H50</f>
        <v>0.2</v>
      </c>
    </row>
    <row r="127" spans="1:12" x14ac:dyDescent="0.3">
      <c r="B127" t="s">
        <v>170</v>
      </c>
      <c r="C127">
        <f>0</f>
        <v>0</v>
      </c>
      <c r="D127" s="8">
        <f>'04_FLOW_S1_S5'!D38</f>
        <v>0</v>
      </c>
      <c r="E127" s="8">
        <f>'04_FLOW_S1_S5'!E38</f>
        <v>1000</v>
      </c>
      <c r="F127" s="8">
        <f>'04_FLOW_S1_S5'!F38</f>
        <v>0</v>
      </c>
      <c r="G127" s="8">
        <f>'04_FLOW_S1_S5'!G38</f>
        <v>1000</v>
      </c>
      <c r="H127" s="8">
        <f>'04_FLOW_S1_S5'!H38</f>
        <v>0</v>
      </c>
      <c r="I127" s="8">
        <f>'04_FLOW_S1_S5'!I38</f>
        <v>1000</v>
      </c>
      <c r="J127" s="8">
        <f>'04_FLOW_S1_S5'!J38</f>
        <v>0</v>
      </c>
      <c r="K127" s="8">
        <f>'04_FLOW_S1_S5'!K38</f>
        <v>1000</v>
      </c>
    </row>
    <row r="128" spans="1:12" x14ac:dyDescent="0.3">
      <c r="B128" t="s">
        <v>171</v>
      </c>
      <c r="C128">
        <f>0</f>
        <v>0</v>
      </c>
      <c r="D128" s="6">
        <f t="shared" ref="D128:K128" si="63">D127*D126</f>
        <v>0</v>
      </c>
      <c r="E128" s="6">
        <f t="shared" si="63"/>
        <v>200</v>
      </c>
      <c r="F128" s="6">
        <f t="shared" si="63"/>
        <v>0</v>
      </c>
      <c r="G128" s="6">
        <f t="shared" si="63"/>
        <v>200</v>
      </c>
      <c r="H128" s="6">
        <f t="shared" si="63"/>
        <v>0</v>
      </c>
      <c r="I128" s="6">
        <f t="shared" si="63"/>
        <v>200</v>
      </c>
      <c r="J128" s="6">
        <f t="shared" si="63"/>
        <v>0</v>
      </c>
      <c r="K128" s="6">
        <f t="shared" si="63"/>
        <v>200</v>
      </c>
      <c r="L128" s="6">
        <f>SUM(D128:K128)</f>
        <v>800</v>
      </c>
    </row>
    <row r="129" spans="1:12" x14ac:dyDescent="0.3">
      <c r="B129" t="s">
        <v>151</v>
      </c>
      <c r="C129">
        <f>'01_INPUTS_MASTER'!N50</f>
        <v>0</v>
      </c>
      <c r="D129" s="7">
        <f>C129</f>
        <v>0</v>
      </c>
      <c r="E129" s="8">
        <f t="shared" ref="E129:K129" si="64">D133</f>
        <v>0</v>
      </c>
      <c r="F129" s="8">
        <f t="shared" si="64"/>
        <v>4</v>
      </c>
      <c r="G129" s="8">
        <f t="shared" si="64"/>
        <v>4</v>
      </c>
      <c r="H129" s="8">
        <f t="shared" si="64"/>
        <v>8</v>
      </c>
      <c r="I129" s="8">
        <f t="shared" si="64"/>
        <v>8</v>
      </c>
      <c r="J129" s="8">
        <f t="shared" si="64"/>
        <v>0</v>
      </c>
      <c r="K129" s="8">
        <f t="shared" si="64"/>
        <v>0</v>
      </c>
    </row>
    <row r="130" spans="1:12" x14ac:dyDescent="0.3">
      <c r="B130" t="s">
        <v>172</v>
      </c>
      <c r="C130">
        <f>0</f>
        <v>0</v>
      </c>
      <c r="D130" s="6">
        <f t="shared" ref="D130:K130" si="65">MAX(0,D128-D129)</f>
        <v>0</v>
      </c>
      <c r="E130" s="6">
        <f t="shared" si="65"/>
        <v>200</v>
      </c>
      <c r="F130" s="6">
        <f t="shared" si="65"/>
        <v>0</v>
      </c>
      <c r="G130" s="6">
        <f t="shared" si="65"/>
        <v>196</v>
      </c>
      <c r="H130" s="6">
        <f t="shared" si="65"/>
        <v>0</v>
      </c>
      <c r="I130" s="6">
        <f t="shared" si="65"/>
        <v>192</v>
      </c>
      <c r="J130" s="6">
        <f t="shared" si="65"/>
        <v>0</v>
      </c>
      <c r="K130" s="6">
        <f t="shared" si="65"/>
        <v>200</v>
      </c>
    </row>
    <row r="131" spans="1:12" x14ac:dyDescent="0.3">
      <c r="B131" t="s">
        <v>173</v>
      </c>
      <c r="C131">
        <f>0</f>
        <v>0</v>
      </c>
      <c r="D131" s="6">
        <f t="shared" ref="D131:K131" si="66">IF(D125&gt;0,CEILING(D130/D125,1),0)</f>
        <v>0</v>
      </c>
      <c r="E131" s="6">
        <f t="shared" si="66"/>
        <v>17</v>
      </c>
      <c r="F131" s="6">
        <f t="shared" si="66"/>
        <v>0</v>
      </c>
      <c r="G131" s="6">
        <f t="shared" si="66"/>
        <v>17</v>
      </c>
      <c r="H131" s="6">
        <f t="shared" si="66"/>
        <v>0</v>
      </c>
      <c r="I131" s="6">
        <f t="shared" si="66"/>
        <v>16</v>
      </c>
      <c r="J131" s="6">
        <f t="shared" si="66"/>
        <v>0</v>
      </c>
      <c r="K131" s="6">
        <f t="shared" si="66"/>
        <v>17</v>
      </c>
    </row>
    <row r="132" spans="1:12" x14ac:dyDescent="0.3">
      <c r="B132" t="s">
        <v>174</v>
      </c>
      <c r="C132">
        <f>0</f>
        <v>0</v>
      </c>
      <c r="D132" s="6">
        <f t="shared" ref="D132:K132" si="67">D131*D125</f>
        <v>0</v>
      </c>
      <c r="E132" s="6">
        <f t="shared" si="67"/>
        <v>204</v>
      </c>
      <c r="F132" s="6">
        <f t="shared" si="67"/>
        <v>0</v>
      </c>
      <c r="G132" s="6">
        <f t="shared" si="67"/>
        <v>204</v>
      </c>
      <c r="H132" s="6">
        <f t="shared" si="67"/>
        <v>0</v>
      </c>
      <c r="I132" s="6">
        <f t="shared" si="67"/>
        <v>192</v>
      </c>
      <c r="J132" s="6">
        <f t="shared" si="67"/>
        <v>0</v>
      </c>
      <c r="K132" s="6">
        <f t="shared" si="67"/>
        <v>204</v>
      </c>
      <c r="L132" s="6">
        <f>SUM(D132:K132)</f>
        <v>804</v>
      </c>
    </row>
    <row r="133" spans="1:12" x14ac:dyDescent="0.3">
      <c r="B133" t="s">
        <v>154</v>
      </c>
      <c r="C133">
        <f>C129</f>
        <v>0</v>
      </c>
      <c r="D133" s="6">
        <f>D129+D132*(IF('01_INPUTS_MASTER'!N55="B",1-'01_INPUTS_MASTER'!Q55,1))-D128</f>
        <v>0</v>
      </c>
      <c r="E133" s="6">
        <f>E129+E132*(IF('01_INPUTS_MASTER'!N55="B",1-'01_INPUTS_MASTER'!Q55,1))-E128</f>
        <v>4</v>
      </c>
      <c r="F133" s="6">
        <f>F129+F132*(IF('01_INPUTS_MASTER'!N55="B",1-'01_INPUTS_MASTER'!Q55,1))-F128</f>
        <v>4</v>
      </c>
      <c r="G133" s="6">
        <f>G129+G132*(IF('01_INPUTS_MASTER'!N55="B",1-'01_INPUTS_MASTER'!Q55,1))-G128</f>
        <v>8</v>
      </c>
      <c r="H133" s="6">
        <f>H129+H132*(IF('01_INPUTS_MASTER'!N55="B",1-'01_INPUTS_MASTER'!Q55,1))-H128</f>
        <v>8</v>
      </c>
      <c r="I133" s="6">
        <f>I129+I132*(IF('01_INPUTS_MASTER'!N55="B",1-'01_INPUTS_MASTER'!Q55,1))-I128</f>
        <v>0</v>
      </c>
      <c r="J133" s="6">
        <f>J129+J132*(IF('01_INPUTS_MASTER'!N55="B",1-'01_INPUTS_MASTER'!Q55,1))-J128</f>
        <v>0</v>
      </c>
      <c r="K133" s="6">
        <f>K129+K132*(IF('01_INPUTS_MASTER'!N55="B",1-'01_INPUTS_MASTER'!Q55,1))-K128</f>
        <v>4</v>
      </c>
    </row>
    <row r="134" spans="1:12" x14ac:dyDescent="0.3">
      <c r="B134" t="s">
        <v>107</v>
      </c>
      <c r="C134">
        <f>0</f>
        <v>0</v>
      </c>
      <c r="D134" s="6">
        <f>IF(D132&gt;0,'01_INPUTS_MASTER'!F50,0)</f>
        <v>0</v>
      </c>
      <c r="E134" s="6">
        <f>IF(E132&gt;0,'01_INPUTS_MASTER'!F50,0)</f>
        <v>6000</v>
      </c>
      <c r="F134" s="6">
        <f>IF(F132&gt;0,'01_INPUTS_MASTER'!F50,0)</f>
        <v>0</v>
      </c>
      <c r="G134" s="6">
        <f>IF(G132&gt;0,'01_INPUTS_MASTER'!F50,0)</f>
        <v>6000</v>
      </c>
      <c r="H134" s="6">
        <f>IF(H132&gt;0,'01_INPUTS_MASTER'!F50,0)</f>
        <v>0</v>
      </c>
      <c r="I134" s="6">
        <f>IF(I132&gt;0,'01_INPUTS_MASTER'!F50,0)</f>
        <v>6000</v>
      </c>
      <c r="J134" s="6">
        <f>IF(J132&gt;0,'01_INPUTS_MASTER'!F50,0)</f>
        <v>0</v>
      </c>
      <c r="K134" s="6">
        <f>IF(K132&gt;0,'01_INPUTS_MASTER'!F50,0)</f>
        <v>6000</v>
      </c>
      <c r="L134" s="6">
        <f>SUM(D134:K134)</f>
        <v>24000</v>
      </c>
    </row>
    <row r="135" spans="1:12" x14ac:dyDescent="0.3">
      <c r="B135" t="s">
        <v>175</v>
      </c>
      <c r="C135">
        <f>0</f>
        <v>0</v>
      </c>
      <c r="D135" s="6">
        <f>D133*'01_INPUTS_MASTER'!G50</f>
        <v>0</v>
      </c>
      <c r="E135" s="6">
        <f>E133*'01_INPUTS_MASTER'!G50</f>
        <v>18</v>
      </c>
      <c r="F135" s="6">
        <f>F133*'01_INPUTS_MASTER'!G50</f>
        <v>18</v>
      </c>
      <c r="G135" s="6">
        <f>G133*'01_INPUTS_MASTER'!G50</f>
        <v>36</v>
      </c>
      <c r="H135" s="6">
        <f>H133*'01_INPUTS_MASTER'!G50</f>
        <v>36</v>
      </c>
      <c r="I135" s="6">
        <f>I133*'01_INPUTS_MASTER'!G50</f>
        <v>0</v>
      </c>
      <c r="J135" s="6">
        <f>J133*'01_INPUTS_MASTER'!G50</f>
        <v>0</v>
      </c>
      <c r="K135" s="6">
        <f>K133*'01_INPUTS_MASTER'!G50</f>
        <v>18</v>
      </c>
      <c r="L135" s="6">
        <f>SUM(D135:K135)</f>
        <v>126</v>
      </c>
    </row>
    <row r="137" spans="1:12" x14ac:dyDescent="0.3">
      <c r="A137" s="12" t="s">
        <v>96</v>
      </c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</row>
    <row r="138" spans="1:12" x14ac:dyDescent="0.3">
      <c r="B138" t="s">
        <v>91</v>
      </c>
      <c r="C138">
        <f>'01_INPUTS_MASTER'!B40</f>
        <v>1</v>
      </c>
      <c r="D138" s="8">
        <f>'01_INPUTS_MASTER'!B40</f>
        <v>1</v>
      </c>
      <c r="E138" s="8">
        <f>'01_INPUTS_MASTER'!B40</f>
        <v>1</v>
      </c>
      <c r="F138" s="8">
        <f>'01_INPUTS_MASTER'!B40</f>
        <v>1</v>
      </c>
      <c r="G138" s="8">
        <f>'01_INPUTS_MASTER'!B40</f>
        <v>1</v>
      </c>
      <c r="H138" s="8">
        <f>'01_INPUTS_MASTER'!B40</f>
        <v>1</v>
      </c>
      <c r="I138" s="8">
        <f>'01_INPUTS_MASTER'!B40</f>
        <v>1</v>
      </c>
      <c r="J138" s="8">
        <f>'01_INPUTS_MASTER'!B40</f>
        <v>1</v>
      </c>
      <c r="K138" s="8">
        <f>'01_INPUTS_MASTER'!B40</f>
        <v>1</v>
      </c>
    </row>
    <row r="139" spans="1:12" x14ac:dyDescent="0.3">
      <c r="B139" t="s">
        <v>109</v>
      </c>
      <c r="C139">
        <f>'01_INPUTS_MASTER'!D40</f>
        <v>0.01</v>
      </c>
      <c r="D139" s="8">
        <f>'01_INPUTS_MASTER'!D40</f>
        <v>0.01</v>
      </c>
      <c r="E139" s="8">
        <f>'01_INPUTS_MASTER'!D40</f>
        <v>0.01</v>
      </c>
      <c r="F139" s="8">
        <f>'01_INPUTS_MASTER'!D40</f>
        <v>0.01</v>
      </c>
      <c r="G139" s="8">
        <f>'01_INPUTS_MASTER'!D40</f>
        <v>0.01</v>
      </c>
      <c r="H139" s="8">
        <f>'01_INPUTS_MASTER'!D40</f>
        <v>0.01</v>
      </c>
      <c r="I139" s="8">
        <f>'01_INPUTS_MASTER'!D40</f>
        <v>0.01</v>
      </c>
      <c r="J139" s="8">
        <f>'01_INPUTS_MASTER'!D40</f>
        <v>0.01</v>
      </c>
      <c r="K139" s="8">
        <f>'01_INPUTS_MASTER'!D40</f>
        <v>0.01</v>
      </c>
    </row>
    <row r="140" spans="1:12" x14ac:dyDescent="0.3">
      <c r="B140" t="s">
        <v>170</v>
      </c>
      <c r="C140">
        <f>0</f>
        <v>0</v>
      </c>
      <c r="D140" s="8">
        <f>'04_FLOW_S1_S5'!D38</f>
        <v>0</v>
      </c>
      <c r="E140" s="8">
        <f>'04_FLOW_S1_S5'!E38</f>
        <v>1000</v>
      </c>
      <c r="F140" s="8">
        <f>'04_FLOW_S1_S5'!F38</f>
        <v>0</v>
      </c>
      <c r="G140" s="8">
        <f>'04_FLOW_S1_S5'!G38</f>
        <v>1000</v>
      </c>
      <c r="H140" s="8">
        <f>'04_FLOW_S1_S5'!H38</f>
        <v>0</v>
      </c>
      <c r="I140" s="8">
        <f>'04_FLOW_S1_S5'!I38</f>
        <v>1000</v>
      </c>
      <c r="J140" s="8">
        <f>'04_FLOW_S1_S5'!J38</f>
        <v>0</v>
      </c>
      <c r="K140" s="8">
        <f>'04_FLOW_S1_S5'!K38</f>
        <v>1000</v>
      </c>
    </row>
    <row r="141" spans="1:12" x14ac:dyDescent="0.3">
      <c r="B141" t="s">
        <v>171</v>
      </c>
      <c r="C141">
        <f>0</f>
        <v>0</v>
      </c>
      <c r="D141" s="6">
        <f t="shared" ref="D141:K141" si="68">D140*D139</f>
        <v>0</v>
      </c>
      <c r="E141" s="6">
        <f t="shared" si="68"/>
        <v>10</v>
      </c>
      <c r="F141" s="6">
        <f t="shared" si="68"/>
        <v>0</v>
      </c>
      <c r="G141" s="6">
        <f t="shared" si="68"/>
        <v>10</v>
      </c>
      <c r="H141" s="6">
        <f t="shared" si="68"/>
        <v>0</v>
      </c>
      <c r="I141" s="6">
        <f t="shared" si="68"/>
        <v>10</v>
      </c>
      <c r="J141" s="6">
        <f t="shared" si="68"/>
        <v>0</v>
      </c>
      <c r="K141" s="6">
        <f t="shared" si="68"/>
        <v>10</v>
      </c>
      <c r="L141" s="6">
        <f>SUM(D141:K141)</f>
        <v>40</v>
      </c>
    </row>
    <row r="142" spans="1:12" x14ac:dyDescent="0.3">
      <c r="B142" t="s">
        <v>151</v>
      </c>
      <c r="C142">
        <f>'01_INPUTS_MASTER'!F40</f>
        <v>36</v>
      </c>
      <c r="D142" s="7">
        <f>C142</f>
        <v>36</v>
      </c>
      <c r="E142" s="8">
        <f t="shared" ref="E142:K142" si="69">D146</f>
        <v>36</v>
      </c>
      <c r="F142" s="8">
        <f t="shared" si="69"/>
        <v>26</v>
      </c>
      <c r="G142" s="8">
        <f t="shared" si="69"/>
        <v>26</v>
      </c>
      <c r="H142" s="8">
        <f t="shared" si="69"/>
        <v>16</v>
      </c>
      <c r="I142" s="8">
        <f t="shared" si="69"/>
        <v>16</v>
      </c>
      <c r="J142" s="8">
        <f t="shared" si="69"/>
        <v>6</v>
      </c>
      <c r="K142" s="8">
        <f t="shared" si="69"/>
        <v>6</v>
      </c>
    </row>
    <row r="143" spans="1:12" x14ac:dyDescent="0.3">
      <c r="B143" t="s">
        <v>172</v>
      </c>
      <c r="C143">
        <f>0</f>
        <v>0</v>
      </c>
      <c r="D143" s="6">
        <f t="shared" ref="D143:K143" si="70">MAX(0,D141-D142)</f>
        <v>0</v>
      </c>
      <c r="E143" s="6">
        <f t="shared" si="70"/>
        <v>0</v>
      </c>
      <c r="F143" s="6">
        <f t="shared" si="70"/>
        <v>0</v>
      </c>
      <c r="G143" s="6">
        <f t="shared" si="70"/>
        <v>0</v>
      </c>
      <c r="H143" s="6">
        <f t="shared" si="70"/>
        <v>0</v>
      </c>
      <c r="I143" s="6">
        <f t="shared" si="70"/>
        <v>0</v>
      </c>
      <c r="J143" s="6">
        <f t="shared" si="70"/>
        <v>0</v>
      </c>
      <c r="K143" s="6">
        <f t="shared" si="70"/>
        <v>4</v>
      </c>
    </row>
    <row r="144" spans="1:12" x14ac:dyDescent="0.3">
      <c r="B144" t="s">
        <v>173</v>
      </c>
      <c r="C144">
        <f>0</f>
        <v>0</v>
      </c>
      <c r="D144">
        <f t="shared" ref="D144:K144" si="71">IF(D138&gt;0,CEILING(D143/D138,1),0)</f>
        <v>0</v>
      </c>
      <c r="E144">
        <f t="shared" si="71"/>
        <v>0</v>
      </c>
      <c r="F144">
        <f t="shared" si="71"/>
        <v>0</v>
      </c>
      <c r="G144">
        <f t="shared" si="71"/>
        <v>0</v>
      </c>
      <c r="H144">
        <f t="shared" si="71"/>
        <v>0</v>
      </c>
      <c r="I144">
        <f t="shared" si="71"/>
        <v>0</v>
      </c>
      <c r="J144">
        <f t="shared" si="71"/>
        <v>0</v>
      </c>
      <c r="K144">
        <f t="shared" si="71"/>
        <v>4</v>
      </c>
    </row>
    <row r="145" spans="1:12" x14ac:dyDescent="0.3">
      <c r="B145" t="s">
        <v>174</v>
      </c>
      <c r="C145" s="7">
        <f>0</f>
        <v>0</v>
      </c>
      <c r="D145">
        <f t="shared" ref="D145:K145" si="72">D144*D138</f>
        <v>0</v>
      </c>
      <c r="E145">
        <f t="shared" si="72"/>
        <v>0</v>
      </c>
      <c r="F145">
        <f t="shared" si="72"/>
        <v>0</v>
      </c>
      <c r="G145">
        <f t="shared" si="72"/>
        <v>0</v>
      </c>
      <c r="H145">
        <f t="shared" si="72"/>
        <v>0</v>
      </c>
      <c r="I145">
        <f t="shared" si="72"/>
        <v>0</v>
      </c>
      <c r="J145">
        <f t="shared" si="72"/>
        <v>0</v>
      </c>
      <c r="K145">
        <f t="shared" si="72"/>
        <v>4</v>
      </c>
      <c r="L145" s="6">
        <f>SUM(D145:K145)</f>
        <v>4</v>
      </c>
    </row>
    <row r="146" spans="1:12" x14ac:dyDescent="0.3">
      <c r="B146" t="s">
        <v>154</v>
      </c>
      <c r="C146">
        <f>C142</f>
        <v>36</v>
      </c>
      <c r="D146" s="6">
        <f t="shared" ref="D146:K146" si="73">D142+D145*(1)-D141</f>
        <v>36</v>
      </c>
      <c r="E146" s="6">
        <f t="shared" si="73"/>
        <v>26</v>
      </c>
      <c r="F146" s="6">
        <f t="shared" si="73"/>
        <v>26</v>
      </c>
      <c r="G146" s="6">
        <f t="shared" si="73"/>
        <v>16</v>
      </c>
      <c r="H146" s="6">
        <f t="shared" si="73"/>
        <v>16</v>
      </c>
      <c r="I146" s="6">
        <f t="shared" si="73"/>
        <v>6</v>
      </c>
      <c r="J146" s="6">
        <f t="shared" si="73"/>
        <v>6</v>
      </c>
      <c r="K146" s="6">
        <f t="shared" si="73"/>
        <v>0</v>
      </c>
    </row>
    <row r="147" spans="1:12" x14ac:dyDescent="0.3">
      <c r="B147" t="s">
        <v>107</v>
      </c>
      <c r="C147">
        <f>0</f>
        <v>0</v>
      </c>
      <c r="D147">
        <f t="shared" ref="D147:K147" si="74">IF(D145&gt;0,0,0)</f>
        <v>0</v>
      </c>
      <c r="E147">
        <f t="shared" si="74"/>
        <v>0</v>
      </c>
      <c r="F147">
        <f t="shared" si="74"/>
        <v>0</v>
      </c>
      <c r="G147">
        <f t="shared" si="74"/>
        <v>0</v>
      </c>
      <c r="H147">
        <f t="shared" si="74"/>
        <v>0</v>
      </c>
      <c r="I147">
        <f t="shared" si="74"/>
        <v>0</v>
      </c>
      <c r="J147">
        <f t="shared" si="74"/>
        <v>0</v>
      </c>
      <c r="K147">
        <f t="shared" si="74"/>
        <v>0</v>
      </c>
      <c r="L147" s="6">
        <f>SUM(D147:K147)</f>
        <v>0</v>
      </c>
    </row>
    <row r="148" spans="1:12" x14ac:dyDescent="0.3">
      <c r="B148" t="s">
        <v>175</v>
      </c>
      <c r="C148">
        <f>0</f>
        <v>0</v>
      </c>
      <c r="D148">
        <f t="shared" ref="D148:K148" si="75">D146*0</f>
        <v>0</v>
      </c>
      <c r="E148">
        <f t="shared" si="75"/>
        <v>0</v>
      </c>
      <c r="F148">
        <f t="shared" si="75"/>
        <v>0</v>
      </c>
      <c r="G148">
        <f t="shared" si="75"/>
        <v>0</v>
      </c>
      <c r="H148">
        <f t="shared" si="75"/>
        <v>0</v>
      </c>
      <c r="I148">
        <f t="shared" si="75"/>
        <v>0</v>
      </c>
      <c r="J148">
        <f t="shared" si="75"/>
        <v>0</v>
      </c>
      <c r="K148">
        <f t="shared" si="75"/>
        <v>0</v>
      </c>
      <c r="L148" s="6">
        <f>SUM(D148:K148)</f>
        <v>0</v>
      </c>
    </row>
    <row r="150" spans="1:12" x14ac:dyDescent="0.3">
      <c r="A150" s="12" t="s">
        <v>97</v>
      </c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</row>
    <row r="151" spans="1:12" x14ac:dyDescent="0.3">
      <c r="B151" t="s">
        <v>91</v>
      </c>
      <c r="C151">
        <f>'01_INPUTS_MASTER'!B41</f>
        <v>100</v>
      </c>
      <c r="D151" s="8">
        <f>'01_INPUTS_MASTER'!B41</f>
        <v>100</v>
      </c>
      <c r="E151" s="8">
        <f>'01_INPUTS_MASTER'!B41</f>
        <v>100</v>
      </c>
      <c r="F151" s="8">
        <f>'01_INPUTS_MASTER'!B41</f>
        <v>100</v>
      </c>
      <c r="G151" s="8">
        <f>'01_INPUTS_MASTER'!B41</f>
        <v>100</v>
      </c>
      <c r="H151" s="8">
        <f>'01_INPUTS_MASTER'!B41</f>
        <v>100</v>
      </c>
      <c r="I151" s="8">
        <f>'01_INPUTS_MASTER'!B41</f>
        <v>100</v>
      </c>
      <c r="J151" s="8">
        <f>'01_INPUTS_MASTER'!B41</f>
        <v>100</v>
      </c>
      <c r="K151" s="8">
        <f>'01_INPUTS_MASTER'!B41</f>
        <v>100</v>
      </c>
    </row>
    <row r="152" spans="1:12" x14ac:dyDescent="0.3">
      <c r="B152" t="s">
        <v>109</v>
      </c>
      <c r="C152">
        <f>'01_INPUTS_MASTER'!D41</f>
        <v>8</v>
      </c>
      <c r="D152" s="8">
        <f>'01_INPUTS_MASTER'!D41</f>
        <v>8</v>
      </c>
      <c r="E152" s="8">
        <f>'01_INPUTS_MASTER'!D41</f>
        <v>8</v>
      </c>
      <c r="F152" s="8">
        <f>'01_INPUTS_MASTER'!D41</f>
        <v>8</v>
      </c>
      <c r="G152" s="8">
        <f>'01_INPUTS_MASTER'!D41</f>
        <v>8</v>
      </c>
      <c r="H152" s="8">
        <f>'01_INPUTS_MASTER'!D41</f>
        <v>8</v>
      </c>
      <c r="I152" s="8">
        <f>'01_INPUTS_MASTER'!D41</f>
        <v>8</v>
      </c>
      <c r="J152" s="8">
        <f>'01_INPUTS_MASTER'!D41</f>
        <v>8</v>
      </c>
      <c r="K152" s="8">
        <f>'01_INPUTS_MASTER'!D41</f>
        <v>8</v>
      </c>
    </row>
    <row r="153" spans="1:12" x14ac:dyDescent="0.3">
      <c r="B153" t="s">
        <v>170</v>
      </c>
      <c r="C153">
        <f>0</f>
        <v>0</v>
      </c>
      <c r="D153" s="8">
        <f>'04_FLOW_S1_S5'!D38</f>
        <v>0</v>
      </c>
      <c r="E153" s="8">
        <f>'04_FLOW_S1_S5'!E38</f>
        <v>1000</v>
      </c>
      <c r="F153" s="8">
        <f>'04_FLOW_S1_S5'!F38</f>
        <v>0</v>
      </c>
      <c r="G153" s="8">
        <f>'04_FLOW_S1_S5'!G38</f>
        <v>1000</v>
      </c>
      <c r="H153" s="8">
        <f>'04_FLOW_S1_S5'!H38</f>
        <v>0</v>
      </c>
      <c r="I153" s="8">
        <f>'04_FLOW_S1_S5'!I38</f>
        <v>1000</v>
      </c>
      <c r="J153" s="8">
        <f>'04_FLOW_S1_S5'!J38</f>
        <v>0</v>
      </c>
      <c r="K153" s="8">
        <f>'04_FLOW_S1_S5'!K38</f>
        <v>1000</v>
      </c>
    </row>
    <row r="154" spans="1:12" x14ac:dyDescent="0.3">
      <c r="B154" t="s">
        <v>171</v>
      </c>
      <c r="C154">
        <f>0</f>
        <v>0</v>
      </c>
      <c r="D154" s="6">
        <f t="shared" ref="D154:K154" si="76">D153*D152</f>
        <v>0</v>
      </c>
      <c r="E154" s="6">
        <f t="shared" si="76"/>
        <v>8000</v>
      </c>
      <c r="F154" s="6">
        <f t="shared" si="76"/>
        <v>0</v>
      </c>
      <c r="G154" s="6">
        <f t="shared" si="76"/>
        <v>8000</v>
      </c>
      <c r="H154" s="6">
        <f t="shared" si="76"/>
        <v>0</v>
      </c>
      <c r="I154" s="6">
        <f t="shared" si="76"/>
        <v>8000</v>
      </c>
      <c r="J154" s="6">
        <f t="shared" si="76"/>
        <v>0</v>
      </c>
      <c r="K154" s="6">
        <f t="shared" si="76"/>
        <v>8000</v>
      </c>
      <c r="L154" s="6">
        <f>SUM(D154:K154)</f>
        <v>32000</v>
      </c>
    </row>
    <row r="155" spans="1:12" x14ac:dyDescent="0.3">
      <c r="B155" t="s">
        <v>151</v>
      </c>
      <c r="C155">
        <f>'01_INPUTS_MASTER'!F41</f>
        <v>1424</v>
      </c>
      <c r="D155" s="7">
        <f>C155</f>
        <v>1424</v>
      </c>
      <c r="E155" s="8">
        <f t="shared" ref="E155:K155" si="77">D159</f>
        <v>1424</v>
      </c>
      <c r="F155" s="8">
        <f t="shared" si="77"/>
        <v>24</v>
      </c>
      <c r="G155" s="8">
        <f t="shared" si="77"/>
        <v>24</v>
      </c>
      <c r="H155" s="8">
        <f t="shared" si="77"/>
        <v>24</v>
      </c>
      <c r="I155" s="8">
        <f t="shared" si="77"/>
        <v>24</v>
      </c>
      <c r="J155" s="8">
        <f t="shared" si="77"/>
        <v>24</v>
      </c>
      <c r="K155" s="8">
        <f t="shared" si="77"/>
        <v>24</v>
      </c>
    </row>
    <row r="156" spans="1:12" x14ac:dyDescent="0.3">
      <c r="B156" t="s">
        <v>172</v>
      </c>
      <c r="C156">
        <f>0</f>
        <v>0</v>
      </c>
      <c r="D156" s="6">
        <f t="shared" ref="D156:K156" si="78">MAX(0,D154-D155)</f>
        <v>0</v>
      </c>
      <c r="E156" s="6">
        <f t="shared" si="78"/>
        <v>6576</v>
      </c>
      <c r="F156" s="6">
        <f t="shared" si="78"/>
        <v>0</v>
      </c>
      <c r="G156" s="6">
        <f t="shared" si="78"/>
        <v>7976</v>
      </c>
      <c r="H156" s="6">
        <f t="shared" si="78"/>
        <v>0</v>
      </c>
      <c r="I156" s="6">
        <f t="shared" si="78"/>
        <v>7976</v>
      </c>
      <c r="J156" s="6">
        <f t="shared" si="78"/>
        <v>0</v>
      </c>
      <c r="K156" s="6">
        <f t="shared" si="78"/>
        <v>7976</v>
      </c>
    </row>
    <row r="157" spans="1:12" x14ac:dyDescent="0.3">
      <c r="B157" t="s">
        <v>173</v>
      </c>
      <c r="C157">
        <f>0</f>
        <v>0</v>
      </c>
      <c r="D157">
        <f t="shared" ref="D157:K157" si="79">IF(D151&gt;0,CEILING(D156/D151,1),0)</f>
        <v>0</v>
      </c>
      <c r="E157">
        <f t="shared" si="79"/>
        <v>66</v>
      </c>
      <c r="F157">
        <f t="shared" si="79"/>
        <v>0</v>
      </c>
      <c r="G157">
        <f t="shared" si="79"/>
        <v>80</v>
      </c>
      <c r="H157">
        <f t="shared" si="79"/>
        <v>0</v>
      </c>
      <c r="I157">
        <f t="shared" si="79"/>
        <v>80</v>
      </c>
      <c r="J157">
        <f t="shared" si="79"/>
        <v>0</v>
      </c>
      <c r="K157">
        <f t="shared" si="79"/>
        <v>80</v>
      </c>
    </row>
    <row r="158" spans="1:12" x14ac:dyDescent="0.3">
      <c r="B158" t="s">
        <v>174</v>
      </c>
      <c r="C158" s="7">
        <f>0</f>
        <v>0</v>
      </c>
      <c r="D158">
        <f t="shared" ref="D158:K158" si="80">D157*D151</f>
        <v>0</v>
      </c>
      <c r="E158">
        <f t="shared" si="80"/>
        <v>6600</v>
      </c>
      <c r="F158">
        <f t="shared" si="80"/>
        <v>0</v>
      </c>
      <c r="G158">
        <f t="shared" si="80"/>
        <v>8000</v>
      </c>
      <c r="H158">
        <f t="shared" si="80"/>
        <v>0</v>
      </c>
      <c r="I158">
        <f t="shared" si="80"/>
        <v>8000</v>
      </c>
      <c r="J158">
        <f t="shared" si="80"/>
        <v>0</v>
      </c>
      <c r="K158">
        <f t="shared" si="80"/>
        <v>8000</v>
      </c>
      <c r="L158" s="6">
        <f>SUM(D158:K158)</f>
        <v>30600</v>
      </c>
    </row>
    <row r="159" spans="1:12" x14ac:dyDescent="0.3">
      <c r="B159" t="s">
        <v>154</v>
      </c>
      <c r="C159">
        <f>C155</f>
        <v>1424</v>
      </c>
      <c r="D159" s="6">
        <f t="shared" ref="D159:K159" si="81">D155+D158*(1)-D154</f>
        <v>1424</v>
      </c>
      <c r="E159" s="6">
        <f t="shared" si="81"/>
        <v>24</v>
      </c>
      <c r="F159" s="6">
        <f t="shared" si="81"/>
        <v>24</v>
      </c>
      <c r="G159" s="6">
        <f t="shared" si="81"/>
        <v>24</v>
      </c>
      <c r="H159" s="6">
        <f t="shared" si="81"/>
        <v>24</v>
      </c>
      <c r="I159" s="6">
        <f t="shared" si="81"/>
        <v>24</v>
      </c>
      <c r="J159" s="6">
        <f t="shared" si="81"/>
        <v>24</v>
      </c>
      <c r="K159" s="6">
        <f t="shared" si="81"/>
        <v>24</v>
      </c>
    </row>
    <row r="160" spans="1:12" x14ac:dyDescent="0.3">
      <c r="B160" t="s">
        <v>107</v>
      </c>
      <c r="C160">
        <f>0</f>
        <v>0</v>
      </c>
      <c r="D160">
        <f t="shared" ref="D160:K160" si="82">IF(D158&gt;0,0,0)</f>
        <v>0</v>
      </c>
      <c r="E160">
        <f t="shared" si="82"/>
        <v>0</v>
      </c>
      <c r="F160">
        <f t="shared" si="82"/>
        <v>0</v>
      </c>
      <c r="G160">
        <f t="shared" si="82"/>
        <v>0</v>
      </c>
      <c r="H160">
        <f t="shared" si="82"/>
        <v>0</v>
      </c>
      <c r="I160">
        <f t="shared" si="82"/>
        <v>0</v>
      </c>
      <c r="J160">
        <f t="shared" si="82"/>
        <v>0</v>
      </c>
      <c r="K160">
        <f t="shared" si="82"/>
        <v>0</v>
      </c>
      <c r="L160" s="6">
        <f>SUM(D160:K160)</f>
        <v>0</v>
      </c>
    </row>
    <row r="161" spans="1:12" x14ac:dyDescent="0.3">
      <c r="B161" t="s">
        <v>175</v>
      </c>
      <c r="C161">
        <f>0</f>
        <v>0</v>
      </c>
      <c r="D161">
        <f t="shared" ref="D161:K161" si="83">D159*0</f>
        <v>0</v>
      </c>
      <c r="E161">
        <f t="shared" si="83"/>
        <v>0</v>
      </c>
      <c r="F161">
        <f t="shared" si="83"/>
        <v>0</v>
      </c>
      <c r="G161">
        <f t="shared" si="83"/>
        <v>0</v>
      </c>
      <c r="H161">
        <f t="shared" si="83"/>
        <v>0</v>
      </c>
      <c r="I161">
        <f t="shared" si="83"/>
        <v>0</v>
      </c>
      <c r="J161">
        <f t="shared" si="83"/>
        <v>0</v>
      </c>
      <c r="K161">
        <f t="shared" si="83"/>
        <v>0</v>
      </c>
      <c r="L161" s="6">
        <f>SUM(D161:K161)</f>
        <v>0</v>
      </c>
    </row>
    <row r="163" spans="1:12" x14ac:dyDescent="0.3">
      <c r="A163" s="12" t="s">
        <v>98</v>
      </c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</row>
    <row r="164" spans="1:12" x14ac:dyDescent="0.3">
      <c r="B164" t="s">
        <v>91</v>
      </c>
      <c r="C164">
        <f>'01_INPUTS_MASTER'!B42</f>
        <v>30</v>
      </c>
      <c r="D164" s="8">
        <f>'01_INPUTS_MASTER'!B42</f>
        <v>30</v>
      </c>
      <c r="E164" s="8">
        <f>'01_INPUTS_MASTER'!B42</f>
        <v>30</v>
      </c>
      <c r="F164" s="8">
        <f>'01_INPUTS_MASTER'!B42</f>
        <v>30</v>
      </c>
      <c r="G164" s="8">
        <f>'01_INPUTS_MASTER'!B42</f>
        <v>30</v>
      </c>
      <c r="H164" s="8">
        <f>'01_INPUTS_MASTER'!B42</f>
        <v>30</v>
      </c>
      <c r="I164" s="8">
        <f>'01_INPUTS_MASTER'!B42</f>
        <v>30</v>
      </c>
      <c r="J164" s="8">
        <f>'01_INPUTS_MASTER'!B42</f>
        <v>30</v>
      </c>
      <c r="K164" s="8">
        <f>'01_INPUTS_MASTER'!B42</f>
        <v>30</v>
      </c>
    </row>
    <row r="165" spans="1:12" x14ac:dyDescent="0.3">
      <c r="B165" t="s">
        <v>109</v>
      </c>
      <c r="C165">
        <f>'01_INPUTS_MASTER'!D42</f>
        <v>0.3</v>
      </c>
      <c r="D165" s="8">
        <f>'01_INPUTS_MASTER'!D42</f>
        <v>0.3</v>
      </c>
      <c r="E165" s="8">
        <f>'01_INPUTS_MASTER'!D42</f>
        <v>0.3</v>
      </c>
      <c r="F165" s="8">
        <f>'01_INPUTS_MASTER'!D42</f>
        <v>0.3</v>
      </c>
      <c r="G165" s="8">
        <f>'01_INPUTS_MASTER'!D42</f>
        <v>0.3</v>
      </c>
      <c r="H165" s="8">
        <f>'01_INPUTS_MASTER'!D42</f>
        <v>0.3</v>
      </c>
      <c r="I165" s="8">
        <f>'01_INPUTS_MASTER'!D42</f>
        <v>0.3</v>
      </c>
      <c r="J165" s="8">
        <f>'01_INPUTS_MASTER'!D42</f>
        <v>0.3</v>
      </c>
      <c r="K165" s="8">
        <f>'01_INPUTS_MASTER'!D42</f>
        <v>0.3</v>
      </c>
    </row>
    <row r="166" spans="1:12" x14ac:dyDescent="0.3">
      <c r="B166" t="s">
        <v>170</v>
      </c>
      <c r="C166">
        <f>0</f>
        <v>0</v>
      </c>
      <c r="D166" s="8">
        <f>'04_FLOW_S1_S5'!D38</f>
        <v>0</v>
      </c>
      <c r="E166" s="8">
        <f>'04_FLOW_S1_S5'!E38</f>
        <v>1000</v>
      </c>
      <c r="F166" s="8">
        <f>'04_FLOW_S1_S5'!F38</f>
        <v>0</v>
      </c>
      <c r="G166" s="8">
        <f>'04_FLOW_S1_S5'!G38</f>
        <v>1000</v>
      </c>
      <c r="H166" s="8">
        <f>'04_FLOW_S1_S5'!H38</f>
        <v>0</v>
      </c>
      <c r="I166" s="8">
        <f>'04_FLOW_S1_S5'!I38</f>
        <v>1000</v>
      </c>
      <c r="J166" s="8">
        <f>'04_FLOW_S1_S5'!J38</f>
        <v>0</v>
      </c>
      <c r="K166" s="8">
        <f>'04_FLOW_S1_S5'!K38</f>
        <v>1000</v>
      </c>
    </row>
    <row r="167" spans="1:12" x14ac:dyDescent="0.3">
      <c r="B167" t="s">
        <v>171</v>
      </c>
      <c r="C167">
        <f>0</f>
        <v>0</v>
      </c>
      <c r="D167" s="6">
        <f t="shared" ref="D167:K167" si="84">D166*D165</f>
        <v>0</v>
      </c>
      <c r="E167" s="6">
        <f t="shared" si="84"/>
        <v>300</v>
      </c>
      <c r="F167" s="6">
        <f t="shared" si="84"/>
        <v>0</v>
      </c>
      <c r="G167" s="6">
        <f t="shared" si="84"/>
        <v>300</v>
      </c>
      <c r="H167" s="6">
        <f t="shared" si="84"/>
        <v>0</v>
      </c>
      <c r="I167" s="6">
        <f t="shared" si="84"/>
        <v>300</v>
      </c>
      <c r="J167" s="6">
        <f t="shared" si="84"/>
        <v>0</v>
      </c>
      <c r="K167" s="6">
        <f t="shared" si="84"/>
        <v>300</v>
      </c>
      <c r="L167" s="6">
        <f>SUM(D167:K167)</f>
        <v>1200</v>
      </c>
    </row>
    <row r="168" spans="1:12" x14ac:dyDescent="0.3">
      <c r="B168" t="s">
        <v>151</v>
      </c>
      <c r="C168">
        <f>'01_INPUTS_MASTER'!F42</f>
        <v>1208</v>
      </c>
      <c r="D168" s="7">
        <f>C168</f>
        <v>1208</v>
      </c>
      <c r="E168" s="8">
        <f t="shared" ref="E168:K168" si="85">D172</f>
        <v>1208</v>
      </c>
      <c r="F168" s="8">
        <f t="shared" si="85"/>
        <v>908</v>
      </c>
      <c r="G168" s="8">
        <f t="shared" si="85"/>
        <v>908</v>
      </c>
      <c r="H168" s="8">
        <f t="shared" si="85"/>
        <v>608</v>
      </c>
      <c r="I168" s="8">
        <f t="shared" si="85"/>
        <v>608</v>
      </c>
      <c r="J168" s="8">
        <f t="shared" si="85"/>
        <v>308</v>
      </c>
      <c r="K168" s="8">
        <f t="shared" si="85"/>
        <v>308</v>
      </c>
    </row>
    <row r="169" spans="1:12" x14ac:dyDescent="0.3">
      <c r="B169" t="s">
        <v>172</v>
      </c>
      <c r="C169">
        <f>0</f>
        <v>0</v>
      </c>
      <c r="D169" s="6">
        <f t="shared" ref="D169:K169" si="86">MAX(0,D167-D168)</f>
        <v>0</v>
      </c>
      <c r="E169" s="6">
        <f t="shared" si="86"/>
        <v>0</v>
      </c>
      <c r="F169" s="6">
        <f t="shared" si="86"/>
        <v>0</v>
      </c>
      <c r="G169" s="6">
        <f t="shared" si="86"/>
        <v>0</v>
      </c>
      <c r="H169" s="6">
        <f t="shared" si="86"/>
        <v>0</v>
      </c>
      <c r="I169" s="6">
        <f t="shared" si="86"/>
        <v>0</v>
      </c>
      <c r="J169" s="6">
        <f t="shared" si="86"/>
        <v>0</v>
      </c>
      <c r="K169" s="6">
        <f t="shared" si="86"/>
        <v>0</v>
      </c>
    </row>
    <row r="170" spans="1:12" x14ac:dyDescent="0.3">
      <c r="B170" t="s">
        <v>173</v>
      </c>
      <c r="C170">
        <f>0</f>
        <v>0</v>
      </c>
      <c r="D170">
        <f t="shared" ref="D170:K170" si="87">IF(D164&gt;0,CEILING(D169/D164,1),0)</f>
        <v>0</v>
      </c>
      <c r="E170">
        <f t="shared" si="87"/>
        <v>0</v>
      </c>
      <c r="F170">
        <f t="shared" si="87"/>
        <v>0</v>
      </c>
      <c r="G170">
        <f t="shared" si="87"/>
        <v>0</v>
      </c>
      <c r="H170">
        <f t="shared" si="87"/>
        <v>0</v>
      </c>
      <c r="I170">
        <f t="shared" si="87"/>
        <v>0</v>
      </c>
      <c r="J170">
        <f t="shared" si="87"/>
        <v>0</v>
      </c>
      <c r="K170">
        <f t="shared" si="87"/>
        <v>0</v>
      </c>
    </row>
    <row r="171" spans="1:12" x14ac:dyDescent="0.3">
      <c r="B171" t="s">
        <v>174</v>
      </c>
      <c r="C171" s="7">
        <f>0</f>
        <v>0</v>
      </c>
      <c r="D171">
        <f t="shared" ref="D171:K171" si="88">D170*D164</f>
        <v>0</v>
      </c>
      <c r="E171">
        <f t="shared" si="88"/>
        <v>0</v>
      </c>
      <c r="F171">
        <f t="shared" si="88"/>
        <v>0</v>
      </c>
      <c r="G171">
        <f t="shared" si="88"/>
        <v>0</v>
      </c>
      <c r="H171">
        <f t="shared" si="88"/>
        <v>0</v>
      </c>
      <c r="I171">
        <f t="shared" si="88"/>
        <v>0</v>
      </c>
      <c r="J171">
        <f t="shared" si="88"/>
        <v>0</v>
      </c>
      <c r="K171">
        <f t="shared" si="88"/>
        <v>0</v>
      </c>
      <c r="L171" s="6">
        <f>SUM(D171:K171)</f>
        <v>0</v>
      </c>
    </row>
    <row r="172" spans="1:12" x14ac:dyDescent="0.3">
      <c r="B172" t="s">
        <v>154</v>
      </c>
      <c r="C172">
        <f>C168</f>
        <v>1208</v>
      </c>
      <c r="D172" s="6">
        <f t="shared" ref="D172:K172" si="89">D168+D171*(1)-D167</f>
        <v>1208</v>
      </c>
      <c r="E172" s="6">
        <f t="shared" si="89"/>
        <v>908</v>
      </c>
      <c r="F172" s="6">
        <f t="shared" si="89"/>
        <v>908</v>
      </c>
      <c r="G172" s="6">
        <f t="shared" si="89"/>
        <v>608</v>
      </c>
      <c r="H172" s="6">
        <f t="shared" si="89"/>
        <v>608</v>
      </c>
      <c r="I172" s="6">
        <f t="shared" si="89"/>
        <v>308</v>
      </c>
      <c r="J172" s="6">
        <f t="shared" si="89"/>
        <v>308</v>
      </c>
      <c r="K172" s="6">
        <f t="shared" si="89"/>
        <v>8</v>
      </c>
    </row>
    <row r="173" spans="1:12" x14ac:dyDescent="0.3">
      <c r="B173" t="s">
        <v>107</v>
      </c>
      <c r="C173">
        <f>0</f>
        <v>0</v>
      </c>
      <c r="D173">
        <f t="shared" ref="D173:K173" si="90">IF(D171&gt;0,0,0)</f>
        <v>0</v>
      </c>
      <c r="E173">
        <f t="shared" si="90"/>
        <v>0</v>
      </c>
      <c r="F173">
        <f t="shared" si="90"/>
        <v>0</v>
      </c>
      <c r="G173">
        <f t="shared" si="90"/>
        <v>0</v>
      </c>
      <c r="H173">
        <f t="shared" si="90"/>
        <v>0</v>
      </c>
      <c r="I173">
        <f t="shared" si="90"/>
        <v>0</v>
      </c>
      <c r="J173">
        <f t="shared" si="90"/>
        <v>0</v>
      </c>
      <c r="K173">
        <f t="shared" si="90"/>
        <v>0</v>
      </c>
      <c r="L173" s="6">
        <f>SUM(D173:K173)</f>
        <v>0</v>
      </c>
    </row>
    <row r="174" spans="1:12" x14ac:dyDescent="0.3">
      <c r="B174" t="s">
        <v>175</v>
      </c>
      <c r="C174">
        <f>0</f>
        <v>0</v>
      </c>
      <c r="D174">
        <f t="shared" ref="D174:K174" si="91">D172*0</f>
        <v>0</v>
      </c>
      <c r="E174">
        <f t="shared" si="91"/>
        <v>0</v>
      </c>
      <c r="F174">
        <f t="shared" si="91"/>
        <v>0</v>
      </c>
      <c r="G174">
        <f t="shared" si="91"/>
        <v>0</v>
      </c>
      <c r="H174">
        <f t="shared" si="91"/>
        <v>0</v>
      </c>
      <c r="I174">
        <f t="shared" si="91"/>
        <v>0</v>
      </c>
      <c r="J174">
        <f t="shared" si="91"/>
        <v>0</v>
      </c>
      <c r="K174">
        <f t="shared" si="91"/>
        <v>0</v>
      </c>
      <c r="L174" s="6">
        <f>SUM(D174:K174)</f>
        <v>0</v>
      </c>
    </row>
    <row r="176" spans="1:12" x14ac:dyDescent="0.3">
      <c r="A176" s="12" t="s">
        <v>99</v>
      </c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</row>
    <row r="177" spans="1:12" x14ac:dyDescent="0.3">
      <c r="B177" t="s">
        <v>91</v>
      </c>
      <c r="C177">
        <f>'01_INPUTS_MASTER'!B43</f>
        <v>60</v>
      </c>
      <c r="D177" s="8">
        <f>'01_INPUTS_MASTER'!B43</f>
        <v>60</v>
      </c>
      <c r="E177" s="8">
        <f>'01_INPUTS_MASTER'!B43</f>
        <v>60</v>
      </c>
      <c r="F177" s="8">
        <f>'01_INPUTS_MASTER'!B43</f>
        <v>60</v>
      </c>
      <c r="G177" s="8">
        <f>'01_INPUTS_MASTER'!B43</f>
        <v>60</v>
      </c>
      <c r="H177" s="8">
        <f>'01_INPUTS_MASTER'!B43</f>
        <v>60</v>
      </c>
      <c r="I177" s="8">
        <f>'01_INPUTS_MASTER'!B43</f>
        <v>60</v>
      </c>
      <c r="J177" s="8">
        <f>'01_INPUTS_MASTER'!B43</f>
        <v>60</v>
      </c>
      <c r="K177" s="8">
        <f>'01_INPUTS_MASTER'!B43</f>
        <v>60</v>
      </c>
    </row>
    <row r="178" spans="1:12" x14ac:dyDescent="0.3">
      <c r="B178" t="s">
        <v>109</v>
      </c>
      <c r="C178">
        <f>'01_INPUTS_MASTER'!D43</f>
        <v>0.6</v>
      </c>
      <c r="D178" s="8">
        <f>'01_INPUTS_MASTER'!D43</f>
        <v>0.6</v>
      </c>
      <c r="E178" s="8">
        <f>'01_INPUTS_MASTER'!D43</f>
        <v>0.6</v>
      </c>
      <c r="F178" s="8">
        <f>'01_INPUTS_MASTER'!D43</f>
        <v>0.6</v>
      </c>
      <c r="G178" s="8">
        <f>'01_INPUTS_MASTER'!D43</f>
        <v>0.6</v>
      </c>
      <c r="H178" s="8">
        <f>'01_INPUTS_MASTER'!D43</f>
        <v>0.6</v>
      </c>
      <c r="I178" s="8">
        <f>'01_INPUTS_MASTER'!D43</f>
        <v>0.6</v>
      </c>
      <c r="J178" s="8">
        <f>'01_INPUTS_MASTER'!D43</f>
        <v>0.6</v>
      </c>
      <c r="K178" s="8">
        <f>'01_INPUTS_MASTER'!D43</f>
        <v>0.6</v>
      </c>
    </row>
    <row r="179" spans="1:12" x14ac:dyDescent="0.3">
      <c r="B179" t="s">
        <v>170</v>
      </c>
      <c r="C179">
        <f>0</f>
        <v>0</v>
      </c>
      <c r="D179" s="8">
        <f>'04_FLOW_S1_S5'!D38</f>
        <v>0</v>
      </c>
      <c r="E179" s="8">
        <f>'04_FLOW_S1_S5'!E38</f>
        <v>1000</v>
      </c>
      <c r="F179" s="8">
        <f>'04_FLOW_S1_S5'!F38</f>
        <v>0</v>
      </c>
      <c r="G179" s="8">
        <f>'04_FLOW_S1_S5'!G38</f>
        <v>1000</v>
      </c>
      <c r="H179" s="8">
        <f>'04_FLOW_S1_S5'!H38</f>
        <v>0</v>
      </c>
      <c r="I179" s="8">
        <f>'04_FLOW_S1_S5'!I38</f>
        <v>1000</v>
      </c>
      <c r="J179" s="8">
        <f>'04_FLOW_S1_S5'!J38</f>
        <v>0</v>
      </c>
      <c r="K179" s="8">
        <f>'04_FLOW_S1_S5'!K38</f>
        <v>1000</v>
      </c>
    </row>
    <row r="180" spans="1:12" x14ac:dyDescent="0.3">
      <c r="B180" t="s">
        <v>171</v>
      </c>
      <c r="C180">
        <f>0</f>
        <v>0</v>
      </c>
      <c r="D180" s="6">
        <f t="shared" ref="D180:K180" si="92">D179*D178</f>
        <v>0</v>
      </c>
      <c r="E180" s="6">
        <f t="shared" si="92"/>
        <v>600</v>
      </c>
      <c r="F180" s="6">
        <f t="shared" si="92"/>
        <v>0</v>
      </c>
      <c r="G180" s="6">
        <f t="shared" si="92"/>
        <v>600</v>
      </c>
      <c r="H180" s="6">
        <f t="shared" si="92"/>
        <v>0</v>
      </c>
      <c r="I180" s="6">
        <f t="shared" si="92"/>
        <v>600</v>
      </c>
      <c r="J180" s="6">
        <f t="shared" si="92"/>
        <v>0</v>
      </c>
      <c r="K180" s="6">
        <f t="shared" si="92"/>
        <v>600</v>
      </c>
      <c r="L180" s="6">
        <f>SUM(D180:K180)</f>
        <v>2400</v>
      </c>
    </row>
    <row r="181" spans="1:12" x14ac:dyDescent="0.3">
      <c r="B181" t="s">
        <v>151</v>
      </c>
      <c r="C181">
        <f>'01_INPUTS_MASTER'!F43</f>
        <v>2356</v>
      </c>
      <c r="D181" s="7">
        <f>C181</f>
        <v>2356</v>
      </c>
      <c r="E181" s="8">
        <f t="shared" ref="E181:K181" si="93">D185</f>
        <v>2356</v>
      </c>
      <c r="F181" s="8">
        <f t="shared" si="93"/>
        <v>1756</v>
      </c>
      <c r="G181" s="8">
        <f t="shared" si="93"/>
        <v>1756</v>
      </c>
      <c r="H181" s="8">
        <f t="shared" si="93"/>
        <v>1156</v>
      </c>
      <c r="I181" s="8">
        <f t="shared" si="93"/>
        <v>1156</v>
      </c>
      <c r="J181" s="8">
        <f t="shared" si="93"/>
        <v>556</v>
      </c>
      <c r="K181" s="8">
        <f t="shared" si="93"/>
        <v>556</v>
      </c>
    </row>
    <row r="182" spans="1:12" x14ac:dyDescent="0.3">
      <c r="B182" t="s">
        <v>172</v>
      </c>
      <c r="C182">
        <f>0</f>
        <v>0</v>
      </c>
      <c r="D182" s="6">
        <f t="shared" ref="D182:K182" si="94">MAX(0,D180-D181)</f>
        <v>0</v>
      </c>
      <c r="E182" s="6">
        <f t="shared" si="94"/>
        <v>0</v>
      </c>
      <c r="F182" s="6">
        <f t="shared" si="94"/>
        <v>0</v>
      </c>
      <c r="G182" s="6">
        <f t="shared" si="94"/>
        <v>0</v>
      </c>
      <c r="H182" s="6">
        <f t="shared" si="94"/>
        <v>0</v>
      </c>
      <c r="I182" s="6">
        <f t="shared" si="94"/>
        <v>0</v>
      </c>
      <c r="J182" s="6">
        <f t="shared" si="94"/>
        <v>0</v>
      </c>
      <c r="K182" s="6">
        <f t="shared" si="94"/>
        <v>44</v>
      </c>
    </row>
    <row r="183" spans="1:12" x14ac:dyDescent="0.3">
      <c r="B183" t="s">
        <v>173</v>
      </c>
      <c r="C183">
        <f>0</f>
        <v>0</v>
      </c>
      <c r="D183">
        <f t="shared" ref="D183:K183" si="95">IF(D177&gt;0,CEILING(D182/D177,1),0)</f>
        <v>0</v>
      </c>
      <c r="E183">
        <f t="shared" si="95"/>
        <v>0</v>
      </c>
      <c r="F183">
        <f t="shared" si="95"/>
        <v>0</v>
      </c>
      <c r="G183">
        <f t="shared" si="95"/>
        <v>0</v>
      </c>
      <c r="H183">
        <f t="shared" si="95"/>
        <v>0</v>
      </c>
      <c r="I183">
        <f t="shared" si="95"/>
        <v>0</v>
      </c>
      <c r="J183">
        <f t="shared" si="95"/>
        <v>0</v>
      </c>
      <c r="K183">
        <f t="shared" si="95"/>
        <v>1</v>
      </c>
    </row>
    <row r="184" spans="1:12" x14ac:dyDescent="0.3">
      <c r="B184" t="s">
        <v>174</v>
      </c>
      <c r="C184" s="7">
        <f>0</f>
        <v>0</v>
      </c>
      <c r="D184">
        <f t="shared" ref="D184:K184" si="96">D183*D177</f>
        <v>0</v>
      </c>
      <c r="E184">
        <f t="shared" si="96"/>
        <v>0</v>
      </c>
      <c r="F184">
        <f t="shared" si="96"/>
        <v>0</v>
      </c>
      <c r="G184">
        <f t="shared" si="96"/>
        <v>0</v>
      </c>
      <c r="H184">
        <f t="shared" si="96"/>
        <v>0</v>
      </c>
      <c r="I184">
        <f t="shared" si="96"/>
        <v>0</v>
      </c>
      <c r="J184">
        <f t="shared" si="96"/>
        <v>0</v>
      </c>
      <c r="K184">
        <f t="shared" si="96"/>
        <v>60</v>
      </c>
      <c r="L184" s="6">
        <f>SUM(D184:K184)</f>
        <v>60</v>
      </c>
    </row>
    <row r="185" spans="1:12" x14ac:dyDescent="0.3">
      <c r="B185" t="s">
        <v>154</v>
      </c>
      <c r="C185">
        <f>C181</f>
        <v>2356</v>
      </c>
      <c r="D185" s="6">
        <f t="shared" ref="D185:K185" si="97">D181+D184*(1)-D180</f>
        <v>2356</v>
      </c>
      <c r="E185" s="6">
        <f t="shared" si="97"/>
        <v>1756</v>
      </c>
      <c r="F185" s="6">
        <f t="shared" si="97"/>
        <v>1756</v>
      </c>
      <c r="G185" s="6">
        <f t="shared" si="97"/>
        <v>1156</v>
      </c>
      <c r="H185" s="6">
        <f t="shared" si="97"/>
        <v>1156</v>
      </c>
      <c r="I185" s="6">
        <f t="shared" si="97"/>
        <v>556</v>
      </c>
      <c r="J185" s="6">
        <f t="shared" si="97"/>
        <v>556</v>
      </c>
      <c r="K185" s="6">
        <f t="shared" si="97"/>
        <v>16</v>
      </c>
    </row>
    <row r="186" spans="1:12" x14ac:dyDescent="0.3">
      <c r="B186" t="s">
        <v>107</v>
      </c>
      <c r="C186">
        <f>0</f>
        <v>0</v>
      </c>
      <c r="D186">
        <f t="shared" ref="D186:K186" si="98">IF(D184&gt;0,0,0)</f>
        <v>0</v>
      </c>
      <c r="E186">
        <f t="shared" si="98"/>
        <v>0</v>
      </c>
      <c r="F186">
        <f t="shared" si="98"/>
        <v>0</v>
      </c>
      <c r="G186">
        <f t="shared" si="98"/>
        <v>0</v>
      </c>
      <c r="H186">
        <f t="shared" si="98"/>
        <v>0</v>
      </c>
      <c r="I186">
        <f t="shared" si="98"/>
        <v>0</v>
      </c>
      <c r="J186">
        <f t="shared" si="98"/>
        <v>0</v>
      </c>
      <c r="K186">
        <f t="shared" si="98"/>
        <v>0</v>
      </c>
      <c r="L186" s="6">
        <f>SUM(D186:K186)</f>
        <v>0</v>
      </c>
    </row>
    <row r="187" spans="1:12" x14ac:dyDescent="0.3">
      <c r="B187" t="s">
        <v>175</v>
      </c>
      <c r="C187">
        <f>0</f>
        <v>0</v>
      </c>
      <c r="D187">
        <f t="shared" ref="D187:K187" si="99">D185*0</f>
        <v>0</v>
      </c>
      <c r="E187">
        <f t="shared" si="99"/>
        <v>0</v>
      </c>
      <c r="F187">
        <f t="shared" si="99"/>
        <v>0</v>
      </c>
      <c r="G187">
        <f t="shared" si="99"/>
        <v>0</v>
      </c>
      <c r="H187">
        <f t="shared" si="99"/>
        <v>0</v>
      </c>
      <c r="I187">
        <f t="shared" si="99"/>
        <v>0</v>
      </c>
      <c r="J187">
        <f t="shared" si="99"/>
        <v>0</v>
      </c>
      <c r="K187">
        <f t="shared" si="99"/>
        <v>0</v>
      </c>
      <c r="L187" s="6">
        <f>SUM(D187:K187)</f>
        <v>0</v>
      </c>
    </row>
    <row r="189" spans="1:12" x14ac:dyDescent="0.3">
      <c r="A189" s="12" t="s">
        <v>100</v>
      </c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</row>
    <row r="190" spans="1:12" x14ac:dyDescent="0.3">
      <c r="B190" t="s">
        <v>91</v>
      </c>
      <c r="C190">
        <f>'01_INPUTS_MASTER'!B44</f>
        <v>100</v>
      </c>
      <c r="D190" s="8">
        <f>'01_INPUTS_MASTER'!B44</f>
        <v>100</v>
      </c>
      <c r="E190" s="8">
        <f>'01_INPUTS_MASTER'!B44</f>
        <v>100</v>
      </c>
      <c r="F190" s="8">
        <f>'01_INPUTS_MASTER'!B44</f>
        <v>100</v>
      </c>
      <c r="G190" s="8">
        <f>'01_INPUTS_MASTER'!B44</f>
        <v>100</v>
      </c>
      <c r="H190" s="8">
        <f>'01_INPUTS_MASTER'!B44</f>
        <v>100</v>
      </c>
      <c r="I190" s="8">
        <f>'01_INPUTS_MASTER'!B44</f>
        <v>100</v>
      </c>
      <c r="J190" s="8">
        <f>'01_INPUTS_MASTER'!B44</f>
        <v>100</v>
      </c>
      <c r="K190" s="8">
        <f>'01_INPUTS_MASTER'!B44</f>
        <v>100</v>
      </c>
    </row>
    <row r="191" spans="1:12" x14ac:dyDescent="0.3">
      <c r="B191" t="s">
        <v>109</v>
      </c>
      <c r="C191">
        <f>'01_INPUTS_MASTER'!D44</f>
        <v>2</v>
      </c>
      <c r="D191" s="8">
        <f>'01_INPUTS_MASTER'!D44</f>
        <v>2</v>
      </c>
      <c r="E191" s="8">
        <f>'01_INPUTS_MASTER'!D44</f>
        <v>2</v>
      </c>
      <c r="F191" s="8">
        <f>'01_INPUTS_MASTER'!D44</f>
        <v>2</v>
      </c>
      <c r="G191" s="8">
        <f>'01_INPUTS_MASTER'!D44</f>
        <v>2</v>
      </c>
      <c r="H191" s="8">
        <f>'01_INPUTS_MASTER'!D44</f>
        <v>2</v>
      </c>
      <c r="I191" s="8">
        <f>'01_INPUTS_MASTER'!D44</f>
        <v>2</v>
      </c>
      <c r="J191" s="8">
        <f>'01_INPUTS_MASTER'!D44</f>
        <v>2</v>
      </c>
      <c r="K191" s="8">
        <f>'01_INPUTS_MASTER'!D44</f>
        <v>2</v>
      </c>
    </row>
    <row r="192" spans="1:12" x14ac:dyDescent="0.3">
      <c r="B192" t="s">
        <v>170</v>
      </c>
      <c r="C192">
        <f>0</f>
        <v>0</v>
      </c>
      <c r="D192" s="8">
        <f>'04_FLOW_S1_S5'!D38</f>
        <v>0</v>
      </c>
      <c r="E192" s="8">
        <f>'04_FLOW_S1_S5'!E38</f>
        <v>1000</v>
      </c>
      <c r="F192" s="8">
        <f>'04_FLOW_S1_S5'!F38</f>
        <v>0</v>
      </c>
      <c r="G192" s="8">
        <f>'04_FLOW_S1_S5'!G38</f>
        <v>1000</v>
      </c>
      <c r="H192" s="8">
        <f>'04_FLOW_S1_S5'!H38</f>
        <v>0</v>
      </c>
      <c r="I192" s="8">
        <f>'04_FLOW_S1_S5'!I38</f>
        <v>1000</v>
      </c>
      <c r="J192" s="8">
        <f>'04_FLOW_S1_S5'!J38</f>
        <v>0</v>
      </c>
      <c r="K192" s="8">
        <f>'04_FLOW_S1_S5'!K38</f>
        <v>1000</v>
      </c>
    </row>
    <row r="193" spans="1:12" x14ac:dyDescent="0.3">
      <c r="B193" t="s">
        <v>171</v>
      </c>
      <c r="C193">
        <f>0</f>
        <v>0</v>
      </c>
      <c r="D193" s="6">
        <f t="shared" ref="D193:K193" si="100">D192*D191</f>
        <v>0</v>
      </c>
      <c r="E193" s="6">
        <f t="shared" si="100"/>
        <v>2000</v>
      </c>
      <c r="F193" s="6">
        <f t="shared" si="100"/>
        <v>0</v>
      </c>
      <c r="G193" s="6">
        <f t="shared" si="100"/>
        <v>2000</v>
      </c>
      <c r="H193" s="6">
        <f t="shared" si="100"/>
        <v>0</v>
      </c>
      <c r="I193" s="6">
        <f t="shared" si="100"/>
        <v>2000</v>
      </c>
      <c r="J193" s="6">
        <f t="shared" si="100"/>
        <v>0</v>
      </c>
      <c r="K193" s="6">
        <f t="shared" si="100"/>
        <v>2000</v>
      </c>
      <c r="L193" s="6">
        <f>SUM(D193:K193)</f>
        <v>8000</v>
      </c>
    </row>
    <row r="194" spans="1:12" x14ac:dyDescent="0.3">
      <c r="B194" t="s">
        <v>151</v>
      </c>
      <c r="C194">
        <f>'01_INPUTS_MASTER'!F44</f>
        <v>6456</v>
      </c>
      <c r="D194" s="7">
        <f>C194</f>
        <v>6456</v>
      </c>
      <c r="E194" s="8">
        <f t="shared" ref="E194:K194" si="101">D198</f>
        <v>6456</v>
      </c>
      <c r="F194" s="8">
        <f t="shared" si="101"/>
        <v>4456</v>
      </c>
      <c r="G194" s="8">
        <f t="shared" si="101"/>
        <v>4456</v>
      </c>
      <c r="H194" s="8">
        <f t="shared" si="101"/>
        <v>2456</v>
      </c>
      <c r="I194" s="8">
        <f t="shared" si="101"/>
        <v>2456</v>
      </c>
      <c r="J194" s="8">
        <f t="shared" si="101"/>
        <v>456</v>
      </c>
      <c r="K194" s="8">
        <f t="shared" si="101"/>
        <v>456</v>
      </c>
    </row>
    <row r="195" spans="1:12" x14ac:dyDescent="0.3">
      <c r="B195" t="s">
        <v>172</v>
      </c>
      <c r="C195">
        <f>0</f>
        <v>0</v>
      </c>
      <c r="D195" s="6">
        <f t="shared" ref="D195:K195" si="102">MAX(0,D193-D194)</f>
        <v>0</v>
      </c>
      <c r="E195" s="6">
        <f t="shared" si="102"/>
        <v>0</v>
      </c>
      <c r="F195" s="6">
        <f t="shared" si="102"/>
        <v>0</v>
      </c>
      <c r="G195" s="6">
        <f t="shared" si="102"/>
        <v>0</v>
      </c>
      <c r="H195" s="6">
        <f t="shared" si="102"/>
        <v>0</v>
      </c>
      <c r="I195" s="6">
        <f t="shared" si="102"/>
        <v>0</v>
      </c>
      <c r="J195" s="6">
        <f t="shared" si="102"/>
        <v>0</v>
      </c>
      <c r="K195" s="6">
        <f t="shared" si="102"/>
        <v>1544</v>
      </c>
    </row>
    <row r="196" spans="1:12" x14ac:dyDescent="0.3">
      <c r="B196" t="s">
        <v>173</v>
      </c>
      <c r="C196">
        <f>0</f>
        <v>0</v>
      </c>
      <c r="D196">
        <f t="shared" ref="D196:K196" si="103">IF(D190&gt;0,CEILING(D195/D190,1),0)</f>
        <v>0</v>
      </c>
      <c r="E196">
        <f t="shared" si="103"/>
        <v>0</v>
      </c>
      <c r="F196">
        <f t="shared" si="103"/>
        <v>0</v>
      </c>
      <c r="G196">
        <f t="shared" si="103"/>
        <v>0</v>
      </c>
      <c r="H196">
        <f t="shared" si="103"/>
        <v>0</v>
      </c>
      <c r="I196">
        <f t="shared" si="103"/>
        <v>0</v>
      </c>
      <c r="J196">
        <f t="shared" si="103"/>
        <v>0</v>
      </c>
      <c r="K196">
        <f t="shared" si="103"/>
        <v>16</v>
      </c>
    </row>
    <row r="197" spans="1:12" x14ac:dyDescent="0.3">
      <c r="B197" t="s">
        <v>174</v>
      </c>
      <c r="C197" s="7">
        <f>0</f>
        <v>0</v>
      </c>
      <c r="D197">
        <f t="shared" ref="D197:K197" si="104">D196*D190</f>
        <v>0</v>
      </c>
      <c r="E197">
        <f t="shared" si="104"/>
        <v>0</v>
      </c>
      <c r="F197">
        <f t="shared" si="104"/>
        <v>0</v>
      </c>
      <c r="G197">
        <f t="shared" si="104"/>
        <v>0</v>
      </c>
      <c r="H197">
        <f t="shared" si="104"/>
        <v>0</v>
      </c>
      <c r="I197">
        <f t="shared" si="104"/>
        <v>0</v>
      </c>
      <c r="J197">
        <f t="shared" si="104"/>
        <v>0</v>
      </c>
      <c r="K197">
        <f t="shared" si="104"/>
        <v>1600</v>
      </c>
      <c r="L197" s="6">
        <f>SUM(D197:K197)</f>
        <v>1600</v>
      </c>
    </row>
    <row r="198" spans="1:12" x14ac:dyDescent="0.3">
      <c r="B198" t="s">
        <v>154</v>
      </c>
      <c r="C198">
        <f>C194</f>
        <v>6456</v>
      </c>
      <c r="D198" s="6">
        <f t="shared" ref="D198:K198" si="105">D194+D197*(1)-D193</f>
        <v>6456</v>
      </c>
      <c r="E198" s="6">
        <f t="shared" si="105"/>
        <v>4456</v>
      </c>
      <c r="F198" s="6">
        <f t="shared" si="105"/>
        <v>4456</v>
      </c>
      <c r="G198" s="6">
        <f t="shared" si="105"/>
        <v>2456</v>
      </c>
      <c r="H198" s="6">
        <f t="shared" si="105"/>
        <v>2456</v>
      </c>
      <c r="I198" s="6">
        <f t="shared" si="105"/>
        <v>456</v>
      </c>
      <c r="J198" s="6">
        <f t="shared" si="105"/>
        <v>456</v>
      </c>
      <c r="K198" s="6">
        <f t="shared" si="105"/>
        <v>56</v>
      </c>
    </row>
    <row r="199" spans="1:12" x14ac:dyDescent="0.3">
      <c r="B199" t="s">
        <v>107</v>
      </c>
      <c r="C199">
        <f>0</f>
        <v>0</v>
      </c>
      <c r="D199">
        <f t="shared" ref="D199:K199" si="106">IF(D197&gt;0,0,0)</f>
        <v>0</v>
      </c>
      <c r="E199">
        <f t="shared" si="106"/>
        <v>0</v>
      </c>
      <c r="F199">
        <f t="shared" si="106"/>
        <v>0</v>
      </c>
      <c r="G199">
        <f t="shared" si="106"/>
        <v>0</v>
      </c>
      <c r="H199">
        <f t="shared" si="106"/>
        <v>0</v>
      </c>
      <c r="I199">
        <f t="shared" si="106"/>
        <v>0</v>
      </c>
      <c r="J199">
        <f t="shared" si="106"/>
        <v>0</v>
      </c>
      <c r="K199">
        <f t="shared" si="106"/>
        <v>0</v>
      </c>
      <c r="L199" s="6">
        <f>SUM(D199:K199)</f>
        <v>0</v>
      </c>
    </row>
    <row r="200" spans="1:12" x14ac:dyDescent="0.3">
      <c r="B200" t="s">
        <v>175</v>
      </c>
      <c r="C200">
        <f>0</f>
        <v>0</v>
      </c>
      <c r="D200">
        <f t="shared" ref="D200:K200" si="107">D198*0</f>
        <v>0</v>
      </c>
      <c r="E200">
        <f t="shared" si="107"/>
        <v>0</v>
      </c>
      <c r="F200">
        <f t="shared" si="107"/>
        <v>0</v>
      </c>
      <c r="G200">
        <f t="shared" si="107"/>
        <v>0</v>
      </c>
      <c r="H200">
        <f t="shared" si="107"/>
        <v>0</v>
      </c>
      <c r="I200">
        <f t="shared" si="107"/>
        <v>0</v>
      </c>
      <c r="J200">
        <f t="shared" si="107"/>
        <v>0</v>
      </c>
      <c r="K200">
        <f t="shared" si="107"/>
        <v>0</v>
      </c>
      <c r="L200" s="6">
        <f>SUM(D200:K200)</f>
        <v>0</v>
      </c>
    </row>
    <row r="202" spans="1:12" x14ac:dyDescent="0.3">
      <c r="A202" s="12" t="s">
        <v>101</v>
      </c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</row>
    <row r="203" spans="1:12" x14ac:dyDescent="0.3">
      <c r="B203" t="s">
        <v>91</v>
      </c>
      <c r="C203">
        <f>'01_INPUTS_MASTER'!B45</f>
        <v>150</v>
      </c>
      <c r="D203" s="8">
        <f>'01_INPUTS_MASTER'!B45</f>
        <v>150</v>
      </c>
      <c r="E203" s="8">
        <f>'01_INPUTS_MASTER'!B45</f>
        <v>150</v>
      </c>
      <c r="F203" s="8">
        <f>'01_INPUTS_MASTER'!B45</f>
        <v>150</v>
      </c>
      <c r="G203" s="8">
        <f>'01_INPUTS_MASTER'!B45</f>
        <v>150</v>
      </c>
      <c r="H203" s="8">
        <f>'01_INPUTS_MASTER'!B45</f>
        <v>150</v>
      </c>
      <c r="I203" s="8">
        <f>'01_INPUTS_MASTER'!B45</f>
        <v>150</v>
      </c>
      <c r="J203" s="8">
        <f>'01_INPUTS_MASTER'!B45</f>
        <v>150</v>
      </c>
      <c r="K203" s="8">
        <f>'01_INPUTS_MASTER'!B45</f>
        <v>150</v>
      </c>
    </row>
    <row r="204" spans="1:12" x14ac:dyDescent="0.3">
      <c r="B204" t="s">
        <v>109</v>
      </c>
      <c r="C204">
        <f>'01_INPUTS_MASTER'!D45</f>
        <v>0.75</v>
      </c>
      <c r="D204" s="8">
        <f>'01_INPUTS_MASTER'!D45</f>
        <v>0.75</v>
      </c>
      <c r="E204" s="8">
        <f>'01_INPUTS_MASTER'!D45</f>
        <v>0.75</v>
      </c>
      <c r="F204" s="8">
        <f>'01_INPUTS_MASTER'!D45</f>
        <v>0.75</v>
      </c>
      <c r="G204" s="8">
        <f>'01_INPUTS_MASTER'!D45</f>
        <v>0.75</v>
      </c>
      <c r="H204" s="8">
        <f>'01_INPUTS_MASTER'!D45</f>
        <v>0.75</v>
      </c>
      <c r="I204" s="8">
        <f>'01_INPUTS_MASTER'!D45</f>
        <v>0.75</v>
      </c>
      <c r="J204" s="8">
        <f>'01_INPUTS_MASTER'!D45</f>
        <v>0.75</v>
      </c>
      <c r="K204" s="8">
        <f>'01_INPUTS_MASTER'!D45</f>
        <v>0.75</v>
      </c>
    </row>
    <row r="205" spans="1:12" x14ac:dyDescent="0.3">
      <c r="B205" t="s">
        <v>170</v>
      </c>
      <c r="C205">
        <f>0</f>
        <v>0</v>
      </c>
      <c r="D205" s="8">
        <f>'04_FLOW_S1_S5'!D38</f>
        <v>0</v>
      </c>
      <c r="E205" s="8">
        <f>'04_FLOW_S1_S5'!E38</f>
        <v>1000</v>
      </c>
      <c r="F205" s="8">
        <f>'04_FLOW_S1_S5'!F38</f>
        <v>0</v>
      </c>
      <c r="G205" s="8">
        <f>'04_FLOW_S1_S5'!G38</f>
        <v>1000</v>
      </c>
      <c r="H205" s="8">
        <f>'04_FLOW_S1_S5'!H38</f>
        <v>0</v>
      </c>
      <c r="I205" s="8">
        <f>'04_FLOW_S1_S5'!I38</f>
        <v>1000</v>
      </c>
      <c r="J205" s="8">
        <f>'04_FLOW_S1_S5'!J38</f>
        <v>0</v>
      </c>
      <c r="K205" s="8">
        <f>'04_FLOW_S1_S5'!K38</f>
        <v>1000</v>
      </c>
    </row>
    <row r="206" spans="1:12" x14ac:dyDescent="0.3">
      <c r="B206" t="s">
        <v>171</v>
      </c>
      <c r="C206">
        <f>0</f>
        <v>0</v>
      </c>
      <c r="D206" s="6">
        <f t="shared" ref="D206:K206" si="108">D205*D204</f>
        <v>0</v>
      </c>
      <c r="E206" s="6">
        <f t="shared" si="108"/>
        <v>750</v>
      </c>
      <c r="F206" s="6">
        <f t="shared" si="108"/>
        <v>0</v>
      </c>
      <c r="G206" s="6">
        <f t="shared" si="108"/>
        <v>750</v>
      </c>
      <c r="H206" s="6">
        <f t="shared" si="108"/>
        <v>0</v>
      </c>
      <c r="I206" s="6">
        <f t="shared" si="108"/>
        <v>750</v>
      </c>
      <c r="J206" s="6">
        <f t="shared" si="108"/>
        <v>0</v>
      </c>
      <c r="K206" s="6">
        <f t="shared" si="108"/>
        <v>750</v>
      </c>
      <c r="L206" s="6">
        <f>SUM(D206:K206)</f>
        <v>3000</v>
      </c>
    </row>
    <row r="207" spans="1:12" x14ac:dyDescent="0.3">
      <c r="B207" t="s">
        <v>151</v>
      </c>
      <c r="C207">
        <f>'01_INPUTS_MASTER'!F45</f>
        <v>1596</v>
      </c>
      <c r="D207" s="7">
        <f>C207</f>
        <v>1596</v>
      </c>
      <c r="E207" s="8">
        <f t="shared" ref="E207:K207" si="109">D211</f>
        <v>1596</v>
      </c>
      <c r="F207" s="8">
        <f t="shared" si="109"/>
        <v>846</v>
      </c>
      <c r="G207" s="8">
        <f t="shared" si="109"/>
        <v>846</v>
      </c>
      <c r="H207" s="8">
        <f t="shared" si="109"/>
        <v>96</v>
      </c>
      <c r="I207" s="8">
        <f t="shared" si="109"/>
        <v>96</v>
      </c>
      <c r="J207" s="8">
        <f t="shared" si="109"/>
        <v>96</v>
      </c>
      <c r="K207" s="8">
        <f t="shared" si="109"/>
        <v>96</v>
      </c>
    </row>
    <row r="208" spans="1:12" x14ac:dyDescent="0.3">
      <c r="B208" t="s">
        <v>172</v>
      </c>
      <c r="C208">
        <f>0</f>
        <v>0</v>
      </c>
      <c r="D208" s="6">
        <f t="shared" ref="D208:K208" si="110">MAX(0,D206-D207)</f>
        <v>0</v>
      </c>
      <c r="E208" s="6">
        <f t="shared" si="110"/>
        <v>0</v>
      </c>
      <c r="F208" s="6">
        <f t="shared" si="110"/>
        <v>0</v>
      </c>
      <c r="G208" s="6">
        <f t="shared" si="110"/>
        <v>0</v>
      </c>
      <c r="H208" s="6">
        <f t="shared" si="110"/>
        <v>0</v>
      </c>
      <c r="I208" s="6">
        <f t="shared" si="110"/>
        <v>654</v>
      </c>
      <c r="J208" s="6">
        <f t="shared" si="110"/>
        <v>0</v>
      </c>
      <c r="K208" s="6">
        <f t="shared" si="110"/>
        <v>654</v>
      </c>
    </row>
    <row r="209" spans="1:12" x14ac:dyDescent="0.3">
      <c r="B209" t="s">
        <v>173</v>
      </c>
      <c r="C209">
        <f>0</f>
        <v>0</v>
      </c>
      <c r="D209">
        <f t="shared" ref="D209:K209" si="111">IF(D203&gt;0,CEILING(D208/D203,1),0)</f>
        <v>0</v>
      </c>
      <c r="E209">
        <f t="shared" si="111"/>
        <v>0</v>
      </c>
      <c r="F209">
        <f t="shared" si="111"/>
        <v>0</v>
      </c>
      <c r="G209">
        <f t="shared" si="111"/>
        <v>0</v>
      </c>
      <c r="H209">
        <f t="shared" si="111"/>
        <v>0</v>
      </c>
      <c r="I209">
        <f t="shared" si="111"/>
        <v>5</v>
      </c>
      <c r="J209">
        <f t="shared" si="111"/>
        <v>0</v>
      </c>
      <c r="K209">
        <f t="shared" si="111"/>
        <v>5</v>
      </c>
    </row>
    <row r="210" spans="1:12" x14ac:dyDescent="0.3">
      <c r="B210" t="s">
        <v>174</v>
      </c>
      <c r="C210" s="7">
        <f>0</f>
        <v>0</v>
      </c>
      <c r="D210">
        <f t="shared" ref="D210:K210" si="112">D209*D203</f>
        <v>0</v>
      </c>
      <c r="E210">
        <f t="shared" si="112"/>
        <v>0</v>
      </c>
      <c r="F210">
        <f t="shared" si="112"/>
        <v>0</v>
      </c>
      <c r="G210">
        <f t="shared" si="112"/>
        <v>0</v>
      </c>
      <c r="H210">
        <f t="shared" si="112"/>
        <v>0</v>
      </c>
      <c r="I210">
        <f t="shared" si="112"/>
        <v>750</v>
      </c>
      <c r="J210">
        <f t="shared" si="112"/>
        <v>0</v>
      </c>
      <c r="K210">
        <f t="shared" si="112"/>
        <v>750</v>
      </c>
      <c r="L210" s="6">
        <f>SUM(D210:K210)</f>
        <v>1500</v>
      </c>
    </row>
    <row r="211" spans="1:12" x14ac:dyDescent="0.3">
      <c r="B211" t="s">
        <v>154</v>
      </c>
      <c r="C211">
        <f>C207</f>
        <v>1596</v>
      </c>
      <c r="D211" s="6">
        <f t="shared" ref="D211:K211" si="113">D207+D210*(1)-D206</f>
        <v>1596</v>
      </c>
      <c r="E211" s="6">
        <f t="shared" si="113"/>
        <v>846</v>
      </c>
      <c r="F211" s="6">
        <f t="shared" si="113"/>
        <v>846</v>
      </c>
      <c r="G211" s="6">
        <f t="shared" si="113"/>
        <v>96</v>
      </c>
      <c r="H211" s="6">
        <f t="shared" si="113"/>
        <v>96</v>
      </c>
      <c r="I211" s="6">
        <f t="shared" si="113"/>
        <v>96</v>
      </c>
      <c r="J211" s="6">
        <f t="shared" si="113"/>
        <v>96</v>
      </c>
      <c r="K211" s="6">
        <f t="shared" si="113"/>
        <v>96</v>
      </c>
    </row>
    <row r="212" spans="1:12" x14ac:dyDescent="0.3">
      <c r="B212" t="s">
        <v>107</v>
      </c>
      <c r="C212">
        <f>0</f>
        <v>0</v>
      </c>
      <c r="D212">
        <f t="shared" ref="D212:K212" si="114">IF(D210&gt;0,0,0)</f>
        <v>0</v>
      </c>
      <c r="E212">
        <f t="shared" si="114"/>
        <v>0</v>
      </c>
      <c r="F212">
        <f t="shared" si="114"/>
        <v>0</v>
      </c>
      <c r="G212">
        <f t="shared" si="114"/>
        <v>0</v>
      </c>
      <c r="H212">
        <f t="shared" si="114"/>
        <v>0</v>
      </c>
      <c r="I212">
        <f t="shared" si="114"/>
        <v>0</v>
      </c>
      <c r="J212">
        <f t="shared" si="114"/>
        <v>0</v>
      </c>
      <c r="K212">
        <f t="shared" si="114"/>
        <v>0</v>
      </c>
      <c r="L212" s="6">
        <f>SUM(D212:K212)</f>
        <v>0</v>
      </c>
    </row>
    <row r="213" spans="1:12" x14ac:dyDescent="0.3">
      <c r="B213" t="s">
        <v>175</v>
      </c>
      <c r="C213">
        <f>0</f>
        <v>0</v>
      </c>
      <c r="D213">
        <f t="shared" ref="D213:K213" si="115">D211*0</f>
        <v>0</v>
      </c>
      <c r="E213">
        <f t="shared" si="115"/>
        <v>0</v>
      </c>
      <c r="F213">
        <f t="shared" si="115"/>
        <v>0</v>
      </c>
      <c r="G213">
        <f t="shared" si="115"/>
        <v>0</v>
      </c>
      <c r="H213">
        <f t="shared" si="115"/>
        <v>0</v>
      </c>
      <c r="I213">
        <f t="shared" si="115"/>
        <v>0</v>
      </c>
      <c r="J213">
        <f t="shared" si="115"/>
        <v>0</v>
      </c>
      <c r="K213">
        <f t="shared" si="115"/>
        <v>0</v>
      </c>
      <c r="L213" s="6">
        <f>SUM(D213:K213)</f>
        <v>0</v>
      </c>
    </row>
    <row r="216" spans="1:12" x14ac:dyDescent="0.3">
      <c r="A216" t="s">
        <v>263</v>
      </c>
    </row>
    <row r="217" spans="1:12" x14ac:dyDescent="0.3">
      <c r="A217" t="s">
        <v>264</v>
      </c>
      <c r="C217">
        <f>0</f>
        <v>0</v>
      </c>
      <c r="D217">
        <f>IF('01_INPUTS_MASTER'!P54=1,0,D12*(IF('01_INPUTS_MASTER'!M54="A",'01_INPUTS_MASTER'!C49,IF('01_INPUTS_MASTER'!M54="B",'01_INPUTS_MASTER'!D49,IF('01_INPUTS_MASTER'!M54="C",'01_INPUTS_MASTER'!E49,0))))*(1-'01_INPUTS_MASTER'!O54))</f>
        <v>0</v>
      </c>
      <c r="E217">
        <f>IF('01_INPUTS_MASTER'!P54=1,D12*(IF('01_INPUTS_MASTER'!M54="A",'01_INPUTS_MASTER'!C49,IF('01_INPUTS_MASTER'!M54="B",'01_INPUTS_MASTER'!D49,IF('01_INPUTS_MASTER'!M54="C",'01_INPUTS_MASTER'!E49,0))))*(1-'01_INPUTS_MASTER'!O54),E12*(IF('01_INPUTS_MASTER'!M54="A",'01_INPUTS_MASTER'!C49,IF('01_INPUTS_MASTER'!M54="B",'01_INPUTS_MASTER'!D49,IF('01_INPUTS_MASTER'!M54="C",'01_INPUTS_MASTER'!E49,0))))*(1-'01_INPUTS_MASTER'!O54))</f>
        <v>0</v>
      </c>
      <c r="F217">
        <f>IF('01_INPUTS_MASTER'!P54=1,E12*(IF('01_INPUTS_MASTER'!M54="A",'01_INPUTS_MASTER'!C49,IF('01_INPUTS_MASTER'!M54="B",'01_INPUTS_MASTER'!D49,IF('01_INPUTS_MASTER'!M54="C",'01_INPUTS_MASTER'!E49,0))))*(1-'01_INPUTS_MASTER'!O54),F12*(IF('01_INPUTS_MASTER'!M54="A",'01_INPUTS_MASTER'!C49,IF('01_INPUTS_MASTER'!M54="B",'01_INPUTS_MASTER'!D49,IF('01_INPUTS_MASTER'!M54="C",'01_INPUTS_MASTER'!E49,0))))*(1-'01_INPUTS_MASTER'!O54))</f>
        <v>127500</v>
      </c>
      <c r="G217">
        <f>IF('01_INPUTS_MASTER'!P54=1,F12*(IF('01_INPUTS_MASTER'!M54="A",'01_INPUTS_MASTER'!C49,IF('01_INPUTS_MASTER'!M54="B",'01_INPUTS_MASTER'!D49,IF('01_INPUTS_MASTER'!M54="C",'01_INPUTS_MASTER'!E49,0))))*(1-'01_INPUTS_MASTER'!O54),G12*(IF('01_INPUTS_MASTER'!M54="A",'01_INPUTS_MASTER'!C49,IF('01_INPUTS_MASTER'!M54="B",'01_INPUTS_MASTER'!D49,IF('01_INPUTS_MASTER'!M54="C",'01_INPUTS_MASTER'!E49,0))))*(1-'01_INPUTS_MASTER'!O54))</f>
        <v>0</v>
      </c>
      <c r="H217">
        <f>IF('01_INPUTS_MASTER'!P54=1,G12*(IF('01_INPUTS_MASTER'!M54="A",'01_INPUTS_MASTER'!C49,IF('01_INPUTS_MASTER'!M54="B",'01_INPUTS_MASTER'!D49,IF('01_INPUTS_MASTER'!M54="C",'01_INPUTS_MASTER'!E49,0))))*(1-'01_INPUTS_MASTER'!O54),H12*(IF('01_INPUTS_MASTER'!M54="A",'01_INPUTS_MASTER'!C49,IF('01_INPUTS_MASTER'!M54="B",'01_INPUTS_MASTER'!D49,IF('01_INPUTS_MASTER'!M54="C",'01_INPUTS_MASTER'!E49,0))))*(1-'01_INPUTS_MASTER'!O54))</f>
        <v>123750</v>
      </c>
      <c r="I217">
        <f>IF('01_INPUTS_MASTER'!P54=1,H12*(IF('01_INPUTS_MASTER'!M54="A",'01_INPUTS_MASTER'!C49,IF('01_INPUTS_MASTER'!M54="B",'01_INPUTS_MASTER'!D49,IF('01_INPUTS_MASTER'!M54="C",'01_INPUTS_MASTER'!E49,0))))*(1-'01_INPUTS_MASTER'!O54),I12*(IF('01_INPUTS_MASTER'!M54="A",'01_INPUTS_MASTER'!C49,IF('01_INPUTS_MASTER'!M54="B",'01_INPUTS_MASTER'!D49,IF('01_INPUTS_MASTER'!M54="C",'01_INPUTS_MASTER'!E49,0))))*(1-'01_INPUTS_MASTER'!O54))</f>
        <v>0</v>
      </c>
      <c r="J217">
        <f>IF('01_INPUTS_MASTER'!P54=1,I12*(IF('01_INPUTS_MASTER'!M54="A",'01_INPUTS_MASTER'!C49,IF('01_INPUTS_MASTER'!M54="B",'01_INPUTS_MASTER'!D49,IF('01_INPUTS_MASTER'!M54="C",'01_INPUTS_MASTER'!E49,0))))*(1-'01_INPUTS_MASTER'!O54),J12*(IF('01_INPUTS_MASTER'!M54="A",'01_INPUTS_MASTER'!C49,IF('01_INPUTS_MASTER'!M54="B",'01_INPUTS_MASTER'!D49,IF('01_INPUTS_MASTER'!M54="C",'01_INPUTS_MASTER'!E49,0))))*(1-'01_INPUTS_MASTER'!O54))</f>
        <v>123750</v>
      </c>
      <c r="K217">
        <f>IF('01_INPUTS_MASTER'!P54=1,J12*(IF('01_INPUTS_MASTER'!M54="A",'01_INPUTS_MASTER'!C49,IF('01_INPUTS_MASTER'!M54="B",'01_INPUTS_MASTER'!D49,IF('01_INPUTS_MASTER'!M54="C",'01_INPUTS_MASTER'!E49,0))))*(1-'01_INPUTS_MASTER'!O54),K12*(IF('01_INPUTS_MASTER'!M54="A",'01_INPUTS_MASTER'!C49,IF('01_INPUTS_MASTER'!M54="B",'01_INPUTS_MASTER'!D49,IF('01_INPUTS_MASTER'!M54="C",'01_INPUTS_MASTER'!E49,0))))*(1-'01_INPUTS_MASTER'!O54))</f>
        <v>0</v>
      </c>
      <c r="L217">
        <f>SUM(D217)</f>
        <v>0</v>
      </c>
    </row>
    <row r="218" spans="1:12" x14ac:dyDescent="0.3">
      <c r="A218" t="s">
        <v>265</v>
      </c>
      <c r="C218">
        <f>0</f>
        <v>0</v>
      </c>
      <c r="D218">
        <f>IF('01_INPUTS_MASTER'!P54=1,0,D25*(IF('01_INPUTS_MASTER'!N54="A",'01_INPUTS_MASTER'!C50,IF('01_INPUTS_MASTER'!N54="B",'01_INPUTS_MASTER'!D50,IF('01_INPUTS_MASTER'!N54="C",'01_INPUTS_MASTER'!E50,0))))*(1-'01_INPUTS_MASTER'!O54))</f>
        <v>0</v>
      </c>
      <c r="E218">
        <f>IF('01_INPUTS_MASTER'!P54=1,D25*(IF('01_INPUTS_MASTER'!N54="A",'01_INPUTS_MASTER'!C50,IF('01_INPUTS_MASTER'!N54="B",'01_INPUTS_MASTER'!D50,IF('01_INPUTS_MASTER'!N54="C",'01_INPUTS_MASTER'!E50,0))))*(1-'01_INPUTS_MASTER'!O54),E25*(IF('01_INPUTS_MASTER'!N54="A",'01_INPUTS_MASTER'!C50,IF('01_INPUTS_MASTER'!N54="B",'01_INPUTS_MASTER'!D50,IF('01_INPUTS_MASTER'!N54="C",'01_INPUTS_MASTER'!E50,0))))*(1-'01_INPUTS_MASTER'!O54))</f>
        <v>0</v>
      </c>
      <c r="F218">
        <f>IF('01_INPUTS_MASTER'!P54=1,E25*(IF('01_INPUTS_MASTER'!N54="A",'01_INPUTS_MASTER'!C50,IF('01_INPUTS_MASTER'!N54="B",'01_INPUTS_MASTER'!D50,IF('01_INPUTS_MASTER'!N54="C",'01_INPUTS_MASTER'!E50,0))))*(1-'01_INPUTS_MASTER'!O54),F25*(IF('01_INPUTS_MASTER'!N54="A",'01_INPUTS_MASTER'!C50,IF('01_INPUTS_MASTER'!N54="B",'01_INPUTS_MASTER'!D50,IF('01_INPUTS_MASTER'!N54="C",'01_INPUTS_MASTER'!E50,0))))*(1-'01_INPUTS_MASTER'!O54))</f>
        <v>67320</v>
      </c>
      <c r="G218">
        <f>IF('01_INPUTS_MASTER'!P54=1,F25*(IF('01_INPUTS_MASTER'!N54="A",'01_INPUTS_MASTER'!C50,IF('01_INPUTS_MASTER'!N54="B",'01_INPUTS_MASTER'!D50,IF('01_INPUTS_MASTER'!N54="C",'01_INPUTS_MASTER'!E50,0))))*(1-'01_INPUTS_MASTER'!O54),G25*(IF('01_INPUTS_MASTER'!N54="A",'01_INPUTS_MASTER'!C50,IF('01_INPUTS_MASTER'!N54="B",'01_INPUTS_MASTER'!D50,IF('01_INPUTS_MASTER'!N54="C",'01_INPUTS_MASTER'!E50,0))))*(1-'01_INPUTS_MASTER'!O54))</f>
        <v>0</v>
      </c>
      <c r="H218">
        <f>IF('01_INPUTS_MASTER'!P54=1,G25*(IF('01_INPUTS_MASTER'!N54="A",'01_INPUTS_MASTER'!C50,IF('01_INPUTS_MASTER'!N54="B",'01_INPUTS_MASTER'!D50,IF('01_INPUTS_MASTER'!N54="C",'01_INPUTS_MASTER'!E50,0))))*(1-'01_INPUTS_MASTER'!O54),H25*(IF('01_INPUTS_MASTER'!N54="A",'01_INPUTS_MASTER'!C50,IF('01_INPUTS_MASTER'!N54="B",'01_INPUTS_MASTER'!D50,IF('01_INPUTS_MASTER'!N54="C",'01_INPUTS_MASTER'!E50,0))))*(1-'01_INPUTS_MASTER'!O54))</f>
        <v>67320</v>
      </c>
      <c r="I218">
        <f>IF('01_INPUTS_MASTER'!P54=1,H25*(IF('01_INPUTS_MASTER'!N54="A",'01_INPUTS_MASTER'!C50,IF('01_INPUTS_MASTER'!N54="B",'01_INPUTS_MASTER'!D50,IF('01_INPUTS_MASTER'!N54="C",'01_INPUTS_MASTER'!E50,0))))*(1-'01_INPUTS_MASTER'!O54),I25*(IF('01_INPUTS_MASTER'!N54="A",'01_INPUTS_MASTER'!C50,IF('01_INPUTS_MASTER'!N54="B",'01_INPUTS_MASTER'!D50,IF('01_INPUTS_MASTER'!N54="C",'01_INPUTS_MASTER'!E50,0))))*(1-'01_INPUTS_MASTER'!O54))</f>
        <v>0</v>
      </c>
      <c r="J218">
        <f>IF('01_INPUTS_MASTER'!P54=1,I25*(IF('01_INPUTS_MASTER'!N54="A",'01_INPUTS_MASTER'!C50,IF('01_INPUTS_MASTER'!N54="B",'01_INPUTS_MASTER'!D50,IF('01_INPUTS_MASTER'!N54="C",'01_INPUTS_MASTER'!E50,0))))*(1-'01_INPUTS_MASTER'!O54),J25*(IF('01_INPUTS_MASTER'!N54="A",'01_INPUTS_MASTER'!C50,IF('01_INPUTS_MASTER'!N54="B",'01_INPUTS_MASTER'!D50,IF('01_INPUTS_MASTER'!N54="C",'01_INPUTS_MASTER'!E50,0))))*(1-'01_INPUTS_MASTER'!O54))</f>
        <v>63360</v>
      </c>
      <c r="K218">
        <f>IF('01_INPUTS_MASTER'!P54=1,J25*(IF('01_INPUTS_MASTER'!N54="A",'01_INPUTS_MASTER'!C50,IF('01_INPUTS_MASTER'!N54="B",'01_INPUTS_MASTER'!D50,IF('01_INPUTS_MASTER'!N54="C",'01_INPUTS_MASTER'!E50,0))))*(1-'01_INPUTS_MASTER'!O54),K25*(IF('01_INPUTS_MASTER'!N54="A",'01_INPUTS_MASTER'!C50,IF('01_INPUTS_MASTER'!N54="B",'01_INPUTS_MASTER'!D50,IF('01_INPUTS_MASTER'!N54="C",'01_INPUTS_MASTER'!E50,0))))*(1-'01_INPUTS_MASTER'!O54))</f>
        <v>0</v>
      </c>
      <c r="L218">
        <f>SUM(D218)</f>
        <v>0</v>
      </c>
    </row>
    <row r="219" spans="1:12" x14ac:dyDescent="0.3">
      <c r="A219" t="s">
        <v>266</v>
      </c>
      <c r="C219">
        <f>0</f>
        <v>0</v>
      </c>
      <c r="D219">
        <f t="shared" ref="D219:K219" si="116">D217+D218</f>
        <v>0</v>
      </c>
      <c r="E219">
        <f t="shared" si="116"/>
        <v>0</v>
      </c>
      <c r="F219">
        <f t="shared" si="116"/>
        <v>194820</v>
      </c>
      <c r="G219">
        <f t="shared" si="116"/>
        <v>0</v>
      </c>
      <c r="H219">
        <f t="shared" si="116"/>
        <v>191070</v>
      </c>
      <c r="I219">
        <f t="shared" si="116"/>
        <v>0</v>
      </c>
      <c r="J219">
        <f t="shared" si="116"/>
        <v>187110</v>
      </c>
      <c r="K219">
        <f t="shared" si="116"/>
        <v>0</v>
      </c>
      <c r="L219">
        <f>SUM(D219:K219)</f>
        <v>573000</v>
      </c>
    </row>
    <row r="221" spans="1:12" x14ac:dyDescent="0.3">
      <c r="A221" t="s">
        <v>267</v>
      </c>
    </row>
    <row r="222" spans="1:12" x14ac:dyDescent="0.3">
      <c r="A222" t="s">
        <v>264</v>
      </c>
      <c r="C222">
        <f>0</f>
        <v>0</v>
      </c>
      <c r="D222">
        <f>IF('01_INPUTS_MASTER'!P55=1,0,D119*(IF('01_INPUTS_MASTER'!M55="A",'01_INPUTS_MASTER'!C49,IF('01_INPUTS_MASTER'!M55="B",'01_INPUTS_MASTER'!D49,IF('01_INPUTS_MASTER'!M55="C",'01_INPUTS_MASTER'!E49,0))))*(1-'01_INPUTS_MASTER'!O55))</f>
        <v>0</v>
      </c>
      <c r="E222">
        <f>IF('01_INPUTS_MASTER'!P55=1,D119*(IF('01_INPUTS_MASTER'!M55="A",'01_INPUTS_MASTER'!C49,IF('01_INPUTS_MASTER'!M55="B",'01_INPUTS_MASTER'!D49,IF('01_INPUTS_MASTER'!M55="C",'01_INPUTS_MASTER'!E49,0))))*(1-'01_INPUTS_MASTER'!O55),E119*(IF('01_INPUTS_MASTER'!M55="A",'01_INPUTS_MASTER'!C49,IF('01_INPUTS_MASTER'!M55="B",'01_INPUTS_MASTER'!D49,IF('01_INPUTS_MASTER'!M55="C",'01_INPUTS_MASTER'!E49,0))))*(1-'01_INPUTS_MASTER'!O55))</f>
        <v>0</v>
      </c>
      <c r="F222">
        <f>IF('01_INPUTS_MASTER'!P55=1,E119*(IF('01_INPUTS_MASTER'!M55="A",'01_INPUTS_MASTER'!C49,IF('01_INPUTS_MASTER'!M55="B",'01_INPUTS_MASTER'!D49,IF('01_INPUTS_MASTER'!M55="C",'01_INPUTS_MASTER'!E49,0))))*(1-'01_INPUTS_MASTER'!O55),F119*(IF('01_INPUTS_MASTER'!M55="A",'01_INPUTS_MASTER'!C49,IF('01_INPUTS_MASTER'!M55="B",'01_INPUTS_MASTER'!D49,IF('01_INPUTS_MASTER'!M55="C",'01_INPUTS_MASTER'!E49,0))))*(1-'01_INPUTS_MASTER'!O55))</f>
        <v>127500</v>
      </c>
      <c r="G222">
        <f>IF('01_INPUTS_MASTER'!P55=1,F119*(IF('01_INPUTS_MASTER'!M55="A",'01_INPUTS_MASTER'!C49,IF('01_INPUTS_MASTER'!M55="B",'01_INPUTS_MASTER'!D49,IF('01_INPUTS_MASTER'!M55="C",'01_INPUTS_MASTER'!E49,0))))*(1-'01_INPUTS_MASTER'!O55),G119*(IF('01_INPUTS_MASTER'!M55="A",'01_INPUTS_MASTER'!C49,IF('01_INPUTS_MASTER'!M55="B",'01_INPUTS_MASTER'!D49,IF('01_INPUTS_MASTER'!M55="C",'01_INPUTS_MASTER'!E49,0))))*(1-'01_INPUTS_MASTER'!O55))</f>
        <v>0</v>
      </c>
      <c r="H222">
        <f>IF('01_INPUTS_MASTER'!P55=1,G119*(IF('01_INPUTS_MASTER'!M55="A",'01_INPUTS_MASTER'!C49,IF('01_INPUTS_MASTER'!M55="B",'01_INPUTS_MASTER'!D49,IF('01_INPUTS_MASTER'!M55="C",'01_INPUTS_MASTER'!E49,0))))*(1-'01_INPUTS_MASTER'!O55),H119*(IF('01_INPUTS_MASTER'!M55="A",'01_INPUTS_MASTER'!C49,IF('01_INPUTS_MASTER'!M55="B",'01_INPUTS_MASTER'!D49,IF('01_INPUTS_MASTER'!M55="C",'01_INPUTS_MASTER'!E49,0))))*(1-'01_INPUTS_MASTER'!O55))</f>
        <v>123750</v>
      </c>
      <c r="I222">
        <f>IF('01_INPUTS_MASTER'!P55=1,H119*(IF('01_INPUTS_MASTER'!M55="A",'01_INPUTS_MASTER'!C49,IF('01_INPUTS_MASTER'!M55="B",'01_INPUTS_MASTER'!D49,IF('01_INPUTS_MASTER'!M55="C",'01_INPUTS_MASTER'!E49,0))))*(1-'01_INPUTS_MASTER'!O55),I119*(IF('01_INPUTS_MASTER'!M55="A",'01_INPUTS_MASTER'!C49,IF('01_INPUTS_MASTER'!M55="B",'01_INPUTS_MASTER'!D49,IF('01_INPUTS_MASTER'!M55="C",'01_INPUTS_MASTER'!E49,0))))*(1-'01_INPUTS_MASTER'!O55))</f>
        <v>0</v>
      </c>
      <c r="J222">
        <f>IF('01_INPUTS_MASTER'!P55=1,I119*(IF('01_INPUTS_MASTER'!M55="A",'01_INPUTS_MASTER'!C49,IF('01_INPUTS_MASTER'!M55="B",'01_INPUTS_MASTER'!D49,IF('01_INPUTS_MASTER'!M55="C",'01_INPUTS_MASTER'!E49,0))))*(1-'01_INPUTS_MASTER'!O55),J119*(IF('01_INPUTS_MASTER'!M55="A",'01_INPUTS_MASTER'!C49,IF('01_INPUTS_MASTER'!M55="B",'01_INPUTS_MASTER'!D49,IF('01_INPUTS_MASTER'!M55="C",'01_INPUTS_MASTER'!E49,0))))*(1-'01_INPUTS_MASTER'!O55))</f>
        <v>123750</v>
      </c>
      <c r="K222">
        <f>IF('01_INPUTS_MASTER'!P55=1,J119*(IF('01_INPUTS_MASTER'!M55="A",'01_INPUTS_MASTER'!C49,IF('01_INPUTS_MASTER'!M55="B",'01_INPUTS_MASTER'!D49,IF('01_INPUTS_MASTER'!M55="C",'01_INPUTS_MASTER'!E49,0))))*(1-'01_INPUTS_MASTER'!O55),K119*(IF('01_INPUTS_MASTER'!M55="A",'01_INPUTS_MASTER'!C49,IF('01_INPUTS_MASTER'!M55="B",'01_INPUTS_MASTER'!D49,IF('01_INPUTS_MASTER'!M55="C",'01_INPUTS_MASTER'!E49,0))))*(1-'01_INPUTS_MASTER'!O55))</f>
        <v>0</v>
      </c>
      <c r="L222">
        <f>SUM(D222)</f>
        <v>0</v>
      </c>
    </row>
    <row r="223" spans="1:12" x14ac:dyDescent="0.3">
      <c r="A223" t="s">
        <v>265</v>
      </c>
      <c r="C223">
        <f>0</f>
        <v>0</v>
      </c>
      <c r="D223">
        <f>IF('01_INPUTS_MASTER'!P55=1,0,D132*(IF('01_INPUTS_MASTER'!N55="A",'01_INPUTS_MASTER'!C50,IF('01_INPUTS_MASTER'!N55="B",'01_INPUTS_MASTER'!D50,IF('01_INPUTS_MASTER'!N55="C",'01_INPUTS_MASTER'!E50,0))))*(1-'01_INPUTS_MASTER'!O55))</f>
        <v>0</v>
      </c>
      <c r="E223">
        <f>IF('01_INPUTS_MASTER'!P55=1,D132*(IF('01_INPUTS_MASTER'!N55="A",'01_INPUTS_MASTER'!C50,IF('01_INPUTS_MASTER'!N55="B",'01_INPUTS_MASTER'!D50,IF('01_INPUTS_MASTER'!N55="C",'01_INPUTS_MASTER'!E50,0))))*(1-'01_INPUTS_MASTER'!O55),E132*(IF('01_INPUTS_MASTER'!N55="A",'01_INPUTS_MASTER'!C50,IF('01_INPUTS_MASTER'!N55="B",'01_INPUTS_MASTER'!D50,IF('01_INPUTS_MASTER'!N55="C",'01_INPUTS_MASTER'!E50,0))))*(1-'01_INPUTS_MASTER'!O55))</f>
        <v>0</v>
      </c>
      <c r="F223">
        <f>IF('01_INPUTS_MASTER'!P55=1,E132*(IF('01_INPUTS_MASTER'!N55="A",'01_INPUTS_MASTER'!C50,IF('01_INPUTS_MASTER'!N55="B",'01_INPUTS_MASTER'!D50,IF('01_INPUTS_MASTER'!N55="C",'01_INPUTS_MASTER'!E50,0))))*(1-'01_INPUTS_MASTER'!O55),F132*(IF('01_INPUTS_MASTER'!N55="A",'01_INPUTS_MASTER'!C50,IF('01_INPUTS_MASTER'!N55="B",'01_INPUTS_MASTER'!D50,IF('01_INPUTS_MASTER'!N55="C",'01_INPUTS_MASTER'!E50,0))))*(1-'01_INPUTS_MASTER'!O55))</f>
        <v>67320</v>
      </c>
      <c r="G223">
        <f>IF('01_INPUTS_MASTER'!P55=1,F132*(IF('01_INPUTS_MASTER'!N55="A",'01_INPUTS_MASTER'!C50,IF('01_INPUTS_MASTER'!N55="B",'01_INPUTS_MASTER'!D50,IF('01_INPUTS_MASTER'!N55="C",'01_INPUTS_MASTER'!E50,0))))*(1-'01_INPUTS_MASTER'!O55),G132*(IF('01_INPUTS_MASTER'!N55="A",'01_INPUTS_MASTER'!C50,IF('01_INPUTS_MASTER'!N55="B",'01_INPUTS_MASTER'!D50,IF('01_INPUTS_MASTER'!N55="C",'01_INPUTS_MASTER'!E50,0))))*(1-'01_INPUTS_MASTER'!O55))</f>
        <v>0</v>
      </c>
      <c r="H223">
        <f>IF('01_INPUTS_MASTER'!P55=1,G132*(IF('01_INPUTS_MASTER'!N55="A",'01_INPUTS_MASTER'!C50,IF('01_INPUTS_MASTER'!N55="B",'01_INPUTS_MASTER'!D50,IF('01_INPUTS_MASTER'!N55="C",'01_INPUTS_MASTER'!E50,0))))*(1-'01_INPUTS_MASTER'!O55),H132*(IF('01_INPUTS_MASTER'!N55="A",'01_INPUTS_MASTER'!C50,IF('01_INPUTS_MASTER'!N55="B",'01_INPUTS_MASTER'!D50,IF('01_INPUTS_MASTER'!N55="C",'01_INPUTS_MASTER'!E50,0))))*(1-'01_INPUTS_MASTER'!O55))</f>
        <v>67320</v>
      </c>
      <c r="I223">
        <f>IF('01_INPUTS_MASTER'!P55=1,H132*(IF('01_INPUTS_MASTER'!N55="A",'01_INPUTS_MASTER'!C50,IF('01_INPUTS_MASTER'!N55="B",'01_INPUTS_MASTER'!D50,IF('01_INPUTS_MASTER'!N55="C",'01_INPUTS_MASTER'!E50,0))))*(1-'01_INPUTS_MASTER'!O55),I132*(IF('01_INPUTS_MASTER'!N55="A",'01_INPUTS_MASTER'!C50,IF('01_INPUTS_MASTER'!N55="B",'01_INPUTS_MASTER'!D50,IF('01_INPUTS_MASTER'!N55="C",'01_INPUTS_MASTER'!E50,0))))*(1-'01_INPUTS_MASTER'!O55))</f>
        <v>0</v>
      </c>
      <c r="J223">
        <f>IF('01_INPUTS_MASTER'!P55=1,I132*(IF('01_INPUTS_MASTER'!N55="A",'01_INPUTS_MASTER'!C50,IF('01_INPUTS_MASTER'!N55="B",'01_INPUTS_MASTER'!D50,IF('01_INPUTS_MASTER'!N55="C",'01_INPUTS_MASTER'!E50,0))))*(1-'01_INPUTS_MASTER'!O55),J132*(IF('01_INPUTS_MASTER'!N55="A",'01_INPUTS_MASTER'!C50,IF('01_INPUTS_MASTER'!N55="B",'01_INPUTS_MASTER'!D50,IF('01_INPUTS_MASTER'!N55="C",'01_INPUTS_MASTER'!E50,0))))*(1-'01_INPUTS_MASTER'!O55))</f>
        <v>63360</v>
      </c>
      <c r="K223">
        <f>IF('01_INPUTS_MASTER'!P55=1,J132*(IF('01_INPUTS_MASTER'!N55="A",'01_INPUTS_MASTER'!C50,IF('01_INPUTS_MASTER'!N55="B",'01_INPUTS_MASTER'!D50,IF('01_INPUTS_MASTER'!N55="C",'01_INPUTS_MASTER'!E50,0))))*(1-'01_INPUTS_MASTER'!O55),K132*(IF('01_INPUTS_MASTER'!N55="A",'01_INPUTS_MASTER'!C50,IF('01_INPUTS_MASTER'!N55="B",'01_INPUTS_MASTER'!D50,IF('01_INPUTS_MASTER'!N55="C",'01_INPUTS_MASTER'!E50,0))))*(1-'01_INPUTS_MASTER'!O55))</f>
        <v>0</v>
      </c>
      <c r="L223">
        <f>SUM(D223)</f>
        <v>0</v>
      </c>
    </row>
    <row r="224" spans="1:12" x14ac:dyDescent="0.3">
      <c r="A224" t="s">
        <v>266</v>
      </c>
      <c r="C224">
        <f>0</f>
        <v>0</v>
      </c>
      <c r="D224">
        <f t="shared" ref="D224:K224" si="117">D222+D223</f>
        <v>0</v>
      </c>
      <c r="E224">
        <f t="shared" si="117"/>
        <v>0</v>
      </c>
      <c r="F224">
        <f t="shared" si="117"/>
        <v>194820</v>
      </c>
      <c r="G224">
        <f t="shared" si="117"/>
        <v>0</v>
      </c>
      <c r="H224">
        <f t="shared" si="117"/>
        <v>191070</v>
      </c>
      <c r="I224">
        <f t="shared" si="117"/>
        <v>0</v>
      </c>
      <c r="J224">
        <f t="shared" si="117"/>
        <v>187110</v>
      </c>
      <c r="K224">
        <f t="shared" si="117"/>
        <v>0</v>
      </c>
      <c r="L224">
        <f>SUM(D224:K224)</f>
        <v>573000</v>
      </c>
    </row>
  </sheetData>
  <mergeCells count="17">
    <mergeCell ref="A176:L176"/>
    <mergeCell ref="A189:L189"/>
    <mergeCell ref="A202:L202"/>
    <mergeCell ref="A111:L111"/>
    <mergeCell ref="A124:L124"/>
    <mergeCell ref="A137:L137"/>
    <mergeCell ref="A150:L150"/>
    <mergeCell ref="A163:L163"/>
    <mergeCell ref="A56:L56"/>
    <mergeCell ref="A69:L69"/>
    <mergeCell ref="A82:L82"/>
    <mergeCell ref="A95:L95"/>
    <mergeCell ref="A1:L1"/>
    <mergeCell ref="A4:L4"/>
    <mergeCell ref="A17:L17"/>
    <mergeCell ref="A30:L30"/>
    <mergeCell ref="A43:L43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8"/>
  <sheetViews>
    <sheetView zoomScaleNormal="100" workbookViewId="0"/>
  </sheetViews>
  <sheetFormatPr baseColWidth="10" defaultColWidth="8.6640625" defaultRowHeight="14.4" x14ac:dyDescent="0.3"/>
  <cols>
    <col min="1" max="1" width="12" customWidth="1"/>
    <col min="2" max="2" width="25" customWidth="1"/>
    <col min="3" max="3" width="20" customWidth="1"/>
  </cols>
  <sheetData>
    <row r="1" spans="1:6" ht="17.25" customHeight="1" x14ac:dyDescent="0.3">
      <c r="A1" s="10" t="s">
        <v>176</v>
      </c>
      <c r="B1" s="10"/>
      <c r="C1" s="10"/>
      <c r="D1" s="10"/>
      <c r="E1" s="10"/>
      <c r="F1" s="10"/>
    </row>
    <row r="3" spans="1:6" ht="15" customHeight="1" x14ac:dyDescent="0.3">
      <c r="A3" s="2" t="s">
        <v>149</v>
      </c>
      <c r="B3" s="2" t="s">
        <v>128</v>
      </c>
      <c r="C3" s="2" t="s">
        <v>177</v>
      </c>
    </row>
    <row r="4" spans="1:6" ht="15" customHeight="1" x14ac:dyDescent="0.3">
      <c r="A4" s="12" t="s">
        <v>50</v>
      </c>
      <c r="B4" s="12"/>
      <c r="C4" s="12"/>
    </row>
    <row r="5" spans="1:6" ht="15" customHeight="1" x14ac:dyDescent="0.3">
      <c r="B5" t="s">
        <v>178</v>
      </c>
      <c r="C5" s="7">
        <v>7</v>
      </c>
    </row>
    <row r="6" spans="1:6" ht="15" customHeight="1" x14ac:dyDescent="0.3">
      <c r="B6" t="s">
        <v>179</v>
      </c>
      <c r="C6" s="7">
        <v>1</v>
      </c>
    </row>
    <row r="7" spans="1:6" ht="15" customHeight="1" x14ac:dyDescent="0.3">
      <c r="B7" t="s">
        <v>180</v>
      </c>
      <c r="C7" s="7">
        <v>22</v>
      </c>
    </row>
    <row r="8" spans="1:6" ht="15" customHeight="1" x14ac:dyDescent="0.3">
      <c r="B8" t="s">
        <v>181</v>
      </c>
      <c r="C8" s="7">
        <v>1</v>
      </c>
    </row>
    <row r="9" spans="1:6" ht="15" customHeight="1" x14ac:dyDescent="0.3">
      <c r="B9" t="s">
        <v>182</v>
      </c>
      <c r="C9" s="7">
        <v>3</v>
      </c>
    </row>
    <row r="10" spans="1:6" ht="15" customHeight="1" x14ac:dyDescent="0.3">
      <c r="B10" t="s">
        <v>183</v>
      </c>
      <c r="C10" s="7">
        <v>5</v>
      </c>
    </row>
    <row r="11" spans="1:6" ht="15" customHeight="1" x14ac:dyDescent="0.3">
      <c r="B11" t="s">
        <v>184</v>
      </c>
      <c r="C11" s="7">
        <v>0</v>
      </c>
    </row>
    <row r="12" spans="1:6" ht="15" customHeight="1" x14ac:dyDescent="0.3">
      <c r="B12" t="s">
        <v>185</v>
      </c>
      <c r="C12" s="7">
        <v>6</v>
      </c>
    </row>
    <row r="13" spans="1:6" ht="15" customHeight="1" x14ac:dyDescent="0.3">
      <c r="B13" t="s">
        <v>186</v>
      </c>
      <c r="C13" s="7">
        <v>25</v>
      </c>
    </row>
    <row r="14" spans="1:6" ht="15" customHeight="1" x14ac:dyDescent="0.3">
      <c r="B14" t="s">
        <v>187</v>
      </c>
      <c r="C14" s="7">
        <v>1</v>
      </c>
    </row>
    <row r="15" spans="1:6" ht="15" customHeight="1" x14ac:dyDescent="0.3">
      <c r="B15" t="s">
        <v>188</v>
      </c>
      <c r="C15" s="6">
        <f>C5*C6+C7*C8+C9*C10+C11*C12+C13*C14</f>
        <v>69</v>
      </c>
    </row>
    <row r="16" spans="1:6" ht="15" customHeight="1" x14ac:dyDescent="0.3">
      <c r="B16" t="s">
        <v>189</v>
      </c>
      <c r="C16" s="7">
        <v>4</v>
      </c>
    </row>
    <row r="17" spans="1:3" ht="15" customHeight="1" x14ac:dyDescent="0.3">
      <c r="B17" t="s">
        <v>190</v>
      </c>
      <c r="C17" s="6">
        <f>C16*18</f>
        <v>72</v>
      </c>
    </row>
    <row r="18" spans="1:3" ht="15" customHeight="1" x14ac:dyDescent="0.3">
      <c r="B18" t="s">
        <v>191</v>
      </c>
      <c r="C18" s="6">
        <f>MAX(0,C15-C17)</f>
        <v>0</v>
      </c>
    </row>
    <row r="19" spans="1:3" ht="15" customHeight="1" x14ac:dyDescent="0.3">
      <c r="B19" t="s">
        <v>192</v>
      </c>
      <c r="C19" s="6">
        <f>CEILING(C15/18,1)</f>
        <v>4</v>
      </c>
    </row>
    <row r="20" spans="1:3" ht="15" customHeight="1" x14ac:dyDescent="0.3">
      <c r="B20" t="s">
        <v>193</v>
      </c>
      <c r="C20" s="6" t="str">
        <f>IF(C18&gt;0,"⚠️ FALTA ESPACIO","✓ OK")</f>
        <v>✓ OK</v>
      </c>
    </row>
    <row r="22" spans="1:3" ht="15" customHeight="1" x14ac:dyDescent="0.3">
      <c r="A22" s="12" t="s">
        <v>51</v>
      </c>
      <c r="B22" s="12"/>
      <c r="C22" s="12"/>
    </row>
    <row r="23" spans="1:3" ht="15" customHeight="1" x14ac:dyDescent="0.3">
      <c r="B23" t="s">
        <v>178</v>
      </c>
      <c r="C23" s="7">
        <v>3</v>
      </c>
    </row>
    <row r="24" spans="1:3" ht="15" customHeight="1" x14ac:dyDescent="0.3">
      <c r="B24" t="s">
        <v>179</v>
      </c>
      <c r="C24" s="7">
        <v>1</v>
      </c>
    </row>
    <row r="25" spans="1:3" ht="15" customHeight="1" x14ac:dyDescent="0.3">
      <c r="B25" t="s">
        <v>180</v>
      </c>
      <c r="C25" s="7">
        <v>9</v>
      </c>
    </row>
    <row r="26" spans="1:3" ht="15" customHeight="1" x14ac:dyDescent="0.3">
      <c r="B26" t="s">
        <v>181</v>
      </c>
      <c r="C26" s="7">
        <v>1</v>
      </c>
    </row>
    <row r="27" spans="1:3" ht="15" customHeight="1" x14ac:dyDescent="0.3">
      <c r="B27" t="s">
        <v>182</v>
      </c>
      <c r="C27" s="7">
        <v>1</v>
      </c>
    </row>
    <row r="28" spans="1:3" ht="15" customHeight="1" x14ac:dyDescent="0.3">
      <c r="B28" t="s">
        <v>183</v>
      </c>
      <c r="C28" s="7">
        <v>5</v>
      </c>
    </row>
    <row r="29" spans="1:3" ht="15" customHeight="1" x14ac:dyDescent="0.3">
      <c r="B29" t="s">
        <v>184</v>
      </c>
      <c r="C29" s="7">
        <v>0</v>
      </c>
    </row>
    <row r="30" spans="1:3" ht="15" customHeight="1" x14ac:dyDescent="0.3">
      <c r="B30" t="s">
        <v>185</v>
      </c>
      <c r="C30" s="7">
        <v>6</v>
      </c>
    </row>
    <row r="31" spans="1:3" ht="15" customHeight="1" x14ac:dyDescent="0.3">
      <c r="B31" t="s">
        <v>186</v>
      </c>
      <c r="C31" s="7">
        <v>8</v>
      </c>
    </row>
    <row r="32" spans="1:3" ht="15" customHeight="1" x14ac:dyDescent="0.3">
      <c r="B32" t="s">
        <v>187</v>
      </c>
      <c r="C32" s="7">
        <v>1</v>
      </c>
    </row>
    <row r="33" spans="2:3" ht="15" customHeight="1" x14ac:dyDescent="0.3">
      <c r="B33" t="s">
        <v>188</v>
      </c>
      <c r="C33" s="6">
        <f>C23*C24+C25*C26+C27*C28+C29*C30+C31*C32</f>
        <v>25</v>
      </c>
    </row>
    <row r="34" spans="2:3" ht="15" customHeight="1" x14ac:dyDescent="0.3">
      <c r="B34" t="s">
        <v>189</v>
      </c>
      <c r="C34" s="7">
        <v>2</v>
      </c>
    </row>
    <row r="35" spans="2:3" ht="15" customHeight="1" x14ac:dyDescent="0.3">
      <c r="B35" t="s">
        <v>190</v>
      </c>
      <c r="C35" s="6">
        <f>C34*18</f>
        <v>36</v>
      </c>
    </row>
    <row r="36" spans="2:3" ht="15" customHeight="1" x14ac:dyDescent="0.3">
      <c r="B36" t="s">
        <v>191</v>
      </c>
      <c r="C36" s="6">
        <f>MAX(0,C33-C35)</f>
        <v>0</v>
      </c>
    </row>
    <row r="37" spans="2:3" ht="15" customHeight="1" x14ac:dyDescent="0.3">
      <c r="B37" t="s">
        <v>192</v>
      </c>
      <c r="C37" s="6">
        <f>CEILING(C33/18,1)</f>
        <v>2</v>
      </c>
    </row>
    <row r="38" spans="2:3" ht="15" customHeight="1" x14ac:dyDescent="0.3">
      <c r="B38" t="s">
        <v>193</v>
      </c>
      <c r="C38" s="6" t="str">
        <f>IF(C36&gt;0,"⚠️ FALTA ESPACIO","✓ OK")</f>
        <v>✓ OK</v>
      </c>
    </row>
  </sheetData>
  <mergeCells count="3">
    <mergeCell ref="A1:F1"/>
    <mergeCell ref="A4:C4"/>
    <mergeCell ref="A22:C22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41"/>
  <sheetViews>
    <sheetView zoomScaleNormal="100" workbookViewId="0"/>
  </sheetViews>
  <sheetFormatPr baseColWidth="10" defaultColWidth="8.6640625" defaultRowHeight="14.4" x14ac:dyDescent="0.3"/>
  <cols>
    <col min="1" max="1" width="30" customWidth="1"/>
    <col min="2" max="10" width="14" customWidth="1"/>
  </cols>
  <sheetData>
    <row r="1" spans="1:12" ht="17.25" customHeight="1" x14ac:dyDescent="0.3">
      <c r="A1" s="10" t="s">
        <v>194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</row>
    <row r="3" spans="1:12" ht="27.75" customHeight="1" x14ac:dyDescent="0.3">
      <c r="A3" s="2" t="s">
        <v>128</v>
      </c>
      <c r="B3" s="2" t="s">
        <v>67</v>
      </c>
      <c r="C3" s="2" t="s">
        <v>69</v>
      </c>
      <c r="D3" s="2" t="s">
        <v>71</v>
      </c>
      <c r="E3" s="2" t="s">
        <v>75</v>
      </c>
      <c r="F3" s="2" t="s">
        <v>77</v>
      </c>
      <c r="G3" s="2" t="s">
        <v>129</v>
      </c>
      <c r="H3" s="2" t="s">
        <v>130</v>
      </c>
      <c r="I3" s="2" t="s">
        <v>131</v>
      </c>
      <c r="J3" s="2" t="s">
        <v>195</v>
      </c>
    </row>
    <row r="4" spans="1:12" ht="15" customHeight="1" x14ac:dyDescent="0.3">
      <c r="A4" s="1" t="s">
        <v>79</v>
      </c>
    </row>
    <row r="5" spans="1:12" ht="15" customHeight="1" x14ac:dyDescent="0.3">
      <c r="A5" t="s">
        <v>159</v>
      </c>
      <c r="B5" s="7">
        <f>SUM('10_DECISIONS_UPLOAD'!C13:C19,'10_DECISIONS_UPLOAD'!C20:C26)</f>
        <v>290</v>
      </c>
      <c r="C5" s="7">
        <f>SUM('10_DECISIONS_UPLOAD'!C13:C19,'10_DECISIONS_UPLOAD'!C20:C26)</f>
        <v>290</v>
      </c>
      <c r="D5" s="7">
        <f>SUM('10_DECISIONS_UPLOAD'!C13:C19,'10_DECISIONS_UPLOAD'!C20:C26)</f>
        <v>290</v>
      </c>
      <c r="E5" s="7">
        <f>SUM('10_DECISIONS_UPLOAD'!C13:C19,'10_DECISIONS_UPLOAD'!C20:C26)</f>
        <v>290</v>
      </c>
      <c r="F5" s="7">
        <f>SUM('10_DECISIONS_UPLOAD'!C13:C19,'10_DECISIONS_UPLOAD'!C20:C26)</f>
        <v>290</v>
      </c>
      <c r="G5" s="7">
        <f>SUM('10_DECISIONS_UPLOAD'!C13:C19,'10_DECISIONS_UPLOAD'!C20:C26)</f>
        <v>290</v>
      </c>
      <c r="H5" s="7">
        <f>SUM('10_DECISIONS_UPLOAD'!C13:C19,'10_DECISIONS_UPLOAD'!C20:C26)</f>
        <v>290</v>
      </c>
      <c r="I5" s="7">
        <f>SUM('10_DECISIONS_UPLOAD'!C13:C19,'10_DECISIONS_UPLOAD'!C20:C26)</f>
        <v>290</v>
      </c>
      <c r="J5" s="6">
        <f t="shared" ref="J5:J12" si="0">SUM(B5:I5)</f>
        <v>2320</v>
      </c>
    </row>
    <row r="6" spans="1:12" ht="15" customHeight="1" x14ac:dyDescent="0.3">
      <c r="A6" t="s">
        <v>196</v>
      </c>
      <c r="B6" s="7">
        <f>'01_INPUTS_MASTER'!B27</f>
        <v>26</v>
      </c>
      <c r="C6" s="7">
        <f>'01_INPUTS_MASTER'!B27</f>
        <v>26</v>
      </c>
      <c r="D6" s="7">
        <f>'01_INPUTS_MASTER'!B27</f>
        <v>26</v>
      </c>
      <c r="E6" s="7">
        <f>'01_INPUTS_MASTER'!B27</f>
        <v>26</v>
      </c>
      <c r="F6" s="7">
        <f>'01_INPUTS_MASTER'!B27</f>
        <v>26</v>
      </c>
      <c r="G6" s="7">
        <f>'01_INPUTS_MASTER'!B27</f>
        <v>26</v>
      </c>
      <c r="H6" s="7">
        <f>'01_INPUTS_MASTER'!B27</f>
        <v>26</v>
      </c>
      <c r="I6" s="7">
        <f>'01_INPUTS_MASTER'!B27</f>
        <v>26</v>
      </c>
      <c r="J6" s="6">
        <f t="shared" si="0"/>
        <v>208</v>
      </c>
    </row>
    <row r="7" spans="1:12" ht="15" customHeight="1" x14ac:dyDescent="0.3">
      <c r="A7" t="s">
        <v>197</v>
      </c>
      <c r="B7" s="6">
        <f t="shared" ref="B7:I7" si="1">B5*B6</f>
        <v>7540</v>
      </c>
      <c r="C7" s="6">
        <f t="shared" si="1"/>
        <v>7540</v>
      </c>
      <c r="D7" s="6">
        <f t="shared" si="1"/>
        <v>7540</v>
      </c>
      <c r="E7" s="6">
        <f t="shared" si="1"/>
        <v>7540</v>
      </c>
      <c r="F7" s="6">
        <f t="shared" si="1"/>
        <v>7540</v>
      </c>
      <c r="G7" s="6">
        <f t="shared" si="1"/>
        <v>7540</v>
      </c>
      <c r="H7" s="6">
        <f t="shared" si="1"/>
        <v>7540</v>
      </c>
      <c r="I7" s="6">
        <f t="shared" si="1"/>
        <v>7540</v>
      </c>
      <c r="J7" s="6">
        <f t="shared" si="0"/>
        <v>60320</v>
      </c>
    </row>
    <row r="8" spans="1:12" ht="15" customHeight="1" x14ac:dyDescent="0.3">
      <c r="A8" t="s">
        <v>198</v>
      </c>
      <c r="B8" s="7">
        <f>'05_CAPACITY'!D8*'05_CAPACITY'!D12+'05_CAPACITY'!D21*'05_CAPACITY'!D25+'05_CAPACITY'!D34*'05_CAPACITY'!D38+'05_CAPACITY'!D47*'05_CAPACITY'!D51+'05_CAPACITY'!D60*'05_CAPACITY'!D64+'05_CAPACITY'!D74*'05_CAPACITY'!D78+'05_CAPACITY'!D87*'05_CAPACITY'!D91+'05_CAPACITY'!D100*'05_CAPACITY'!D104+'05_CAPACITY'!D113*'05_CAPACITY'!D117+'05_CAPACITY'!D126*'05_CAPACITY'!D130</f>
        <v>0</v>
      </c>
      <c r="C8" s="7">
        <f>'05_CAPACITY'!E8*'05_CAPACITY'!E12+'05_CAPACITY'!E21*'05_CAPACITY'!E25+'05_CAPACITY'!E34*'05_CAPACITY'!E38+'05_CAPACITY'!E47*'05_CAPACITY'!E51+'05_CAPACITY'!E60*'05_CAPACITY'!E64+'05_CAPACITY'!E74*'05_CAPACITY'!E78+'05_CAPACITY'!E87*'05_CAPACITY'!E91+'05_CAPACITY'!E100*'05_CAPACITY'!E104+'05_CAPACITY'!E113*'05_CAPACITY'!E117+'05_CAPACITY'!E126*'05_CAPACITY'!E130</f>
        <v>0</v>
      </c>
      <c r="D8" s="7">
        <f>'05_CAPACITY'!F8*'05_CAPACITY'!F12+'05_CAPACITY'!F21*'05_CAPACITY'!F25+'05_CAPACITY'!F34*'05_CAPACITY'!F38+'05_CAPACITY'!F47*'05_CAPACITY'!F51+'05_CAPACITY'!F60*'05_CAPACITY'!F64+'05_CAPACITY'!F74*'05_CAPACITY'!F78+'05_CAPACITY'!F87*'05_CAPACITY'!F91+'05_CAPACITY'!F100*'05_CAPACITY'!F104+'05_CAPACITY'!F113*'05_CAPACITY'!F117+'05_CAPACITY'!F126*'05_CAPACITY'!F130</f>
        <v>0</v>
      </c>
      <c r="E8" s="7">
        <f>'05_CAPACITY'!G8*'05_CAPACITY'!G12+'05_CAPACITY'!G21*'05_CAPACITY'!G25+'05_CAPACITY'!G34*'05_CAPACITY'!G38+'05_CAPACITY'!G47*'05_CAPACITY'!G51+'05_CAPACITY'!G60*'05_CAPACITY'!G64+'05_CAPACITY'!G74*'05_CAPACITY'!G78+'05_CAPACITY'!G87*'05_CAPACITY'!G91+'05_CAPACITY'!G100*'05_CAPACITY'!G104+'05_CAPACITY'!G113*'05_CAPACITY'!G117+'05_CAPACITY'!G126*'05_CAPACITY'!G130</f>
        <v>0</v>
      </c>
      <c r="F8" s="7">
        <f>'05_CAPACITY'!H8*'05_CAPACITY'!H12+'05_CAPACITY'!H21*'05_CAPACITY'!H25+'05_CAPACITY'!H34*'05_CAPACITY'!H38+'05_CAPACITY'!H47*'05_CAPACITY'!H51+'05_CAPACITY'!H60*'05_CAPACITY'!H64+'05_CAPACITY'!H74*'05_CAPACITY'!H78+'05_CAPACITY'!H87*'05_CAPACITY'!H91+'05_CAPACITY'!H100*'05_CAPACITY'!H104+'05_CAPACITY'!H113*'05_CAPACITY'!H117+'05_CAPACITY'!H126*'05_CAPACITY'!H130</f>
        <v>0</v>
      </c>
      <c r="G8" s="7">
        <f>'05_CAPACITY'!I8*'05_CAPACITY'!I12+'05_CAPACITY'!I21*'05_CAPACITY'!I25+'05_CAPACITY'!I34*'05_CAPACITY'!I38+'05_CAPACITY'!I47*'05_CAPACITY'!I51+'05_CAPACITY'!I60*'05_CAPACITY'!I64+'05_CAPACITY'!I74*'05_CAPACITY'!I78+'05_CAPACITY'!I87*'05_CAPACITY'!I91+'05_CAPACITY'!I100*'05_CAPACITY'!I104+'05_CAPACITY'!I113*'05_CAPACITY'!I117+'05_CAPACITY'!I126*'05_CAPACITY'!I130</f>
        <v>0</v>
      </c>
      <c r="H8" s="7">
        <f>'05_CAPACITY'!J8*'05_CAPACITY'!J12+'05_CAPACITY'!J21*'05_CAPACITY'!J25+'05_CAPACITY'!J34*'05_CAPACITY'!J38+'05_CAPACITY'!J47*'05_CAPACITY'!J51+'05_CAPACITY'!J60*'05_CAPACITY'!J64+'05_CAPACITY'!J74*'05_CAPACITY'!J78+'05_CAPACITY'!J87*'05_CAPACITY'!J91+'05_CAPACITY'!J100*'05_CAPACITY'!J104+'05_CAPACITY'!J113*'05_CAPACITY'!J117+'05_CAPACITY'!J126*'05_CAPACITY'!J130</f>
        <v>0</v>
      </c>
      <c r="I8" s="7">
        <f>'05_CAPACITY'!K8*'05_CAPACITY'!K12+'05_CAPACITY'!K21*'05_CAPACITY'!K25+'05_CAPACITY'!K34*'05_CAPACITY'!K38+'05_CAPACITY'!K47*'05_CAPACITY'!K51+'05_CAPACITY'!K60*'05_CAPACITY'!K64+'05_CAPACITY'!K74*'05_CAPACITY'!K78+'05_CAPACITY'!K87*'05_CAPACITY'!K91+'05_CAPACITY'!K100*'05_CAPACITY'!K104+'05_CAPACITY'!K113*'05_CAPACITY'!K117+'05_CAPACITY'!K126*'05_CAPACITY'!K130</f>
        <v>0</v>
      </c>
      <c r="J8" s="6">
        <f t="shared" si="0"/>
        <v>0</v>
      </c>
    </row>
    <row r="9" spans="1:12" ht="15" customHeight="1" x14ac:dyDescent="0.3">
      <c r="A9" t="s">
        <v>199</v>
      </c>
      <c r="B9" s="7">
        <f>'01_INPUTS_MASTER'!B28</f>
        <v>12</v>
      </c>
      <c r="C9" s="7">
        <f>'01_INPUTS_MASTER'!B28</f>
        <v>12</v>
      </c>
      <c r="D9" s="7">
        <f>'01_INPUTS_MASTER'!B28</f>
        <v>12</v>
      </c>
      <c r="E9" s="7">
        <f>'01_INPUTS_MASTER'!B28</f>
        <v>12</v>
      </c>
      <c r="F9" s="7">
        <f>'01_INPUTS_MASTER'!B28</f>
        <v>12</v>
      </c>
      <c r="G9" s="7">
        <f>'01_INPUTS_MASTER'!B28</f>
        <v>12</v>
      </c>
      <c r="H9" s="7">
        <f>'01_INPUTS_MASTER'!B28</f>
        <v>12</v>
      </c>
      <c r="I9" s="7">
        <f>'01_INPUTS_MASTER'!B28</f>
        <v>12</v>
      </c>
      <c r="J9" s="6">
        <f t="shared" si="0"/>
        <v>96</v>
      </c>
    </row>
    <row r="10" spans="1:12" ht="15" customHeight="1" x14ac:dyDescent="0.3">
      <c r="A10" t="s">
        <v>200</v>
      </c>
      <c r="B10" s="6">
        <f t="shared" ref="B10:I10" si="2">B8*B9</f>
        <v>0</v>
      </c>
      <c r="C10" s="6">
        <f t="shared" si="2"/>
        <v>0</v>
      </c>
      <c r="D10" s="6">
        <f t="shared" si="2"/>
        <v>0</v>
      </c>
      <c r="E10" s="6">
        <f t="shared" si="2"/>
        <v>0</v>
      </c>
      <c r="F10" s="6">
        <f t="shared" si="2"/>
        <v>0</v>
      </c>
      <c r="G10" s="6">
        <f t="shared" si="2"/>
        <v>0</v>
      </c>
      <c r="H10" s="6">
        <f t="shared" si="2"/>
        <v>0</v>
      </c>
      <c r="I10" s="6">
        <f t="shared" si="2"/>
        <v>0</v>
      </c>
      <c r="J10" s="6">
        <f t="shared" si="0"/>
        <v>0</v>
      </c>
    </row>
    <row r="11" spans="1:12" ht="15" customHeight="1" x14ac:dyDescent="0.3">
      <c r="A11" t="s">
        <v>201</v>
      </c>
      <c r="B11" s="6">
        <f t="shared" ref="B11:I11" si="3">B7+B10</f>
        <v>7540</v>
      </c>
      <c r="C11" s="6">
        <f t="shared" si="3"/>
        <v>7540</v>
      </c>
      <c r="D11" s="6">
        <f t="shared" si="3"/>
        <v>7540</v>
      </c>
      <c r="E11" s="6">
        <f t="shared" si="3"/>
        <v>7540</v>
      </c>
      <c r="F11" s="6">
        <f t="shared" si="3"/>
        <v>7540</v>
      </c>
      <c r="G11" s="6">
        <f t="shared" si="3"/>
        <v>7540</v>
      </c>
      <c r="H11" s="6">
        <f t="shared" si="3"/>
        <v>7540</v>
      </c>
      <c r="I11" s="6">
        <f t="shared" si="3"/>
        <v>7540</v>
      </c>
      <c r="J11" s="6">
        <f t="shared" si="0"/>
        <v>60320</v>
      </c>
    </row>
    <row r="12" spans="1:12" ht="15" customHeight="1" x14ac:dyDescent="0.3">
      <c r="A12" t="s">
        <v>202</v>
      </c>
      <c r="B12" s="6">
        <f>B11*'01_INPUTS_MASTER'!B31</f>
        <v>3770</v>
      </c>
      <c r="C12" s="6">
        <f>C11*'01_INPUTS_MASTER'!B31</f>
        <v>3770</v>
      </c>
      <c r="D12" s="6">
        <f>D11*'01_INPUTS_MASTER'!B31</f>
        <v>3770</v>
      </c>
      <c r="E12" s="6">
        <f>E11*'01_INPUTS_MASTER'!B31</f>
        <v>3770</v>
      </c>
      <c r="F12" s="6">
        <f>F11*'01_INPUTS_MASTER'!B31</f>
        <v>3770</v>
      </c>
      <c r="G12" s="6">
        <f>G11*'01_INPUTS_MASTER'!B31</f>
        <v>3770</v>
      </c>
      <c r="H12" s="6">
        <f>H11*'01_INPUTS_MASTER'!B31</f>
        <v>3770</v>
      </c>
      <c r="I12" s="6">
        <f>I11*'01_INPUTS_MASTER'!B31</f>
        <v>3770</v>
      </c>
      <c r="J12" s="6">
        <f t="shared" si="0"/>
        <v>30160</v>
      </c>
    </row>
    <row r="13" spans="1:12" ht="15" customHeight="1" x14ac:dyDescent="0.3">
      <c r="A13" s="1"/>
    </row>
    <row r="14" spans="1:12" ht="15" customHeight="1" x14ac:dyDescent="0.3">
      <c r="A14" s="1" t="s">
        <v>85</v>
      </c>
    </row>
    <row r="15" spans="1:12" ht="15" customHeight="1" x14ac:dyDescent="0.3">
      <c r="A15" t="s">
        <v>203</v>
      </c>
      <c r="B15" s="7">
        <f>'01_INPUTS_MASTER'!D17*('01_INPUTS_MASTER'!H17+'01_INPUTS_MASTER'!I17)+'01_INPUTS_MASTER'!D18*('01_INPUTS_MASTER'!H18+'01_INPUTS_MASTER'!I18)+'01_INPUTS_MASTER'!D19*('01_INPUTS_MASTER'!H19+'01_INPUTS_MASTER'!I19)+'01_INPUTS_MASTER'!D20*('01_INPUTS_MASTER'!H20+'01_INPUTS_MASTER'!I20)+'01_INPUTS_MASTER'!D21*('01_INPUTS_MASTER'!H21+'01_INPUTS_MASTER'!I21)+'01_INPUTS_MASTER'!D22*('01_INPUTS_MASTER'!H22+'01_INPUTS_MASTER'!I22)+'01_INPUTS_MASTER'!D23*('01_INPUTS_MASTER'!H23+'01_INPUTS_MASTER'!I23)</f>
        <v>637</v>
      </c>
      <c r="C15" s="7">
        <f>'01_INPUTS_MASTER'!D17*('01_INPUTS_MASTER'!H17+'01_INPUTS_MASTER'!I17)+'01_INPUTS_MASTER'!D18*('01_INPUTS_MASTER'!H18+'01_INPUTS_MASTER'!I18)+'01_INPUTS_MASTER'!D19*('01_INPUTS_MASTER'!H19+'01_INPUTS_MASTER'!I19)+'01_INPUTS_MASTER'!D20*('01_INPUTS_MASTER'!H20+'01_INPUTS_MASTER'!I20)+'01_INPUTS_MASTER'!D21*('01_INPUTS_MASTER'!H21+'01_INPUTS_MASTER'!I21)+'01_INPUTS_MASTER'!D22*('01_INPUTS_MASTER'!H22+'01_INPUTS_MASTER'!I22)+'01_INPUTS_MASTER'!D23*('01_INPUTS_MASTER'!H23+'01_INPUTS_MASTER'!I23)</f>
        <v>637</v>
      </c>
      <c r="D15" s="7">
        <f>'01_INPUTS_MASTER'!D17*('01_INPUTS_MASTER'!H17+'01_INPUTS_MASTER'!I17)+'01_INPUTS_MASTER'!D18*('01_INPUTS_MASTER'!H18+'01_INPUTS_MASTER'!I18)+'01_INPUTS_MASTER'!D19*('01_INPUTS_MASTER'!H19+'01_INPUTS_MASTER'!I19)+'01_INPUTS_MASTER'!D20*('01_INPUTS_MASTER'!H20+'01_INPUTS_MASTER'!I20)+'01_INPUTS_MASTER'!D21*('01_INPUTS_MASTER'!H21+'01_INPUTS_MASTER'!I21)+'01_INPUTS_MASTER'!D22*('01_INPUTS_MASTER'!H22+'01_INPUTS_MASTER'!I22)+'01_INPUTS_MASTER'!D23*('01_INPUTS_MASTER'!H23+'01_INPUTS_MASTER'!I23)</f>
        <v>637</v>
      </c>
      <c r="E15" s="7">
        <f>'01_INPUTS_MASTER'!D17*('01_INPUTS_MASTER'!H17+'01_INPUTS_MASTER'!I17)+'01_INPUTS_MASTER'!D18*('01_INPUTS_MASTER'!H18+'01_INPUTS_MASTER'!I18)+'01_INPUTS_MASTER'!D19*('01_INPUTS_MASTER'!H19+'01_INPUTS_MASTER'!I19)+'01_INPUTS_MASTER'!D20*('01_INPUTS_MASTER'!H20+'01_INPUTS_MASTER'!I20)+'01_INPUTS_MASTER'!D21*('01_INPUTS_MASTER'!H21+'01_INPUTS_MASTER'!I21)+'01_INPUTS_MASTER'!D22*('01_INPUTS_MASTER'!H22+'01_INPUTS_MASTER'!I22)+'01_INPUTS_MASTER'!D23*('01_INPUTS_MASTER'!H23+'01_INPUTS_MASTER'!I23)</f>
        <v>637</v>
      </c>
      <c r="F15" s="7">
        <f>'01_INPUTS_MASTER'!D17*('01_INPUTS_MASTER'!H17+'01_INPUTS_MASTER'!I17)+'01_INPUTS_MASTER'!D18*('01_INPUTS_MASTER'!H18+'01_INPUTS_MASTER'!I18)+'01_INPUTS_MASTER'!D19*('01_INPUTS_MASTER'!H19+'01_INPUTS_MASTER'!I19)+'01_INPUTS_MASTER'!D20*('01_INPUTS_MASTER'!H20+'01_INPUTS_MASTER'!I20)+'01_INPUTS_MASTER'!D21*('01_INPUTS_MASTER'!H21+'01_INPUTS_MASTER'!I21)+'01_INPUTS_MASTER'!D22*('01_INPUTS_MASTER'!H22+'01_INPUTS_MASTER'!I22)+'01_INPUTS_MASTER'!D23*('01_INPUTS_MASTER'!H23+'01_INPUTS_MASTER'!I23)</f>
        <v>637</v>
      </c>
      <c r="G15" s="7">
        <f>'01_INPUTS_MASTER'!D17*('01_INPUTS_MASTER'!H17+'01_INPUTS_MASTER'!I17)+'01_INPUTS_MASTER'!D18*('01_INPUTS_MASTER'!H18+'01_INPUTS_MASTER'!I18)+'01_INPUTS_MASTER'!D19*('01_INPUTS_MASTER'!H19+'01_INPUTS_MASTER'!I19)+'01_INPUTS_MASTER'!D20*('01_INPUTS_MASTER'!H20+'01_INPUTS_MASTER'!I20)+'01_INPUTS_MASTER'!D21*('01_INPUTS_MASTER'!H21+'01_INPUTS_MASTER'!I21)+'01_INPUTS_MASTER'!D22*('01_INPUTS_MASTER'!H22+'01_INPUTS_MASTER'!I22)+'01_INPUTS_MASTER'!D23*('01_INPUTS_MASTER'!H23+'01_INPUTS_MASTER'!I23)</f>
        <v>637</v>
      </c>
      <c r="H15" s="7">
        <f>'01_INPUTS_MASTER'!D17*('01_INPUTS_MASTER'!H17+'01_INPUTS_MASTER'!I17)+'01_INPUTS_MASTER'!D18*('01_INPUTS_MASTER'!H18+'01_INPUTS_MASTER'!I18)+'01_INPUTS_MASTER'!D19*('01_INPUTS_MASTER'!H19+'01_INPUTS_MASTER'!I19)+'01_INPUTS_MASTER'!D20*('01_INPUTS_MASTER'!H20+'01_INPUTS_MASTER'!I20)+'01_INPUTS_MASTER'!D21*('01_INPUTS_MASTER'!H21+'01_INPUTS_MASTER'!I21)+'01_INPUTS_MASTER'!D22*('01_INPUTS_MASTER'!H22+'01_INPUTS_MASTER'!I22)+'01_INPUTS_MASTER'!D23*('01_INPUTS_MASTER'!H23+'01_INPUTS_MASTER'!I23)</f>
        <v>637</v>
      </c>
      <c r="I15" s="7">
        <f>'01_INPUTS_MASTER'!D17*('01_INPUTS_MASTER'!H17+'01_INPUTS_MASTER'!I17)+'01_INPUTS_MASTER'!D18*('01_INPUTS_MASTER'!H18+'01_INPUTS_MASTER'!I18)+'01_INPUTS_MASTER'!D19*('01_INPUTS_MASTER'!H19+'01_INPUTS_MASTER'!I19)+'01_INPUTS_MASTER'!D20*('01_INPUTS_MASTER'!H20+'01_INPUTS_MASTER'!I20)+'01_INPUTS_MASTER'!D21*('01_INPUTS_MASTER'!H21+'01_INPUTS_MASTER'!I21)+'01_INPUTS_MASTER'!D22*('01_INPUTS_MASTER'!H22+'01_INPUTS_MASTER'!I22)+'01_INPUTS_MASTER'!D23*('01_INPUTS_MASTER'!H23+'01_INPUTS_MASTER'!I23)</f>
        <v>637</v>
      </c>
      <c r="J15" s="6">
        <f t="shared" ref="J15:J21" si="4">SUM(B15:I15)</f>
        <v>5096</v>
      </c>
    </row>
    <row r="16" spans="1:12" ht="15" customHeight="1" x14ac:dyDescent="0.3">
      <c r="A16" t="s">
        <v>204</v>
      </c>
      <c r="B16" s="7">
        <f>'01_INPUTS_MASTER'!B34</f>
        <v>10</v>
      </c>
      <c r="C16" s="7">
        <f>'01_INPUTS_MASTER'!B34</f>
        <v>10</v>
      </c>
      <c r="D16" s="7">
        <f>'01_INPUTS_MASTER'!B34</f>
        <v>10</v>
      </c>
      <c r="E16" s="7">
        <f>'01_INPUTS_MASTER'!B34</f>
        <v>10</v>
      </c>
      <c r="F16" s="7">
        <f>'01_INPUTS_MASTER'!B34</f>
        <v>10</v>
      </c>
      <c r="G16" s="7">
        <f>'01_INPUTS_MASTER'!B34</f>
        <v>10</v>
      </c>
      <c r="H16" s="7">
        <f>'01_INPUTS_MASTER'!B34</f>
        <v>10</v>
      </c>
      <c r="I16" s="7">
        <f>'01_INPUTS_MASTER'!B34</f>
        <v>10</v>
      </c>
      <c r="J16" s="6">
        <f t="shared" si="4"/>
        <v>80</v>
      </c>
    </row>
    <row r="17" spans="1:10" ht="15" customHeight="1" x14ac:dyDescent="0.3">
      <c r="A17" t="s">
        <v>205</v>
      </c>
      <c r="B17" s="6">
        <f t="shared" ref="B17:I17" si="5">B15*B16</f>
        <v>6370</v>
      </c>
      <c r="C17" s="6">
        <f t="shared" si="5"/>
        <v>6370</v>
      </c>
      <c r="D17" s="6">
        <f t="shared" si="5"/>
        <v>6370</v>
      </c>
      <c r="E17" s="6">
        <f t="shared" si="5"/>
        <v>6370</v>
      </c>
      <c r="F17" s="6">
        <f t="shared" si="5"/>
        <v>6370</v>
      </c>
      <c r="G17" s="6">
        <f t="shared" si="5"/>
        <v>6370</v>
      </c>
      <c r="H17" s="6">
        <f t="shared" si="5"/>
        <v>6370</v>
      </c>
      <c r="I17" s="6">
        <f t="shared" si="5"/>
        <v>6370</v>
      </c>
      <c r="J17" s="6">
        <f t="shared" si="4"/>
        <v>50960</v>
      </c>
    </row>
    <row r="18" spans="1:10" ht="15" customHeight="1" x14ac:dyDescent="0.3">
      <c r="A18" t="s">
        <v>206</v>
      </c>
      <c r="B18" s="7">
        <f>'01_INPUTS_MASTER'!B36*(('01_INPUTS_MASTER'!D17*('01_INPUTS_MASTER'!H17+'01_INPUTS_MASTER'!I17))*IF(('05_CAPACITY'!D13+'05_CAPACITY'!D79)&gt;0,('05_CAPACITY'!D15+'05_CAPACITY'!D81)/('05_CAPACITY'!D13+'05_CAPACITY'!D79),0)+('01_INPUTS_MASTER'!D18*('01_INPUTS_MASTER'!H18+'01_INPUTS_MASTER'!I18))*IF(('05_CAPACITY'!D26+'05_CAPACITY'!D92)&gt;0,('05_CAPACITY'!D28+'05_CAPACITY'!D94)/('05_CAPACITY'!D26+'05_CAPACITY'!D92),0)+('01_INPUTS_MASTER'!D19*('01_INPUTS_MASTER'!H19+'01_INPUTS_MASTER'!I19)+'01_INPUTS_MASTER'!D20*('01_INPUTS_MASTER'!H20+'01_INPUTS_MASTER'!I20)+'01_INPUTS_MASTER'!D21*('01_INPUTS_MASTER'!H21+'01_INPUTS_MASTER'!I21))*IF(('05_CAPACITY'!D39+'05_CAPACITY'!D105)&gt;0,('05_CAPACITY'!D41+'05_CAPACITY'!D107)/('05_CAPACITY'!D39+'05_CAPACITY'!D105),0)+('01_INPUTS_MASTER'!D22*('01_INPUTS_MASTER'!H22+'01_INPUTS_MASTER'!I22))*IF(('05_CAPACITY'!D52+'05_CAPACITY'!D118)&gt;0,('05_CAPACITY'!D54+'05_CAPACITY'!D120)/('05_CAPACITY'!D52+'05_CAPACITY'!D118),0)+('01_INPUTS_MASTER'!D23*('01_INPUTS_MASTER'!H23+'01_INPUTS_MASTER'!I23))*IF(('05_CAPACITY'!D65+'05_CAPACITY'!D131)&gt;0,('05_CAPACITY'!D67+'05_CAPACITY'!D133)/('05_CAPACITY'!D65+'05_CAPACITY'!D131),0))</f>
        <v>27805.714285714283</v>
      </c>
      <c r="C18" s="7">
        <f>'01_INPUTS_MASTER'!B36*(('01_INPUTS_MASTER'!D17*('01_INPUTS_MASTER'!H17+'01_INPUTS_MASTER'!I17))*IF(('05_CAPACITY'!E13+'05_CAPACITY'!E79)&gt;0,('05_CAPACITY'!E15+'05_CAPACITY'!E81)/('05_CAPACITY'!E13+'05_CAPACITY'!E79),0)+('01_INPUTS_MASTER'!D18*('01_INPUTS_MASTER'!H18+'01_INPUTS_MASTER'!I18))*IF(('05_CAPACITY'!E26+'05_CAPACITY'!E92)&gt;0,('05_CAPACITY'!E28+'05_CAPACITY'!E94)/('05_CAPACITY'!E26+'05_CAPACITY'!E92),0)+('01_INPUTS_MASTER'!D19*('01_INPUTS_MASTER'!H19+'01_INPUTS_MASTER'!I19)+'01_INPUTS_MASTER'!D20*('01_INPUTS_MASTER'!H20+'01_INPUTS_MASTER'!I20)+'01_INPUTS_MASTER'!D21*('01_INPUTS_MASTER'!H21+'01_INPUTS_MASTER'!I21))*IF(('05_CAPACITY'!E39+'05_CAPACITY'!E105)&gt;0,('05_CAPACITY'!E41+'05_CAPACITY'!E107)/('05_CAPACITY'!E39+'05_CAPACITY'!E105),0)+('01_INPUTS_MASTER'!D22*('01_INPUTS_MASTER'!H22+'01_INPUTS_MASTER'!I22))*IF(('05_CAPACITY'!E52+'05_CAPACITY'!E118)&gt;0,('05_CAPACITY'!E54+'05_CAPACITY'!E120)/('05_CAPACITY'!E52+'05_CAPACITY'!E118),0)+('01_INPUTS_MASTER'!D23*('01_INPUTS_MASTER'!H23+'01_INPUTS_MASTER'!I23))*IF(('05_CAPACITY'!E65+'05_CAPACITY'!E131)&gt;0,('05_CAPACITY'!E67+'05_CAPACITY'!E133)/('05_CAPACITY'!E65+'05_CAPACITY'!E131),0))</f>
        <v>0</v>
      </c>
      <c r="D18" s="7">
        <f>'01_INPUTS_MASTER'!B36*(('01_INPUTS_MASTER'!D17*('01_INPUTS_MASTER'!H17+'01_INPUTS_MASTER'!I17))*IF(('05_CAPACITY'!F13+'05_CAPACITY'!F79)&gt;0,('05_CAPACITY'!F15+'05_CAPACITY'!F81)/('05_CAPACITY'!F13+'05_CAPACITY'!F79),0)+('01_INPUTS_MASTER'!D18*('01_INPUTS_MASTER'!H18+'01_INPUTS_MASTER'!I18))*IF(('05_CAPACITY'!F26+'05_CAPACITY'!F92)&gt;0,('05_CAPACITY'!F28+'05_CAPACITY'!F94)/('05_CAPACITY'!F26+'05_CAPACITY'!F92),0)+('01_INPUTS_MASTER'!D19*('01_INPUTS_MASTER'!H19+'01_INPUTS_MASTER'!I19)+'01_INPUTS_MASTER'!D20*('01_INPUTS_MASTER'!H20+'01_INPUTS_MASTER'!I20)+'01_INPUTS_MASTER'!D21*('01_INPUTS_MASTER'!H21+'01_INPUTS_MASTER'!I21))*IF(('05_CAPACITY'!F39+'05_CAPACITY'!F105)&gt;0,('05_CAPACITY'!F41+'05_CAPACITY'!F107)/('05_CAPACITY'!F39+'05_CAPACITY'!F105),0)+('01_INPUTS_MASTER'!D22*('01_INPUTS_MASTER'!H22+'01_INPUTS_MASTER'!I22))*IF(('05_CAPACITY'!F52+'05_CAPACITY'!F118)&gt;0,('05_CAPACITY'!F54+'05_CAPACITY'!F120)/('05_CAPACITY'!F52+'05_CAPACITY'!F118),0)+('01_INPUTS_MASTER'!D23*('01_INPUTS_MASTER'!H23+'01_INPUTS_MASTER'!I23))*IF(('05_CAPACITY'!F65+'05_CAPACITY'!F131)&gt;0,('05_CAPACITY'!F67+'05_CAPACITY'!F133)/('05_CAPACITY'!F65+'05_CAPACITY'!F131),0))</f>
        <v>0</v>
      </c>
      <c r="E18" s="7">
        <f>'01_INPUTS_MASTER'!B36*(('01_INPUTS_MASTER'!D17*('01_INPUTS_MASTER'!H17+'01_INPUTS_MASTER'!I17))*IF(('05_CAPACITY'!G13+'05_CAPACITY'!G79)&gt;0,('05_CAPACITY'!G15+'05_CAPACITY'!G81)/('05_CAPACITY'!G13+'05_CAPACITY'!G79),0)+('01_INPUTS_MASTER'!D18*('01_INPUTS_MASTER'!H18+'01_INPUTS_MASTER'!I18))*IF(('05_CAPACITY'!G26+'05_CAPACITY'!G92)&gt;0,('05_CAPACITY'!G28+'05_CAPACITY'!G94)/('05_CAPACITY'!G26+'05_CAPACITY'!G92),0)+('01_INPUTS_MASTER'!D19*('01_INPUTS_MASTER'!H19+'01_INPUTS_MASTER'!I19)+'01_INPUTS_MASTER'!D20*('01_INPUTS_MASTER'!H20+'01_INPUTS_MASTER'!I20)+'01_INPUTS_MASTER'!D21*('01_INPUTS_MASTER'!H21+'01_INPUTS_MASTER'!I21))*IF(('05_CAPACITY'!G39+'05_CAPACITY'!G105)&gt;0,('05_CAPACITY'!G41+'05_CAPACITY'!G107)/('05_CAPACITY'!G39+'05_CAPACITY'!G105),0)+('01_INPUTS_MASTER'!D22*('01_INPUTS_MASTER'!H22+'01_INPUTS_MASTER'!I22))*IF(('05_CAPACITY'!G52+'05_CAPACITY'!G118)&gt;0,('05_CAPACITY'!G54+'05_CAPACITY'!G120)/('05_CAPACITY'!G52+'05_CAPACITY'!G118),0)+('01_INPUTS_MASTER'!D23*('01_INPUTS_MASTER'!H23+'01_INPUTS_MASTER'!I23))*IF(('05_CAPACITY'!G65+'05_CAPACITY'!G131)&gt;0,('05_CAPACITY'!G67+'05_CAPACITY'!G133)/('05_CAPACITY'!G65+'05_CAPACITY'!G131),0))</f>
        <v>0</v>
      </c>
      <c r="F18" s="7">
        <f>'01_INPUTS_MASTER'!B36*(('01_INPUTS_MASTER'!D17*('01_INPUTS_MASTER'!H17+'01_INPUTS_MASTER'!I17))*IF(('05_CAPACITY'!H13+'05_CAPACITY'!H79)&gt;0,('05_CAPACITY'!H15+'05_CAPACITY'!H81)/('05_CAPACITY'!H13+'05_CAPACITY'!H79),0)+('01_INPUTS_MASTER'!D18*('01_INPUTS_MASTER'!H18+'01_INPUTS_MASTER'!I18))*IF(('05_CAPACITY'!H26+'05_CAPACITY'!H92)&gt;0,('05_CAPACITY'!H28+'05_CAPACITY'!H94)/('05_CAPACITY'!H26+'05_CAPACITY'!H92),0)+('01_INPUTS_MASTER'!D19*('01_INPUTS_MASTER'!H19+'01_INPUTS_MASTER'!I19)+'01_INPUTS_MASTER'!D20*('01_INPUTS_MASTER'!H20+'01_INPUTS_MASTER'!I20)+'01_INPUTS_MASTER'!D21*('01_INPUTS_MASTER'!H21+'01_INPUTS_MASTER'!I21))*IF(('05_CAPACITY'!H39+'05_CAPACITY'!H105)&gt;0,('05_CAPACITY'!H41+'05_CAPACITY'!H107)/('05_CAPACITY'!H39+'05_CAPACITY'!H105),0)+('01_INPUTS_MASTER'!D22*('01_INPUTS_MASTER'!H22+'01_INPUTS_MASTER'!I22))*IF(('05_CAPACITY'!H52+'05_CAPACITY'!H118)&gt;0,('05_CAPACITY'!H54+'05_CAPACITY'!H120)/('05_CAPACITY'!H52+'05_CAPACITY'!H118),0)+('01_INPUTS_MASTER'!D23*('01_INPUTS_MASTER'!H23+'01_INPUTS_MASTER'!I23))*IF(('05_CAPACITY'!H65+'05_CAPACITY'!H131)&gt;0,('05_CAPACITY'!H67+'05_CAPACITY'!H133)/('05_CAPACITY'!H65+'05_CAPACITY'!H131),0))</f>
        <v>0</v>
      </c>
      <c r="G18" s="7">
        <f>'01_INPUTS_MASTER'!B36*(('01_INPUTS_MASTER'!D17*('01_INPUTS_MASTER'!H17+'01_INPUTS_MASTER'!I17))*IF(('05_CAPACITY'!I13+'05_CAPACITY'!I79)&gt;0,('05_CAPACITY'!I15+'05_CAPACITY'!I81)/('05_CAPACITY'!I13+'05_CAPACITY'!I79),0)+('01_INPUTS_MASTER'!D18*('01_INPUTS_MASTER'!H18+'01_INPUTS_MASTER'!I18))*IF(('05_CAPACITY'!I26+'05_CAPACITY'!I92)&gt;0,('05_CAPACITY'!I28+'05_CAPACITY'!I94)/('05_CAPACITY'!I26+'05_CAPACITY'!I92),0)+('01_INPUTS_MASTER'!D19*('01_INPUTS_MASTER'!H19+'01_INPUTS_MASTER'!I19)+'01_INPUTS_MASTER'!D20*('01_INPUTS_MASTER'!H20+'01_INPUTS_MASTER'!I20)+'01_INPUTS_MASTER'!D21*('01_INPUTS_MASTER'!H21+'01_INPUTS_MASTER'!I21))*IF(('05_CAPACITY'!I39+'05_CAPACITY'!I105)&gt;0,('05_CAPACITY'!I41+'05_CAPACITY'!I107)/('05_CAPACITY'!I39+'05_CAPACITY'!I105),0)+('01_INPUTS_MASTER'!D22*('01_INPUTS_MASTER'!H22+'01_INPUTS_MASTER'!I22))*IF(('05_CAPACITY'!I52+'05_CAPACITY'!I118)&gt;0,('05_CAPACITY'!I54+'05_CAPACITY'!I120)/('05_CAPACITY'!I52+'05_CAPACITY'!I118),0)+('01_INPUTS_MASTER'!D23*('01_INPUTS_MASTER'!H23+'01_INPUTS_MASTER'!I23))*IF(('05_CAPACITY'!I65+'05_CAPACITY'!I131)&gt;0,('05_CAPACITY'!I67+'05_CAPACITY'!I133)/('05_CAPACITY'!I65+'05_CAPACITY'!I131),0))</f>
        <v>0</v>
      </c>
      <c r="H18" s="7">
        <f>'01_INPUTS_MASTER'!B36*(('01_INPUTS_MASTER'!D17*('01_INPUTS_MASTER'!H17+'01_INPUTS_MASTER'!I17))*IF(('05_CAPACITY'!J13+'05_CAPACITY'!J79)&gt;0,('05_CAPACITY'!J15+'05_CAPACITY'!J81)/('05_CAPACITY'!J13+'05_CAPACITY'!J79),0)+('01_INPUTS_MASTER'!D18*('01_INPUTS_MASTER'!H18+'01_INPUTS_MASTER'!I18))*IF(('05_CAPACITY'!J26+'05_CAPACITY'!J92)&gt;0,('05_CAPACITY'!J28+'05_CAPACITY'!J94)/('05_CAPACITY'!J26+'05_CAPACITY'!J92),0)+('01_INPUTS_MASTER'!D19*('01_INPUTS_MASTER'!H19+'01_INPUTS_MASTER'!I19)+'01_INPUTS_MASTER'!D20*('01_INPUTS_MASTER'!H20+'01_INPUTS_MASTER'!I20)+'01_INPUTS_MASTER'!D21*('01_INPUTS_MASTER'!H21+'01_INPUTS_MASTER'!I21))*IF(('05_CAPACITY'!J39+'05_CAPACITY'!J105)&gt;0,('05_CAPACITY'!J41+'05_CAPACITY'!J107)/('05_CAPACITY'!J39+'05_CAPACITY'!J105),0)+('01_INPUTS_MASTER'!D22*('01_INPUTS_MASTER'!H22+'01_INPUTS_MASTER'!I22))*IF(('05_CAPACITY'!J52+'05_CAPACITY'!J118)&gt;0,('05_CAPACITY'!J54+'05_CAPACITY'!J120)/('05_CAPACITY'!J52+'05_CAPACITY'!J118),0)+('01_INPUTS_MASTER'!D23*('01_INPUTS_MASTER'!H23+'01_INPUTS_MASTER'!I23))*IF(('05_CAPACITY'!J65+'05_CAPACITY'!J131)&gt;0,('05_CAPACITY'!J67+'05_CAPACITY'!J133)/('05_CAPACITY'!J65+'05_CAPACITY'!J131),0))</f>
        <v>0</v>
      </c>
      <c r="I18" s="7">
        <f>'01_INPUTS_MASTER'!B36*(('01_INPUTS_MASTER'!D17*('01_INPUTS_MASTER'!H17+'01_INPUTS_MASTER'!I17))*IF(('05_CAPACITY'!K13+'05_CAPACITY'!K79)&gt;0,('05_CAPACITY'!K15+'05_CAPACITY'!K81)/('05_CAPACITY'!K13+'05_CAPACITY'!K79),0)+('01_INPUTS_MASTER'!D18*('01_INPUTS_MASTER'!H18+'01_INPUTS_MASTER'!I18))*IF(('05_CAPACITY'!K26+'05_CAPACITY'!K92)&gt;0,('05_CAPACITY'!K28+'05_CAPACITY'!K94)/('05_CAPACITY'!K26+'05_CAPACITY'!K92),0)+('01_INPUTS_MASTER'!D19*('01_INPUTS_MASTER'!H19+'01_INPUTS_MASTER'!I19)+'01_INPUTS_MASTER'!D20*('01_INPUTS_MASTER'!H20+'01_INPUTS_MASTER'!I20)+'01_INPUTS_MASTER'!D21*('01_INPUTS_MASTER'!H21+'01_INPUTS_MASTER'!I21))*IF(('05_CAPACITY'!K39+'05_CAPACITY'!K105)&gt;0,('05_CAPACITY'!K41+'05_CAPACITY'!K107)/('05_CAPACITY'!K39+'05_CAPACITY'!K105),0)+('01_INPUTS_MASTER'!D22*('01_INPUTS_MASTER'!H22+'01_INPUTS_MASTER'!I22))*IF(('05_CAPACITY'!K52+'05_CAPACITY'!K118)&gt;0,('05_CAPACITY'!K54+'05_CAPACITY'!K120)/('05_CAPACITY'!K52+'05_CAPACITY'!K118),0)+('01_INPUTS_MASTER'!D23*('01_INPUTS_MASTER'!H23+'01_INPUTS_MASTER'!I23))*IF(('05_CAPACITY'!K65+'05_CAPACITY'!K131)&gt;0,('05_CAPACITY'!K67+'05_CAPACITY'!K133)/('05_CAPACITY'!K65+'05_CAPACITY'!K131),0))</f>
        <v>0</v>
      </c>
      <c r="J18" s="6">
        <f t="shared" si="4"/>
        <v>27805.714285714283</v>
      </c>
    </row>
    <row r="19" spans="1:10" ht="15" customHeight="1" x14ac:dyDescent="0.3">
      <c r="A19" t="s">
        <v>207</v>
      </c>
      <c r="B19" s="7">
        <f>'01_INPUTS_MASTER'!B35</f>
        <v>0.06</v>
      </c>
      <c r="C19" s="7">
        <f>'01_INPUTS_MASTER'!B35</f>
        <v>0.06</v>
      </c>
      <c r="D19" s="7">
        <f>'01_INPUTS_MASTER'!B35</f>
        <v>0.06</v>
      </c>
      <c r="E19" s="7">
        <f>'01_INPUTS_MASTER'!B35</f>
        <v>0.06</v>
      </c>
      <c r="F19" s="7">
        <f>'01_INPUTS_MASTER'!B35</f>
        <v>0.06</v>
      </c>
      <c r="G19" s="7">
        <f>'01_INPUTS_MASTER'!B35</f>
        <v>0.06</v>
      </c>
      <c r="H19" s="7">
        <f>'01_INPUTS_MASTER'!B35</f>
        <v>0.06</v>
      </c>
      <c r="I19" s="7">
        <f>'01_INPUTS_MASTER'!B35</f>
        <v>0.06</v>
      </c>
      <c r="J19" s="6">
        <f t="shared" si="4"/>
        <v>0.48</v>
      </c>
    </row>
    <row r="20" spans="1:10" ht="15" customHeight="1" x14ac:dyDescent="0.3">
      <c r="A20" t="s">
        <v>208</v>
      </c>
      <c r="B20" s="6">
        <f t="shared" ref="B20:I20" si="6">B18*B19</f>
        <v>1668.3428571428569</v>
      </c>
      <c r="C20" s="6">
        <f t="shared" si="6"/>
        <v>0</v>
      </c>
      <c r="D20" s="6">
        <f t="shared" si="6"/>
        <v>0</v>
      </c>
      <c r="E20" s="6">
        <f t="shared" si="6"/>
        <v>0</v>
      </c>
      <c r="F20" s="6">
        <f t="shared" si="6"/>
        <v>0</v>
      </c>
      <c r="G20" s="6">
        <f t="shared" si="6"/>
        <v>0</v>
      </c>
      <c r="H20" s="6">
        <f t="shared" si="6"/>
        <v>0</v>
      </c>
      <c r="I20" s="6">
        <f t="shared" si="6"/>
        <v>0</v>
      </c>
      <c r="J20" s="6">
        <f t="shared" si="4"/>
        <v>1668.3428571428569</v>
      </c>
    </row>
    <row r="21" spans="1:10" ht="15" customHeight="1" x14ac:dyDescent="0.3">
      <c r="A21" t="s">
        <v>209</v>
      </c>
      <c r="B21" s="6">
        <f t="shared" ref="B21:I21" si="7">B17+B20</f>
        <v>8038.3428571428567</v>
      </c>
      <c r="C21" s="6">
        <f t="shared" si="7"/>
        <v>6370</v>
      </c>
      <c r="D21" s="6">
        <f t="shared" si="7"/>
        <v>6370</v>
      </c>
      <c r="E21" s="6">
        <f t="shared" si="7"/>
        <v>6370</v>
      </c>
      <c r="F21" s="6">
        <f t="shared" si="7"/>
        <v>6370</v>
      </c>
      <c r="G21" s="6">
        <f t="shared" si="7"/>
        <v>6370</v>
      </c>
      <c r="H21" s="6">
        <f t="shared" si="7"/>
        <v>6370</v>
      </c>
      <c r="I21" s="6">
        <f t="shared" si="7"/>
        <v>6370</v>
      </c>
      <c r="J21" s="6">
        <f t="shared" si="4"/>
        <v>52628.342857142852</v>
      </c>
    </row>
    <row r="22" spans="1:10" ht="15" customHeight="1" x14ac:dyDescent="0.3">
      <c r="A22" s="1"/>
    </row>
    <row r="23" spans="1:10" ht="15" customHeight="1" x14ac:dyDescent="0.3">
      <c r="A23" s="1" t="s">
        <v>210</v>
      </c>
    </row>
    <row r="24" spans="1:10" ht="15" customHeight="1" x14ac:dyDescent="0.3">
      <c r="A24" t="s">
        <v>211</v>
      </c>
      <c r="B24" s="7">
        <f>('06_MRP_MATERIALS'!D12)*(IF('01_INPUTS_MASTER'!M54="A",'01_INPUTS_MASTER'!C49,IF('01_INPUTS_MASTER'!M54="B",'01_INPUTS_MASTER'!D49,IF('01_INPUTS_MASTER'!M54="C",'01_INPUTS_MASTER'!E49,0))))*(1-'01_INPUTS_MASTER'!O54)+('06_MRP_MATERIALS'!D119)*(IF('01_INPUTS_MASTER'!M55="A",'01_INPUTS_MASTER'!C49,IF('01_INPUTS_MASTER'!M55="B",'01_INPUTS_MASTER'!D49,IF('01_INPUTS_MASTER'!M55="C",'01_INPUTS_MASTER'!E49,0))))*(1-'01_INPUTS_MASTER'!O55)</f>
        <v>0</v>
      </c>
      <c r="C24" s="7">
        <f>('06_MRP_MATERIALS'!E12)*(IF('01_INPUTS_MASTER'!M54="A",'01_INPUTS_MASTER'!C49,IF('01_INPUTS_MASTER'!M54="B",'01_INPUTS_MASTER'!D49,IF('01_INPUTS_MASTER'!M54="C",'01_INPUTS_MASTER'!E49,0))))*(1-'01_INPUTS_MASTER'!O54)+('06_MRP_MATERIALS'!E119)*(IF('01_INPUTS_MASTER'!M55="A",'01_INPUTS_MASTER'!C49,IF('01_INPUTS_MASTER'!M55="B",'01_INPUTS_MASTER'!D49,IF('01_INPUTS_MASTER'!M55="C",'01_INPUTS_MASTER'!E49,0))))*(1-'01_INPUTS_MASTER'!O55)</f>
        <v>255000</v>
      </c>
      <c r="D24" s="7">
        <f>('06_MRP_MATERIALS'!F12)*(IF('01_INPUTS_MASTER'!M54="A",'01_INPUTS_MASTER'!C49,IF('01_INPUTS_MASTER'!M54="B",'01_INPUTS_MASTER'!D49,IF('01_INPUTS_MASTER'!M54="C",'01_INPUTS_MASTER'!E49,0))))*(1-'01_INPUTS_MASTER'!O54)+('06_MRP_MATERIALS'!F119)*(IF('01_INPUTS_MASTER'!M55="A",'01_INPUTS_MASTER'!C49,IF('01_INPUTS_MASTER'!M55="B",'01_INPUTS_MASTER'!D49,IF('01_INPUTS_MASTER'!M55="C",'01_INPUTS_MASTER'!E49,0))))*(1-'01_INPUTS_MASTER'!O55)</f>
        <v>0</v>
      </c>
      <c r="E24" s="7">
        <f>('06_MRP_MATERIALS'!G12)*(IF('01_INPUTS_MASTER'!M54="A",'01_INPUTS_MASTER'!C49,IF('01_INPUTS_MASTER'!M54="B",'01_INPUTS_MASTER'!D49,IF('01_INPUTS_MASTER'!M54="C",'01_INPUTS_MASTER'!E49,0))))*(1-'01_INPUTS_MASTER'!O54)+('06_MRP_MATERIALS'!G119)*(IF('01_INPUTS_MASTER'!M55="A",'01_INPUTS_MASTER'!C49,IF('01_INPUTS_MASTER'!M55="B",'01_INPUTS_MASTER'!D49,IF('01_INPUTS_MASTER'!M55="C",'01_INPUTS_MASTER'!E49,0))))*(1-'01_INPUTS_MASTER'!O55)</f>
        <v>247500</v>
      </c>
      <c r="F24" s="7">
        <f>('06_MRP_MATERIALS'!H12)*(IF('01_INPUTS_MASTER'!M54="A",'01_INPUTS_MASTER'!C49,IF('01_INPUTS_MASTER'!M54="B",'01_INPUTS_MASTER'!D49,IF('01_INPUTS_MASTER'!M54="C",'01_INPUTS_MASTER'!E49,0))))*(1-'01_INPUTS_MASTER'!O54)+('06_MRP_MATERIALS'!H119)*(IF('01_INPUTS_MASTER'!M55="A",'01_INPUTS_MASTER'!C49,IF('01_INPUTS_MASTER'!M55="B",'01_INPUTS_MASTER'!D49,IF('01_INPUTS_MASTER'!M55="C",'01_INPUTS_MASTER'!E49,0))))*(1-'01_INPUTS_MASTER'!O55)</f>
        <v>0</v>
      </c>
      <c r="G24" s="7">
        <f>('06_MRP_MATERIALS'!I12)*(IF('01_INPUTS_MASTER'!M54="A",'01_INPUTS_MASTER'!C49,IF('01_INPUTS_MASTER'!M54="B",'01_INPUTS_MASTER'!D49,IF('01_INPUTS_MASTER'!M54="C",'01_INPUTS_MASTER'!E49,0))))*(1-'01_INPUTS_MASTER'!O54)+('06_MRP_MATERIALS'!I119)*(IF('01_INPUTS_MASTER'!M55="A",'01_INPUTS_MASTER'!C49,IF('01_INPUTS_MASTER'!M55="B",'01_INPUTS_MASTER'!D49,IF('01_INPUTS_MASTER'!M55="C",'01_INPUTS_MASTER'!E49,0))))*(1-'01_INPUTS_MASTER'!O55)</f>
        <v>247500</v>
      </c>
      <c r="H24" s="7">
        <f>('06_MRP_MATERIALS'!J12)*(IF('01_INPUTS_MASTER'!M54="A",'01_INPUTS_MASTER'!C49,IF('01_INPUTS_MASTER'!M54="B",'01_INPUTS_MASTER'!D49,IF('01_INPUTS_MASTER'!M54="C",'01_INPUTS_MASTER'!E49,0))))*(1-'01_INPUTS_MASTER'!O54)+('06_MRP_MATERIALS'!J119)*(IF('01_INPUTS_MASTER'!M55="A",'01_INPUTS_MASTER'!C49,IF('01_INPUTS_MASTER'!M55="B",'01_INPUTS_MASTER'!D49,IF('01_INPUTS_MASTER'!M55="C",'01_INPUTS_MASTER'!E49,0))))*(1-'01_INPUTS_MASTER'!O55)</f>
        <v>0</v>
      </c>
      <c r="I24" s="7">
        <f>('06_MRP_MATERIALS'!K12)*(IF('01_INPUTS_MASTER'!M54="A",'01_INPUTS_MASTER'!C49,IF('01_INPUTS_MASTER'!M54="B",'01_INPUTS_MASTER'!D49,IF('01_INPUTS_MASTER'!M54="C",'01_INPUTS_MASTER'!E49,0))))*(1-'01_INPUTS_MASTER'!O54)+('06_MRP_MATERIALS'!K119)*(IF('01_INPUTS_MASTER'!M55="A",'01_INPUTS_MASTER'!C49,IF('01_INPUTS_MASTER'!M55="B",'01_INPUTS_MASTER'!D49,IF('01_INPUTS_MASTER'!M55="C",'01_INPUTS_MASTER'!E49,0))))*(1-'01_INPUTS_MASTER'!O55)</f>
        <v>255000</v>
      </c>
      <c r="J24" s="6">
        <f>SUM(B24:I24)</f>
        <v>1005000</v>
      </c>
    </row>
    <row r="25" spans="1:10" ht="15" customHeight="1" x14ac:dyDescent="0.3">
      <c r="A25" t="s">
        <v>212</v>
      </c>
      <c r="B25" s="7">
        <f>('06_MRP_MATERIALS'!D25)*(IF('01_INPUTS_MASTER'!N54="A",'01_INPUTS_MASTER'!C50,IF('01_INPUTS_MASTER'!N54="B",'01_INPUTS_MASTER'!D50,IF('01_INPUTS_MASTER'!N54="C",'01_INPUTS_MASTER'!E50,0))))*(1-'01_INPUTS_MASTER'!O54)+('06_MRP_MATERIALS'!D132)*(IF('01_INPUTS_MASTER'!N55="A",'01_INPUTS_MASTER'!C50,IF('01_INPUTS_MASTER'!N55="B",'01_INPUTS_MASTER'!D50,IF('01_INPUTS_MASTER'!N55="C",'01_INPUTS_MASTER'!E50,0))))*(1-'01_INPUTS_MASTER'!O55)</f>
        <v>0</v>
      </c>
      <c r="C25" s="7">
        <f>('06_MRP_MATERIALS'!E25)*(IF('01_INPUTS_MASTER'!N54="A",'01_INPUTS_MASTER'!C50,IF('01_INPUTS_MASTER'!N54="B",'01_INPUTS_MASTER'!D50,IF('01_INPUTS_MASTER'!N54="C",'01_INPUTS_MASTER'!E50,0))))*(1-'01_INPUTS_MASTER'!O54)+('06_MRP_MATERIALS'!E132)*(IF('01_INPUTS_MASTER'!N55="A",'01_INPUTS_MASTER'!C50,IF('01_INPUTS_MASTER'!N55="B",'01_INPUTS_MASTER'!D50,IF('01_INPUTS_MASTER'!N55="C",'01_INPUTS_MASTER'!E50,0))))*(1-'01_INPUTS_MASTER'!O55)</f>
        <v>134640</v>
      </c>
      <c r="D25" s="7">
        <f>('06_MRP_MATERIALS'!F25)*(IF('01_INPUTS_MASTER'!N54="A",'01_INPUTS_MASTER'!C50,IF('01_INPUTS_MASTER'!N54="B",'01_INPUTS_MASTER'!D50,IF('01_INPUTS_MASTER'!N54="C",'01_INPUTS_MASTER'!E50,0))))*(1-'01_INPUTS_MASTER'!O54)+('06_MRP_MATERIALS'!F132)*(IF('01_INPUTS_MASTER'!N55="A",'01_INPUTS_MASTER'!C50,IF('01_INPUTS_MASTER'!N55="B",'01_INPUTS_MASTER'!D50,IF('01_INPUTS_MASTER'!N55="C",'01_INPUTS_MASTER'!E50,0))))*(1-'01_INPUTS_MASTER'!O55)</f>
        <v>0</v>
      </c>
      <c r="E25" s="7">
        <f>('06_MRP_MATERIALS'!G25)*(IF('01_INPUTS_MASTER'!N54="A",'01_INPUTS_MASTER'!C50,IF('01_INPUTS_MASTER'!N54="B",'01_INPUTS_MASTER'!D50,IF('01_INPUTS_MASTER'!N54="C",'01_INPUTS_MASTER'!E50,0))))*(1-'01_INPUTS_MASTER'!O54)+('06_MRP_MATERIALS'!G132)*(IF('01_INPUTS_MASTER'!N55="A",'01_INPUTS_MASTER'!C50,IF('01_INPUTS_MASTER'!N55="B",'01_INPUTS_MASTER'!D50,IF('01_INPUTS_MASTER'!N55="C",'01_INPUTS_MASTER'!E50,0))))*(1-'01_INPUTS_MASTER'!O55)</f>
        <v>134640</v>
      </c>
      <c r="F25" s="7">
        <f>('06_MRP_MATERIALS'!H25)*(IF('01_INPUTS_MASTER'!N54="A",'01_INPUTS_MASTER'!C50,IF('01_INPUTS_MASTER'!N54="B",'01_INPUTS_MASTER'!D50,IF('01_INPUTS_MASTER'!N54="C",'01_INPUTS_MASTER'!E50,0))))*(1-'01_INPUTS_MASTER'!O54)+('06_MRP_MATERIALS'!H132)*(IF('01_INPUTS_MASTER'!N55="A",'01_INPUTS_MASTER'!C50,IF('01_INPUTS_MASTER'!N55="B",'01_INPUTS_MASTER'!D50,IF('01_INPUTS_MASTER'!N55="C",'01_INPUTS_MASTER'!E50,0))))*(1-'01_INPUTS_MASTER'!O55)</f>
        <v>0</v>
      </c>
      <c r="G25" s="7">
        <f>('06_MRP_MATERIALS'!I25)*(IF('01_INPUTS_MASTER'!N54="A",'01_INPUTS_MASTER'!C50,IF('01_INPUTS_MASTER'!N54="B",'01_INPUTS_MASTER'!D50,IF('01_INPUTS_MASTER'!N54="C",'01_INPUTS_MASTER'!E50,0))))*(1-'01_INPUTS_MASTER'!O54)+('06_MRP_MATERIALS'!I132)*(IF('01_INPUTS_MASTER'!N55="A",'01_INPUTS_MASTER'!C50,IF('01_INPUTS_MASTER'!N55="B",'01_INPUTS_MASTER'!D50,IF('01_INPUTS_MASTER'!N55="C",'01_INPUTS_MASTER'!E50,0))))*(1-'01_INPUTS_MASTER'!O55)</f>
        <v>126720</v>
      </c>
      <c r="H25" s="7">
        <f>('06_MRP_MATERIALS'!J25)*(IF('01_INPUTS_MASTER'!N54="A",'01_INPUTS_MASTER'!C50,IF('01_INPUTS_MASTER'!N54="B",'01_INPUTS_MASTER'!D50,IF('01_INPUTS_MASTER'!N54="C",'01_INPUTS_MASTER'!E50,0))))*(1-'01_INPUTS_MASTER'!O54)+('06_MRP_MATERIALS'!J132)*(IF('01_INPUTS_MASTER'!N55="A",'01_INPUTS_MASTER'!C50,IF('01_INPUTS_MASTER'!N55="B",'01_INPUTS_MASTER'!D50,IF('01_INPUTS_MASTER'!N55="C",'01_INPUTS_MASTER'!E50,0))))*(1-'01_INPUTS_MASTER'!O55)</f>
        <v>0</v>
      </c>
      <c r="I25" s="7">
        <f>('06_MRP_MATERIALS'!K25)*(IF('01_INPUTS_MASTER'!N54="A",'01_INPUTS_MASTER'!C50,IF('01_INPUTS_MASTER'!N54="B",'01_INPUTS_MASTER'!D50,IF('01_INPUTS_MASTER'!N54="C",'01_INPUTS_MASTER'!E50,0))))*(1-'01_INPUTS_MASTER'!O54)+('06_MRP_MATERIALS'!K132)*(IF('01_INPUTS_MASTER'!N55="A",'01_INPUTS_MASTER'!C50,IF('01_INPUTS_MASTER'!N55="B",'01_INPUTS_MASTER'!D50,IF('01_INPUTS_MASTER'!N55="C",'01_INPUTS_MASTER'!E50,0))))*(1-'01_INPUTS_MASTER'!O55)</f>
        <v>134640</v>
      </c>
      <c r="J25" s="6">
        <f>SUM(B25:I25)</f>
        <v>530640</v>
      </c>
    </row>
    <row r="26" spans="1:10" ht="15" customHeight="1" x14ac:dyDescent="0.3">
      <c r="A26" t="s">
        <v>213</v>
      </c>
      <c r="B26" s="7">
        <f>('06_MRP_MATERIALS'!D38+'06_MRP_MATERIALS'!D145)*'01_INPUTS_MASTER'!C40+('06_MRP_MATERIALS'!D51+'06_MRP_MATERIALS'!D158)*'01_INPUTS_MASTER'!C41+('06_MRP_MATERIALS'!D64+'06_MRP_MATERIALS'!D171)*'01_INPUTS_MASTER'!C42+('06_MRP_MATERIALS'!D77+'06_MRP_MATERIALS'!D184)*'01_INPUTS_MASTER'!C43+('06_MRP_MATERIALS'!D90+'06_MRP_MATERIALS'!D197)*'01_INPUTS_MASTER'!C44+('06_MRP_MATERIALS'!D103+'06_MRP_MATERIALS'!D210)*'01_INPUTS_MASTER'!C45</f>
        <v>0</v>
      </c>
      <c r="C26" s="7">
        <f>('06_MRP_MATERIALS'!E38+'06_MRP_MATERIALS'!E145)*'01_INPUTS_MASTER'!C40+('06_MRP_MATERIALS'!E51+'06_MRP_MATERIALS'!E158)*'01_INPUTS_MASTER'!C41+('06_MRP_MATERIALS'!E64+'06_MRP_MATERIALS'!E171)*'01_INPUTS_MASTER'!C42+('06_MRP_MATERIALS'!E77+'06_MRP_MATERIALS'!E184)*'01_INPUTS_MASTER'!C43+('06_MRP_MATERIALS'!E90+'06_MRP_MATERIALS'!E197)*'01_INPUTS_MASTER'!C44+('06_MRP_MATERIALS'!E103+'06_MRP_MATERIALS'!E210)*'01_INPUTS_MASTER'!C45</f>
        <v>75600</v>
      </c>
      <c r="D26" s="7">
        <f>('06_MRP_MATERIALS'!F38+'06_MRP_MATERIALS'!F145)*'01_INPUTS_MASTER'!C40+('06_MRP_MATERIALS'!F51+'06_MRP_MATERIALS'!F158)*'01_INPUTS_MASTER'!C41+('06_MRP_MATERIALS'!F64+'06_MRP_MATERIALS'!F171)*'01_INPUTS_MASTER'!C42+('06_MRP_MATERIALS'!F77+'06_MRP_MATERIALS'!F184)*'01_INPUTS_MASTER'!C43+('06_MRP_MATERIALS'!F90+'06_MRP_MATERIALS'!F197)*'01_INPUTS_MASTER'!C44+('06_MRP_MATERIALS'!F103+'06_MRP_MATERIALS'!F210)*'01_INPUTS_MASTER'!C45</f>
        <v>0</v>
      </c>
      <c r="E26" s="7">
        <f>('06_MRP_MATERIALS'!G38+'06_MRP_MATERIALS'!G145)*'01_INPUTS_MASTER'!C40+('06_MRP_MATERIALS'!G51+'06_MRP_MATERIALS'!G158)*'01_INPUTS_MASTER'!C41+('06_MRP_MATERIALS'!G64+'06_MRP_MATERIALS'!G171)*'01_INPUTS_MASTER'!C42+('06_MRP_MATERIALS'!G77+'06_MRP_MATERIALS'!G184)*'01_INPUTS_MASTER'!C43+('06_MRP_MATERIALS'!G90+'06_MRP_MATERIALS'!G197)*'01_INPUTS_MASTER'!C44+('06_MRP_MATERIALS'!G103+'06_MRP_MATERIALS'!G210)*'01_INPUTS_MASTER'!C45</f>
        <v>112000</v>
      </c>
      <c r="F26" s="7">
        <f>('06_MRP_MATERIALS'!H38+'06_MRP_MATERIALS'!H145)*'01_INPUTS_MASTER'!C40+('06_MRP_MATERIALS'!H51+'06_MRP_MATERIALS'!H158)*'01_INPUTS_MASTER'!C41+('06_MRP_MATERIALS'!H64+'06_MRP_MATERIALS'!H171)*'01_INPUTS_MASTER'!C42+('06_MRP_MATERIALS'!H77+'06_MRP_MATERIALS'!H184)*'01_INPUTS_MASTER'!C43+('06_MRP_MATERIALS'!H90+'06_MRP_MATERIALS'!H197)*'01_INPUTS_MASTER'!C44+('06_MRP_MATERIALS'!H103+'06_MRP_MATERIALS'!H210)*'01_INPUTS_MASTER'!C45</f>
        <v>0</v>
      </c>
      <c r="G26" s="7">
        <f>('06_MRP_MATERIALS'!I38+'06_MRP_MATERIALS'!I145)*'01_INPUTS_MASTER'!C40+('06_MRP_MATERIALS'!I51+'06_MRP_MATERIALS'!I158)*'01_INPUTS_MASTER'!C41+('06_MRP_MATERIALS'!I64+'06_MRP_MATERIALS'!I171)*'01_INPUTS_MASTER'!C42+('06_MRP_MATERIALS'!I77+'06_MRP_MATERIALS'!I184)*'01_INPUTS_MASTER'!C43+('06_MRP_MATERIALS'!I90+'06_MRP_MATERIALS'!I197)*'01_INPUTS_MASTER'!C44+('06_MRP_MATERIALS'!I103+'06_MRP_MATERIALS'!I210)*'01_INPUTS_MASTER'!C45</f>
        <v>133000</v>
      </c>
      <c r="H26" s="7">
        <f>('06_MRP_MATERIALS'!J38+'06_MRP_MATERIALS'!J145)*'01_INPUTS_MASTER'!C40+('06_MRP_MATERIALS'!J51+'06_MRP_MATERIALS'!J158)*'01_INPUTS_MASTER'!C41+('06_MRP_MATERIALS'!J64+'06_MRP_MATERIALS'!J171)*'01_INPUTS_MASTER'!C42+('06_MRP_MATERIALS'!J77+'06_MRP_MATERIALS'!J184)*'01_INPUTS_MASTER'!C43+('06_MRP_MATERIALS'!J90+'06_MRP_MATERIALS'!J197)*'01_INPUTS_MASTER'!C44+('06_MRP_MATERIALS'!J103+'06_MRP_MATERIALS'!J210)*'01_INPUTS_MASTER'!C45</f>
        <v>0</v>
      </c>
      <c r="I26" s="7">
        <f>('06_MRP_MATERIALS'!K38+'06_MRP_MATERIALS'!K145)*'01_INPUTS_MASTER'!C40+('06_MRP_MATERIALS'!K51+'06_MRP_MATERIALS'!K158)*'01_INPUTS_MASTER'!C41+('06_MRP_MATERIALS'!K64+'06_MRP_MATERIALS'!K171)*'01_INPUTS_MASTER'!C42+('06_MRP_MATERIALS'!K77+'06_MRP_MATERIALS'!K184)*'01_INPUTS_MASTER'!C43+('06_MRP_MATERIALS'!K90+'06_MRP_MATERIALS'!K197)*'01_INPUTS_MASTER'!C44+('06_MRP_MATERIALS'!K103+'06_MRP_MATERIALS'!K210)*'01_INPUTS_MASTER'!C45</f>
        <v>182680</v>
      </c>
      <c r="J26" s="6">
        <f>SUM(B26:I26)</f>
        <v>503280</v>
      </c>
    </row>
    <row r="27" spans="1:10" ht="15" customHeight="1" x14ac:dyDescent="0.3">
      <c r="A27" t="s">
        <v>214</v>
      </c>
      <c r="B27" s="6">
        <f t="shared" ref="B27:I27" si="8">B24+B25+B26</f>
        <v>0</v>
      </c>
      <c r="C27" s="6">
        <f t="shared" si="8"/>
        <v>465240</v>
      </c>
      <c r="D27" s="6">
        <f t="shared" si="8"/>
        <v>0</v>
      </c>
      <c r="E27" s="6">
        <f t="shared" si="8"/>
        <v>494140</v>
      </c>
      <c r="F27" s="6">
        <f t="shared" si="8"/>
        <v>0</v>
      </c>
      <c r="G27" s="6">
        <f t="shared" si="8"/>
        <v>507220</v>
      </c>
      <c r="H27" s="6">
        <f t="shared" si="8"/>
        <v>0</v>
      </c>
      <c r="I27" s="6">
        <f t="shared" si="8"/>
        <v>572320</v>
      </c>
      <c r="J27" s="6">
        <f>SUM(B27:I27)</f>
        <v>2038920</v>
      </c>
    </row>
    <row r="28" spans="1:10" ht="15" customHeight="1" x14ac:dyDescent="0.3">
      <c r="A28" s="1"/>
    </row>
    <row r="29" spans="1:10" ht="15" customHeight="1" x14ac:dyDescent="0.3">
      <c r="A29" s="1" t="s">
        <v>215</v>
      </c>
    </row>
    <row r="30" spans="1:10" ht="15" customHeight="1" x14ac:dyDescent="0.3">
      <c r="A30" t="s">
        <v>107</v>
      </c>
      <c r="B30" s="7">
        <f>'06_MRP_MATERIALS'!D14+'06_MRP_MATERIALS'!D27+'06_MRP_MATERIALS'!D40+'06_MRP_MATERIALS'!D53+'06_MRP_MATERIALS'!D66+'06_MRP_MATERIALS'!D79+'06_MRP_MATERIALS'!D92+'06_MRP_MATERIALS'!D105+'06_MRP_MATERIALS'!D121+'06_MRP_MATERIALS'!D134+'06_MRP_MATERIALS'!D147+'06_MRP_MATERIALS'!D160+'06_MRP_MATERIALS'!D173+'06_MRP_MATERIALS'!D186+'06_MRP_MATERIALS'!D199+'06_MRP_MATERIALS'!D212</f>
        <v>0</v>
      </c>
      <c r="C30" s="7">
        <f>'06_MRP_MATERIALS'!E14+'06_MRP_MATERIALS'!E27+'06_MRP_MATERIALS'!E40+'06_MRP_MATERIALS'!E53+'06_MRP_MATERIALS'!E66+'06_MRP_MATERIALS'!E79+'06_MRP_MATERIALS'!E92+'06_MRP_MATERIALS'!E105+'06_MRP_MATERIALS'!E121+'06_MRP_MATERIALS'!E134+'06_MRP_MATERIALS'!E147+'06_MRP_MATERIALS'!E160+'06_MRP_MATERIALS'!E173+'06_MRP_MATERIALS'!E186+'06_MRP_MATERIALS'!E199+'06_MRP_MATERIALS'!E212</f>
        <v>16600</v>
      </c>
      <c r="D30" s="7">
        <f>'06_MRP_MATERIALS'!F14+'06_MRP_MATERIALS'!F27+'06_MRP_MATERIALS'!F40+'06_MRP_MATERIALS'!F53+'06_MRP_MATERIALS'!F66+'06_MRP_MATERIALS'!F79+'06_MRP_MATERIALS'!F92+'06_MRP_MATERIALS'!F105+'06_MRP_MATERIALS'!F121+'06_MRP_MATERIALS'!F134+'06_MRP_MATERIALS'!F147+'06_MRP_MATERIALS'!F160+'06_MRP_MATERIALS'!F173+'06_MRP_MATERIALS'!F186+'06_MRP_MATERIALS'!F199+'06_MRP_MATERIALS'!F212</f>
        <v>0</v>
      </c>
      <c r="E30" s="7">
        <f>'06_MRP_MATERIALS'!G14+'06_MRP_MATERIALS'!G27+'06_MRP_MATERIALS'!G40+'06_MRP_MATERIALS'!G53+'06_MRP_MATERIALS'!G66+'06_MRP_MATERIALS'!G79+'06_MRP_MATERIALS'!G92+'06_MRP_MATERIALS'!G105+'06_MRP_MATERIALS'!G121+'06_MRP_MATERIALS'!G134+'06_MRP_MATERIALS'!G147+'06_MRP_MATERIALS'!G160+'06_MRP_MATERIALS'!G173+'06_MRP_MATERIALS'!G186+'06_MRP_MATERIALS'!G199+'06_MRP_MATERIALS'!G212</f>
        <v>16600</v>
      </c>
      <c r="F30" s="7">
        <f>'06_MRP_MATERIALS'!H14+'06_MRP_MATERIALS'!H27+'06_MRP_MATERIALS'!H40+'06_MRP_MATERIALS'!H53+'06_MRP_MATERIALS'!H66+'06_MRP_MATERIALS'!H79+'06_MRP_MATERIALS'!H92+'06_MRP_MATERIALS'!H105+'06_MRP_MATERIALS'!H121+'06_MRP_MATERIALS'!H134+'06_MRP_MATERIALS'!H147+'06_MRP_MATERIALS'!H160+'06_MRP_MATERIALS'!H173+'06_MRP_MATERIALS'!H186+'06_MRP_MATERIALS'!H199+'06_MRP_MATERIALS'!H212</f>
        <v>0</v>
      </c>
      <c r="G30" s="7">
        <f>'06_MRP_MATERIALS'!I14+'06_MRP_MATERIALS'!I27+'06_MRP_MATERIALS'!I40+'06_MRP_MATERIALS'!I53+'06_MRP_MATERIALS'!I66+'06_MRP_MATERIALS'!I79+'06_MRP_MATERIALS'!I92+'06_MRP_MATERIALS'!I105+'06_MRP_MATERIALS'!I121+'06_MRP_MATERIALS'!I134+'06_MRP_MATERIALS'!I147+'06_MRP_MATERIALS'!I160+'06_MRP_MATERIALS'!I173+'06_MRP_MATERIALS'!I186+'06_MRP_MATERIALS'!I199+'06_MRP_MATERIALS'!I212</f>
        <v>16600</v>
      </c>
      <c r="H30" s="7">
        <f>'06_MRP_MATERIALS'!J14+'06_MRP_MATERIALS'!J27+'06_MRP_MATERIALS'!J40+'06_MRP_MATERIALS'!J53+'06_MRP_MATERIALS'!J66+'06_MRP_MATERIALS'!J79+'06_MRP_MATERIALS'!J92+'06_MRP_MATERIALS'!J105+'06_MRP_MATERIALS'!J121+'06_MRP_MATERIALS'!J134+'06_MRP_MATERIALS'!J147+'06_MRP_MATERIALS'!J160+'06_MRP_MATERIALS'!J173+'06_MRP_MATERIALS'!J186+'06_MRP_MATERIALS'!J199+'06_MRP_MATERIALS'!J212</f>
        <v>0</v>
      </c>
      <c r="I30" s="7">
        <f>'06_MRP_MATERIALS'!K14+'06_MRP_MATERIALS'!K27+'06_MRP_MATERIALS'!K40+'06_MRP_MATERIALS'!K53+'06_MRP_MATERIALS'!K66+'06_MRP_MATERIALS'!K79+'06_MRP_MATERIALS'!K92+'06_MRP_MATERIALS'!K105+'06_MRP_MATERIALS'!K121+'06_MRP_MATERIALS'!K134+'06_MRP_MATERIALS'!K147+'06_MRP_MATERIALS'!K160+'06_MRP_MATERIALS'!K173+'06_MRP_MATERIALS'!K186+'06_MRP_MATERIALS'!K199+'06_MRP_MATERIALS'!K212</f>
        <v>16600</v>
      </c>
      <c r="J30" s="6">
        <f>SUM(B30:I30)</f>
        <v>66400</v>
      </c>
    </row>
    <row r="31" spans="1:10" ht="15" customHeight="1" x14ac:dyDescent="0.3">
      <c r="A31" t="s">
        <v>175</v>
      </c>
      <c r="B31" s="7">
        <f>'06_MRP_MATERIALS'!D15+'06_MRP_MATERIALS'!D28+'06_MRP_MATERIALS'!D41+'06_MRP_MATERIALS'!D54+'06_MRP_MATERIALS'!D67+'06_MRP_MATERIALS'!D80+'06_MRP_MATERIALS'!D93+'06_MRP_MATERIALS'!D106+'06_MRP_MATERIALS'!D122+'06_MRP_MATERIALS'!D135+'06_MRP_MATERIALS'!D148+'06_MRP_MATERIALS'!D161+'06_MRP_MATERIALS'!D174+'06_MRP_MATERIALS'!D187+'06_MRP_MATERIALS'!D200+'06_MRP_MATERIALS'!D213</f>
        <v>0</v>
      </c>
      <c r="C31" s="7">
        <f>'06_MRP_MATERIALS'!E15+'06_MRP_MATERIALS'!E28+'06_MRP_MATERIALS'!E41+'06_MRP_MATERIALS'!E54+'06_MRP_MATERIALS'!E67+'06_MRP_MATERIALS'!E80+'06_MRP_MATERIALS'!E93+'06_MRP_MATERIALS'!E106+'06_MRP_MATERIALS'!E122+'06_MRP_MATERIALS'!E135+'06_MRP_MATERIALS'!E148+'06_MRP_MATERIALS'!E161+'06_MRP_MATERIALS'!E174+'06_MRP_MATERIALS'!E187+'06_MRP_MATERIALS'!E200+'06_MRP_MATERIALS'!E213</f>
        <v>48</v>
      </c>
      <c r="D31" s="7">
        <f>'06_MRP_MATERIALS'!F15+'06_MRP_MATERIALS'!F28+'06_MRP_MATERIALS'!F41+'06_MRP_MATERIALS'!F54+'06_MRP_MATERIALS'!F67+'06_MRP_MATERIALS'!F80+'06_MRP_MATERIALS'!F93+'06_MRP_MATERIALS'!F106+'06_MRP_MATERIALS'!F122+'06_MRP_MATERIALS'!F135+'06_MRP_MATERIALS'!F148+'06_MRP_MATERIALS'!F161+'06_MRP_MATERIALS'!F174+'06_MRP_MATERIALS'!F187+'06_MRP_MATERIALS'!F200+'06_MRP_MATERIALS'!F213</f>
        <v>48</v>
      </c>
      <c r="E31" s="7">
        <f>'06_MRP_MATERIALS'!G15+'06_MRP_MATERIALS'!G28+'06_MRP_MATERIALS'!G41+'06_MRP_MATERIALS'!G54+'06_MRP_MATERIALS'!G67+'06_MRP_MATERIALS'!G80+'06_MRP_MATERIALS'!G93+'06_MRP_MATERIALS'!G106+'06_MRP_MATERIALS'!G122+'06_MRP_MATERIALS'!G135+'06_MRP_MATERIALS'!G148+'06_MRP_MATERIALS'!G161+'06_MRP_MATERIALS'!G174+'06_MRP_MATERIALS'!G187+'06_MRP_MATERIALS'!G200+'06_MRP_MATERIALS'!G213</f>
        <v>78</v>
      </c>
      <c r="F31" s="7">
        <f>'06_MRP_MATERIALS'!H15+'06_MRP_MATERIALS'!H28+'06_MRP_MATERIALS'!H41+'06_MRP_MATERIALS'!H54+'06_MRP_MATERIALS'!H67+'06_MRP_MATERIALS'!H80+'06_MRP_MATERIALS'!H93+'06_MRP_MATERIALS'!H106+'06_MRP_MATERIALS'!H122+'06_MRP_MATERIALS'!H135+'06_MRP_MATERIALS'!H148+'06_MRP_MATERIALS'!H161+'06_MRP_MATERIALS'!H174+'06_MRP_MATERIALS'!H187+'06_MRP_MATERIALS'!H200+'06_MRP_MATERIALS'!H213</f>
        <v>78</v>
      </c>
      <c r="G31" s="7">
        <f>'06_MRP_MATERIALS'!I15+'06_MRP_MATERIALS'!I28+'06_MRP_MATERIALS'!I41+'06_MRP_MATERIALS'!I54+'06_MRP_MATERIALS'!I67+'06_MRP_MATERIALS'!I80+'06_MRP_MATERIALS'!I93+'06_MRP_MATERIALS'!I106+'06_MRP_MATERIALS'!I122+'06_MRP_MATERIALS'!I135+'06_MRP_MATERIALS'!I148+'06_MRP_MATERIALS'!I161+'06_MRP_MATERIALS'!I174+'06_MRP_MATERIALS'!I187+'06_MRP_MATERIALS'!I200+'06_MRP_MATERIALS'!I213</f>
        <v>0</v>
      </c>
      <c r="H31" s="7">
        <f>'06_MRP_MATERIALS'!J15+'06_MRP_MATERIALS'!J28+'06_MRP_MATERIALS'!J41+'06_MRP_MATERIALS'!J54+'06_MRP_MATERIALS'!J67+'06_MRP_MATERIALS'!J80+'06_MRP_MATERIALS'!J93+'06_MRP_MATERIALS'!J106+'06_MRP_MATERIALS'!J122+'06_MRP_MATERIALS'!J135+'06_MRP_MATERIALS'!J148+'06_MRP_MATERIALS'!J161+'06_MRP_MATERIALS'!J174+'06_MRP_MATERIALS'!J187+'06_MRP_MATERIALS'!J200+'06_MRP_MATERIALS'!J213</f>
        <v>0</v>
      </c>
      <c r="I31" s="7">
        <f>'06_MRP_MATERIALS'!K15+'06_MRP_MATERIALS'!K28+'06_MRP_MATERIALS'!K41+'06_MRP_MATERIALS'!K54+'06_MRP_MATERIALS'!K67+'06_MRP_MATERIALS'!K80+'06_MRP_MATERIALS'!K93+'06_MRP_MATERIALS'!K106+'06_MRP_MATERIALS'!K122+'06_MRP_MATERIALS'!K135+'06_MRP_MATERIALS'!K148+'06_MRP_MATERIALS'!K161+'06_MRP_MATERIALS'!K174+'06_MRP_MATERIALS'!K187+'06_MRP_MATERIALS'!K200+'06_MRP_MATERIALS'!K213</f>
        <v>48</v>
      </c>
      <c r="J31" s="6">
        <f>SUM(B31:I31)</f>
        <v>300</v>
      </c>
    </row>
    <row r="32" spans="1:10" ht="15" customHeight="1" x14ac:dyDescent="0.3">
      <c r="A32" t="s">
        <v>216</v>
      </c>
      <c r="B32" s="6">
        <f t="shared" ref="B32:I32" si="9">B30+B31</f>
        <v>0</v>
      </c>
      <c r="C32" s="6">
        <f t="shared" si="9"/>
        <v>16648</v>
      </c>
      <c r="D32" s="6">
        <f t="shared" si="9"/>
        <v>48</v>
      </c>
      <c r="E32" s="6">
        <f t="shared" si="9"/>
        <v>16678</v>
      </c>
      <c r="F32" s="6">
        <f t="shared" si="9"/>
        <v>78</v>
      </c>
      <c r="G32" s="6">
        <f t="shared" si="9"/>
        <v>16600</v>
      </c>
      <c r="H32" s="6">
        <f t="shared" si="9"/>
        <v>0</v>
      </c>
      <c r="I32" s="6">
        <f t="shared" si="9"/>
        <v>16648</v>
      </c>
      <c r="J32" s="6">
        <f>SUM(B32:I32)</f>
        <v>66700</v>
      </c>
    </row>
    <row r="33" spans="1:10" ht="15" customHeight="1" x14ac:dyDescent="0.3">
      <c r="A33" s="1"/>
    </row>
    <row r="34" spans="1:10" ht="15" customHeight="1" x14ac:dyDescent="0.3">
      <c r="A34" s="1" t="s">
        <v>217</v>
      </c>
    </row>
    <row r="35" spans="1:10" ht="15" customHeight="1" x14ac:dyDescent="0.3">
      <c r="A35" t="s">
        <v>218</v>
      </c>
      <c r="B35" s="6">
        <f t="shared" ref="B35:I35" si="10">B11+B12</f>
        <v>11310</v>
      </c>
      <c r="C35" s="6">
        <f t="shared" si="10"/>
        <v>11310</v>
      </c>
      <c r="D35" s="6">
        <f t="shared" si="10"/>
        <v>11310</v>
      </c>
      <c r="E35" s="6">
        <f t="shared" si="10"/>
        <v>11310</v>
      </c>
      <c r="F35" s="6">
        <f t="shared" si="10"/>
        <v>11310</v>
      </c>
      <c r="G35" s="6">
        <f t="shared" si="10"/>
        <v>11310</v>
      </c>
      <c r="H35" s="6">
        <f t="shared" si="10"/>
        <v>11310</v>
      </c>
      <c r="I35" s="6">
        <f t="shared" si="10"/>
        <v>11310</v>
      </c>
      <c r="J35" s="6">
        <f t="shared" ref="J35:J41" si="11">SUM(B35:I35)</f>
        <v>90480</v>
      </c>
    </row>
    <row r="36" spans="1:10" ht="15" customHeight="1" x14ac:dyDescent="0.3">
      <c r="A36" t="s">
        <v>209</v>
      </c>
      <c r="B36" s="6">
        <f t="shared" ref="B36:I36" si="12">B21</f>
        <v>8038.3428571428567</v>
      </c>
      <c r="C36" s="6">
        <f t="shared" si="12"/>
        <v>6370</v>
      </c>
      <c r="D36" s="6">
        <f t="shared" si="12"/>
        <v>6370</v>
      </c>
      <c r="E36" s="6">
        <f t="shared" si="12"/>
        <v>6370</v>
      </c>
      <c r="F36" s="6">
        <f t="shared" si="12"/>
        <v>6370</v>
      </c>
      <c r="G36" s="6">
        <f t="shared" si="12"/>
        <v>6370</v>
      </c>
      <c r="H36" s="6">
        <f t="shared" si="12"/>
        <v>6370</v>
      </c>
      <c r="I36" s="6">
        <f t="shared" si="12"/>
        <v>6370</v>
      </c>
      <c r="J36" s="6">
        <f t="shared" si="11"/>
        <v>52628.342857142852</v>
      </c>
    </row>
    <row r="37" spans="1:10" ht="15" customHeight="1" x14ac:dyDescent="0.3">
      <c r="A37" t="s">
        <v>214</v>
      </c>
      <c r="B37" s="6">
        <f t="shared" ref="B37:I37" si="13">B27</f>
        <v>0</v>
      </c>
      <c r="C37" s="6">
        <f t="shared" si="13"/>
        <v>465240</v>
      </c>
      <c r="D37" s="6">
        <f t="shared" si="13"/>
        <v>0</v>
      </c>
      <c r="E37" s="6">
        <f t="shared" si="13"/>
        <v>494140</v>
      </c>
      <c r="F37" s="6">
        <f t="shared" si="13"/>
        <v>0</v>
      </c>
      <c r="G37" s="6">
        <f t="shared" si="13"/>
        <v>507220</v>
      </c>
      <c r="H37" s="6">
        <f t="shared" si="13"/>
        <v>0</v>
      </c>
      <c r="I37" s="6">
        <f t="shared" si="13"/>
        <v>572320</v>
      </c>
      <c r="J37" s="6">
        <f t="shared" si="11"/>
        <v>2038920</v>
      </c>
    </row>
    <row r="38" spans="1:10" ht="15" customHeight="1" x14ac:dyDescent="0.3">
      <c r="A38" t="s">
        <v>216</v>
      </c>
      <c r="B38" s="6">
        <f t="shared" ref="B38:I38" si="14">B32</f>
        <v>0</v>
      </c>
      <c r="C38" s="6">
        <f t="shared" si="14"/>
        <v>16648</v>
      </c>
      <c r="D38" s="6">
        <f t="shared" si="14"/>
        <v>48</v>
      </c>
      <c r="E38" s="6">
        <f t="shared" si="14"/>
        <v>16678</v>
      </c>
      <c r="F38" s="6">
        <f t="shared" si="14"/>
        <v>78</v>
      </c>
      <c r="G38" s="6">
        <f t="shared" si="14"/>
        <v>16600</v>
      </c>
      <c r="H38" s="6">
        <f t="shared" si="14"/>
        <v>0</v>
      </c>
      <c r="I38" s="6">
        <f t="shared" si="14"/>
        <v>16648</v>
      </c>
      <c r="J38" s="6">
        <f t="shared" si="11"/>
        <v>66700</v>
      </c>
    </row>
    <row r="39" spans="1:10" ht="15" customHeight="1" x14ac:dyDescent="0.3">
      <c r="A39" t="s">
        <v>219</v>
      </c>
      <c r="B39" s="6">
        <f t="shared" ref="B39:I39" si="15">B35+B36+B37+B38</f>
        <v>19348.342857142856</v>
      </c>
      <c r="C39" s="6">
        <f t="shared" si="15"/>
        <v>499568</v>
      </c>
      <c r="D39" s="6">
        <f t="shared" si="15"/>
        <v>17728</v>
      </c>
      <c r="E39" s="6">
        <f t="shared" si="15"/>
        <v>528498</v>
      </c>
      <c r="F39" s="6">
        <f t="shared" si="15"/>
        <v>17758</v>
      </c>
      <c r="G39" s="6">
        <f t="shared" si="15"/>
        <v>541500</v>
      </c>
      <c r="H39" s="6">
        <f t="shared" si="15"/>
        <v>17680</v>
      </c>
      <c r="I39" s="6">
        <f t="shared" si="15"/>
        <v>606648</v>
      </c>
      <c r="J39" s="6">
        <f t="shared" si="11"/>
        <v>2248728.3428571429</v>
      </c>
    </row>
    <row r="40" spans="1:10" ht="15" customHeight="1" x14ac:dyDescent="0.3">
      <c r="A40" t="s">
        <v>220</v>
      </c>
      <c r="B40" s="7">
        <f>'05_CAPACITY'!D67+'05_CAPACITY'!D133</f>
        <v>0</v>
      </c>
      <c r="C40" s="7">
        <f>'05_CAPACITY'!E67+'05_CAPACITY'!E133</f>
        <v>0</v>
      </c>
      <c r="D40" s="7">
        <f>'05_CAPACITY'!F67+'05_CAPACITY'!F133</f>
        <v>0</v>
      </c>
      <c r="E40" s="7">
        <f>'05_CAPACITY'!G67+'05_CAPACITY'!G133</f>
        <v>0</v>
      </c>
      <c r="F40" s="7">
        <f>'05_CAPACITY'!H67+'05_CAPACITY'!H133</f>
        <v>0</v>
      </c>
      <c r="G40" s="7">
        <f>'05_CAPACITY'!I67+'05_CAPACITY'!I133</f>
        <v>0</v>
      </c>
      <c r="H40" s="7">
        <f>'05_CAPACITY'!J67+'05_CAPACITY'!J133</f>
        <v>0</v>
      </c>
      <c r="I40" s="7">
        <f>'05_CAPACITY'!K67+'05_CAPACITY'!K133</f>
        <v>0</v>
      </c>
      <c r="J40" s="6">
        <f t="shared" si="11"/>
        <v>0</v>
      </c>
    </row>
    <row r="41" spans="1:10" ht="15" customHeight="1" x14ac:dyDescent="0.3">
      <c r="A41" t="s">
        <v>221</v>
      </c>
      <c r="B41" s="6">
        <f t="shared" ref="B41:I41" si="16">IF(B40&gt;0,B39/B40,0)</f>
        <v>0</v>
      </c>
      <c r="C41" s="6">
        <f t="shared" si="16"/>
        <v>0</v>
      </c>
      <c r="D41" s="6">
        <f t="shared" si="16"/>
        <v>0</v>
      </c>
      <c r="E41" s="6">
        <f t="shared" si="16"/>
        <v>0</v>
      </c>
      <c r="F41" s="6">
        <f t="shared" si="16"/>
        <v>0</v>
      </c>
      <c r="G41" s="6">
        <f t="shared" si="16"/>
        <v>0</v>
      </c>
      <c r="H41" s="6">
        <f t="shared" si="16"/>
        <v>0</v>
      </c>
      <c r="I41" s="6">
        <f t="shared" si="16"/>
        <v>0</v>
      </c>
      <c r="J41" s="6">
        <f t="shared" si="11"/>
        <v>0</v>
      </c>
    </row>
  </sheetData>
  <mergeCells count="1">
    <mergeCell ref="A1:L1"/>
  </mergeCell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11"/>
  <sheetViews>
    <sheetView zoomScaleNormal="100" workbookViewId="0"/>
  </sheetViews>
  <sheetFormatPr baseColWidth="10" defaultColWidth="8.6640625" defaultRowHeight="14.4" x14ac:dyDescent="0.3"/>
  <cols>
    <col min="1" max="1" width="45" customWidth="1"/>
    <col min="2" max="2" width="20" customWidth="1"/>
    <col min="3" max="3" width="30" customWidth="1"/>
  </cols>
  <sheetData>
    <row r="1" spans="1:4" ht="17.25" customHeight="1" x14ac:dyDescent="0.3">
      <c r="A1" s="10" t="s">
        <v>222</v>
      </c>
      <c r="B1" s="10"/>
      <c r="C1" s="10"/>
      <c r="D1" s="10"/>
    </row>
    <row r="3" spans="1:4" ht="15" customHeight="1" x14ac:dyDescent="0.3">
      <c r="A3" s="2" t="s">
        <v>223</v>
      </c>
      <c r="B3" s="2" t="s">
        <v>224</v>
      </c>
      <c r="C3" s="2" t="s">
        <v>225</v>
      </c>
    </row>
    <row r="4" spans="1:4" ht="15" customHeight="1" x14ac:dyDescent="0.3">
      <c r="A4" t="s">
        <v>226</v>
      </c>
      <c r="B4" s="6" t="str">
        <f>IF(SUM(COUNTIF('05_CAPACITY'!D16:K16,"CAPACITY"),COUNTIF('05_CAPACITY'!D29:K29,"CAPACITY"),COUNTIF('05_CAPACITY'!D42:K42,"CAPACITY"),COUNTIF('05_CAPACITY'!D55:K55,"CAPACITY"),COUNTIF('05_CAPACITY'!D68:K68,"CAPACITY"),COUNTIF('05_CAPACITY'!D82:K82,"CAPACITY"),COUNTIF('05_CAPACITY'!D95:K95,"CAPACITY"),COUNTIF('05_CAPACITY'!D108:K108,"CAPACITY"),COUNTIF('05_CAPACITY'!D121:K121,"CAPACITY"),COUNTIF('05_CAPACITY'!D134:K134,"CAPACITY"))&gt;0,"FAIL","OK")</f>
        <v>FAIL</v>
      </c>
      <c r="C4" t="s">
        <v>227</v>
      </c>
    </row>
    <row r="5" spans="1:4" ht="15" customHeight="1" x14ac:dyDescent="0.3">
      <c r="A5" t="s">
        <v>228</v>
      </c>
      <c r="B5" s="6" t="str">
        <f>IF(MIN(MIN('06_MRP_MATERIALS'!D13:K13),MIN('06_MRP_MATERIALS'!D26:K26),MIN('06_MRP_MATERIALS'!D39:K39),MIN('06_MRP_MATERIALS'!D52:K52),MIN('06_MRP_MATERIALS'!D65:K65),MIN('06_MRP_MATERIALS'!D78:K78),MIN('06_MRP_MATERIALS'!D91:K91),MIN('06_MRP_MATERIALS'!D104:K104),MIN('06_MRP_MATERIALS'!D120:K120),MIN('06_MRP_MATERIALS'!D133:K133),MIN('06_MRP_MATERIALS'!D146:K146),MIN('06_MRP_MATERIALS'!D159:K159),MIN('06_MRP_MATERIALS'!D172:K172),MIN('06_MRP_MATERIALS'!D185:K185),MIN('06_MRP_MATERIALS'!D198:K198),MIN('06_MRP_MATERIALS'!D211:K211))&lt;0,"FAIL","OK")</f>
        <v>OK</v>
      </c>
      <c r="C5" t="s">
        <v>229</v>
      </c>
    </row>
    <row r="6" spans="1:4" ht="15" customHeight="1" x14ac:dyDescent="0.3">
      <c r="A6" t="s">
        <v>230</v>
      </c>
      <c r="B6" s="6" t="str">
        <f>IF(MIN(MIN('04_FLOW_S1_S5'!D11:K11),MIN('04_FLOW_S1_S5'!D17:K17),MIN('04_FLOW_S1_S5'!D23:K23),MIN('04_FLOW_S1_S5'!D29:K29),MIN('04_FLOW_S1_S5'!D35:K35),MIN('04_FLOW_S1_S5'!D42:K42),MIN('04_FLOW_S1_S5'!D48:K48),MIN('04_FLOW_S1_S5'!D54:K54),MIN('04_FLOW_S1_S5'!D60:K60),MIN('04_FLOW_S1_S5'!D66:K66))&lt;0,"FAIL","OK")</f>
        <v>OK</v>
      </c>
      <c r="C6" t="s">
        <v>231</v>
      </c>
    </row>
    <row r="7" spans="1:4" ht="15" customHeight="1" x14ac:dyDescent="0.3">
      <c r="A7" t="s">
        <v>232</v>
      </c>
      <c r="B7" s="6" t="str">
        <f>IF(OR(ISNUMBER(SEARCH("FALTA",'07_SPACES'!C20)),ISNUMBER(SEARCH("FALTA",'07_SPACES'!C38))),"FAIL","OK")</f>
        <v>OK</v>
      </c>
      <c r="C7" t="s">
        <v>233</v>
      </c>
    </row>
    <row r="8" spans="1:4" ht="15" customHeight="1" x14ac:dyDescent="0.3">
      <c r="A8" t="s">
        <v>234</v>
      </c>
      <c r="B8" s="6" t="str">
        <f>IF(SUM('02_DEMAND'!D12,'02_DEMAND'!F12,'02_DEMAND'!H12,'02_DEMAND'!J12,'02_DEMAND'!D23,'02_DEMAND'!F23,'02_DEMAND'!H23,'02_DEMAND'!J23,'02_DEMAND'!D34,'02_DEMAND'!F34,'02_DEMAND'!H34,'02_DEMAND'!J34,'02_DEMAND'!D45,'02_DEMAND'!F45,'02_DEMAND'!H45,'02_DEMAND'!J45,'02_DEMAND'!D56,'02_DEMAND'!F56,'02_DEMAND'!H56,'02_DEMAND'!J56)&gt;0,"FAIL","OK")</f>
        <v>FAIL</v>
      </c>
      <c r="C8" t="s">
        <v>235</v>
      </c>
    </row>
    <row r="11" spans="1:4" ht="17.25" customHeight="1" x14ac:dyDescent="0.3">
      <c r="A11" s="3" t="s">
        <v>236</v>
      </c>
      <c r="B11" s="9" t="str">
        <f>IF(COUNTIF(B4:B8,"FAIL")&gt;0,"FAIL","OK")</f>
        <v>FAIL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52"/>
  <sheetViews>
    <sheetView zoomScaleNormal="100" workbookViewId="0"/>
  </sheetViews>
  <sheetFormatPr baseColWidth="10" defaultColWidth="8.6640625" defaultRowHeight="14.4" x14ac:dyDescent="0.3"/>
  <cols>
    <col min="1" max="1" width="12" customWidth="1"/>
    <col min="2" max="2" width="15" customWidth="1"/>
    <col min="3" max="11" width="10" customWidth="1"/>
  </cols>
  <sheetData>
    <row r="1" spans="1:6" ht="17.25" customHeight="1" x14ac:dyDescent="0.3">
      <c r="A1" s="10" t="s">
        <v>237</v>
      </c>
      <c r="B1" s="10"/>
      <c r="C1" s="10"/>
      <c r="D1" s="10"/>
      <c r="E1" s="10"/>
      <c r="F1" s="10"/>
    </row>
    <row r="3" spans="1:6" ht="15" customHeight="1" x14ac:dyDescent="0.3">
      <c r="A3" s="12" t="s">
        <v>238</v>
      </c>
      <c r="B3" s="12"/>
      <c r="C3" s="12"/>
      <c r="D3" s="12"/>
      <c r="E3" s="12"/>
    </row>
    <row r="4" spans="1:6" ht="27.75" customHeight="1" x14ac:dyDescent="0.3">
      <c r="A4" s="2" t="s">
        <v>149</v>
      </c>
      <c r="B4" s="2" t="s">
        <v>239</v>
      </c>
      <c r="C4" s="2" t="s">
        <v>240</v>
      </c>
      <c r="D4" s="2" t="s">
        <v>241</v>
      </c>
    </row>
    <row r="5" spans="1:6" ht="15" customHeight="1" x14ac:dyDescent="0.3">
      <c r="A5" s="7"/>
      <c r="B5" s="7"/>
      <c r="C5" s="7"/>
      <c r="D5" s="7"/>
    </row>
    <row r="6" spans="1:6" ht="15" customHeight="1" x14ac:dyDescent="0.3">
      <c r="A6" s="7"/>
      <c r="B6" s="7"/>
      <c r="C6" s="7"/>
      <c r="D6" s="7"/>
    </row>
    <row r="7" spans="1:6" ht="15" customHeight="1" x14ac:dyDescent="0.3">
      <c r="A7" s="7"/>
      <c r="B7" s="7"/>
      <c r="C7" s="7"/>
      <c r="D7" s="7"/>
    </row>
    <row r="8" spans="1:6" ht="15" customHeight="1" x14ac:dyDescent="0.3">
      <c r="A8" s="7"/>
      <c r="B8" s="7"/>
      <c r="C8" s="7"/>
      <c r="D8" s="7"/>
    </row>
    <row r="9" spans="1:6" ht="15" customHeight="1" x14ac:dyDescent="0.3">
      <c r="A9" s="7"/>
      <c r="B9" s="7"/>
      <c r="C9" s="7"/>
      <c r="D9" s="7"/>
    </row>
    <row r="11" spans="1:6" ht="15" customHeight="1" x14ac:dyDescent="0.3">
      <c r="A11" s="12" t="s">
        <v>242</v>
      </c>
      <c r="B11" s="12"/>
      <c r="C11" s="12"/>
      <c r="D11" s="12"/>
    </row>
    <row r="12" spans="1:6" ht="27.75" customHeight="1" x14ac:dyDescent="0.3">
      <c r="A12" s="2" t="s">
        <v>149</v>
      </c>
      <c r="B12" s="2" t="s">
        <v>65</v>
      </c>
      <c r="C12" s="2" t="s">
        <v>159</v>
      </c>
    </row>
    <row r="13" spans="1:6" ht="15" customHeight="1" x14ac:dyDescent="0.3">
      <c r="A13" t="s">
        <v>50</v>
      </c>
      <c r="B13" t="s">
        <v>243</v>
      </c>
      <c r="C13" s="7">
        <v>7</v>
      </c>
    </row>
    <row r="14" spans="1:6" ht="15" customHeight="1" x14ac:dyDescent="0.3">
      <c r="A14" t="s">
        <v>50</v>
      </c>
      <c r="B14" t="s">
        <v>244</v>
      </c>
      <c r="C14" s="7">
        <v>22</v>
      </c>
    </row>
    <row r="15" spans="1:6" ht="15" customHeight="1" x14ac:dyDescent="0.3">
      <c r="A15" t="s">
        <v>50</v>
      </c>
      <c r="B15" t="s">
        <v>245</v>
      </c>
      <c r="C15" s="7">
        <v>90</v>
      </c>
    </row>
    <row r="16" spans="1:6" ht="15" customHeight="1" x14ac:dyDescent="0.3">
      <c r="A16" t="s">
        <v>50</v>
      </c>
      <c r="B16" t="s">
        <v>246</v>
      </c>
      <c r="C16" s="7">
        <v>4</v>
      </c>
    </row>
    <row r="17" spans="1:11" ht="15" customHeight="1" x14ac:dyDescent="0.3">
      <c r="A17" t="s">
        <v>50</v>
      </c>
      <c r="B17" t="s">
        <v>247</v>
      </c>
      <c r="C17" s="7">
        <v>10</v>
      </c>
    </row>
    <row r="18" spans="1:11" ht="15" customHeight="1" x14ac:dyDescent="0.3">
      <c r="A18" t="s">
        <v>50</v>
      </c>
      <c r="B18" t="s">
        <v>248</v>
      </c>
      <c r="C18" s="7">
        <v>11</v>
      </c>
    </row>
    <row r="19" spans="1:11" ht="15" customHeight="1" x14ac:dyDescent="0.3">
      <c r="A19" t="s">
        <v>50</v>
      </c>
      <c r="B19" t="s">
        <v>249</v>
      </c>
      <c r="C19" s="7">
        <v>75</v>
      </c>
    </row>
    <row r="20" spans="1:11" ht="15" customHeight="1" x14ac:dyDescent="0.3">
      <c r="A20" t="s">
        <v>51</v>
      </c>
      <c r="B20" t="s">
        <v>243</v>
      </c>
      <c r="C20" s="7">
        <v>3</v>
      </c>
    </row>
    <row r="21" spans="1:11" ht="15" customHeight="1" x14ac:dyDescent="0.3">
      <c r="A21" t="s">
        <v>51</v>
      </c>
      <c r="B21" t="s">
        <v>244</v>
      </c>
      <c r="C21" s="7">
        <v>9</v>
      </c>
    </row>
    <row r="22" spans="1:11" ht="15" customHeight="1" x14ac:dyDescent="0.3">
      <c r="A22" t="s">
        <v>51</v>
      </c>
      <c r="B22" t="s">
        <v>245</v>
      </c>
      <c r="C22" s="7">
        <v>30</v>
      </c>
    </row>
    <row r="23" spans="1:11" ht="15" customHeight="1" x14ac:dyDescent="0.3">
      <c r="A23" t="s">
        <v>51</v>
      </c>
      <c r="B23" t="s">
        <v>246</v>
      </c>
      <c r="C23" s="7">
        <v>2</v>
      </c>
    </row>
    <row r="24" spans="1:11" ht="15" customHeight="1" x14ac:dyDescent="0.3">
      <c r="A24" t="s">
        <v>51</v>
      </c>
      <c r="B24" t="s">
        <v>247</v>
      </c>
      <c r="C24" s="7">
        <v>3</v>
      </c>
    </row>
    <row r="25" spans="1:11" ht="15" customHeight="1" x14ac:dyDescent="0.3">
      <c r="A25" t="s">
        <v>51</v>
      </c>
      <c r="B25" t="s">
        <v>248</v>
      </c>
      <c r="C25" s="7">
        <v>3</v>
      </c>
    </row>
    <row r="26" spans="1:11" ht="15" customHeight="1" x14ac:dyDescent="0.3">
      <c r="A26" t="s">
        <v>51</v>
      </c>
      <c r="B26" t="s">
        <v>249</v>
      </c>
      <c r="C26" s="7">
        <v>21</v>
      </c>
    </row>
    <row r="28" spans="1:11" ht="15" customHeight="1" x14ac:dyDescent="0.3">
      <c r="A28" s="12" t="s">
        <v>250</v>
      </c>
      <c r="B28" s="12"/>
      <c r="C28" s="12"/>
      <c r="D28" s="12"/>
      <c r="E28" s="12"/>
      <c r="F28" s="12"/>
      <c r="G28" s="12"/>
      <c r="H28" s="12"/>
      <c r="I28" s="12"/>
      <c r="J28" s="12"/>
      <c r="K28" s="12"/>
    </row>
    <row r="29" spans="1:11" ht="15" customHeight="1" x14ac:dyDescent="0.3">
      <c r="A29" s="2" t="s">
        <v>149</v>
      </c>
      <c r="B29" s="2" t="s">
        <v>65</v>
      </c>
      <c r="C29" s="2" t="s">
        <v>67</v>
      </c>
      <c r="D29" s="2" t="s">
        <v>69</v>
      </c>
      <c r="E29" s="2" t="s">
        <v>71</v>
      </c>
      <c r="F29" s="2" t="s">
        <v>75</v>
      </c>
      <c r="G29" s="2" t="s">
        <v>77</v>
      </c>
      <c r="H29" s="2" t="s">
        <v>129</v>
      </c>
      <c r="I29" s="2" t="s">
        <v>130</v>
      </c>
      <c r="J29" s="2" t="s">
        <v>131</v>
      </c>
    </row>
    <row r="30" spans="1:11" ht="15" customHeight="1" x14ac:dyDescent="0.3">
      <c r="A30" t="s">
        <v>50</v>
      </c>
      <c r="B30" t="s">
        <v>67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</row>
    <row r="31" spans="1:11" ht="15" customHeight="1" x14ac:dyDescent="0.3">
      <c r="A31" t="s">
        <v>50</v>
      </c>
      <c r="B31" t="s">
        <v>69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</row>
    <row r="32" spans="1:11" ht="15" customHeight="1" x14ac:dyDescent="0.3">
      <c r="A32" t="s">
        <v>50</v>
      </c>
      <c r="B32" t="s">
        <v>71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</row>
    <row r="33" spans="1:11" ht="15" customHeight="1" x14ac:dyDescent="0.3">
      <c r="A33" t="s">
        <v>50</v>
      </c>
      <c r="B33" t="s">
        <v>75</v>
      </c>
      <c r="C33" s="7">
        <v>0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</row>
    <row r="34" spans="1:11" ht="15" customHeight="1" x14ac:dyDescent="0.3">
      <c r="A34" t="s">
        <v>50</v>
      </c>
      <c r="B34" t="s">
        <v>77</v>
      </c>
      <c r="C34" s="7">
        <v>0</v>
      </c>
      <c r="D34" s="7">
        <v>0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</row>
    <row r="35" spans="1:11" ht="15" customHeight="1" x14ac:dyDescent="0.3">
      <c r="A35" t="s">
        <v>51</v>
      </c>
      <c r="B35" t="s">
        <v>67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</row>
    <row r="36" spans="1:11" ht="15" customHeight="1" x14ac:dyDescent="0.3">
      <c r="A36" t="s">
        <v>51</v>
      </c>
      <c r="B36" t="s">
        <v>69</v>
      </c>
      <c r="C36" s="7">
        <v>0</v>
      </c>
      <c r="D36" s="7">
        <v>0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</row>
    <row r="37" spans="1:11" ht="15" customHeight="1" x14ac:dyDescent="0.3">
      <c r="A37" t="s">
        <v>51</v>
      </c>
      <c r="B37" t="s">
        <v>71</v>
      </c>
      <c r="C37" s="7">
        <v>0</v>
      </c>
      <c r="D37" s="7">
        <v>0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</row>
    <row r="38" spans="1:11" ht="15" customHeight="1" x14ac:dyDescent="0.3">
      <c r="A38" t="s">
        <v>51</v>
      </c>
      <c r="B38" t="s">
        <v>75</v>
      </c>
      <c r="C38" s="7">
        <v>0</v>
      </c>
      <c r="D38" s="7">
        <v>0</v>
      </c>
      <c r="E38" s="7">
        <v>0</v>
      </c>
      <c r="F38" s="7">
        <v>0</v>
      </c>
      <c r="G38" s="7">
        <v>0</v>
      </c>
      <c r="H38" s="7">
        <v>0</v>
      </c>
      <c r="I38" s="7">
        <v>0</v>
      </c>
      <c r="J38" s="7">
        <v>0</v>
      </c>
    </row>
    <row r="39" spans="1:11" ht="15" customHeight="1" x14ac:dyDescent="0.3">
      <c r="A39" t="s">
        <v>51</v>
      </c>
      <c r="B39" t="s">
        <v>77</v>
      </c>
      <c r="C39" s="7">
        <v>0</v>
      </c>
      <c r="D39" s="7">
        <v>0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</row>
    <row r="41" spans="1:11" ht="15" customHeight="1" x14ac:dyDescent="0.3">
      <c r="A41" s="12" t="s">
        <v>251</v>
      </c>
      <c r="B41" s="12"/>
      <c r="C41" s="12"/>
      <c r="D41" s="12"/>
      <c r="E41" s="12"/>
      <c r="F41" s="12"/>
      <c r="G41" s="12"/>
      <c r="H41" s="12"/>
      <c r="I41" s="12"/>
      <c r="J41" s="12"/>
      <c r="K41" s="12"/>
    </row>
    <row r="42" spans="1:11" ht="15" customHeight="1" x14ac:dyDescent="0.3">
      <c r="A42" s="2" t="s">
        <v>149</v>
      </c>
      <c r="B42" s="2" t="s">
        <v>65</v>
      </c>
      <c r="C42" s="2" t="s">
        <v>67</v>
      </c>
      <c r="D42" s="2" t="s">
        <v>69</v>
      </c>
      <c r="E42" s="2" t="s">
        <v>71</v>
      </c>
      <c r="F42" s="2" t="s">
        <v>75</v>
      </c>
      <c r="G42" s="2" t="s">
        <v>77</v>
      </c>
      <c r="H42" s="2" t="s">
        <v>129</v>
      </c>
      <c r="I42" s="2" t="s">
        <v>130</v>
      </c>
      <c r="J42" s="2" t="s">
        <v>131</v>
      </c>
    </row>
    <row r="43" spans="1:11" ht="15" customHeight="1" x14ac:dyDescent="0.3">
      <c r="A43" t="s">
        <v>50</v>
      </c>
      <c r="B43" t="s">
        <v>67</v>
      </c>
      <c r="C43" s="7">
        <v>0</v>
      </c>
      <c r="D43" s="7">
        <v>0</v>
      </c>
      <c r="E43" s="7">
        <v>0</v>
      </c>
      <c r="F43" s="7">
        <v>0</v>
      </c>
      <c r="G43" s="7">
        <v>0</v>
      </c>
      <c r="H43" s="7">
        <v>0</v>
      </c>
      <c r="I43" s="7">
        <v>0</v>
      </c>
      <c r="J43" s="7">
        <v>0</v>
      </c>
    </row>
    <row r="44" spans="1:11" ht="15" customHeight="1" x14ac:dyDescent="0.3">
      <c r="A44" t="s">
        <v>50</v>
      </c>
      <c r="B44" t="s">
        <v>69</v>
      </c>
      <c r="C44" s="7">
        <v>0</v>
      </c>
      <c r="D44" s="7">
        <v>0</v>
      </c>
      <c r="E44" s="7">
        <v>0</v>
      </c>
      <c r="F44" s="7">
        <v>0</v>
      </c>
      <c r="G44" s="7">
        <v>0</v>
      </c>
      <c r="H44" s="7">
        <v>0</v>
      </c>
      <c r="I44" s="7">
        <v>0</v>
      </c>
      <c r="J44" s="7">
        <v>0</v>
      </c>
    </row>
    <row r="45" spans="1:11" ht="15" customHeight="1" x14ac:dyDescent="0.3">
      <c r="A45" t="s">
        <v>50</v>
      </c>
      <c r="B45" t="s">
        <v>71</v>
      </c>
      <c r="C45" s="7">
        <v>0</v>
      </c>
      <c r="D45" s="7">
        <v>0</v>
      </c>
      <c r="E45" s="7">
        <v>0</v>
      </c>
      <c r="F45" s="7">
        <v>0</v>
      </c>
      <c r="G45" s="7">
        <v>0</v>
      </c>
      <c r="H45" s="7">
        <v>0</v>
      </c>
      <c r="I45" s="7">
        <v>0</v>
      </c>
      <c r="J45" s="7">
        <v>0</v>
      </c>
    </row>
    <row r="46" spans="1:11" ht="15" customHeight="1" x14ac:dyDescent="0.3">
      <c r="A46" t="s">
        <v>50</v>
      </c>
      <c r="B46" t="s">
        <v>75</v>
      </c>
      <c r="C46" s="7">
        <v>0</v>
      </c>
      <c r="D46" s="7">
        <v>0</v>
      </c>
      <c r="E46" s="7">
        <v>0</v>
      </c>
      <c r="F46" s="7">
        <v>0</v>
      </c>
      <c r="G46" s="7">
        <v>0</v>
      </c>
      <c r="H46" s="7">
        <v>0</v>
      </c>
      <c r="I46" s="7">
        <v>0</v>
      </c>
      <c r="J46" s="7">
        <v>0</v>
      </c>
    </row>
    <row r="47" spans="1:11" ht="15" customHeight="1" x14ac:dyDescent="0.3">
      <c r="A47" t="s">
        <v>50</v>
      </c>
      <c r="B47" t="s">
        <v>77</v>
      </c>
      <c r="C47" s="7">
        <v>0</v>
      </c>
      <c r="D47" s="7">
        <v>0</v>
      </c>
      <c r="E47" s="7">
        <v>0</v>
      </c>
      <c r="F47" s="7">
        <v>0</v>
      </c>
      <c r="G47" s="7">
        <v>0</v>
      </c>
      <c r="H47" s="7">
        <v>0</v>
      </c>
      <c r="I47" s="7">
        <v>0</v>
      </c>
      <c r="J47" s="7">
        <v>0</v>
      </c>
    </row>
    <row r="48" spans="1:11" ht="15" customHeight="1" x14ac:dyDescent="0.3">
      <c r="A48" t="s">
        <v>51</v>
      </c>
      <c r="B48" t="s">
        <v>67</v>
      </c>
      <c r="C48" s="7">
        <v>0</v>
      </c>
      <c r="D48" s="7">
        <v>0</v>
      </c>
      <c r="E48" s="7">
        <v>0</v>
      </c>
      <c r="F48" s="7">
        <v>0</v>
      </c>
      <c r="G48" s="7">
        <v>0</v>
      </c>
      <c r="H48" s="7">
        <v>0</v>
      </c>
      <c r="I48" s="7">
        <v>0</v>
      </c>
      <c r="J48" s="7">
        <v>0</v>
      </c>
    </row>
    <row r="49" spans="1:10" ht="15" customHeight="1" x14ac:dyDescent="0.3">
      <c r="A49" t="s">
        <v>51</v>
      </c>
      <c r="B49" t="s">
        <v>69</v>
      </c>
      <c r="C49" s="7">
        <v>0</v>
      </c>
      <c r="D49" s="7">
        <v>0</v>
      </c>
      <c r="E49" s="7">
        <v>0</v>
      </c>
      <c r="F49" s="7">
        <v>0</v>
      </c>
      <c r="G49" s="7">
        <v>0</v>
      </c>
      <c r="H49" s="7">
        <v>0</v>
      </c>
      <c r="I49" s="7">
        <v>0</v>
      </c>
      <c r="J49" s="7">
        <v>0</v>
      </c>
    </row>
    <row r="50" spans="1:10" ht="15" customHeight="1" x14ac:dyDescent="0.3">
      <c r="A50" t="s">
        <v>51</v>
      </c>
      <c r="B50" t="s">
        <v>71</v>
      </c>
      <c r="C50" s="7">
        <v>0</v>
      </c>
      <c r="D50" s="7">
        <v>0</v>
      </c>
      <c r="E50" s="7">
        <v>0</v>
      </c>
      <c r="F50" s="7">
        <v>0</v>
      </c>
      <c r="G50" s="7">
        <v>0</v>
      </c>
      <c r="H50" s="7">
        <v>0</v>
      </c>
      <c r="I50" s="7">
        <v>0</v>
      </c>
      <c r="J50" s="7">
        <v>0</v>
      </c>
    </row>
    <row r="51" spans="1:10" ht="15" customHeight="1" x14ac:dyDescent="0.3">
      <c r="A51" t="s">
        <v>51</v>
      </c>
      <c r="B51" t="s">
        <v>75</v>
      </c>
      <c r="C51" s="7">
        <v>0</v>
      </c>
      <c r="D51" s="7">
        <v>0</v>
      </c>
      <c r="E51" s="7">
        <v>0</v>
      </c>
      <c r="F51" s="7">
        <v>0</v>
      </c>
      <c r="G51" s="7">
        <v>0</v>
      </c>
      <c r="H51" s="7">
        <v>0</v>
      </c>
      <c r="I51" s="7">
        <v>0</v>
      </c>
      <c r="J51" s="7">
        <v>0</v>
      </c>
    </row>
    <row r="52" spans="1:10" ht="15" customHeight="1" x14ac:dyDescent="0.3">
      <c r="A52" t="s">
        <v>51</v>
      </c>
      <c r="B52" t="s">
        <v>77</v>
      </c>
      <c r="C52" s="7">
        <v>0</v>
      </c>
      <c r="D52" s="7">
        <v>0</v>
      </c>
      <c r="E52" s="7">
        <v>0</v>
      </c>
      <c r="F52" s="7">
        <v>0</v>
      </c>
      <c r="G52" s="7">
        <v>0</v>
      </c>
      <c r="H52" s="7">
        <v>0</v>
      </c>
      <c r="I52" s="7">
        <v>0</v>
      </c>
      <c r="J52" s="7">
        <v>0</v>
      </c>
    </row>
  </sheetData>
  <mergeCells count="5">
    <mergeCell ref="A1:F1"/>
    <mergeCell ref="A3:E3"/>
    <mergeCell ref="A11:D11"/>
    <mergeCell ref="A28:K28"/>
    <mergeCell ref="A41:K4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00_README</vt:lpstr>
      <vt:lpstr>01_INPUTS_MASTER</vt:lpstr>
      <vt:lpstr>02_DEMAND</vt:lpstr>
      <vt:lpstr>03_MPS_S5</vt:lpstr>
      <vt:lpstr>04_FLOW_S1_S5</vt:lpstr>
      <vt:lpstr>05_CAPACITY</vt:lpstr>
      <vt:lpstr>06_MRP_MATERIALS</vt:lpstr>
      <vt:lpstr>07_SPACES</vt:lpstr>
      <vt:lpstr>08_COSTING</vt:lpstr>
      <vt:lpstr>09_CHECKS</vt:lpstr>
      <vt:lpstr>10_DECISIONS_UPLOAD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Alberto Daniel Quiroga Villalobos</cp:lastModifiedBy>
  <cp:revision>0</cp:revision>
  <dcterms:created xsi:type="dcterms:W3CDTF">2026-01-13T02:16:28Z</dcterms:created>
  <dcterms:modified xsi:type="dcterms:W3CDTF">2026-01-13T03:19:12Z</dcterms:modified>
  <dc:language>en-US</dc:language>
</cp:coreProperties>
</file>